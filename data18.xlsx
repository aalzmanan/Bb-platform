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omments6.xml" ContentType="application/vnd.openxmlformats-officedocument.spreadsheetml.comments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drawings/drawing13.xml" ContentType="application/vnd.openxmlformats-officedocument.drawing+xml"/>
  <Override PartName="/xl/comments9.xml" ContentType="application/vnd.openxmlformats-officedocument.spreadsheetml.comments+xml"/>
  <Override PartName="/xl/drawings/drawing14.xml" ContentType="application/vnd.openxmlformats-officedocument.drawing+xml"/>
  <Override PartName="/xl/comments10.xml" ContentType="application/vnd.openxmlformats-officedocument.spreadsheetml.comments+xml"/>
  <Override PartName="/xl/drawings/drawing15.xml" ContentType="application/vnd.openxmlformats-officedocument.drawing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xr:revisionPtr revIDLastSave="0" documentId="11_2356F092FD31D772A869513DB1440B1C225242B7" xr6:coauthVersionLast="47" xr6:coauthVersionMax="47" xr10:uidLastSave="{00000000-0000-0000-0000-000000000000}"/>
  <bookViews>
    <workbookView xWindow="0" yWindow="0" windowWidth="16384" windowHeight="8192" tabRatio="500" activeTab="15" xr2:uid="{00000000-000D-0000-FFFF-FFFF00000000}"/>
  </bookViews>
  <sheets>
    <sheet name="📊 Executive Summary" sheetId="1" r:id="rId1"/>
    <sheet name="📅 Monthly KPIs" sheetId="2" r:id="rId2"/>
    <sheet name="📆 Quarterly KPIs" sheetId="3" r:id="rId3"/>
    <sheet name="🗓️ Bi-Annual KPIs" sheetId="4" r:id="rId4"/>
    <sheet name="📅 Annual KPIs" sheetId="5" r:id="rId5"/>
    <sheet name="KKH" sheetId="6" r:id="rId6"/>
    <sheet name="MCH1" sheetId="7" r:id="rId7"/>
    <sheet name="NNGH" sheetId="8" r:id="rId8"/>
    <sheet name="SHAR" sheetId="9" r:id="rId9"/>
    <sheet name="MCH-2" sheetId="10" r:id="rId10"/>
    <sheet name="HUB" sheetId="11" r:id="rId11"/>
    <sheet name="KOBASH" sheetId="12" r:id="rId12"/>
    <sheet name="BDR" sheetId="13" r:id="rId13"/>
    <sheet name="YDM" sheetId="14" r:id="rId14"/>
    <sheet name="THAR" sheetId="15" r:id="rId15"/>
    <sheet name="MENTAL" sheetId="16" r:id="rId16"/>
    <sheet name="📆 Quarterly by Hospital (Q2)" sheetId="17" r:id="rId17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4" i="16" l="1"/>
  <c r="S74" i="16"/>
  <c r="O74" i="16"/>
  <c r="K74" i="16"/>
  <c r="W59" i="16"/>
  <c r="S59" i="16"/>
  <c r="O59" i="16"/>
  <c r="K59" i="16"/>
  <c r="W58" i="16"/>
  <c r="S58" i="16"/>
  <c r="O58" i="16"/>
  <c r="K58" i="16"/>
  <c r="W57" i="16"/>
  <c r="S57" i="16"/>
  <c r="O57" i="16"/>
  <c r="K57" i="16"/>
  <c r="W56" i="16"/>
  <c r="S56" i="16"/>
  <c r="O56" i="16"/>
  <c r="K56" i="16"/>
  <c r="W55" i="16"/>
  <c r="S55" i="16"/>
  <c r="O55" i="16"/>
  <c r="K55" i="16"/>
  <c r="W54" i="16"/>
  <c r="S54" i="16"/>
  <c r="O54" i="16"/>
  <c r="K54" i="16"/>
  <c r="W53" i="16"/>
  <c r="S53" i="16"/>
  <c r="O53" i="16"/>
  <c r="K53" i="16"/>
  <c r="W52" i="16"/>
  <c r="S52" i="16"/>
  <c r="O52" i="16"/>
  <c r="K52" i="16"/>
  <c r="O51" i="16"/>
  <c r="K51" i="16"/>
  <c r="W50" i="16"/>
  <c r="S50" i="16"/>
  <c r="O50" i="16"/>
  <c r="K50" i="16"/>
  <c r="W49" i="16"/>
  <c r="S49" i="16"/>
  <c r="K49" i="16"/>
  <c r="L49" i="16"/>
  <c r="M49" i="16"/>
  <c r="O49" i="16"/>
  <c r="W48" i="16"/>
  <c r="S48" i="16"/>
  <c r="O48" i="16"/>
  <c r="K48" i="16"/>
  <c r="W47" i="16"/>
  <c r="S47" i="16"/>
  <c r="O47" i="16"/>
  <c r="K47" i="16"/>
  <c r="W46" i="16"/>
  <c r="S46" i="16"/>
  <c r="O46" i="16"/>
  <c r="K46" i="16"/>
  <c r="W45" i="16"/>
  <c r="S45" i="16"/>
  <c r="O45" i="16"/>
  <c r="K45" i="16"/>
  <c r="O44" i="16"/>
  <c r="K44" i="16"/>
  <c r="W43" i="16"/>
  <c r="S43" i="16"/>
  <c r="O43" i="16"/>
  <c r="K43" i="16"/>
  <c r="W42" i="16"/>
  <c r="S42" i="16"/>
  <c r="O42" i="16"/>
  <c r="K42" i="16"/>
  <c r="W41" i="16"/>
  <c r="S41" i="16"/>
  <c r="O41" i="16"/>
  <c r="K41" i="16"/>
  <c r="W40" i="16"/>
  <c r="S40" i="16"/>
  <c r="O40" i="16"/>
  <c r="K40" i="16"/>
  <c r="W39" i="16"/>
  <c r="S39" i="16"/>
  <c r="O39" i="16"/>
  <c r="K39" i="16"/>
  <c r="W38" i="16"/>
  <c r="S38" i="16"/>
  <c r="O38" i="16"/>
  <c r="K38" i="16"/>
  <c r="W37" i="16"/>
  <c r="S37" i="16"/>
  <c r="O37" i="16"/>
  <c r="K37" i="16"/>
  <c r="W36" i="16"/>
  <c r="S36" i="16"/>
  <c r="O36" i="16"/>
  <c r="K36" i="16"/>
  <c r="W67" i="15"/>
  <c r="S67" i="15"/>
  <c r="O67" i="15"/>
  <c r="K67" i="15"/>
  <c r="W59" i="15"/>
  <c r="S59" i="15"/>
  <c r="O59" i="15"/>
  <c r="K59" i="15"/>
  <c r="W58" i="15"/>
  <c r="S58" i="15"/>
  <c r="O58" i="15"/>
  <c r="K58" i="15"/>
  <c r="W57" i="15"/>
  <c r="S57" i="15"/>
  <c r="O57" i="15"/>
  <c r="K57" i="15"/>
  <c r="W56" i="15"/>
  <c r="S56" i="15"/>
  <c r="O56" i="15"/>
  <c r="K56" i="15"/>
  <c r="W55" i="15"/>
  <c r="S55" i="15"/>
  <c r="O55" i="15"/>
  <c r="K55" i="15"/>
  <c r="W54" i="15"/>
  <c r="S54" i="15"/>
  <c r="O54" i="15"/>
  <c r="K54" i="15"/>
  <c r="W53" i="15"/>
  <c r="S53" i="15"/>
  <c r="O53" i="15"/>
  <c r="K53" i="15"/>
  <c r="W52" i="15"/>
  <c r="S52" i="15"/>
  <c r="O52" i="15"/>
  <c r="K52" i="15"/>
  <c r="O51" i="15"/>
  <c r="K51" i="15"/>
  <c r="W50" i="15"/>
  <c r="S50" i="15"/>
  <c r="O50" i="15"/>
  <c r="K50" i="15"/>
  <c r="W49" i="15"/>
  <c r="S49" i="15"/>
  <c r="K49" i="15"/>
  <c r="L49" i="15"/>
  <c r="M49" i="15"/>
  <c r="O49" i="15"/>
  <c r="W48" i="15"/>
  <c r="S48" i="15"/>
  <c r="O48" i="15"/>
  <c r="K48" i="15"/>
  <c r="W47" i="15"/>
  <c r="S47" i="15"/>
  <c r="O47" i="15"/>
  <c r="K47" i="15"/>
  <c r="W46" i="15"/>
  <c r="S46" i="15"/>
  <c r="O46" i="15"/>
  <c r="K46" i="15"/>
  <c r="W45" i="15"/>
  <c r="S45" i="15"/>
  <c r="O45" i="15"/>
  <c r="K45" i="15"/>
  <c r="O44" i="15"/>
  <c r="K44" i="15"/>
  <c r="W43" i="15"/>
  <c r="S43" i="15"/>
  <c r="O43" i="15"/>
  <c r="K43" i="15"/>
  <c r="W42" i="15"/>
  <c r="S42" i="15"/>
  <c r="O42" i="15"/>
  <c r="K42" i="15"/>
  <c r="W41" i="15"/>
  <c r="S41" i="15"/>
  <c r="O41" i="15"/>
  <c r="K41" i="15"/>
  <c r="W40" i="15"/>
  <c r="S40" i="15"/>
  <c r="O40" i="15"/>
  <c r="K40" i="15"/>
  <c r="W39" i="15"/>
  <c r="S39" i="15"/>
  <c r="O39" i="15"/>
  <c r="K39" i="15"/>
  <c r="W38" i="15"/>
  <c r="S38" i="15"/>
  <c r="O38" i="15"/>
  <c r="K38" i="15"/>
  <c r="W37" i="15"/>
  <c r="S37" i="15"/>
  <c r="O37" i="15"/>
  <c r="K37" i="15"/>
  <c r="W36" i="15"/>
  <c r="S36" i="15"/>
  <c r="O36" i="15"/>
  <c r="K36" i="15"/>
  <c r="W67" i="14"/>
  <c r="S67" i="14"/>
  <c r="O67" i="14"/>
  <c r="K67" i="14"/>
  <c r="W59" i="14"/>
  <c r="S59" i="14"/>
  <c r="O59" i="14"/>
  <c r="K59" i="14"/>
  <c r="W58" i="14"/>
  <c r="S58" i="14"/>
  <c r="O58" i="14"/>
  <c r="K58" i="14"/>
  <c r="W57" i="14"/>
  <c r="S57" i="14"/>
  <c r="O57" i="14"/>
  <c r="K57" i="14"/>
  <c r="W56" i="14"/>
  <c r="S56" i="14"/>
  <c r="O56" i="14"/>
  <c r="K56" i="14"/>
  <c r="W55" i="14"/>
  <c r="S55" i="14"/>
  <c r="O55" i="14"/>
  <c r="K55" i="14"/>
  <c r="W54" i="14"/>
  <c r="S54" i="14"/>
  <c r="O54" i="14"/>
  <c r="K54" i="14"/>
  <c r="W53" i="14"/>
  <c r="S53" i="14"/>
  <c r="O53" i="14"/>
  <c r="K53" i="14"/>
  <c r="W52" i="14"/>
  <c r="S52" i="14"/>
  <c r="O52" i="14"/>
  <c r="K52" i="14"/>
  <c r="O51" i="14"/>
  <c r="K51" i="14"/>
  <c r="W50" i="14"/>
  <c r="S50" i="14"/>
  <c r="O50" i="14"/>
  <c r="K50" i="14"/>
  <c r="W49" i="14"/>
  <c r="S49" i="14"/>
  <c r="K49" i="14"/>
  <c r="L49" i="14"/>
  <c r="M49" i="14"/>
  <c r="O49" i="14"/>
  <c r="W48" i="14"/>
  <c r="S48" i="14"/>
  <c r="O48" i="14"/>
  <c r="K48" i="14"/>
  <c r="W47" i="14"/>
  <c r="S47" i="14"/>
  <c r="O47" i="14"/>
  <c r="K47" i="14"/>
  <c r="W46" i="14"/>
  <c r="S46" i="14"/>
  <c r="O46" i="14"/>
  <c r="K46" i="14"/>
  <c r="W45" i="14"/>
  <c r="S45" i="14"/>
  <c r="O45" i="14"/>
  <c r="K45" i="14"/>
  <c r="O44" i="14"/>
  <c r="K44" i="14"/>
  <c r="W43" i="14"/>
  <c r="S43" i="14"/>
  <c r="O43" i="14"/>
  <c r="K43" i="14"/>
  <c r="W42" i="14"/>
  <c r="S42" i="14"/>
  <c r="O42" i="14"/>
  <c r="K42" i="14"/>
  <c r="W41" i="14"/>
  <c r="S41" i="14"/>
  <c r="O41" i="14"/>
  <c r="K41" i="14"/>
  <c r="W40" i="14"/>
  <c r="S40" i="14"/>
  <c r="O40" i="14"/>
  <c r="K40" i="14"/>
  <c r="W39" i="14"/>
  <c r="S39" i="14"/>
  <c r="O39" i="14"/>
  <c r="K39" i="14"/>
  <c r="W38" i="14"/>
  <c r="S38" i="14"/>
  <c r="O38" i="14"/>
  <c r="K38" i="14"/>
  <c r="W37" i="14"/>
  <c r="S37" i="14"/>
  <c r="O37" i="14"/>
  <c r="K37" i="14"/>
  <c r="W36" i="14"/>
  <c r="S36" i="14"/>
  <c r="O36" i="14"/>
  <c r="K36" i="14"/>
  <c r="W68" i="13"/>
  <c r="S68" i="13"/>
  <c r="O68" i="13"/>
  <c r="K68" i="13"/>
  <c r="W59" i="13"/>
  <c r="S59" i="13"/>
  <c r="O59" i="13"/>
  <c r="K59" i="13"/>
  <c r="W58" i="13"/>
  <c r="S58" i="13"/>
  <c r="O58" i="13"/>
  <c r="K58" i="13"/>
  <c r="W57" i="13"/>
  <c r="S57" i="13"/>
  <c r="O57" i="13"/>
  <c r="K57" i="13"/>
  <c r="W56" i="13"/>
  <c r="S56" i="13"/>
  <c r="O56" i="13"/>
  <c r="K56" i="13"/>
  <c r="W55" i="13"/>
  <c r="S55" i="13"/>
  <c r="O55" i="13"/>
  <c r="K55" i="13"/>
  <c r="W54" i="13"/>
  <c r="S54" i="13"/>
  <c r="O54" i="13"/>
  <c r="K54" i="13"/>
  <c r="W53" i="13"/>
  <c r="S53" i="13"/>
  <c r="O53" i="13"/>
  <c r="K53" i="13"/>
  <c r="W52" i="13"/>
  <c r="S52" i="13"/>
  <c r="O52" i="13"/>
  <c r="K52" i="13"/>
  <c r="O51" i="13"/>
  <c r="K51" i="13"/>
  <c r="W50" i="13"/>
  <c r="S50" i="13"/>
  <c r="O50" i="13"/>
  <c r="K50" i="13"/>
  <c r="W49" i="13"/>
  <c r="S49" i="13"/>
  <c r="K49" i="13"/>
  <c r="L49" i="13"/>
  <c r="M49" i="13"/>
  <c r="O49" i="13"/>
  <c r="W48" i="13"/>
  <c r="S48" i="13"/>
  <c r="O48" i="13"/>
  <c r="K48" i="13"/>
  <c r="W47" i="13"/>
  <c r="S47" i="13"/>
  <c r="O47" i="13"/>
  <c r="K47" i="13"/>
  <c r="W46" i="13"/>
  <c r="S46" i="13"/>
  <c r="O46" i="13"/>
  <c r="K46" i="13"/>
  <c r="W45" i="13"/>
  <c r="S45" i="13"/>
  <c r="O45" i="13"/>
  <c r="K45" i="13"/>
  <c r="O44" i="13"/>
  <c r="K44" i="13"/>
  <c r="W43" i="13"/>
  <c r="S43" i="13"/>
  <c r="O43" i="13"/>
  <c r="K43" i="13"/>
  <c r="W42" i="13"/>
  <c r="S42" i="13"/>
  <c r="O42" i="13"/>
  <c r="K42" i="13"/>
  <c r="W41" i="13"/>
  <c r="S41" i="13"/>
  <c r="O41" i="13"/>
  <c r="K41" i="13"/>
  <c r="W40" i="13"/>
  <c r="S40" i="13"/>
  <c r="O40" i="13"/>
  <c r="K40" i="13"/>
  <c r="W39" i="13"/>
  <c r="S39" i="13"/>
  <c r="O39" i="13"/>
  <c r="K39" i="13"/>
  <c r="W38" i="13"/>
  <c r="S38" i="13"/>
  <c r="O38" i="13"/>
  <c r="K38" i="13"/>
  <c r="W37" i="13"/>
  <c r="S37" i="13"/>
  <c r="O37" i="13"/>
  <c r="K37" i="13"/>
  <c r="W36" i="13"/>
  <c r="S36" i="13"/>
  <c r="O36" i="13"/>
  <c r="K36" i="13"/>
  <c r="W64" i="12"/>
  <c r="S64" i="12"/>
  <c r="O64" i="12"/>
  <c r="K64" i="12"/>
  <c r="W58" i="12"/>
  <c r="S58" i="12"/>
  <c r="O58" i="12"/>
  <c r="K58" i="12"/>
  <c r="W57" i="12"/>
  <c r="S57" i="12"/>
  <c r="O57" i="12"/>
  <c r="K57" i="12"/>
  <c r="W56" i="12"/>
  <c r="S56" i="12"/>
  <c r="O56" i="12"/>
  <c r="K56" i="12"/>
  <c r="W55" i="12"/>
  <c r="S55" i="12"/>
  <c r="O55" i="12"/>
  <c r="K55" i="12"/>
  <c r="W54" i="12"/>
  <c r="S54" i="12"/>
  <c r="O54" i="12"/>
  <c r="K54" i="12"/>
  <c r="W53" i="12"/>
  <c r="S53" i="12"/>
  <c r="O53" i="12"/>
  <c r="K53" i="12"/>
  <c r="W52" i="12"/>
  <c r="S52" i="12"/>
  <c r="O52" i="12"/>
  <c r="K52" i="12"/>
  <c r="W51" i="12"/>
  <c r="S51" i="12"/>
  <c r="O51" i="12"/>
  <c r="K51" i="12"/>
  <c r="O50" i="12"/>
  <c r="K50" i="12"/>
  <c r="W49" i="12"/>
  <c r="S49" i="12"/>
  <c r="O49" i="12"/>
  <c r="K49" i="12"/>
  <c r="W48" i="12"/>
  <c r="S48" i="12"/>
  <c r="O48" i="12"/>
  <c r="K48" i="12"/>
  <c r="W47" i="12"/>
  <c r="S47" i="12"/>
  <c r="O47" i="12"/>
  <c r="K47" i="12"/>
  <c r="W46" i="12"/>
  <c r="S46" i="12"/>
  <c r="O46" i="12"/>
  <c r="K46" i="12"/>
  <c r="W45" i="12"/>
  <c r="S45" i="12"/>
  <c r="O45" i="12"/>
  <c r="K45" i="12"/>
  <c r="W44" i="12"/>
  <c r="S44" i="12"/>
  <c r="O44" i="12"/>
  <c r="K44" i="12"/>
  <c r="O43" i="12"/>
  <c r="K43" i="12"/>
  <c r="W42" i="12"/>
  <c r="S42" i="12"/>
  <c r="O42" i="12"/>
  <c r="K42" i="12"/>
  <c r="W41" i="12"/>
  <c r="S41" i="12"/>
  <c r="O41" i="12"/>
  <c r="K41" i="12"/>
  <c r="W40" i="12"/>
  <c r="S40" i="12"/>
  <c r="O40" i="12"/>
  <c r="K40" i="12"/>
  <c r="W39" i="12"/>
  <c r="S39" i="12"/>
  <c r="O39" i="12"/>
  <c r="K39" i="12"/>
  <c r="W38" i="12"/>
  <c r="S38" i="12"/>
  <c r="O38" i="12"/>
  <c r="K38" i="12"/>
  <c r="W37" i="12"/>
  <c r="S37" i="12"/>
  <c r="O37" i="12"/>
  <c r="K37" i="12"/>
  <c r="W36" i="12"/>
  <c r="S36" i="12"/>
  <c r="O36" i="12"/>
  <c r="K36" i="12"/>
  <c r="W105" i="11"/>
  <c r="S105" i="11"/>
  <c r="O105" i="11"/>
  <c r="K105" i="11"/>
  <c r="W59" i="11"/>
  <c r="S59" i="11"/>
  <c r="O59" i="11"/>
  <c r="K59" i="11"/>
  <c r="W58" i="11"/>
  <c r="S58" i="11"/>
  <c r="O58" i="11"/>
  <c r="K58" i="11"/>
  <c r="W57" i="11"/>
  <c r="S57" i="11"/>
  <c r="O57" i="11"/>
  <c r="K57" i="11"/>
  <c r="W56" i="11"/>
  <c r="S56" i="11"/>
  <c r="O56" i="11"/>
  <c r="K56" i="11"/>
  <c r="W55" i="11"/>
  <c r="S55" i="11"/>
  <c r="O55" i="11"/>
  <c r="K55" i="11"/>
  <c r="W54" i="11"/>
  <c r="S54" i="11"/>
  <c r="O54" i="11"/>
  <c r="K54" i="11"/>
  <c r="W53" i="11"/>
  <c r="S53" i="11"/>
  <c r="O53" i="11"/>
  <c r="K53" i="11"/>
  <c r="W52" i="11"/>
  <c r="S52" i="11"/>
  <c r="O52" i="11"/>
  <c r="K52" i="11"/>
  <c r="O51" i="11"/>
  <c r="K51" i="11"/>
  <c r="W50" i="11"/>
  <c r="S50" i="11"/>
  <c r="O50" i="11"/>
  <c r="K50" i="11"/>
  <c r="W49" i="11"/>
  <c r="S49" i="11"/>
  <c r="K49" i="11"/>
  <c r="L49" i="11"/>
  <c r="M49" i="11"/>
  <c r="O49" i="11"/>
  <c r="W48" i="11"/>
  <c r="S48" i="11"/>
  <c r="O48" i="11"/>
  <c r="K48" i="11"/>
  <c r="W47" i="11"/>
  <c r="S47" i="11"/>
  <c r="O47" i="11"/>
  <c r="K47" i="11"/>
  <c r="W46" i="11"/>
  <c r="S46" i="11"/>
  <c r="O46" i="11"/>
  <c r="K46" i="11"/>
  <c r="W45" i="11"/>
  <c r="S45" i="11"/>
  <c r="O45" i="11"/>
  <c r="K45" i="11"/>
  <c r="O44" i="11"/>
  <c r="K44" i="11"/>
  <c r="W43" i="11"/>
  <c r="S43" i="11"/>
  <c r="O43" i="11"/>
  <c r="K43" i="11"/>
  <c r="W42" i="11"/>
  <c r="S42" i="11"/>
  <c r="O42" i="11"/>
  <c r="K42" i="11"/>
  <c r="W41" i="11"/>
  <c r="S41" i="11"/>
  <c r="O41" i="11"/>
  <c r="K41" i="11"/>
  <c r="W40" i="11"/>
  <c r="S40" i="11"/>
  <c r="O40" i="11"/>
  <c r="K40" i="11"/>
  <c r="W39" i="11"/>
  <c r="S39" i="11"/>
  <c r="O39" i="11"/>
  <c r="K39" i="11"/>
  <c r="W38" i="11"/>
  <c r="S38" i="11"/>
  <c r="O38" i="11"/>
  <c r="K38" i="11"/>
  <c r="W37" i="11"/>
  <c r="S37" i="11"/>
  <c r="O37" i="11"/>
  <c r="K37" i="11"/>
  <c r="W36" i="11"/>
  <c r="S36" i="11"/>
  <c r="O36" i="11"/>
  <c r="K36" i="11"/>
  <c r="W65" i="10"/>
  <c r="S65" i="10"/>
  <c r="O65" i="10"/>
  <c r="K65" i="10"/>
  <c r="W64" i="10"/>
  <c r="S64" i="10"/>
  <c r="O64" i="10"/>
  <c r="K64" i="10"/>
  <c r="W56" i="10"/>
  <c r="S56" i="10"/>
  <c r="O56" i="10"/>
  <c r="K56" i="10"/>
  <c r="W55" i="10"/>
  <c r="S55" i="10"/>
  <c r="O55" i="10"/>
  <c r="K55" i="10"/>
  <c r="W54" i="10"/>
  <c r="S54" i="10"/>
  <c r="O54" i="10"/>
  <c r="K54" i="10"/>
  <c r="W53" i="10"/>
  <c r="S53" i="10"/>
  <c r="O53" i="10"/>
  <c r="K53" i="10"/>
  <c r="W52" i="10"/>
  <c r="S52" i="10"/>
  <c r="O52" i="10"/>
  <c r="K52" i="10"/>
  <c r="O51" i="10"/>
  <c r="K51" i="10"/>
  <c r="W50" i="10"/>
  <c r="S50" i="10"/>
  <c r="O50" i="10"/>
  <c r="K50" i="10"/>
  <c r="W49" i="10"/>
  <c r="S49" i="10"/>
  <c r="K49" i="10"/>
  <c r="L49" i="10"/>
  <c r="M49" i="10"/>
  <c r="O49" i="10"/>
  <c r="W48" i="10"/>
  <c r="S48" i="10"/>
  <c r="O48" i="10"/>
  <c r="K48" i="10"/>
  <c r="W47" i="10"/>
  <c r="S47" i="10"/>
  <c r="O47" i="10"/>
  <c r="K47" i="10"/>
  <c r="W46" i="10"/>
  <c r="S46" i="10"/>
  <c r="O46" i="10"/>
  <c r="K46" i="10"/>
  <c r="W45" i="10"/>
  <c r="S45" i="10"/>
  <c r="O45" i="10"/>
  <c r="K45" i="10"/>
  <c r="O44" i="10"/>
  <c r="K44" i="10"/>
  <c r="W43" i="10"/>
  <c r="S43" i="10"/>
  <c r="O43" i="10"/>
  <c r="K43" i="10"/>
  <c r="W42" i="10"/>
  <c r="S42" i="10"/>
  <c r="O42" i="10"/>
  <c r="K42" i="10"/>
  <c r="W41" i="10"/>
  <c r="S41" i="10"/>
  <c r="O41" i="10"/>
  <c r="K41" i="10"/>
  <c r="W40" i="10"/>
  <c r="S40" i="10"/>
  <c r="O40" i="10"/>
  <c r="K40" i="10"/>
  <c r="W39" i="10"/>
  <c r="S39" i="10"/>
  <c r="O39" i="10"/>
  <c r="K39" i="10"/>
  <c r="W38" i="10"/>
  <c r="S38" i="10"/>
  <c r="O38" i="10"/>
  <c r="K38" i="10"/>
  <c r="W37" i="10"/>
  <c r="S37" i="10"/>
  <c r="O37" i="10"/>
  <c r="K37" i="10"/>
  <c r="W36" i="10"/>
  <c r="S36" i="10"/>
  <c r="O36" i="10"/>
  <c r="K36" i="10"/>
  <c r="W112" i="9"/>
  <c r="S112" i="9"/>
  <c r="O112" i="9"/>
  <c r="K112" i="9"/>
  <c r="W63" i="9"/>
  <c r="S63" i="9"/>
  <c r="O63" i="9"/>
  <c r="K63" i="9"/>
  <c r="W62" i="9"/>
  <c r="S62" i="9"/>
  <c r="O62" i="9"/>
  <c r="K62" i="9"/>
  <c r="W61" i="9"/>
  <c r="S61" i="9"/>
  <c r="O61" i="9"/>
  <c r="K61" i="9"/>
  <c r="W60" i="9"/>
  <c r="S60" i="9"/>
  <c r="O60" i="9"/>
  <c r="K60" i="9"/>
  <c r="W59" i="9"/>
  <c r="S59" i="9"/>
  <c r="O59" i="9"/>
  <c r="K59" i="9"/>
  <c r="W58" i="9"/>
  <c r="S58" i="9"/>
  <c r="O58" i="9"/>
  <c r="K58" i="9"/>
  <c r="W57" i="9"/>
  <c r="S57" i="9"/>
  <c r="O57" i="9"/>
  <c r="K57" i="9"/>
  <c r="W56" i="9"/>
  <c r="S56" i="9"/>
  <c r="O56" i="9"/>
  <c r="K56" i="9"/>
  <c r="W55" i="9"/>
  <c r="S55" i="9"/>
  <c r="O55" i="9"/>
  <c r="K55" i="9"/>
  <c r="W54" i="9"/>
  <c r="S54" i="9"/>
  <c r="O54" i="9"/>
  <c r="K54" i="9"/>
  <c r="W53" i="9"/>
  <c r="S53" i="9"/>
  <c r="O53" i="9"/>
  <c r="K53" i="9"/>
  <c r="W52" i="9"/>
  <c r="S52" i="9"/>
  <c r="O52" i="9"/>
  <c r="K52" i="9"/>
  <c r="O51" i="9"/>
  <c r="K51" i="9"/>
  <c r="W50" i="9"/>
  <c r="S50" i="9"/>
  <c r="O50" i="9"/>
  <c r="K50" i="9"/>
  <c r="W49" i="9"/>
  <c r="S49" i="9"/>
  <c r="K49" i="9"/>
  <c r="L49" i="9"/>
  <c r="M49" i="9"/>
  <c r="O49" i="9"/>
  <c r="W48" i="9"/>
  <c r="S48" i="9"/>
  <c r="O48" i="9"/>
  <c r="K48" i="9"/>
  <c r="W47" i="9"/>
  <c r="S47" i="9"/>
  <c r="O47" i="9"/>
  <c r="K47" i="9"/>
  <c r="W46" i="9"/>
  <c r="S46" i="9"/>
  <c r="O46" i="9"/>
  <c r="K46" i="9"/>
  <c r="W45" i="9"/>
  <c r="S45" i="9"/>
  <c r="O45" i="9"/>
  <c r="K45" i="9"/>
  <c r="O44" i="9"/>
  <c r="K44" i="9"/>
  <c r="W43" i="9"/>
  <c r="S43" i="9"/>
  <c r="O43" i="9"/>
  <c r="K43" i="9"/>
  <c r="W42" i="9"/>
  <c r="S42" i="9"/>
  <c r="O42" i="9"/>
  <c r="K42" i="9"/>
  <c r="W41" i="9"/>
  <c r="S41" i="9"/>
  <c r="O41" i="9"/>
  <c r="K41" i="9"/>
  <c r="W40" i="9"/>
  <c r="S40" i="9"/>
  <c r="O40" i="9"/>
  <c r="K40" i="9"/>
  <c r="W39" i="9"/>
  <c r="S39" i="9"/>
  <c r="O39" i="9"/>
  <c r="K39" i="9"/>
  <c r="W38" i="9"/>
  <c r="S38" i="9"/>
  <c r="O38" i="9"/>
  <c r="K38" i="9"/>
  <c r="W37" i="9"/>
  <c r="S37" i="9"/>
  <c r="O37" i="9"/>
  <c r="K37" i="9"/>
  <c r="W36" i="9"/>
  <c r="S36" i="9"/>
  <c r="O36" i="9"/>
  <c r="K36" i="9"/>
  <c r="W106" i="8"/>
  <c r="S106" i="8"/>
  <c r="O106" i="8"/>
  <c r="K106" i="8"/>
  <c r="W62" i="8"/>
  <c r="S62" i="8"/>
  <c r="O62" i="8"/>
  <c r="K62" i="8"/>
  <c r="W61" i="8"/>
  <c r="S61" i="8"/>
  <c r="O61" i="8"/>
  <c r="K61" i="8"/>
  <c r="W60" i="8"/>
  <c r="S60" i="8"/>
  <c r="O60" i="8"/>
  <c r="K60" i="8"/>
  <c r="W59" i="8"/>
  <c r="S59" i="8"/>
  <c r="O59" i="8"/>
  <c r="K59" i="8"/>
  <c r="W58" i="8"/>
  <c r="S58" i="8"/>
  <c r="O58" i="8"/>
  <c r="K58" i="8"/>
  <c r="W57" i="8"/>
  <c r="S57" i="8"/>
  <c r="O57" i="8"/>
  <c r="K57" i="8"/>
  <c r="W56" i="8"/>
  <c r="S56" i="8"/>
  <c r="O56" i="8"/>
  <c r="K56" i="8"/>
  <c r="W55" i="8"/>
  <c r="S55" i="8"/>
  <c r="O55" i="8"/>
  <c r="K55" i="8"/>
  <c r="W54" i="8"/>
  <c r="S54" i="8"/>
  <c r="O54" i="8"/>
  <c r="K54" i="8"/>
  <c r="W53" i="8"/>
  <c r="S53" i="8"/>
  <c r="O53" i="8"/>
  <c r="K53" i="8"/>
  <c r="W52" i="8"/>
  <c r="S52" i="8"/>
  <c r="O52" i="8"/>
  <c r="K52" i="8"/>
  <c r="W51" i="8"/>
  <c r="S51" i="8"/>
  <c r="O51" i="8"/>
  <c r="K51" i="8"/>
  <c r="O50" i="8"/>
  <c r="K50" i="8"/>
  <c r="W49" i="8"/>
  <c r="S49" i="8"/>
  <c r="O49" i="8"/>
  <c r="K49" i="8"/>
  <c r="W48" i="8"/>
  <c r="S48" i="8"/>
  <c r="K48" i="8"/>
  <c r="L48" i="8"/>
  <c r="M48" i="8"/>
  <c r="O48" i="8"/>
  <c r="W47" i="8"/>
  <c r="S47" i="8"/>
  <c r="O47" i="8"/>
  <c r="K47" i="8"/>
  <c r="W46" i="8"/>
  <c r="S46" i="8"/>
  <c r="O46" i="8"/>
  <c r="K46" i="8"/>
  <c r="W45" i="8"/>
  <c r="S45" i="8"/>
  <c r="O45" i="8"/>
  <c r="K45" i="8"/>
  <c r="W44" i="8"/>
  <c r="S44" i="8"/>
  <c r="O44" i="8"/>
  <c r="K44" i="8"/>
  <c r="O43" i="8"/>
  <c r="K43" i="8"/>
  <c r="W42" i="8"/>
  <c r="S42" i="8"/>
  <c r="O42" i="8"/>
  <c r="K42" i="8"/>
  <c r="W41" i="8"/>
  <c r="S41" i="8"/>
  <c r="O41" i="8"/>
  <c r="K41" i="8"/>
  <c r="W40" i="8"/>
  <c r="S40" i="8"/>
  <c r="O40" i="8"/>
  <c r="K40" i="8"/>
  <c r="W39" i="8"/>
  <c r="S39" i="8"/>
  <c r="O39" i="8"/>
  <c r="K39" i="8"/>
  <c r="W38" i="8"/>
  <c r="S38" i="8"/>
  <c r="O38" i="8"/>
  <c r="K38" i="8"/>
  <c r="W37" i="8"/>
  <c r="S37" i="8"/>
  <c r="O37" i="8"/>
  <c r="K37" i="8"/>
  <c r="W36" i="8"/>
  <c r="S36" i="8"/>
  <c r="O36" i="8"/>
  <c r="K36" i="8"/>
  <c r="W109" i="7"/>
  <c r="S109" i="7"/>
  <c r="O109" i="7"/>
  <c r="K109" i="7"/>
  <c r="W108" i="7"/>
  <c r="S108" i="7"/>
  <c r="O108" i="7"/>
  <c r="K108" i="7"/>
  <c r="W63" i="7"/>
  <c r="S63" i="7"/>
  <c r="O63" i="7"/>
  <c r="K63" i="7"/>
  <c r="W62" i="7"/>
  <c r="S62" i="7"/>
  <c r="O62" i="7"/>
  <c r="K62" i="7"/>
  <c r="W61" i="7"/>
  <c r="S61" i="7"/>
  <c r="O61" i="7"/>
  <c r="K61" i="7"/>
  <c r="W60" i="7"/>
  <c r="S60" i="7"/>
  <c r="O60" i="7"/>
  <c r="K60" i="7"/>
  <c r="W59" i="7"/>
  <c r="S59" i="7"/>
  <c r="O59" i="7"/>
  <c r="K59" i="7"/>
  <c r="W58" i="7"/>
  <c r="S58" i="7"/>
  <c r="O58" i="7"/>
  <c r="K58" i="7"/>
  <c r="W57" i="7"/>
  <c r="S57" i="7"/>
  <c r="O57" i="7"/>
  <c r="K57" i="7"/>
  <c r="W56" i="7"/>
  <c r="S56" i="7"/>
  <c r="O56" i="7"/>
  <c r="K56" i="7"/>
  <c r="W55" i="7"/>
  <c r="S55" i="7"/>
  <c r="O55" i="7"/>
  <c r="K55" i="7"/>
  <c r="W54" i="7"/>
  <c r="S54" i="7"/>
  <c r="O54" i="7"/>
  <c r="K54" i="7"/>
  <c r="W53" i="7"/>
  <c r="S53" i="7"/>
  <c r="O53" i="7"/>
  <c r="K53" i="7"/>
  <c r="W52" i="7"/>
  <c r="S52" i="7"/>
  <c r="O52" i="7"/>
  <c r="K52" i="7"/>
  <c r="O51" i="7"/>
  <c r="K51" i="7"/>
  <c r="W50" i="7"/>
  <c r="S50" i="7"/>
  <c r="O50" i="7"/>
  <c r="K50" i="7"/>
  <c r="W49" i="7"/>
  <c r="S49" i="7"/>
  <c r="K49" i="7"/>
  <c r="L49" i="7"/>
  <c r="M49" i="7"/>
  <c r="O49" i="7"/>
  <c r="W48" i="7"/>
  <c r="S48" i="7"/>
  <c r="O48" i="7"/>
  <c r="K48" i="7"/>
  <c r="W47" i="7"/>
  <c r="S47" i="7"/>
  <c r="O47" i="7"/>
  <c r="K47" i="7"/>
  <c r="W46" i="7"/>
  <c r="S46" i="7"/>
  <c r="O46" i="7"/>
  <c r="K46" i="7"/>
  <c r="W45" i="7"/>
  <c r="S45" i="7"/>
  <c r="O45" i="7"/>
  <c r="K45" i="7"/>
  <c r="O44" i="7"/>
  <c r="K44" i="7"/>
  <c r="W43" i="7"/>
  <c r="S43" i="7"/>
  <c r="O43" i="7"/>
  <c r="K43" i="7"/>
  <c r="W42" i="7"/>
  <c r="S42" i="7"/>
  <c r="O42" i="7"/>
  <c r="K42" i="7"/>
  <c r="W41" i="7"/>
  <c r="S41" i="7"/>
  <c r="O41" i="7"/>
  <c r="K41" i="7"/>
  <c r="W40" i="7"/>
  <c r="S40" i="7"/>
  <c r="O40" i="7"/>
  <c r="K40" i="7"/>
  <c r="W39" i="7"/>
  <c r="S39" i="7"/>
  <c r="O39" i="7"/>
  <c r="K39" i="7"/>
  <c r="W38" i="7"/>
  <c r="S38" i="7"/>
  <c r="O38" i="7"/>
  <c r="K38" i="7"/>
  <c r="W37" i="7"/>
  <c r="S37" i="7"/>
  <c r="O37" i="7"/>
  <c r="K37" i="7"/>
  <c r="W36" i="7"/>
  <c r="S36" i="7"/>
  <c r="O36" i="7"/>
  <c r="K36" i="7"/>
  <c r="W107" i="6"/>
  <c r="S107" i="6"/>
  <c r="O107" i="6"/>
  <c r="K107" i="6"/>
  <c r="W63" i="6"/>
  <c r="S63" i="6"/>
  <c r="O63" i="6"/>
  <c r="K63" i="6"/>
  <c r="W62" i="6"/>
  <c r="S62" i="6"/>
  <c r="O62" i="6"/>
  <c r="K62" i="6"/>
  <c r="W61" i="6"/>
  <c r="S61" i="6"/>
  <c r="O61" i="6"/>
  <c r="K61" i="6"/>
  <c r="W60" i="6"/>
  <c r="S60" i="6"/>
  <c r="O60" i="6"/>
  <c r="K60" i="6"/>
  <c r="W59" i="6"/>
  <c r="S59" i="6"/>
  <c r="O59" i="6"/>
  <c r="K59" i="6"/>
  <c r="W58" i="6"/>
  <c r="S58" i="6"/>
  <c r="O58" i="6"/>
  <c r="K58" i="6"/>
  <c r="W57" i="6"/>
  <c r="S57" i="6"/>
  <c r="O57" i="6"/>
  <c r="K57" i="6"/>
  <c r="W56" i="6"/>
  <c r="S56" i="6"/>
  <c r="O56" i="6"/>
  <c r="K56" i="6"/>
  <c r="W55" i="6"/>
  <c r="S55" i="6"/>
  <c r="O55" i="6"/>
  <c r="K55" i="6"/>
  <c r="W54" i="6"/>
  <c r="S54" i="6"/>
  <c r="O54" i="6"/>
  <c r="K54" i="6"/>
  <c r="W53" i="6"/>
  <c r="S53" i="6"/>
  <c r="O53" i="6"/>
  <c r="K53" i="6"/>
  <c r="W52" i="6"/>
  <c r="S52" i="6"/>
  <c r="O52" i="6"/>
  <c r="K52" i="6"/>
  <c r="O51" i="6"/>
  <c r="K51" i="6"/>
  <c r="W50" i="6"/>
  <c r="S50" i="6"/>
  <c r="O50" i="6"/>
  <c r="K50" i="6"/>
  <c r="W49" i="6"/>
  <c r="S49" i="6"/>
  <c r="O49" i="6"/>
  <c r="K49" i="6"/>
  <c r="W48" i="6"/>
  <c r="S48" i="6"/>
  <c r="O48" i="6"/>
  <c r="K48" i="6"/>
  <c r="W47" i="6"/>
  <c r="S47" i="6"/>
  <c r="O47" i="6"/>
  <c r="K47" i="6"/>
  <c r="W46" i="6"/>
  <c r="S46" i="6"/>
  <c r="O46" i="6"/>
  <c r="K46" i="6"/>
  <c r="W45" i="6"/>
  <c r="S45" i="6"/>
  <c r="O45" i="6"/>
  <c r="K45" i="6"/>
  <c r="W44" i="6"/>
  <c r="S44" i="6"/>
  <c r="O44" i="6"/>
  <c r="K44" i="6"/>
  <c r="O43" i="6"/>
  <c r="K43" i="6"/>
  <c r="W42" i="6"/>
  <c r="S42" i="6"/>
  <c r="O42" i="6"/>
  <c r="K42" i="6"/>
  <c r="W41" i="6"/>
  <c r="S41" i="6"/>
  <c r="O41" i="6"/>
  <c r="K41" i="6"/>
  <c r="W40" i="6"/>
  <c r="S40" i="6"/>
  <c r="O40" i="6"/>
  <c r="K40" i="6"/>
  <c r="W39" i="6"/>
  <c r="S39" i="6"/>
  <c r="O39" i="6"/>
  <c r="K39" i="6"/>
  <c r="W38" i="6"/>
  <c r="S38" i="6"/>
  <c r="O38" i="6"/>
  <c r="K38" i="6"/>
  <c r="W37" i="6"/>
  <c r="S37" i="6"/>
  <c r="O37" i="6"/>
  <c r="K37" i="6"/>
  <c r="W36" i="6"/>
  <c r="S36" i="6"/>
  <c r="O36" i="6"/>
  <c r="K36" i="6"/>
  <c r="V106" i="2"/>
  <c r="R106" i="2"/>
  <c r="N106" i="2"/>
  <c r="J106" i="2"/>
  <c r="V105" i="2"/>
  <c r="R105" i="2"/>
  <c r="N105" i="2"/>
  <c r="J105" i="2"/>
  <c r="V104" i="2"/>
  <c r="R104" i="2"/>
  <c r="N104" i="2"/>
  <c r="J104" i="2"/>
  <c r="V103" i="2"/>
  <c r="R103" i="2"/>
  <c r="N103" i="2"/>
  <c r="J103" i="2"/>
  <c r="V102" i="2"/>
  <c r="R102" i="2"/>
  <c r="N102" i="2"/>
  <c r="J102" i="2"/>
  <c r="V101" i="2"/>
  <c r="R101" i="2"/>
  <c r="N101" i="2"/>
  <c r="J101" i="2"/>
  <c r="V100" i="2"/>
  <c r="R100" i="2"/>
  <c r="N100" i="2"/>
  <c r="J100" i="2"/>
  <c r="V99" i="2"/>
  <c r="R99" i="2"/>
  <c r="N99" i="2"/>
  <c r="J99" i="2"/>
  <c r="V98" i="2"/>
  <c r="R98" i="2"/>
  <c r="N98" i="2"/>
  <c r="J98" i="2"/>
  <c r="V97" i="2"/>
  <c r="R97" i="2"/>
  <c r="N97" i="2"/>
  <c r="J97" i="2"/>
  <c r="V96" i="2"/>
  <c r="R96" i="2"/>
  <c r="N96" i="2"/>
  <c r="J96" i="2"/>
  <c r="V95" i="2"/>
  <c r="R95" i="2"/>
  <c r="N95" i="2"/>
  <c r="J95" i="2"/>
  <c r="V93" i="2"/>
  <c r="R93" i="2"/>
  <c r="N93" i="2"/>
  <c r="J93" i="2"/>
  <c r="V92" i="2"/>
  <c r="R92" i="2"/>
  <c r="N92" i="2"/>
  <c r="J92" i="2"/>
  <c r="V91" i="2"/>
  <c r="R91" i="2"/>
  <c r="N91" i="2"/>
  <c r="J91" i="2"/>
  <c r="V90" i="2"/>
  <c r="R90" i="2"/>
  <c r="N90" i="2"/>
  <c r="J90" i="2"/>
  <c r="V89" i="2"/>
  <c r="R89" i="2"/>
  <c r="N89" i="2"/>
  <c r="J89" i="2"/>
  <c r="V88" i="2"/>
  <c r="R88" i="2"/>
  <c r="N88" i="2"/>
  <c r="J88" i="2"/>
  <c r="V87" i="2"/>
  <c r="R87" i="2"/>
  <c r="N87" i="2"/>
  <c r="J87" i="2"/>
  <c r="V86" i="2"/>
  <c r="R86" i="2"/>
  <c r="N86" i="2"/>
  <c r="J86" i="2"/>
  <c r="V85" i="2"/>
  <c r="R85" i="2"/>
  <c r="N85" i="2"/>
  <c r="J85" i="2"/>
  <c r="V84" i="2"/>
  <c r="R84" i="2"/>
  <c r="N84" i="2"/>
  <c r="J84" i="2"/>
  <c r="V83" i="2"/>
  <c r="R83" i="2"/>
  <c r="N83" i="2"/>
  <c r="J83" i="2"/>
  <c r="V82" i="2"/>
  <c r="R82" i="2"/>
  <c r="N82" i="2"/>
  <c r="J82" i="2"/>
  <c r="V81" i="2"/>
  <c r="R81" i="2"/>
  <c r="N81" i="2"/>
  <c r="J81" i="2"/>
  <c r="V80" i="2"/>
  <c r="R80" i="2"/>
  <c r="N80" i="2"/>
  <c r="J80" i="2"/>
  <c r="V79" i="2"/>
  <c r="R79" i="2"/>
  <c r="N79" i="2"/>
  <c r="J79" i="2"/>
  <c r="V78" i="2"/>
  <c r="R78" i="2"/>
  <c r="N78" i="2"/>
  <c r="J78" i="2"/>
  <c r="V77" i="2"/>
  <c r="R77" i="2"/>
  <c r="N77" i="2"/>
  <c r="J77" i="2"/>
  <c r="V76" i="2"/>
  <c r="R76" i="2"/>
  <c r="N76" i="2"/>
  <c r="J76" i="2"/>
  <c r="V75" i="2"/>
  <c r="R75" i="2"/>
  <c r="N75" i="2"/>
  <c r="J75" i="2"/>
  <c r="V74" i="2"/>
  <c r="R74" i="2"/>
  <c r="N74" i="2"/>
  <c r="J74" i="2"/>
  <c r="V73" i="2"/>
  <c r="R73" i="2"/>
  <c r="N73" i="2"/>
  <c r="J73" i="2"/>
  <c r="V72" i="2"/>
  <c r="R72" i="2"/>
  <c r="N72" i="2"/>
  <c r="J72" i="2"/>
  <c r="V71" i="2"/>
  <c r="R71" i="2"/>
  <c r="N71" i="2"/>
  <c r="J71" i="2"/>
  <c r="V70" i="2"/>
  <c r="R70" i="2"/>
  <c r="N70" i="2"/>
  <c r="J70" i="2"/>
  <c r="V69" i="2"/>
  <c r="R69" i="2"/>
  <c r="N69" i="2"/>
  <c r="J69" i="2"/>
  <c r="V68" i="2"/>
  <c r="R68" i="2"/>
  <c r="N68" i="2"/>
  <c r="J68" i="2"/>
  <c r="V67" i="2"/>
  <c r="R67" i="2"/>
  <c r="N67" i="2"/>
  <c r="J67" i="2"/>
  <c r="V66" i="2"/>
  <c r="R66" i="2"/>
  <c r="N66" i="2"/>
  <c r="J66" i="2"/>
  <c r="V65" i="2"/>
  <c r="R65" i="2"/>
  <c r="N65" i="2"/>
  <c r="J65" i="2"/>
  <c r="V64" i="2"/>
  <c r="R64" i="2"/>
  <c r="N64" i="2"/>
  <c r="J64" i="2"/>
  <c r="V63" i="2"/>
  <c r="R63" i="2"/>
  <c r="N63" i="2"/>
  <c r="J63" i="2"/>
  <c r="V62" i="2"/>
  <c r="R62" i="2"/>
  <c r="N62" i="2"/>
  <c r="J62" i="2"/>
  <c r="V61" i="2"/>
  <c r="R61" i="2"/>
  <c r="N61" i="2"/>
  <c r="J61" i="2"/>
  <c r="V60" i="2"/>
  <c r="R60" i="2"/>
  <c r="N60" i="2"/>
  <c r="J60" i="2"/>
  <c r="V59" i="2"/>
  <c r="R59" i="2"/>
  <c r="N59" i="2"/>
  <c r="J59" i="2"/>
  <c r="V58" i="2"/>
  <c r="R58" i="2"/>
  <c r="N58" i="2"/>
  <c r="J58" i="2"/>
  <c r="V57" i="2"/>
  <c r="R57" i="2"/>
  <c r="N57" i="2"/>
  <c r="J57" i="2"/>
  <c r="V56" i="2"/>
  <c r="R56" i="2"/>
  <c r="N56" i="2"/>
  <c r="J56" i="2"/>
  <c r="V55" i="2"/>
  <c r="R55" i="2"/>
  <c r="N55" i="2"/>
  <c r="J55" i="2"/>
  <c r="V54" i="2"/>
  <c r="R54" i="2"/>
  <c r="N54" i="2"/>
  <c r="J54" i="2"/>
  <c r="V53" i="2"/>
  <c r="R53" i="2"/>
  <c r="N53" i="2"/>
  <c r="J53" i="2"/>
  <c r="V52" i="2"/>
  <c r="R52" i="2"/>
  <c r="N52" i="2"/>
  <c r="J52" i="2"/>
  <c r="V51" i="2"/>
  <c r="R51" i="2"/>
  <c r="N51" i="2"/>
  <c r="J51" i="2"/>
  <c r="V50" i="2"/>
  <c r="R50" i="2"/>
  <c r="N50" i="2"/>
  <c r="J50" i="2"/>
  <c r="V49" i="2"/>
  <c r="R49" i="2"/>
  <c r="N49" i="2"/>
  <c r="J49" i="2"/>
  <c r="V48" i="2"/>
  <c r="R48" i="2"/>
  <c r="N48" i="2"/>
  <c r="J48" i="2"/>
  <c r="V47" i="2"/>
  <c r="R47" i="2"/>
  <c r="N47" i="2"/>
  <c r="J47" i="2"/>
  <c r="V46" i="2"/>
  <c r="R46" i="2"/>
  <c r="N46" i="2"/>
  <c r="J4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8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PHC - الرعاية الأولية
تجمع نجران الصحي 2026
المصدر: وثيقة وزارة الصحة - مستهدفات تجربة المستفيد للمناطق 2026
------------------------------------
خط الأساس Q4 2025: 87.49
Q1 2026: 87.74
Q2 2026: 87.99
Q3 2026: 88.24
Q4 2026: 88.49
المستهدف السنوي: 88.49
------------------------------------
⚠️ يُحدَّث المستهدف نهاية كل ربع للربع التالي</t>
        </r>
      </text>
    </comment>
    <comment ref="F86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F87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F88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9" authorId="0" shapeId="0" xr:uid="{00000000-0006-0000-05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60" authorId="0" shapeId="0" xr:uid="{00000000-0006-0000-05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1" authorId="0" shapeId="0" xr:uid="{00000000-0006-0000-05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9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60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8" authorId="0" shapeId="0" xr:uid="{00000000-0006-0000-07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9" authorId="0" shapeId="0" xr:uid="{00000000-0006-0000-07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0" authorId="0" shapeId="0" xr:uid="{00000000-0006-0000-07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9" authorId="0" shapeId="0" xr:uid="{00000000-0006-0000-08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60" authorId="0" shapeId="0" xr:uid="{00000000-0006-0000-08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1" authorId="0" shapeId="0" xr:uid="{00000000-0006-0000-08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A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A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A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4" authorId="0" shapeId="0" xr:uid="{00000000-0006-0000-0B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5" authorId="0" shapeId="0" xr:uid="{00000000-0006-0000-0B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6" authorId="0" shapeId="0" xr:uid="{00000000-0006-0000-0B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C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C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C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D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D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D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E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E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E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F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F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F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sharedStrings.xml><?xml version="1.0" encoding="utf-8"?>
<sst xmlns="http://schemas.openxmlformats.org/spreadsheetml/2006/main" count="6718" uniqueCount="653">
  <si>
    <t>Quarterly KPIs • 68 Active • Business Plan 2026</t>
  </si>
  <si>
    <t>TOTAL QUARTERLY KPIs</t>
  </si>
  <si>
    <t>ON TARGET (Q1)</t>
  </si>
  <si>
    <t>OFF TARGET (Q1)</t>
  </si>
  <si>
    <t>NO DATA</t>
  </si>
  <si>
    <t>Active — Business Plan 2026</t>
  </si>
  <si>
    <t>Achievement: 80%</t>
  </si>
  <si>
    <t>Below: 20%</t>
  </si>
  <si>
    <t>No Data: 19%</t>
  </si>
  <si>
    <t>● Active: 66</t>
  </si>
  <si>
    <t>○ Non-Active: 21</t>
  </si>
  <si>
    <t>Department Performance — Live</t>
  </si>
  <si>
    <t>Department</t>
  </si>
  <si>
    <t>KPIs</t>
  </si>
  <si>
    <t>On</t>
  </si>
  <si>
    <t>Off</t>
  </si>
  <si>
    <t>No Data</t>
  </si>
  <si>
    <t>%</t>
  </si>
  <si>
    <t>Finance</t>
  </si>
  <si>
    <t>Health Service</t>
  </si>
  <si>
    <t>Quality &amp; Performance</t>
  </si>
  <si>
    <t>Health Delivery</t>
  </si>
  <si>
    <t>Human Resources</t>
  </si>
  <si>
    <t>Transformation</t>
  </si>
  <si>
    <t>—</t>
  </si>
  <si>
    <t>Digital Health</t>
  </si>
  <si>
    <t>Governance</t>
  </si>
  <si>
    <t>Training</t>
  </si>
  <si>
    <t>CLUSTER TOTAL</t>
  </si>
  <si>
    <t>Hospital Performance — Live (Quarterly KPIs)</t>
  </si>
  <si>
    <t>Hospital</t>
  </si>
  <si>
    <t>Bader Aljanoub Hospital</t>
  </si>
  <si>
    <t>Eradah Complex and Mental Health</t>
  </si>
  <si>
    <t>Thar Hospital</t>
  </si>
  <si>
    <t>Habona General Hospital</t>
  </si>
  <si>
    <t>Maternity and Children Hospital</t>
  </si>
  <si>
    <t>Ydmah Hospital</t>
  </si>
  <si>
    <t>West Najran Maternity and Children Hospital</t>
  </si>
  <si>
    <t>Khabash Hospital</t>
  </si>
  <si>
    <t>New Najran General Hospital</t>
  </si>
  <si>
    <t>Sharorah General Hospital</t>
  </si>
  <si>
    <t>King Khaled Hospital</t>
  </si>
  <si>
    <t>Code</t>
  </si>
  <si>
    <t>KPI Name</t>
  </si>
  <si>
    <t>Dept</t>
  </si>
  <si>
    <t>Pol</t>
  </si>
  <si>
    <t>Baseline 2025</t>
  </si>
  <si>
    <t>Target</t>
  </si>
  <si>
    <t>Q1</t>
  </si>
  <si>
    <t>Q2</t>
  </si>
  <si>
    <t>Q3</t>
  </si>
  <si>
    <t>Q4</t>
  </si>
  <si>
    <t>YTD</t>
  </si>
  <si>
    <t>Status</t>
  </si>
  <si>
    <t>Framework</t>
  </si>
  <si>
    <t>KPI Status</t>
  </si>
  <si>
    <t>1.2.2</t>
  </si>
  <si>
    <t>Patients Seen in Virtual Clinic</t>
  </si>
  <si>
    <t>P</t>
  </si>
  <si>
    <t>✓ On Target</t>
  </si>
  <si>
    <t>HQI</t>
  </si>
  <si>
    <t>Active</t>
  </si>
  <si>
    <t>1.2.9</t>
  </si>
  <si>
    <t>Days to Third Next Available Appointment</t>
  </si>
  <si>
    <t>N</t>
  </si>
  <si>
    <t>1.2.10</t>
  </si>
  <si>
    <t>Primary care visits per capita</t>
  </si>
  <si>
    <t>✗ Off Target</t>
  </si>
  <si>
    <t>HHC</t>
  </si>
  <si>
    <t>6.12.5</t>
  </si>
  <si>
    <t>Emergency Preparedness (% Health region readiness &amp; preparedness to respond to national emergencies &amp; health disasters)</t>
  </si>
  <si>
    <t>⊘ Non Target</t>
  </si>
  <si>
    <t>QFR / HHC</t>
  </si>
  <si>
    <t>5.8.2</t>
  </si>
  <si>
    <t>Bed Occupancy Rate in Critical Care Areas</t>
  </si>
  <si>
    <t>60%-85%</t>
  </si>
  <si>
    <t>5.8.3</t>
  </si>
  <si>
    <t>Number of operated intensive care beds per 100,000 population</t>
  </si>
  <si>
    <t>5.8.11</t>
  </si>
  <si>
    <t>Average Length of Stay</t>
  </si>
  <si>
    <t>2.2.19</t>
  </si>
  <si>
    <t>Unplanned Readmission Rate Following Elective Care</t>
  </si>
  <si>
    <t>3.6.2</t>
  </si>
  <si>
    <t>Doctors to Beds Staffing Ratio</t>
  </si>
  <si>
    <t>1 : 2.1</t>
  </si>
  <si>
    <t>5.9.12-1</t>
  </si>
  <si>
    <t>Coding Coverage Rate %( Volume)</t>
  </si>
  <si>
    <t>5.9.12-2</t>
  </si>
  <si>
    <t>Coding Accuracy Rate %( Quality)</t>
  </si>
  <si>
    <t>TBD</t>
  </si>
  <si>
    <t>NA</t>
  </si>
  <si>
    <t>— No Data</t>
  </si>
  <si>
    <t>1.2.1</t>
  </si>
  <si>
    <t>% of population with access to essential healthcare services (major &amp; remote areas)</t>
  </si>
  <si>
    <t>2.3.4</t>
  </si>
  <si>
    <t>Hypertension Screening</t>
  </si>
  <si>
    <t>2.3.5</t>
  </si>
  <si>
    <t>Obesity Screening</t>
  </si>
  <si>
    <t>2.3.6</t>
  </si>
  <si>
    <t>Diabetes Screening</t>
  </si>
  <si>
    <t>2.3.7</t>
  </si>
  <si>
    <t>Dyslipidemia Screening</t>
  </si>
  <si>
    <t>2.3.8</t>
  </si>
  <si>
    <t>Colorectal Cancer Screening</t>
  </si>
  <si>
    <t>2.3.9</t>
  </si>
  <si>
    <t>Breast Cancer Screening</t>
  </si>
  <si>
    <t>2.3.10</t>
  </si>
  <si>
    <t>Mental Health Screening</t>
  </si>
  <si>
    <t>2.3.11</t>
  </si>
  <si>
    <t>Premarital Screening</t>
  </si>
  <si>
    <t>2.3.12</t>
  </si>
  <si>
    <t>Newborn Screening</t>
  </si>
  <si>
    <t>2.3.14</t>
  </si>
  <si>
    <t>Enrollment of Top 5 Diagnoses &amp; 5 Procedures into Clinical Pathways (%)</t>
  </si>
  <si>
    <t>1.1.1</t>
  </si>
  <si>
    <t>Health Risk Assessment Completion Rate</t>
  </si>
  <si>
    <t>2.2.6</t>
  </si>
  <si>
    <t>Cesarean Delivery Rate – Uncomplicated</t>
  </si>
  <si>
    <t>CNHI</t>
  </si>
  <si>
    <t>2.2.7</t>
  </si>
  <si>
    <t>Incidence of Hospital Acquired Pressure Injury Rate per 1000</t>
  </si>
  <si>
    <t>15:1000</t>
  </si>
  <si>
    <t>2.2.8</t>
  </si>
  <si>
    <t>Inpatient Falls Rate</t>
  </si>
  <si>
    <t>2.2.9</t>
  </si>
  <si>
    <t>Incidence of Hospital-Associated VTE</t>
  </si>
  <si>
    <t>2.2.10</t>
  </si>
  <si>
    <t>CAUTI Rate</t>
  </si>
  <si>
    <t>QFR</t>
  </si>
  <si>
    <t>2.2.11</t>
  </si>
  <si>
    <t>CLABSI Rate (Adult)</t>
  </si>
  <si>
    <t>QFR / SOF</t>
  </si>
  <si>
    <t>2.2.12</t>
  </si>
  <si>
    <t>CLABSI Rate (NICU)</t>
  </si>
  <si>
    <t>2.2.13</t>
  </si>
  <si>
    <t>Ventilator-Associated Event (VAE) Rate</t>
  </si>
  <si>
    <t>2.2.15</t>
  </si>
  <si>
    <t>CLABSI Rate</t>
  </si>
  <si>
    <t>3.6.1</t>
  </si>
  <si>
    <t>Nurses to Beds Staffing Ratio</t>
  </si>
  <si>
    <t>2.2.4</t>
  </si>
  <si>
    <t>Percentage of Hand Hygiene Compliance</t>
  </si>
  <si>
    <t>1.1.4</t>
  </si>
  <si>
    <t>Myocardial Infarction Mortality Rate</t>
  </si>
  <si>
    <t>2.5.1</t>
  </si>
  <si>
    <t>Beneficiary experience</t>
  </si>
  <si>
    <t>Quality</t>
  </si>
  <si>
    <t>2.5.2</t>
  </si>
  <si>
    <t>Patient Experience Score - HQI</t>
  </si>
  <si>
    <t>2.5.7</t>
  </si>
  <si>
    <t>Percentage of Complaints Resolved Within 72 hours</t>
  </si>
  <si>
    <t>2.5.8</t>
  </si>
  <si>
    <t>Overall Satisfaction with Complaint Resolution within 72 hours</t>
  </si>
  <si>
    <t>6.12.6</t>
  </si>
  <si>
    <t>% Cluster facilities accredited by CBAHI</t>
  </si>
  <si>
    <t>QFR / SOF / HHC</t>
  </si>
  <si>
    <t>6.12.7</t>
  </si>
  <si>
    <t>% Hospitals that achieved national essential safety requirements (ESR)</t>
  </si>
  <si>
    <t>HQI / QFR</t>
  </si>
  <si>
    <t>2.3.13</t>
  </si>
  <si>
    <t>Comprehensive Initial Assessment Compliance Rate</t>
  </si>
  <si>
    <t>5.8.6</t>
  </si>
  <si>
    <t>Admission to Elective Surgery Within Clinically Recommended Time</t>
  </si>
  <si>
    <t>5.8.14</t>
  </si>
  <si>
    <t>Median Time from ED arrival to Doctor Assessment</t>
  </si>
  <si>
    <t>1.1.3</t>
  </si>
  <si>
    <t>Stroke Mortality Rate</t>
  </si>
  <si>
    <t>1.1.5</t>
  </si>
  <si>
    <t>Community Acquired Pneumonia Mortality Rate</t>
  </si>
  <si>
    <t>1.1.6</t>
  </si>
  <si>
    <t>Hip Fracture Disease Mortality Rate</t>
  </si>
  <si>
    <t>1.1.7</t>
  </si>
  <si>
    <t>Maternal Mortality Ratio</t>
  </si>
  <si>
    <t>1.1.9</t>
  </si>
  <si>
    <t>Infant Mortality Rate</t>
  </si>
  <si>
    <t>1.1.12</t>
  </si>
  <si>
    <t>Mortality rate from NCDs</t>
  </si>
  <si>
    <t>1.1.13</t>
  </si>
  <si>
    <t>Percentage of early Death from Noncommunicable Diseases (NCDs)</t>
  </si>
  <si>
    <t>MOH-Assurance</t>
  </si>
  <si>
    <t>2.2.3</t>
  </si>
  <si>
    <t>% Compliance with national Healthcare Quality Index</t>
  </si>
  <si>
    <t>4.7.1</t>
  </si>
  <si>
    <t>% Of health facilities implementing electronic HIS/EMR</t>
  </si>
  <si>
    <t>IT</t>
  </si>
  <si>
    <t>100٪%</t>
  </si>
  <si>
    <t>SOF</t>
  </si>
  <si>
    <t>6.11.2</t>
  </si>
  <si>
    <t>% Compliance with Audit Maturity Framework</t>
  </si>
  <si>
    <t>Audit</t>
  </si>
  <si>
    <t>6.11.5</t>
  </si>
  <si>
    <t>% of milestones achieved of approved transformational plans</t>
  </si>
  <si>
    <t>6.11.6</t>
  </si>
  <si>
    <t># of Clusters graduated across Gates 2, 3, and 4 (actual vs SMC plan)</t>
  </si>
  <si>
    <t>3.6.6</t>
  </si>
  <si>
    <t>% Saudi personnel for specific positions (nurses)</t>
  </si>
  <si>
    <t>HR</t>
  </si>
  <si>
    <t>3.6.7</t>
  </si>
  <si>
    <t>% Vacant positions vs total number of positions</t>
  </si>
  <si>
    <t>≤ 15%</t>
  </si>
  <si>
    <t>3.6.8</t>
  </si>
  <si>
    <t>Nurse Vacancy Ratio</t>
  </si>
  <si>
    <t>3.6.14</t>
  </si>
  <si>
    <t>% Turnover Rate L1, L2</t>
  </si>
  <si>
    <t>3.6.15</t>
  </si>
  <si>
    <t>Employee turnover rate</t>
  </si>
  <si>
    <t>5.9.5</t>
  </si>
  <si>
    <t>Actual vs Budgeted Expenditure</t>
  </si>
  <si>
    <t>5.9.13</t>
  </si>
  <si>
    <t>% of Facilities accredited by CHI</t>
  </si>
  <si>
    <t>5.9.14</t>
  </si>
  <si>
    <t>Claim Rejection Rate</t>
  </si>
  <si>
    <t>3.6.11</t>
  </si>
  <si>
    <t>% Workforce enrolled in training</t>
  </si>
  <si>
    <t>MOH</t>
  </si>
  <si>
    <t>1.2.9-PHC</t>
  </si>
  <si>
    <t>Days to Third Next Available Appointment – Primary Healthcare Level</t>
  </si>
  <si>
    <t>4.7.2</t>
  </si>
  <si>
    <t>Adoption of Artificial Intelligence (AI) use cases</t>
  </si>
  <si>
    <t>HSTP</t>
  </si>
  <si>
    <t>In-Active</t>
  </si>
  <si>
    <t>5.9.9</t>
  </si>
  <si>
    <t>Unpaid Employee Cost as % Total Employee Cost</t>
  </si>
  <si>
    <t>1.2.15</t>
  </si>
  <si>
    <t>Efficiency Rate of Medical Referrals</t>
  </si>
  <si>
    <t>-</t>
  </si>
  <si>
    <t>1.2.19</t>
  </si>
  <si>
    <t>Family program.</t>
  </si>
  <si>
    <t>Formula</t>
  </si>
  <si>
    <t>4.7.5</t>
  </si>
  <si>
    <t>% adoption of Electronic Medical Records (EMR)</t>
  </si>
  <si>
    <t>Source</t>
  </si>
  <si>
    <t>4.7.7</t>
  </si>
  <si>
    <t>Number of residents with a unified electronic health record (EHR) who have at least three use cases.</t>
  </si>
  <si>
    <t>1.1.14</t>
  </si>
  <si>
    <t>Percentage of identified communicable diseases that achieved the targeted reduction level.</t>
  </si>
  <si>
    <t>5.10.6</t>
  </si>
  <si>
    <t>Medical supplies inventory wastage rate.</t>
  </si>
  <si>
    <t>Operation</t>
  </si>
  <si>
    <t>3.6.9</t>
  </si>
  <si>
    <t>Health workforce density</t>
  </si>
  <si>
    <t>3.6.10</t>
  </si>
  <si>
    <t>Increase in the number of qualified nursing and midwifery personnel per 10,000 population.</t>
  </si>
  <si>
    <t>5.9.1</t>
  </si>
  <si>
    <t>Budget vs. Actuals Variance - (Funding &amp; Expenses)</t>
  </si>
  <si>
    <t>5.9.2</t>
  </si>
  <si>
    <t>Budget vs. Actuals Variance - (Employee Cost)</t>
  </si>
  <si>
    <t>FFR</t>
  </si>
  <si>
    <t>5.9.3</t>
  </si>
  <si>
    <t>Budget vs. Actuals Variance - (Outsourced Cost)</t>
  </si>
  <si>
    <t>5.9.4</t>
  </si>
  <si>
    <t>Budget vs. Actuals Variance – (Cost of Clinical Consumables)</t>
  </si>
  <si>
    <t>5.9.7</t>
  </si>
  <si>
    <t>% of clusters on track with planned TIF reduction</t>
  </si>
  <si>
    <t>5.9.8</t>
  </si>
  <si>
    <t>Unpaid invoices as % total approved invoices</t>
  </si>
  <si>
    <t>5.9.10</t>
  </si>
  <si>
    <t>% HHC revenues generated from private insurance</t>
  </si>
  <si>
    <t>5.9.15</t>
  </si>
  <si>
    <t>Cases of Public Patients Treated in Private Facilities</t>
  </si>
  <si>
    <t>5.9.16</t>
  </si>
  <si>
    <t>Cases of private patients treated in public facilities (%)</t>
  </si>
  <si>
    <t>5.9.17</t>
  </si>
  <si>
    <t>Percentage of insurance claims paid for medical services delivered under a value-based payment model</t>
  </si>
  <si>
    <t>5.9.18</t>
  </si>
  <si>
    <t>Percentage of healthcare providers receiving value-based payments (sector)</t>
  </si>
  <si>
    <t>2.3.15</t>
  </si>
  <si>
    <t>Enrollment Rate for Top Five Procedures/Surgeries into Established Clinical Pathways</t>
  </si>
  <si>
    <t>HQI(4.1.2)</t>
  </si>
  <si>
    <t>Executive Summary | Business Plan 2026</t>
  </si>
  <si>
    <t>TOTAL ACTIVE KPIs</t>
  </si>
  <si>
    <t>ON TARGET (YTD)</t>
  </si>
  <si>
    <t>OFF TARGET (YTD)</t>
  </si>
  <si>
    <t>NO DATA (YTD)</t>
  </si>
  <si>
    <t>HQI KPIs</t>
  </si>
  <si>
    <t>Achievement: 71%</t>
  </si>
  <si>
    <t>Below: 29%</t>
  </si>
  <si>
    <t>No Data: 33%</t>
  </si>
  <si>
    <t>Achievement: 88%</t>
  </si>
  <si>
    <t>● Active: 127</t>
  </si>
  <si>
    <t>○ In-Active: 35</t>
  </si>
  <si>
    <t>QFR Framework</t>
  </si>
  <si>
    <t>SOF Framework</t>
  </si>
  <si>
    <t>HHC Framework</t>
  </si>
  <si>
    <t>FFR Framework</t>
  </si>
  <si>
    <t>Other Framework</t>
  </si>
  <si>
    <t>Achievement: 59%</t>
  </si>
  <si>
    <t>Achievement: 56%</t>
  </si>
  <si>
    <t>Achievement: —</t>
  </si>
  <si>
    <t>Achievement: 0%</t>
  </si>
  <si>
    <t>Department Performance</t>
  </si>
  <si>
    <t>📅 Monthly</t>
  </si>
  <si>
    <t>📆 Quarterly</t>
  </si>
  <si>
    <t>🗓️ Bi-Annual</t>
  </si>
  <si>
    <t>📅 Annual</t>
  </si>
  <si>
    <t>📊 Total</t>
  </si>
  <si>
    <t>Hospital Performance</t>
  </si>
  <si>
    <t>CLUSTER AVERAGE</t>
  </si>
  <si>
    <t>Monthly KPIs • 50 Active • Business Plan 2026</t>
  </si>
  <si>
    <t>TOTAL MONTHLY KPIs</t>
  </si>
  <si>
    <t>Achievement: 63%</t>
  </si>
  <si>
    <t>Below: 37%</t>
  </si>
  <si>
    <t>No Data: 4%</t>
  </si>
  <si>
    <t>● Active: 50</t>
  </si>
  <si>
    <t>○ Non-Active: 11</t>
  </si>
  <si>
    <t>Hospital Performance — Live (Monthly KPIs)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</si>
  <si>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</si>
  <si>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</si>
  <si>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</si>
  <si>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</si>
  <si>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</si>
  <si>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</si>
  <si>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</si>
  <si>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</si>
  <si>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</si>
  <si>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</si>
  <si>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</si>
  <si>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</si>
  <si>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1.2.12</t>
  </si>
  <si>
    <t>Primary care appointment availability</t>
  </si>
  <si>
    <t>1.2.7</t>
  </si>
  <si>
    <t>Average Waiting time for appointment in OPD (general hospital)</t>
  </si>
  <si>
    <t>1.2.8</t>
  </si>
  <si>
    <t>Average Waiting time for appointment in OPD (mental health hospital)</t>
  </si>
  <si>
    <t>1.2.16</t>
  </si>
  <si>
    <t>Level II Referrals Index</t>
  </si>
  <si>
    <t>2.2.18</t>
  </si>
  <si>
    <t>% Hospital Readmission for the same diagnosis within 30 days</t>
  </si>
  <si>
    <t>6.12.3</t>
  </si>
  <si>
    <t>% Specialized Center Readiness</t>
  </si>
  <si>
    <t>1.2.3</t>
  </si>
  <si>
    <t>ED Closure Time</t>
  </si>
  <si>
    <t>1.2.4</t>
  </si>
  <si>
    <t>Admission Rate</t>
  </si>
  <si>
    <t>5.8.9</t>
  </si>
  <si>
    <t>Average Length of Stay ALOS for Inpatients (psychiatry, detox &amp; post- detox)</t>
  </si>
  <si>
    <t>1.2.13</t>
  </si>
  <si>
    <t>% Routine Referrals from PHC to Hospitals booked within 28 Days</t>
  </si>
  <si>
    <t>1.2.14</t>
  </si>
  <si>
    <t>% Urgent Referrals from PHC to Hospitals booked within 5 Days</t>
  </si>
  <si>
    <t>1.2.11</t>
  </si>
  <si>
    <t>Number of clinics to patient ratio</t>
  </si>
  <si>
    <t>3.6.3</t>
  </si>
  <si>
    <t>Physician FTE to patient ratio</t>
  </si>
  <si>
    <t>1:500</t>
  </si>
  <si>
    <t>3.6.4</t>
  </si>
  <si>
    <t>Therapist patient ratio (Therapist FTE to patient ratio)</t>
  </si>
  <si>
    <t>1: &lt; 400</t>
  </si>
  <si>
    <t>6.12.1</t>
  </si>
  <si>
    <t>% ICU Readiness for Healthcare</t>
  </si>
  <si>
    <t>6.12.2</t>
  </si>
  <si>
    <t>% ED Readiness for Healthcare</t>
  </si>
  <si>
    <t>5.8.1</t>
  </si>
  <si>
    <t>% Ward Occupancy</t>
  </si>
  <si>
    <t>60%-80%</t>
  </si>
  <si>
    <t>5.8.8</t>
  </si>
  <si>
    <t>Average Length of Stay (ALOS) for Inpatients</t>
  </si>
  <si>
    <t>2.2.20</t>
  </si>
  <si>
    <t>% Patients re-admitted within 28 days (4 weeks) from discharge (psychiatry , detox &amp; post- detox)</t>
  </si>
  <si>
    <t>2.3.1</t>
  </si>
  <si>
    <t>Overall coverage score for all pathways, (Kingdom wide and by Region)</t>
  </si>
  <si>
    <t>2.3.3</t>
  </si>
  <si>
    <t>Overall compliance score for all pathways, (Kingdom wide and by Region)</t>
  </si>
  <si>
    <t>2.3.2</t>
  </si>
  <si>
    <t>Overall achievement score by system of care (6 indicators), (Kingdom wide and by Region)</t>
  </si>
  <si>
    <t>2.2.5</t>
  </si>
  <si>
    <t>Caesarean Section Rate</t>
  </si>
  <si>
    <t>2.2.14</t>
  </si>
  <si>
    <t>Hospital Outbreak</t>
  </si>
  <si>
    <t>5.8.12</t>
  </si>
  <si>
    <t>Lab Turnaround Time (TAT)</t>
  </si>
  <si>
    <t>5.8.13</t>
  </si>
  <si>
    <t>Radiology Turnaround Time (TAT)</t>
  </si>
  <si>
    <t>6.12.4</t>
  </si>
  <si>
    <t>Blood Inventory Readiness</t>
  </si>
  <si>
    <t>2.2.17</t>
  </si>
  <si>
    <t>% All patients who re-attended emergency room within 72 hours</t>
  </si>
  <si>
    <t>2.5.9</t>
  </si>
  <si>
    <t>% Timely resolution of complaints from patients and their families</t>
  </si>
  <si>
    <t>2.2.2</t>
  </si>
  <si>
    <t>Mortality review</t>
  </si>
  <si>
    <t>5.8.7</t>
  </si>
  <si>
    <t>% Patients with door to disposition within 4 hours</t>
  </si>
  <si>
    <t>2.2.1</t>
  </si>
  <si>
    <t>Number of reported Sentinel Events</t>
  </si>
  <si>
    <t>5.8.5</t>
  </si>
  <si>
    <t>OR Utilization</t>
  </si>
  <si>
    <t>1.2.18</t>
  </si>
  <si>
    <t>Surgery Cancellation Rate</t>
  </si>
  <si>
    <t>2.2.21</t>
  </si>
  <si>
    <t>% Left Against Medical Advice (LAMA) &amp; Discharge Against Medical Advice (DAMA)</t>
  </si>
  <si>
    <t>1.1.2</t>
  </si>
  <si>
    <t>Perioperative mortality rate</t>
  </si>
  <si>
    <t>5.8.4</t>
  </si>
  <si>
    <t>Morgue Capacity</t>
  </si>
  <si>
    <t>1.2.17</t>
  </si>
  <si>
    <t>% Patients waiting for Elective Surgeries within 36 days</t>
  </si>
  <si>
    <t>1.1.15</t>
  </si>
  <si>
    <t>In-hospital mortality rate</t>
  </si>
  <si>
    <t>2.5.3</t>
  </si>
  <si>
    <t>Patient Experience score for PHC</t>
  </si>
  <si>
    <t>2.5.4</t>
  </si>
  <si>
    <t>Patient Experience Score for the Outpatient services</t>
  </si>
  <si>
    <t>2.5.5</t>
  </si>
  <si>
    <t>Patient Experience Score for the Inpatient services</t>
  </si>
  <si>
    <t>Low-n</t>
  </si>
  <si>
    <t>2.5.6</t>
  </si>
  <si>
    <t>Patient Experience Score for the emergency services</t>
  </si>
  <si>
    <t>2.5.10</t>
  </si>
  <si>
    <t>Overall Satisfaction with Complaint Resolution within 48 hours</t>
  </si>
  <si>
    <t>5.10.3</t>
  </si>
  <si>
    <t>% Out of Stock of Essential Medications Health Cluster Warehouse</t>
  </si>
  <si>
    <t>5.10.4</t>
  </si>
  <si>
    <t>% Out of Stock of Essential Medical Supplies Health Cluster Warehouse</t>
  </si>
  <si>
    <t>5.10.5</t>
  </si>
  <si>
    <t>% Out of Stock of Essential Lab Diagnostics Health Cluster Warehouse</t>
  </si>
  <si>
    <t>5.10.1</t>
  </si>
  <si>
    <t>% Hospital's Critical Supplies Availability</t>
  </si>
  <si>
    <t>6.11.3</t>
  </si>
  <si>
    <t>% ACO Gateway requirements met</t>
  </si>
  <si>
    <t>60% G3</t>
  </si>
  <si>
    <t>4.7.6</t>
  </si>
  <si>
    <t>% facility integrated with Naphies</t>
  </si>
  <si>
    <t>1.2.5</t>
  </si>
  <si>
    <t>Admission Rejection Rate</t>
  </si>
  <si>
    <t>1.2.6</t>
  </si>
  <si>
    <t>% Patients Boarding</t>
  </si>
  <si>
    <t>5.8.10</t>
  </si>
  <si>
    <t>Average Length of Stay (ALOS) for ICU</t>
  </si>
  <si>
    <t>1.1.8</t>
  </si>
  <si>
    <t>NICU mortality rate</t>
  </si>
  <si>
    <t>1.1.10</t>
  </si>
  <si>
    <t>% Chronic patients discharged</t>
  </si>
  <si>
    <t>2.2.16</t>
  </si>
  <si>
    <t>% Patients with at least one outstanding unintentional medication discrepancy (on admission)</t>
  </si>
  <si>
    <t>SPSC</t>
  </si>
  <si>
    <t>5.10.2</t>
  </si>
  <si>
    <t>Inventory of clinical consumables</t>
  </si>
  <si>
    <t>3.6.12</t>
  </si>
  <si>
    <t>Total FTE (#)</t>
  </si>
  <si>
    <t>3.6.13</t>
  </si>
  <si>
    <t>Clinical Staff FTE (#) - Doctors, nurses, assistance health prof.</t>
  </si>
  <si>
    <t>3.6.19</t>
  </si>
  <si>
    <t>Allowance review rate based on eligibility verification in accordance with regulations.</t>
  </si>
  <si>
    <t>3.6.20</t>
  </si>
  <si>
    <t>Accumulated leave balance rate.</t>
  </si>
  <si>
    <t>Bi-Annual KPIs • 6 Active • Business Plan 2026</t>
  </si>
  <si>
    <t>TOTAL BI-ANNUAL KPIs</t>
  </si>
  <si>
    <t>ACTIVE</t>
  </si>
  <si>
    <t>With Targets</t>
  </si>
  <si>
    <t>Awaiting</t>
  </si>
  <si>
    <t>HQI Framework</t>
  </si>
  <si>
    <t>● Active: 6</t>
  </si>
  <si>
    <t>○ Non-Active: 0</t>
  </si>
  <si>
    <t>Target 2026</t>
  </si>
  <si>
    <t>Value</t>
  </si>
  <si>
    <t>6.11.1-1</t>
  </si>
  <si>
    <t>% Risk Management Maturity</t>
  </si>
  <si>
    <t>Governance &amp; Risk</t>
  </si>
  <si>
    <t>6.11.1-2</t>
  </si>
  <si>
    <t>% Governance Maturity</t>
  </si>
  <si>
    <t>6.11.4</t>
  </si>
  <si>
    <t>Top 100 Medical Centers Globally</t>
  </si>
  <si>
    <t>3.6.17</t>
  </si>
  <si>
    <t>Workforce Engagement</t>
  </si>
  <si>
    <t>3.6.18</t>
  </si>
  <si>
    <t>Organization Health Index (OHI)</t>
  </si>
  <si>
    <t>3.6.16</t>
  </si>
  <si>
    <t>Staff Satisfaction Score</t>
  </si>
  <si>
    <t>Annual KPIs • 4 Active • Business Plan 2026</t>
  </si>
  <si>
    <t>TOTAL ANNUAL KPIs</t>
  </si>
  <si>
    <t>● Active: 4</t>
  </si>
  <si>
    <t>○ Non-Active: 3</t>
  </si>
  <si>
    <t>4.7.3</t>
  </si>
  <si>
    <t>Compliance with National Data Index</t>
  </si>
  <si>
    <t>SADAIA</t>
  </si>
  <si>
    <t>4.7.4</t>
  </si>
  <si>
    <t>NCA Cybersecurity Compliance</t>
  </si>
  <si>
    <t>1.1.11</t>
  </si>
  <si>
    <t>Average Life Expectancy at birth</t>
  </si>
  <si>
    <t>3.6.5</t>
  </si>
  <si>
    <t>% Saudization</t>
  </si>
  <si>
    <t>5.9.6</t>
  </si>
  <si>
    <t>HHC Health cost per beneficiary</t>
  </si>
  <si>
    <t>5.9.11</t>
  </si>
  <si>
    <t>% of clusters that have agreements in place (e.g., shadow)</t>
  </si>
  <si>
    <t>5.9.19</t>
  </si>
  <si>
    <t>Healthy life expectancy compared with per capita healthcare spending.</t>
  </si>
  <si>
    <t>King Khaled Hospital  •  KPI Performance 2026</t>
  </si>
  <si>
    <t>📅 Monthly KPIs</t>
  </si>
  <si>
    <t>📆 Quarterly KPIs</t>
  </si>
  <si>
    <t>TOTAL</t>
  </si>
  <si>
    <t>ON TARGET</t>
  </si>
  <si>
    <t>OFF TARGET</t>
  </si>
  <si>
    <t>📊 King Khaled Hospital Total</t>
  </si>
  <si>
    <t>TOTAL KPIs</t>
  </si>
  <si>
    <t>Active KPIs</t>
  </si>
  <si>
    <t>Achievement: 58%</t>
  </si>
  <si>
    <t>Below: 42%</t>
  </si>
  <si>
    <t>No Data: 8%</t>
  </si>
  <si>
    <t>Achievement: 77%</t>
  </si>
  <si>
    <t>Department Performance at KKH — Live</t>
  </si>
  <si>
    <t>Freq</t>
  </si>
  <si>
    <t>Baseline</t>
  </si>
  <si>
    <t>Monthly</t>
  </si>
  <si>
    <t>Quarterly</t>
  </si>
  <si>
    <t>1 : 1.5</t>
  </si>
  <si>
    <t>Bi-Annual</t>
  </si>
  <si>
    <t>Maternity and Children Hospital  •  KPI Performance 2026</t>
  </si>
  <si>
    <t>📊 Maternity and Children Hospital Total</t>
  </si>
  <si>
    <t>Achievement: 75%</t>
  </si>
  <si>
    <t>Below: 25%</t>
  </si>
  <si>
    <t>No Data: 12%</t>
  </si>
  <si>
    <t>Achievement: 89%</t>
  </si>
  <si>
    <t>Department Performance at MCH1 — Live</t>
  </si>
  <si>
    <t>1: 2.3</t>
  </si>
  <si>
    <t>New Najran General Hospital  •  KPI Performance 2026</t>
  </si>
  <si>
    <t>📊 New Najran General Hospital Total</t>
  </si>
  <si>
    <t>Achievement: 70%</t>
  </si>
  <si>
    <t>Below: 30%</t>
  </si>
  <si>
    <t>No Data: 11%</t>
  </si>
  <si>
    <t>Department Performance at NNGH — Live</t>
  </si>
  <si>
    <t>1:1.9</t>
  </si>
  <si>
    <t>Sharorah General Hospital  •  KPI Performance 2026</t>
  </si>
  <si>
    <t>📊 Sharorah General Hospital Total</t>
  </si>
  <si>
    <t>No Data: 6%</t>
  </si>
  <si>
    <t>Achievement: 87%</t>
  </si>
  <si>
    <t>Department Performance at SHAR — Live</t>
  </si>
  <si>
    <t>1: 1.8</t>
  </si>
  <si>
    <t>West Najran Maternity and Children Hospital  •  KPI Performance 2026</t>
  </si>
  <si>
    <t>📊 West Najran Maternity and Children Hospital Total</t>
  </si>
  <si>
    <t>Achievement: 79%</t>
  </si>
  <si>
    <t>Below: 21%</t>
  </si>
  <si>
    <t>No Data: 7%</t>
  </si>
  <si>
    <t>Achievement: 95%</t>
  </si>
  <si>
    <t>Department Performance at MCH-2 — Live</t>
  </si>
  <si>
    <t>Habona General Hospital  •  KPI Performance 2026</t>
  </si>
  <si>
    <t>📊 Habona General Hospital Total</t>
  </si>
  <si>
    <t>Achievement: 90%</t>
  </si>
  <si>
    <t>Below: 10%</t>
  </si>
  <si>
    <t>No Data: 17%</t>
  </si>
  <si>
    <t>Achievement: 100%</t>
  </si>
  <si>
    <t>Department Performance at HUB — Live</t>
  </si>
  <si>
    <t>1 : 2.8</t>
  </si>
  <si>
    <t>Khabash Hospital  •  KPI Performance 2026</t>
  </si>
  <si>
    <t>📊 Khabash Hospital Total</t>
  </si>
  <si>
    <t>Achievement: 55%</t>
  </si>
  <si>
    <t>Below: 45%</t>
  </si>
  <si>
    <t>No Data: 3%</t>
  </si>
  <si>
    <t>Department Performance at KOBASH — Live</t>
  </si>
  <si>
    <t>Bader Aljanoub Hospital  •  KPI Performance 2026</t>
  </si>
  <si>
    <t>📊 Bader Aljanoub Hospital Total</t>
  </si>
  <si>
    <t>Achievement: 84%</t>
  </si>
  <si>
    <t>Department Performance at BDR — Live</t>
  </si>
  <si>
    <t>Ydmah Hospital  •  KPI Performance 2026</t>
  </si>
  <si>
    <t>📊 Ydmah Hospital Total</t>
  </si>
  <si>
    <t>Achievement: 73%</t>
  </si>
  <si>
    <t>Below: 27%</t>
  </si>
  <si>
    <t>Achievement: 92%</t>
  </si>
  <si>
    <t>Department Performance at YDM — Live</t>
  </si>
  <si>
    <t>Thar Hospital  •  KPI Performance 2026</t>
  </si>
  <si>
    <t>📊 Thar Hospital Total</t>
  </si>
  <si>
    <t>Achievement: 83%</t>
  </si>
  <si>
    <t>Department Performance at THAR — Live</t>
  </si>
  <si>
    <t>Eradah Complex and Mental Health  •  KPI Performance 2026</t>
  </si>
  <si>
    <t>📊 Eradah Complex and Mental Health Total</t>
  </si>
  <si>
    <t>HQI ACHIEVEMENT</t>
  </si>
  <si>
    <t>No Data: 5%</t>
  </si>
  <si>
    <t>Department Performance at MENTAL — Live</t>
  </si>
  <si>
    <t>1 : 5.9</t>
  </si>
  <si>
    <t>KKH</t>
  </si>
  <si>
    <t>MCH1</t>
  </si>
  <si>
    <t>NNGH</t>
  </si>
  <si>
    <t>SHAR</t>
  </si>
  <si>
    <t>MCH2</t>
  </si>
  <si>
    <t>HUB</t>
  </si>
  <si>
    <t>KOBASH</t>
  </si>
  <si>
    <t>BDR</t>
  </si>
  <si>
    <t>YDM</t>
  </si>
  <si>
    <t>THAR</t>
  </si>
  <si>
    <t>MENTAL</t>
  </si>
  <si>
    <t>OTHER</t>
  </si>
  <si>
    <t>HQI-2.3.1</t>
  </si>
  <si>
    <t>HQI(2.1.3)</t>
  </si>
  <si>
    <t>HHC-2E</t>
  </si>
  <si>
    <t>SOF (14)</t>
  </si>
  <si>
    <t>QFR-5 -HHC-2F</t>
  </si>
  <si>
    <t>HQI(3.5.1)</t>
  </si>
  <si>
    <t>HHC-2.7.1-2</t>
  </si>
  <si>
    <t>HQI(5.2.1)</t>
  </si>
  <si>
    <t>HQI(4.2.1)</t>
  </si>
  <si>
    <t>HQI(3.4.1)</t>
  </si>
  <si>
    <t>1 : 1.6</t>
  </si>
  <si>
    <t>1 : 1.3</t>
  </si>
  <si>
    <t>1 : 3.4</t>
  </si>
  <si>
    <t>1 : 4.1</t>
  </si>
  <si>
    <t>HHC 5.7.1-1</t>
  </si>
  <si>
    <t>HHC 5.7.1-2</t>
  </si>
  <si>
    <t>HQI(4.4.4)</t>
  </si>
  <si>
    <t>HQI(4.4.2)</t>
  </si>
  <si>
    <t>#DIVIDE BY ZERO</t>
  </si>
  <si>
    <t>HQI(4.4.3)</t>
  </si>
  <si>
    <t>HQI(4.4.5)</t>
  </si>
  <si>
    <t>HQI(4.4.6)</t>
  </si>
  <si>
    <t>HHC-1 D</t>
  </si>
  <si>
    <t>Moh - Assurance</t>
  </si>
  <si>
    <t>HHC-1.C</t>
  </si>
  <si>
    <t>HQI-4.3.1</t>
  </si>
  <si>
    <t>HQI(4.3.2)</t>
  </si>
  <si>
    <t>HQI( 4.3.3)</t>
  </si>
  <si>
    <t>HQI(4.3.4)</t>
  </si>
  <si>
    <t>HQI(4.3.5)</t>
  </si>
  <si>
    <t>HQI(4.3.6)</t>
  </si>
  <si>
    <t>HQI(4.3.7)</t>
  </si>
  <si>
    <t>HQI(4.3.8)</t>
  </si>
  <si>
    <t>HQI(4.3.9)</t>
  </si>
  <si>
    <t>Enrollment Rate for Top Five Diagnoses into Established Clinical Pathways</t>
  </si>
  <si>
    <t>HQI(4.1.1)</t>
  </si>
  <si>
    <t>HHC-1A</t>
  </si>
  <si>
    <t>HQI(3.2.1)</t>
  </si>
  <si>
    <t>HQI(3.2.3)</t>
  </si>
  <si>
    <t>HQI(3.2.4)</t>
  </si>
  <si>
    <t>QFR-32</t>
  </si>
  <si>
    <t>QFR-33 / SOF</t>
  </si>
  <si>
    <t>QFR-34</t>
  </si>
  <si>
    <t>QFR-35</t>
  </si>
  <si>
    <t>HQI(3.3.1)</t>
  </si>
  <si>
    <t>HQI(3.4.2)</t>
  </si>
  <si>
    <t>HQI(3.2.2)</t>
  </si>
  <si>
    <t>HQI(4.4.1)</t>
  </si>
  <si>
    <t>HHC 2-D</t>
  </si>
  <si>
    <t>HQI(1.1.1)</t>
  </si>
  <si>
    <t>HQI(1.2.1)</t>
  </si>
  <si>
    <t>HQI(1.2.2)</t>
  </si>
  <si>
    <t>HHC-6B/SOF/QFR-49</t>
  </si>
  <si>
    <t>QFR-50</t>
  </si>
  <si>
    <t>HQI(2.2.1)</t>
  </si>
  <si>
    <t>HQI(2.1.2)</t>
  </si>
  <si>
    <t>--</t>
  </si>
  <si>
    <t>HQI(2.1.1)</t>
  </si>
  <si>
    <t>HHC-2B</t>
  </si>
  <si>
    <t>SOF-T-4</t>
  </si>
  <si>
    <t>Source-HHC-4A</t>
  </si>
  <si>
    <t>Audit Department HHC</t>
  </si>
  <si>
    <t>HHC-6A</t>
  </si>
  <si>
    <t>HHC-6C</t>
  </si>
  <si>
    <t>HHC-3A</t>
  </si>
  <si>
    <t>SOF-3</t>
  </si>
  <si>
    <t>HQI (3.4.3)</t>
  </si>
  <si>
    <t>QFR-58</t>
  </si>
  <si>
    <t>HHC 5-C</t>
  </si>
  <si>
    <t>HHC-5B</t>
  </si>
  <si>
    <t>Payer &amp; Revenue-HHC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</si>
</sst>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;\-0;\—"/>
    <numFmt numFmtId="165" formatCode="0%;\-0%;\—"/>
    <numFmt numFmtId="166" formatCode="0.0&quot; day&quot;"/>
    <numFmt numFmtId="167" formatCode="0.0%"/>
    <numFmt numFmtId="168" formatCode="0.0&quot; min&quot;"/>
    <numFmt numFmtId="169" formatCode="0.00&quot; days&quot;"/>
    <numFmt numFmtId="170" formatCode="0&quot; min&quot;"/>
    <numFmt numFmtId="171" formatCode="0&quot; days&quot;"/>
    <numFmt numFmtId="172" formatCode="0.0&quot; days&quot;"/>
    <numFmt numFmtId="173" formatCode="0.0"/>
  </numFmts>
  <fonts count="60" x14ac:knownFonts="1">
    <font>
      <sz val="11"/>
      <color theme="1"/>
      <name val="Calibri"/>
      <family val="2"/>
      <charset val="1"/>
    </font>
    <font>
      <i/>
      <sz val="11"/>
      <color rgb="FF5AB4DB"/>
      <name val="Calibri"/>
      <charset val="1"/>
    </font>
    <font>
      <b/>
      <sz val="9"/>
      <color rgb="FF6B7B94"/>
      <name val="Calibri"/>
      <charset val="1"/>
    </font>
    <font>
      <b/>
      <sz val="42"/>
      <color rgb="FF1A2F5C"/>
      <name val="Calibri"/>
      <charset val="1"/>
    </font>
    <font>
      <b/>
      <sz val="42"/>
      <color rgb="FF2E9E5C"/>
      <name val="Calibri"/>
      <charset val="1"/>
    </font>
    <font>
      <b/>
      <sz val="42"/>
      <color rgb="FFD64545"/>
      <name val="Calibri"/>
      <charset val="1"/>
    </font>
    <font>
      <b/>
      <sz val="42"/>
      <color rgb="FFE8A33D"/>
      <name val="Calibri"/>
      <charset val="1"/>
    </font>
    <font>
      <b/>
      <sz val="42"/>
      <color rgb="FF6B4C99"/>
      <name val="Calibri"/>
      <charset val="1"/>
    </font>
    <font>
      <i/>
      <sz val="9"/>
      <color rgb="FF6B7B94"/>
      <name val="Calibri"/>
      <charset val="1"/>
    </font>
    <font>
      <b/>
      <sz val="10"/>
      <color rgb="FF0F5132"/>
      <name val="Calibri"/>
      <charset val="1"/>
    </font>
    <font>
      <b/>
      <sz val="10"/>
      <color rgb="FF6B7B94"/>
      <name val="Calibri"/>
      <charset val="1"/>
    </font>
    <font>
      <sz val="11"/>
      <name val="Cambria"/>
      <charset val="1"/>
    </font>
    <font>
      <b/>
      <sz val="42"/>
      <color rgb="FF1A8B8E"/>
      <name val="Calibri"/>
      <charset val="1"/>
    </font>
    <font>
      <b/>
      <sz val="42"/>
      <color rgb="FF0F2A4A"/>
      <name val="Calibri"/>
      <charset val="1"/>
    </font>
    <font>
      <b/>
      <sz val="42"/>
      <color rgb="FFB45309"/>
      <name val="Calibri"/>
      <charset val="1"/>
    </font>
    <font>
      <b/>
      <sz val="42"/>
      <color rgb="FF475569"/>
      <name val="Calibri"/>
      <charset val="1"/>
    </font>
    <font>
      <sz val="9"/>
      <color rgb="FF6B7B94"/>
      <name val="Calibri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color rgb="FFFFFFFF"/>
      <name val="Calibri"/>
      <charset val="1"/>
    </font>
    <font>
      <b/>
      <sz val="10"/>
      <color rgb="FF1E293B"/>
      <name val="Calibri"/>
      <charset val="1"/>
    </font>
    <font>
      <sz val="10"/>
      <color rgb="FF1E293B"/>
      <name val="Calibri"/>
      <charset val="1"/>
    </font>
    <font>
      <b/>
      <sz val="11"/>
      <color rgb="FFFFFFFF"/>
      <name val="Calibri"/>
      <charset val="1"/>
    </font>
    <font>
      <b/>
      <sz val="13"/>
      <color rgb="FF0E7A8C"/>
      <name val="Calibri"/>
      <charset val="1"/>
    </font>
    <font>
      <b/>
      <sz val="10"/>
      <color rgb="FF1A2F5C"/>
      <name val="Calibri"/>
      <charset val="1"/>
    </font>
    <font>
      <b/>
      <sz val="10"/>
      <color rgb="FF0E7A8C"/>
      <name val="Calibri"/>
      <charset val="1"/>
    </font>
    <font>
      <b/>
      <sz val="10"/>
      <color rgb="FF2E9E5C"/>
      <name val="Cambria"/>
      <charset val="1"/>
    </font>
    <font>
      <b/>
      <sz val="10"/>
      <color rgb="FFD64545"/>
      <name val="Cambria"/>
      <charset val="1"/>
    </font>
    <font>
      <b/>
      <sz val="10"/>
      <color rgb="FFE8A33D"/>
      <name val="Cambria"/>
      <charset val="1"/>
    </font>
    <font>
      <b/>
      <sz val="11"/>
      <color rgb="FF1A2F5C"/>
      <name val="Cambria"/>
      <charset val="1"/>
    </font>
    <font>
      <b/>
      <sz val="11"/>
      <color rgb="FFFFFFFF"/>
      <name val="Cambria"/>
      <charset val="1"/>
    </font>
    <font>
      <b/>
      <sz val="12"/>
      <color rgb="FFFFFFFF"/>
      <name val="Cambria"/>
      <charset val="1"/>
    </font>
    <font>
      <b/>
      <sz val="10"/>
      <color rgb="FF0E7A8C"/>
      <name val="Cambria"/>
      <charset val="1"/>
    </font>
    <font>
      <b/>
      <sz val="9"/>
      <color rgb="FF0E7A8C"/>
      <name val="Calibri"/>
      <charset val="1"/>
    </font>
    <font>
      <sz val="9"/>
      <color rgb="FF1A2F5C"/>
      <name val="Calibri"/>
      <charset val="1"/>
    </font>
    <font>
      <b/>
      <sz val="9"/>
      <color rgb="FF1A2F5C"/>
      <name val="Cambria"/>
      <charset val="1"/>
    </font>
    <font>
      <b/>
      <sz val="9"/>
      <name val="Cambria"/>
      <charset val="1"/>
    </font>
    <font>
      <sz val="9"/>
      <color rgb="FF1E293B"/>
      <name val="Calibri"/>
      <charset val="1"/>
    </font>
    <font>
      <b/>
      <sz val="9"/>
      <color rgb="FF1A2F5C"/>
      <name val="Calibri"/>
      <charset val="1"/>
    </font>
    <font>
      <b/>
      <sz val="13"/>
      <color rgb="FF0E7A8C"/>
      <name val="Cambria"/>
      <charset val="1"/>
    </font>
    <font>
      <b/>
      <sz val="10"/>
      <color rgb="FF2E9E5C"/>
      <name val="Calibri"/>
      <charset val="1"/>
    </font>
    <font>
      <b/>
      <sz val="10"/>
      <color rgb="FFE8A33D"/>
      <name val="Calibri"/>
      <charset val="1"/>
    </font>
    <font>
      <b/>
      <sz val="10"/>
      <color rgb="FFFFFFFF"/>
      <name val="Cambria"/>
      <charset val="1"/>
    </font>
    <font>
      <b/>
      <sz val="12"/>
      <color rgb="FF1A2F5C"/>
      <name val="Calibri"/>
      <charset val="1"/>
    </font>
    <font>
      <b/>
      <sz val="32"/>
      <color rgb="FF1A2F5C"/>
      <name val="Calibri"/>
      <charset val="1"/>
    </font>
    <font>
      <b/>
      <sz val="32"/>
      <color rgb="FF2E9E5C"/>
      <name val="Calibri"/>
      <charset val="1"/>
    </font>
    <font>
      <b/>
      <sz val="32"/>
      <color rgb="FFD64545"/>
      <name val="Calibri"/>
      <charset val="1"/>
    </font>
    <font>
      <b/>
      <sz val="32"/>
      <color rgb="FFE8A33D"/>
      <name val="Calibri"/>
      <charset val="1"/>
    </font>
    <font>
      <b/>
      <sz val="13"/>
      <color rgb="FF1D94A8"/>
      <name val="Calibri"/>
      <charset val="1"/>
    </font>
    <font>
      <b/>
      <sz val="9"/>
      <color rgb="FF6B7B94"/>
      <name val="Aptos Narrow"/>
      <charset val="1"/>
    </font>
    <font>
      <b/>
      <sz val="36"/>
      <color rgb="FF1D94A8"/>
      <name val="Calibri"/>
      <charset val="1"/>
    </font>
    <font>
      <b/>
      <sz val="36"/>
      <color rgb="FF2E9E5C"/>
      <name val="Calibri"/>
      <charset val="1"/>
    </font>
    <font>
      <b/>
      <sz val="36"/>
      <color rgb="FFD64545"/>
      <name val="Calibri"/>
      <charset val="1"/>
    </font>
    <font>
      <b/>
      <sz val="36"/>
      <color rgb="FFE8A33D"/>
      <name val="Calibri"/>
      <charset val="1"/>
    </font>
    <font>
      <b/>
      <sz val="42"/>
      <color rgb="FF6B4C99"/>
      <name val="Aptos Narrow"/>
      <charset val="1"/>
    </font>
    <font>
      <sz val="9"/>
      <color rgb="FF6B7B94"/>
      <name val="Aptos Narrow"/>
      <charset val="1"/>
    </font>
    <font>
      <b/>
      <sz val="9"/>
      <color rgb="FF6B4C99"/>
      <name val="Cambria"/>
      <charset val="1"/>
    </font>
    <font>
      <b/>
      <sz val="9"/>
      <color rgb="FF6B4C99"/>
      <name val="Calibri"/>
      <charset val="1"/>
    </font>
    <font>
      <b/>
      <sz val="36"/>
      <color rgb="FF6B4C99"/>
      <name val="Calibri"/>
      <charset val="1"/>
    </font>
    <font>
      <b/>
      <sz val="10"/>
      <color rgb="FFFFFFFF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1A2F5C"/>
        <bgColor rgb="FF0F2A4A"/>
      </patternFill>
    </fill>
    <fill>
      <patternFill patternType="solid">
        <fgColor rgb="FF2E9E5C"/>
        <bgColor rgb="FF1A8B8E"/>
      </patternFill>
    </fill>
    <fill>
      <patternFill patternType="solid">
        <fgColor rgb="FFD64545"/>
        <bgColor rgb="FFB45309"/>
      </patternFill>
    </fill>
    <fill>
      <patternFill patternType="solid">
        <fgColor rgb="FFE8A33D"/>
        <bgColor rgb="FFFF8080"/>
      </patternFill>
    </fill>
    <fill>
      <patternFill patternType="solid">
        <fgColor rgb="FF6B4C99"/>
        <bgColor rgb="FF475569"/>
      </patternFill>
    </fill>
    <fill>
      <patternFill patternType="solid">
        <fgColor rgb="FFFFFFFF"/>
        <bgColor rgb="FFF8FAFC"/>
      </patternFill>
    </fill>
    <fill>
      <patternFill patternType="solid">
        <fgColor rgb="FFC6EFCE"/>
        <bgColor rgb="FFD4F0DE"/>
      </patternFill>
    </fill>
    <fill>
      <patternFill patternType="solid">
        <fgColor rgb="FFE5E7EB"/>
        <bgColor rgb="FFE0E0E0"/>
      </patternFill>
    </fill>
    <fill>
      <patternFill patternType="solid">
        <fgColor rgb="FFE8F4FA"/>
        <bgColor rgb="FFF4F8FB"/>
      </patternFill>
    </fill>
    <fill>
      <patternFill patternType="solid">
        <fgColor rgb="FF0F2A4A"/>
        <bgColor rgb="FF1A2F5C"/>
      </patternFill>
    </fill>
    <fill>
      <patternFill patternType="solid">
        <fgColor rgb="FF1A8B8E"/>
        <bgColor rgb="FF1D94A8"/>
      </patternFill>
    </fill>
    <fill>
      <patternFill patternType="solid">
        <fgColor rgb="FFF8FAFC"/>
        <bgColor rgb="FFF4F8FB"/>
      </patternFill>
    </fill>
    <fill>
      <patternFill patternType="solid">
        <fgColor rgb="FF0A1F38"/>
        <bgColor rgb="FF0F2A4A"/>
      </patternFill>
    </fill>
    <fill>
      <patternFill patternType="solid">
        <fgColor rgb="FFF4F8FB"/>
        <bgColor rgb="FFF8FAFC"/>
      </patternFill>
    </fill>
    <fill>
      <patternFill patternType="solid">
        <fgColor rgb="FF1D94A8"/>
        <bgColor rgb="FF1A8B8E"/>
      </patternFill>
    </fill>
    <fill>
      <patternFill patternType="solid">
        <fgColor rgb="FF0E7A8C"/>
        <bgColor rgb="FF1A8B8E"/>
      </patternFill>
    </fill>
    <fill>
      <patternFill patternType="solid">
        <fgColor rgb="FFF0FDFA"/>
        <bgColor rgb="FFF4F8FB"/>
      </patternFill>
    </fill>
    <fill>
      <patternFill patternType="solid">
        <fgColor rgb="FFE0E0E0"/>
        <bgColor rgb="FFE5E7EB"/>
      </patternFill>
    </fill>
    <fill>
      <patternFill patternType="solid">
        <fgColor rgb="FF1F4E79"/>
      </patternFill>
    </fill>
  </fills>
  <borders count="10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0F2A4A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medium">
        <color rgb="FF0F2A4A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medium">
        <color rgb="FF0F2A4A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medium">
        <color rgb="FF0F2A4A"/>
      </top>
      <bottom style="thin">
        <color rgb="FFCBD5E1"/>
      </bottom>
      <diagonal/>
    </border>
  </borders>
  <cellStyleXfs count="1">
    <xf numFmtId="0" fontId="0" fillId="0" borderId="0"/>
  </cellStyleXfs>
  <cellXfs count="207">
    <xf numFmtId="0" fontId="0" fillId="0" borderId="0" xfId="0" applyAlignment="1"/>
    <xf numFmtId="0" fontId="0" fillId="0" borderId="0" xfId="0" applyAlignment="1"/>
    <xf numFmtId="0" fontId="0" fillId="0" borderId="0" xfId="0"/>
    <xf numFmtId="0" fontId="0" fillId="2" borderId="0" xfId="0" applyFill="1" applyAlignment="1"/>
    <xf numFmtId="0" fontId="2" fillId="7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/>
    <xf numFmtId="0" fontId="16" fillId="7" borderId="0" xfId="0" applyFont="1" applyFill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164" fontId="21" fillId="13" borderId="2" xfId="0" applyNumberFormat="1" applyFont="1" applyFill="1" applyBorder="1" applyAlignment="1">
      <alignment horizontal="center" vertical="center"/>
    </xf>
    <xf numFmtId="165" fontId="21" fillId="13" borderId="2" xfId="0" applyNumberFormat="1" applyFont="1" applyFill="1" applyBorder="1" applyAlignment="1">
      <alignment horizontal="center" vertical="center"/>
    </xf>
    <xf numFmtId="9" fontId="0" fillId="0" borderId="0" xfId="0" applyNumberFormat="1" applyAlignment="1"/>
    <xf numFmtId="164" fontId="21" fillId="7" borderId="2" xfId="0" applyNumberFormat="1" applyFont="1" applyFill="1" applyBorder="1" applyAlignment="1">
      <alignment horizontal="center" vertical="center"/>
    </xf>
    <xf numFmtId="165" fontId="21" fillId="7" borderId="2" xfId="0" applyNumberFormat="1" applyFont="1" applyFill="1" applyBorder="1" applyAlignment="1">
      <alignment horizontal="center" vertical="center"/>
    </xf>
    <xf numFmtId="164" fontId="22" fillId="14" borderId="3" xfId="0" applyNumberFormat="1" applyFont="1" applyFill="1" applyBorder="1" applyAlignment="1">
      <alignment horizontal="center" vertical="center"/>
    </xf>
    <xf numFmtId="165" fontId="22" fillId="14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24" fillId="15" borderId="0" xfId="0" applyFont="1" applyFill="1" applyAlignment="1">
      <alignment horizontal="left" vertical="center"/>
    </xf>
    <xf numFmtId="0" fontId="25" fillId="15" borderId="0" xfId="0" applyFont="1" applyFill="1" applyAlignment="1">
      <alignment horizontal="center" vertical="center"/>
    </xf>
    <xf numFmtId="0" fontId="26" fillId="15" borderId="0" xfId="0" applyFont="1" applyFill="1" applyAlignment="1">
      <alignment horizontal="center" vertical="center"/>
    </xf>
    <xf numFmtId="0" fontId="27" fillId="15" borderId="0" xfId="0" applyFont="1" applyFill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9" fontId="29" fillId="15" borderId="0" xfId="0" applyNumberFormat="1" applyFont="1" applyFill="1" applyAlignment="1">
      <alignment horizontal="center" vertical="center"/>
    </xf>
    <xf numFmtId="0" fontId="24" fillId="7" borderId="0" xfId="0" applyFont="1" applyFill="1" applyAlignment="1">
      <alignment horizontal="left" vertical="center"/>
    </xf>
    <xf numFmtId="0" fontId="25" fillId="7" borderId="0" xfId="0" applyFont="1" applyFill="1" applyAlignment="1">
      <alignment horizontal="center" vertical="center"/>
    </xf>
    <xf numFmtId="0" fontId="26" fillId="7" borderId="0" xfId="0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9" fontId="29" fillId="7" borderId="0" xfId="0" applyNumberFormat="1" applyFont="1" applyFill="1" applyAlignment="1">
      <alignment horizontal="center" vertical="center"/>
    </xf>
    <xf numFmtId="0" fontId="22" fillId="16" borderId="0" xfId="0" applyFont="1" applyFill="1" applyAlignment="1">
      <alignment horizontal="left" vertical="center"/>
    </xf>
    <xf numFmtId="0" fontId="22" fillId="16" borderId="0" xfId="0" applyFont="1" applyFill="1" applyAlignment="1">
      <alignment horizontal="center" vertical="center"/>
    </xf>
    <xf numFmtId="0" fontId="30" fillId="16" borderId="0" xfId="0" applyFont="1" applyFill="1" applyAlignment="1">
      <alignment horizontal="center" vertical="center"/>
    </xf>
    <xf numFmtId="9" fontId="31" fillId="16" borderId="0" xfId="0" applyNumberFormat="1" applyFont="1" applyFill="1" applyAlignment="1">
      <alignment horizontal="center" vertical="center"/>
    </xf>
    <xf numFmtId="0" fontId="32" fillId="7" borderId="0" xfId="0" applyFont="1" applyFill="1" applyAlignment="1">
      <alignment horizontal="center" vertical="center"/>
    </xf>
    <xf numFmtId="0" fontId="32" fillId="15" borderId="0" xfId="0" applyFont="1" applyFill="1" applyAlignment="1">
      <alignment horizontal="center" vertical="center"/>
    </xf>
    <xf numFmtId="0" fontId="18" fillId="17" borderId="0" xfId="0" applyFont="1" applyFill="1" applyAlignment="1">
      <alignment horizontal="center" vertical="center"/>
    </xf>
    <xf numFmtId="0" fontId="22" fillId="11" borderId="2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left" vertical="center" wrapText="1"/>
    </xf>
    <xf numFmtId="0" fontId="34" fillId="0" borderId="0" xfId="0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34" fillId="0" borderId="0" xfId="0" applyNumberFormat="1" applyFont="1" applyAlignment="1">
      <alignment horizontal="center" vertical="center"/>
    </xf>
    <xf numFmtId="1" fontId="34" fillId="0" borderId="0" xfId="0" applyNumberFormat="1" applyFont="1" applyAlignment="1" applyProtection="1">
      <alignment horizontal="center" vertical="center"/>
      <protection locked="0"/>
    </xf>
    <xf numFmtId="2" fontId="34" fillId="0" borderId="0" xfId="0" applyNumberFormat="1" applyFont="1" applyAlignment="1">
      <alignment horizontal="center" vertical="center"/>
    </xf>
    <xf numFmtId="1" fontId="35" fillId="0" borderId="0" xfId="0" applyNumberFormat="1" applyFont="1" applyAlignment="1">
      <alignment horizontal="center" vertical="center"/>
    </xf>
    <xf numFmtId="1" fontId="36" fillId="0" borderId="0" xfId="0" applyNumberFormat="1" applyFont="1" applyAlignment="1">
      <alignment horizontal="center" vertical="center"/>
    </xf>
    <xf numFmtId="0" fontId="37" fillId="18" borderId="2" xfId="0" applyFont="1" applyFill="1" applyBorder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38" fillId="0" borderId="0" xfId="0" applyNumberFormat="1" applyFont="1" applyAlignment="1">
      <alignment horizontal="center" vertical="center"/>
    </xf>
    <xf numFmtId="2" fontId="38" fillId="0" borderId="0" xfId="0" applyNumberFormat="1" applyFont="1" applyAlignment="1" applyProtection="1">
      <alignment horizontal="center" vertical="center"/>
      <protection locked="0"/>
    </xf>
    <xf numFmtId="2" fontId="38" fillId="0" borderId="0" xfId="0" applyNumberFormat="1" applyFont="1" applyAlignment="1">
      <alignment horizontal="center" vertical="center"/>
    </xf>
    <xf numFmtId="166" fontId="34" fillId="0" borderId="0" xfId="0" applyNumberFormat="1" applyFont="1" applyAlignment="1" applyProtection="1">
      <alignment horizontal="center" vertical="center"/>
      <protection locked="0"/>
    </xf>
    <xf numFmtId="166" fontId="34" fillId="0" borderId="0" xfId="0" applyNumberFormat="1" applyFont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167" fontId="38" fillId="0" borderId="0" xfId="0" applyNumberFormat="1" applyFont="1" applyAlignment="1" applyProtection="1">
      <alignment horizontal="center" vertical="center"/>
      <protection locked="0"/>
    </xf>
    <xf numFmtId="167" fontId="34" fillId="0" borderId="0" xfId="0" applyNumberFormat="1" applyFont="1" applyAlignment="1" applyProtection="1">
      <alignment horizontal="center" vertical="center"/>
      <protection locked="0"/>
    </xf>
    <xf numFmtId="167" fontId="34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169" fontId="8" fillId="0" borderId="0" xfId="0" applyNumberFormat="1" applyFont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34" fillId="0" borderId="0" xfId="0" applyNumberFormat="1" applyFont="1" applyAlignment="1" applyProtection="1">
      <alignment horizontal="center" vertical="center"/>
      <protection locked="0"/>
    </xf>
    <xf numFmtId="169" fontId="34" fillId="0" borderId="0" xfId="0" applyNumberFormat="1" applyFont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2" fontId="34" fillId="0" borderId="0" xfId="0" applyNumberFormat="1" applyFont="1" applyAlignment="1" applyProtection="1">
      <alignment horizontal="center" vertical="center"/>
      <protection locked="0"/>
    </xf>
    <xf numFmtId="2" fontId="35" fillId="0" borderId="0" xfId="0" applyNumberFormat="1" applyFont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1" fontId="38" fillId="0" borderId="0" xfId="0" applyNumberFormat="1" applyFont="1" applyAlignment="1" applyProtection="1">
      <alignment horizontal="center" vertical="center"/>
      <protection locked="0"/>
    </xf>
    <xf numFmtId="1" fontId="38" fillId="0" borderId="0" xfId="0" applyNumberFormat="1" applyFont="1" applyAlignment="1">
      <alignment horizontal="center" vertical="center"/>
    </xf>
    <xf numFmtId="170" fontId="8" fillId="0" borderId="0" xfId="0" applyNumberFormat="1" applyFont="1" applyAlignment="1">
      <alignment horizontal="center" vertical="center"/>
    </xf>
    <xf numFmtId="170" fontId="38" fillId="0" borderId="0" xfId="0" applyNumberFormat="1" applyFont="1" applyAlignment="1">
      <alignment horizontal="center" vertical="center"/>
    </xf>
    <xf numFmtId="170" fontId="34" fillId="0" borderId="0" xfId="0" applyNumberFormat="1" applyFont="1" applyAlignment="1" applyProtection="1">
      <alignment horizontal="center" vertical="center"/>
      <protection locked="0"/>
    </xf>
    <xf numFmtId="170" fontId="34" fillId="0" borderId="0" xfId="0" applyNumberFormat="1" applyFont="1" applyAlignment="1">
      <alignment horizontal="center" vertical="center"/>
    </xf>
    <xf numFmtId="170" fontId="35" fillId="0" borderId="0" xfId="0" applyNumberFormat="1" applyFont="1" applyAlignment="1">
      <alignment horizontal="center" vertical="center"/>
    </xf>
    <xf numFmtId="0" fontId="0" fillId="0" borderId="0" xfId="0" applyAlignment="1" applyProtection="1">
      <protection locked="0"/>
    </xf>
    <xf numFmtId="0" fontId="36" fillId="0" borderId="0" xfId="0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171" fontId="34" fillId="0" borderId="0" xfId="0" applyNumberFormat="1" applyFont="1" applyAlignment="1">
      <alignment horizontal="center" vertical="center"/>
    </xf>
    <xf numFmtId="171" fontId="34" fillId="0" borderId="0" xfId="0" applyNumberFormat="1" applyFont="1" applyAlignment="1" applyProtection="1">
      <alignment horizontal="center" vertical="center"/>
      <protection locked="0"/>
    </xf>
    <xf numFmtId="171" fontId="35" fillId="0" borderId="0" xfId="0" applyNumberFormat="1" applyFont="1" applyAlignment="1">
      <alignment horizontal="center" vertical="center"/>
    </xf>
    <xf numFmtId="172" fontId="38" fillId="0" borderId="0" xfId="0" applyNumberFormat="1" applyFont="1" applyAlignment="1">
      <alignment horizontal="center" vertical="center"/>
    </xf>
    <xf numFmtId="169" fontId="38" fillId="0" borderId="0" xfId="0" applyNumberFormat="1" applyFont="1" applyAlignment="1" applyProtection="1">
      <alignment horizontal="center" vertical="center"/>
      <protection locked="0"/>
    </xf>
    <xf numFmtId="173" fontId="34" fillId="0" borderId="0" xfId="0" applyNumberFormat="1" applyFont="1" applyAlignment="1">
      <alignment horizontal="center" vertical="center"/>
    </xf>
    <xf numFmtId="173" fontId="38" fillId="0" borderId="0" xfId="0" applyNumberFormat="1" applyFont="1" applyAlignment="1">
      <alignment horizontal="center" vertical="center"/>
    </xf>
    <xf numFmtId="170" fontId="38" fillId="0" borderId="0" xfId="0" applyNumberFormat="1" applyFont="1" applyAlignment="1" applyProtection="1">
      <alignment horizontal="center" vertical="center"/>
      <protection locked="0"/>
    </xf>
    <xf numFmtId="168" fontId="34" fillId="0" borderId="0" xfId="0" applyNumberFormat="1" applyFont="1" applyAlignment="1" applyProtection="1">
      <alignment horizontal="center" vertical="center"/>
      <protection locked="0"/>
    </xf>
    <xf numFmtId="168" fontId="35" fillId="0" borderId="0" xfId="0" applyNumberFormat="1" applyFont="1" applyAlignment="1">
      <alignment horizontal="center" vertical="center"/>
    </xf>
    <xf numFmtId="0" fontId="11" fillId="2" borderId="0" xfId="0" applyFont="1" applyFill="1" applyAlignment="1"/>
    <xf numFmtId="0" fontId="24" fillId="7" borderId="0" xfId="0" applyFont="1" applyFill="1" applyAlignment="1">
      <alignment vertical="center"/>
    </xf>
    <xf numFmtId="0" fontId="40" fillId="7" borderId="0" xfId="0" applyFont="1" applyFill="1" applyAlignment="1">
      <alignment horizontal="center" vertical="center"/>
    </xf>
    <xf numFmtId="0" fontId="41" fillId="7" borderId="0" xfId="0" applyFont="1" applyFill="1" applyAlignment="1">
      <alignment horizontal="center" vertical="center"/>
    </xf>
    <xf numFmtId="0" fontId="24" fillId="15" borderId="0" xfId="0" applyFont="1" applyFill="1" applyAlignment="1">
      <alignment vertical="center"/>
    </xf>
    <xf numFmtId="0" fontId="40" fillId="15" borderId="0" xfId="0" applyFont="1" applyFill="1" applyAlignment="1">
      <alignment horizontal="center" vertical="center"/>
    </xf>
    <xf numFmtId="0" fontId="41" fillId="15" borderId="0" xfId="0" applyFont="1" applyFill="1" applyAlignment="1">
      <alignment horizontal="center" vertical="center"/>
    </xf>
    <xf numFmtId="0" fontId="22" fillId="16" borderId="0" xfId="0" applyFont="1" applyFill="1" applyAlignment="1">
      <alignment vertical="center"/>
    </xf>
    <xf numFmtId="0" fontId="42" fillId="17" borderId="0" xfId="0" applyFont="1" applyFill="1" applyAlignment="1">
      <alignment horizontal="center" vertical="center"/>
    </xf>
    <xf numFmtId="0" fontId="33" fillId="7" borderId="0" xfId="0" applyFont="1" applyFill="1" applyAlignment="1">
      <alignment horizontal="center" vertical="center"/>
    </xf>
    <xf numFmtId="0" fontId="34" fillId="7" borderId="0" xfId="0" applyFont="1" applyFill="1" applyAlignment="1">
      <alignment vertical="center" wrapText="1"/>
    </xf>
    <xf numFmtId="0" fontId="34" fillId="7" borderId="0" xfId="0" applyFont="1" applyFill="1" applyAlignment="1">
      <alignment horizontal="center" vertical="center"/>
    </xf>
    <xf numFmtId="167" fontId="8" fillId="7" borderId="0" xfId="0" applyNumberFormat="1" applyFont="1" applyFill="1" applyAlignment="1">
      <alignment horizontal="center" vertical="center"/>
    </xf>
    <xf numFmtId="167" fontId="38" fillId="7" borderId="0" xfId="0" applyNumberFormat="1" applyFont="1" applyFill="1" applyAlignment="1">
      <alignment horizontal="center" vertical="center"/>
    </xf>
    <xf numFmtId="167" fontId="34" fillId="7" borderId="0" xfId="0" applyNumberFormat="1" applyFont="1" applyFill="1" applyAlignment="1">
      <alignment horizontal="center" vertical="center"/>
    </xf>
    <xf numFmtId="0" fontId="33" fillId="15" borderId="0" xfId="0" applyFont="1" applyFill="1" applyAlignment="1">
      <alignment horizontal="center" vertical="center"/>
    </xf>
    <xf numFmtId="0" fontId="34" fillId="15" borderId="0" xfId="0" applyFont="1" applyFill="1" applyAlignment="1">
      <alignment vertical="center" wrapText="1"/>
    </xf>
    <xf numFmtId="0" fontId="34" fillId="15" borderId="0" xfId="0" applyFont="1" applyFill="1" applyAlignment="1">
      <alignment horizontal="center" vertical="center"/>
    </xf>
    <xf numFmtId="0" fontId="16" fillId="15" borderId="0" xfId="0" applyFont="1" applyFill="1" applyAlignment="1">
      <alignment horizontal="center" vertical="center"/>
    </xf>
    <xf numFmtId="167" fontId="8" fillId="15" borderId="0" xfId="0" applyNumberFormat="1" applyFont="1" applyFill="1" applyAlignment="1">
      <alignment horizontal="center" vertical="center"/>
    </xf>
    <xf numFmtId="167" fontId="38" fillId="15" borderId="0" xfId="0" applyNumberFormat="1" applyFont="1" applyFill="1" applyAlignment="1">
      <alignment horizontal="center" vertical="center"/>
    </xf>
    <xf numFmtId="167" fontId="34" fillId="15" borderId="0" xfId="0" applyNumberFormat="1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38" fillId="7" borderId="0" xfId="0" applyFont="1" applyFill="1" applyAlignment="1">
      <alignment horizontal="center" vertical="center"/>
    </xf>
    <xf numFmtId="1" fontId="34" fillId="7" borderId="0" xfId="0" applyNumberFormat="1" applyFont="1" applyFill="1" applyAlignment="1">
      <alignment horizontal="center" vertical="center"/>
    </xf>
    <xf numFmtId="2" fontId="8" fillId="7" borderId="0" xfId="0" applyNumberFormat="1" applyFont="1" applyFill="1" applyAlignment="1">
      <alignment horizontal="center" vertical="center"/>
    </xf>
    <xf numFmtId="2" fontId="38" fillId="7" borderId="0" xfId="0" applyNumberFormat="1" applyFont="1" applyFill="1" applyAlignment="1">
      <alignment horizontal="center" vertical="center"/>
    </xf>
    <xf numFmtId="2" fontId="34" fillId="7" borderId="0" xfId="0" applyNumberFormat="1" applyFont="1" applyFill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167" fontId="56" fillId="10" borderId="0" xfId="0" applyNumberFormat="1" applyFont="1" applyFill="1" applyAlignment="1">
      <alignment horizontal="center" vertical="center"/>
    </xf>
    <xf numFmtId="168" fontId="56" fillId="10" borderId="0" xfId="0" applyNumberFormat="1" applyFont="1" applyFill="1" applyAlignment="1">
      <alignment horizontal="center" vertical="center"/>
    </xf>
    <xf numFmtId="2" fontId="56" fillId="10" borderId="0" xfId="0" applyNumberFormat="1" applyFont="1" applyFill="1" applyAlignment="1">
      <alignment horizontal="center" vertical="center"/>
    </xf>
    <xf numFmtId="172" fontId="38" fillId="0" borderId="0" xfId="0" applyNumberFormat="1" applyFont="1" applyAlignment="1" applyProtection="1">
      <alignment horizontal="center" vertical="center"/>
      <protection locked="0"/>
    </xf>
    <xf numFmtId="172" fontId="56" fillId="10" borderId="0" xfId="0" applyNumberFormat="1" applyFont="1" applyFill="1" applyAlignment="1">
      <alignment horizontal="center" vertical="center"/>
    </xf>
    <xf numFmtId="172" fontId="34" fillId="0" borderId="0" xfId="0" applyNumberFormat="1" applyFont="1" applyAlignment="1" applyProtection="1">
      <alignment horizontal="center" vertical="center"/>
      <protection locked="0"/>
    </xf>
    <xf numFmtId="169" fontId="56" fillId="10" borderId="0" xfId="0" applyNumberFormat="1" applyFont="1" applyFill="1" applyAlignment="1">
      <alignment horizontal="center" vertical="center"/>
    </xf>
    <xf numFmtId="170" fontId="56" fillId="10" borderId="0" xfId="0" applyNumberFormat="1" applyFont="1" applyFill="1" applyAlignment="1">
      <alignment horizontal="center" vertical="center"/>
    </xf>
    <xf numFmtId="1" fontId="56" fillId="10" borderId="0" xfId="0" applyNumberFormat="1" applyFont="1" applyFill="1" applyAlignment="1">
      <alignment horizontal="center" vertical="center"/>
    </xf>
    <xf numFmtId="0" fontId="57" fillId="0" borderId="0" xfId="0" applyFont="1" applyAlignment="1">
      <alignment horizontal="center" vertical="center"/>
    </xf>
    <xf numFmtId="167" fontId="0" fillId="19" borderId="0" xfId="0" applyNumberFormat="1" applyFill="1" applyAlignment="1" applyProtection="1">
      <alignment horizontal="center" vertical="center"/>
      <protection locked="0"/>
    </xf>
    <xf numFmtId="167" fontId="38" fillId="10" borderId="0" xfId="0" applyNumberFormat="1" applyFont="1" applyFill="1" applyAlignment="1">
      <alignment horizontal="center" vertical="center"/>
    </xf>
    <xf numFmtId="167" fontId="0" fillId="10" borderId="0" xfId="0" applyNumberFormat="1" applyFill="1" applyAlignment="1">
      <alignment horizontal="center" vertical="center"/>
    </xf>
    <xf numFmtId="171" fontId="0" fillId="10" borderId="0" xfId="0" applyNumberFormat="1" applyFill="1" applyAlignment="1">
      <alignment horizontal="center" vertical="center"/>
    </xf>
    <xf numFmtId="169" fontId="0" fillId="19" borderId="0" xfId="0" applyNumberFormat="1" applyFill="1" applyAlignment="1" applyProtection="1">
      <alignment horizontal="center" vertical="center"/>
      <protection locked="0"/>
    </xf>
    <xf numFmtId="169" fontId="38" fillId="10" borderId="0" xfId="0" applyNumberFormat="1" applyFont="1" applyFill="1" applyAlignment="1">
      <alignment horizontal="center" vertical="center"/>
    </xf>
    <xf numFmtId="169" fontId="0" fillId="10" borderId="0" xfId="0" applyNumberFormat="1" applyFill="1" applyAlignment="1">
      <alignment horizontal="center" vertical="center"/>
    </xf>
    <xf numFmtId="2" fontId="0" fillId="19" borderId="0" xfId="0" applyNumberFormat="1" applyFill="1" applyAlignment="1" applyProtection="1">
      <alignment horizontal="center" vertical="center"/>
      <protection locked="0"/>
    </xf>
    <xf numFmtId="2" fontId="38" fillId="10" borderId="0" xfId="0" applyNumberFormat="1" applyFont="1" applyFill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168" fontId="0" fillId="19" borderId="0" xfId="0" applyNumberFormat="1" applyFill="1" applyAlignment="1" applyProtection="1">
      <alignment horizontal="center" vertical="center"/>
      <protection locked="0"/>
    </xf>
    <xf numFmtId="170" fontId="38" fillId="10" borderId="0" xfId="0" applyNumberFormat="1" applyFont="1" applyFill="1" applyAlignment="1">
      <alignment horizontal="center" vertical="center"/>
    </xf>
    <xf numFmtId="168" fontId="0" fillId="10" borderId="0" xfId="0" applyNumberFormat="1" applyFill="1" applyAlignment="1">
      <alignment horizontal="center" vertical="center"/>
    </xf>
    <xf numFmtId="172" fontId="35" fillId="0" borderId="0" xfId="0" applyNumberFormat="1" applyFont="1" applyAlignment="1">
      <alignment horizontal="center" vertical="center"/>
    </xf>
    <xf numFmtId="168" fontId="38" fillId="10" borderId="0" xfId="0" applyNumberFormat="1" applyFont="1" applyFill="1" applyAlignment="1">
      <alignment horizontal="center" vertical="center"/>
    </xf>
    <xf numFmtId="0" fontId="59" fillId="20" borderId="0" xfId="0" applyFont="1" applyFill="1" applyAlignment="1">
      <alignment horizontal="center" wrapText="1"/>
    </xf>
    <xf numFmtId="0" fontId="4" fillId="7" borderId="0" xfId="0" applyFont="1" applyFill="1" applyAlignment="1">
      <alignment horizontal="center" vertical="center"/>
    </xf>
    <xf numFmtId="0" fontId="0" fillId="0" borderId="0" xfId="0" applyAlignment="1"/>
    <xf numFmtId="0" fontId="0" fillId="10" borderId="0" xfId="0" applyFill="1" applyAlignment="1"/>
    <xf numFmtId="0" fontId="23" fillId="0" borderId="0" xfId="0" applyFont="1" applyAlignment="1">
      <alignment horizontal="left" vertical="center"/>
    </xf>
    <xf numFmtId="0" fontId="8" fillId="7" borderId="0" xfId="0" applyFont="1" applyFill="1" applyAlignment="1">
      <alignment horizontal="center" vertical="center"/>
    </xf>
    <xf numFmtId="0" fontId="0" fillId="4" borderId="0" xfId="0" applyFill="1" applyAlignment="1"/>
    <xf numFmtId="0" fontId="0" fillId="5" borderId="0" xfId="0" applyFill="1" applyAlignment="1"/>
    <xf numFmtId="0" fontId="1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0" fillId="2" borderId="0" xfId="0" applyFill="1" applyAlignment="1"/>
    <xf numFmtId="0" fontId="0" fillId="3" borderId="0" xfId="0" applyFill="1" applyAlignment="1"/>
    <xf numFmtId="0" fontId="3" fillId="7" borderId="0" xfId="0" applyFont="1" applyFill="1" applyAlignment="1">
      <alignment horizontal="center" vertical="center"/>
    </xf>
    <xf numFmtId="0" fontId="22" fillId="14" borderId="5" xfId="0" applyFont="1" applyFill="1" applyBorder="1" applyAlignment="1">
      <alignment horizontal="center" vertical="center"/>
    </xf>
    <xf numFmtId="0" fontId="0" fillId="0" borderId="9" xfId="0" applyBorder="1"/>
    <xf numFmtId="0" fontId="20" fillId="7" borderId="4" xfId="0" applyFont="1" applyFill="1" applyBorder="1" applyAlignment="1">
      <alignment horizontal="right" vertical="center" indent="1"/>
    </xf>
    <xf numFmtId="0" fontId="0" fillId="0" borderId="8" xfId="0" applyBorder="1"/>
    <xf numFmtId="0" fontId="18" fillId="12" borderId="0" xfId="0" applyFont="1" applyFill="1" applyAlignment="1">
      <alignment horizontal="center" vertical="center"/>
    </xf>
    <xf numFmtId="0" fontId="20" fillId="13" borderId="2" xfId="0" applyFont="1" applyFill="1" applyBorder="1" applyAlignment="1">
      <alignment horizontal="right" vertical="center" indent="1"/>
    </xf>
    <xf numFmtId="0" fontId="0" fillId="0" borderId="6" xfId="0" applyBorder="1"/>
    <xf numFmtId="0" fontId="17" fillId="11" borderId="0" xfId="0" applyFont="1" applyFill="1" applyAlignment="1">
      <alignment horizontal="center" vertical="center"/>
    </xf>
    <xf numFmtId="0" fontId="20" fillId="13" borderId="4" xfId="0" applyFont="1" applyFill="1" applyBorder="1" applyAlignment="1">
      <alignment horizontal="right" vertical="center" indent="1"/>
    </xf>
    <xf numFmtId="0" fontId="13" fillId="7" borderId="0" xfId="0" applyFont="1" applyFill="1" applyAlignment="1">
      <alignment horizontal="center" vertical="center"/>
    </xf>
    <xf numFmtId="0" fontId="20" fillId="7" borderId="2" xfId="0" applyFont="1" applyFill="1" applyBorder="1" applyAlignment="1">
      <alignment horizontal="right" vertical="center" indent="1"/>
    </xf>
    <xf numFmtId="0" fontId="12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22" fillId="14" borderId="3" xfId="0" applyFont="1" applyFill="1" applyBorder="1" applyAlignment="1">
      <alignment horizontal="center" vertical="center"/>
    </xf>
    <xf numFmtId="0" fontId="0" fillId="0" borderId="7" xfId="0" applyBorder="1"/>
    <xf numFmtId="0" fontId="16" fillId="7" borderId="0" xfId="0" applyFont="1" applyFill="1" applyAlignment="1">
      <alignment horizontal="center" vertical="center"/>
    </xf>
    <xf numFmtId="0" fontId="0" fillId="6" borderId="0" xfId="0" applyFill="1" applyAlignment="1"/>
    <xf numFmtId="0" fontId="15" fillId="7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0" fillId="7" borderId="0" xfId="0" applyFill="1" applyAlignment="1"/>
    <xf numFmtId="0" fontId="11" fillId="7" borderId="0" xfId="0" applyFont="1" applyFill="1" applyAlignment="1"/>
    <xf numFmtId="0" fontId="39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44" fillId="7" borderId="0" xfId="0" applyFont="1" applyFill="1" applyAlignment="1">
      <alignment horizontal="center" vertical="center"/>
    </xf>
    <xf numFmtId="0" fontId="54" fillId="7" borderId="0" xfId="0" applyFont="1" applyFill="1" applyAlignment="1">
      <alignment horizontal="center" vertical="center"/>
    </xf>
    <xf numFmtId="0" fontId="55" fillId="7" borderId="0" xfId="0" applyFont="1" applyFill="1" applyAlignment="1">
      <alignment horizontal="center" vertical="center"/>
    </xf>
    <xf numFmtId="0" fontId="46" fillId="7" borderId="0" xfId="0" applyFont="1" applyFill="1" applyAlignment="1">
      <alignment horizontal="center" vertical="center"/>
    </xf>
    <xf numFmtId="1" fontId="50" fillId="7" borderId="0" xfId="0" applyNumberFormat="1" applyFont="1" applyFill="1" applyAlignment="1">
      <alignment horizontal="center" vertical="center"/>
    </xf>
    <xf numFmtId="0" fontId="49" fillId="7" borderId="0" xfId="0" applyFont="1" applyFill="1" applyAlignment="1">
      <alignment horizontal="center" vertical="center"/>
    </xf>
    <xf numFmtId="1" fontId="53" fillId="7" borderId="0" xfId="0" applyNumberFormat="1" applyFont="1" applyFill="1" applyAlignment="1">
      <alignment horizontal="center" vertical="center"/>
    </xf>
    <xf numFmtId="0" fontId="47" fillId="7" borderId="0" xfId="0" applyFont="1" applyFill="1" applyAlignment="1">
      <alignment horizontal="center" vertical="center"/>
    </xf>
    <xf numFmtId="0" fontId="45" fillId="7" borderId="0" xfId="0" applyFont="1" applyFill="1" applyAlignment="1">
      <alignment horizontal="center" vertical="center"/>
    </xf>
    <xf numFmtId="0" fontId="0" fillId="16" borderId="0" xfId="0" applyFill="1" applyAlignment="1"/>
    <xf numFmtId="0" fontId="48" fillId="0" borderId="0" xfId="0" applyFont="1" applyAlignment="1">
      <alignment horizontal="left" vertical="center"/>
    </xf>
    <xf numFmtId="1" fontId="52" fillId="7" borderId="0" xfId="0" applyNumberFormat="1" applyFont="1" applyFill="1" applyAlignment="1">
      <alignment horizontal="center" vertical="center"/>
    </xf>
    <xf numFmtId="1" fontId="51" fillId="7" borderId="0" xfId="0" applyNumberFormat="1" applyFont="1" applyFill="1" applyAlignment="1">
      <alignment horizontal="center" vertical="center"/>
    </xf>
    <xf numFmtId="9" fontId="58" fillId="7" borderId="0" xfId="0" applyNumberFormat="1" applyFont="1" applyFill="1" applyAlignment="1">
      <alignment horizontal="center" vertical="center"/>
    </xf>
  </cellXfs>
  <cellStyles count="1">
    <cellStyle name="عادي" xfId="0" builtinId="0"/>
  </cellStyles>
  <dxfs count="134"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sz val="9"/>
        <color rgb="FFD64545"/>
      </font>
      <fill>
        <patternFill>
          <bgColor rgb="FFFDE2E0"/>
        </patternFill>
      </fill>
    </dxf>
    <dxf>
      <font>
        <b/>
        <sz val="9"/>
        <color rgb="FF2E9E5C"/>
      </font>
      <fill>
        <patternFill>
          <bgColor rgb="FFD4F0DE"/>
        </patternFill>
      </fill>
    </dxf>
    <dxf>
      <font>
        <b/>
        <sz val="9"/>
        <color rgb="FFD64545"/>
      </font>
      <fill>
        <patternFill>
          <bgColor rgb="FFFDE2E0"/>
        </patternFill>
      </fill>
    </dxf>
    <dxf>
      <font>
        <b/>
        <sz val="9"/>
        <color rgb="FF2E9E5C"/>
      </font>
      <fill>
        <patternFill>
          <bgColor rgb="FFD4F0D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9C0006"/>
      <rgbColor rgb="FF006100"/>
      <rgbColor rgb="FF000080"/>
      <rgbColor rgb="FF808000"/>
      <rgbColor rgb="FF800080"/>
      <rgbColor rgb="FF0E7A8C"/>
      <rgbColor rgb="FFD1D5DB"/>
      <rgbColor rgb="FF6B7B94"/>
      <rgbColor rgb="FF9999FF"/>
      <rgbColor rgb="FF6B4C99"/>
      <rgbColor rgb="FFF8FAFC"/>
      <rgbColor rgb="FFD4F0DE"/>
      <rgbColor rgb="FF660066"/>
      <rgbColor rgb="FFFF8080"/>
      <rgbColor rgb="FF1D94A8"/>
      <rgbColor rgb="FFCBD5E1"/>
      <rgbColor rgb="FF000080"/>
      <rgbColor rgb="FFFF00FF"/>
      <rgbColor rgb="FFF4F8FB"/>
      <rgbColor rgb="FF00FFFF"/>
      <rgbColor rgb="FF800080"/>
      <rgbColor rgb="FF800000"/>
      <rgbColor rgb="FF1A8B8E"/>
      <rgbColor rgb="FF0000FF"/>
      <rgbColor rgb="FF00CCFF"/>
      <rgbColor rgb="FFE8F4FA"/>
      <rgbColor rgb="FFC6EFCE"/>
      <rgbColor rgb="FFFFEB9C"/>
      <rgbColor rgb="FFE0E0E0"/>
      <rgbColor rgb="FFFDE2E0"/>
      <rgbColor rgb="FFE5E7EB"/>
      <rgbColor rgb="FFFFC7CE"/>
      <rgbColor rgb="FF475569"/>
      <rgbColor rgb="FF5AB4DB"/>
      <rgbColor rgb="FF99CC00"/>
      <rgbColor rgb="FFFFCC00"/>
      <rgbColor rgb="FFE8A33D"/>
      <rgbColor rgb="FFB45309"/>
      <rgbColor rgb="FF6B7280"/>
      <rgbColor rgb="FF969696"/>
      <rgbColor rgb="FF0F2A4A"/>
      <rgbColor rgb="FF2E9E5C"/>
      <rgbColor rgb="FF0A1F38"/>
      <rgbColor rgb="FF0F5132"/>
      <rgbColor rgb="FF9C5700"/>
      <rgbColor rgb="FFD64545"/>
      <rgbColor rgb="FF1A2F5C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13</xdr:col>
      <xdr:colOff>180360</xdr:colOff>
      <xdr:row>3</xdr:row>
      <xdr:rowOff>94680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7144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8</xdr:col>
      <xdr:colOff>39600</xdr:colOff>
      <xdr:row>3</xdr:row>
      <xdr:rowOff>94680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548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9</xdr:col>
      <xdr:colOff>39600</xdr:colOff>
      <xdr:row>3</xdr:row>
      <xdr:rowOff>94680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16040" y="190440"/>
          <a:ext cx="3704760" cy="47592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9</xdr:col>
      <xdr:colOff>39600</xdr:colOff>
      <xdr:row>3</xdr:row>
      <xdr:rowOff>94680</xdr:rowOff>
    </xdr:to>
    <xdr:pic>
      <xdr:nvPicPr>
        <xdr:cNvPr id="3" name="Image 1" descr="Pictur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16040" y="190440"/>
          <a:ext cx="3704760" cy="47592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4" name="Image 1" descr="Picture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5" name="Image 1" descr="Picture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6" name="Image 1" descr="Picture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7" name="Image 1" descr="Picture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8" name="Image 1" descr="Picture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9" name="Image 1" descr="Picture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0" name="Image 1" descr="Picture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1" name="Image 1" descr="Picture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2" name="Image 1" descr="Picture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3" name="Image 1" descr="Picture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4" name="Image 1" descr="Picture">
          <a:extLst>
            <a:ext uri="{FF2B5EF4-FFF2-40B4-BE49-F238E27FC236}">
              <a16:creationId xmlns:a16="http://schemas.microsoft.com/office/drawing/2014/main" id="{00000000-0008-0000-0F00-00000E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5"/>
  <sheetViews>
    <sheetView showGridLines="0" topLeftCell="A7" zoomScaleNormal="100" workbookViewId="0"/>
  </sheetViews>
  <sheetFormatPr defaultColWidth="8.7421875" defaultRowHeight="15" x14ac:dyDescent="0.2"/>
  <cols>
    <col min="1" max="1" width="0.94140625" style="1" customWidth="1"/>
    <col min="2" max="2" width="11.02734375" style="1" customWidth="1"/>
    <col min="24" max="24" width="4.9765625" style="1" customWidth="1"/>
    <col min="27" max="27" width="13.046875" style="1" customWidth="1"/>
  </cols>
  <sheetData>
    <row r="1" spans="1:24" ht="6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24" ht="7.5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24" ht="7.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24" ht="7.5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spans="1:24" ht="7.5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spans="1:24" ht="6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spans="1:24" ht="24" customHeight="1" x14ac:dyDescent="0.2">
      <c r="A7" s="163" t="s">
        <v>269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</row>
    <row r="8" spans="1:24" ht="6" customHeight="1" x14ac:dyDescent="0.2"/>
    <row r="9" spans="1:24" ht="6" customHeight="1" x14ac:dyDescent="0.2">
      <c r="B9" s="167"/>
      <c r="C9" s="157"/>
      <c r="D9" s="168"/>
      <c r="E9" s="157"/>
      <c r="F9" s="161"/>
      <c r="G9" s="157"/>
      <c r="H9" s="162"/>
      <c r="I9" s="157"/>
      <c r="J9" s="186"/>
      <c r="K9" s="157"/>
    </row>
    <row r="10" spans="1:24" ht="21.75" customHeight="1" x14ac:dyDescent="0.2">
      <c r="B10" s="164" t="s">
        <v>270</v>
      </c>
      <c r="C10" s="157"/>
      <c r="D10" s="164" t="s">
        <v>271</v>
      </c>
      <c r="E10" s="157"/>
      <c r="F10" s="164" t="s">
        <v>272</v>
      </c>
      <c r="G10" s="157"/>
      <c r="H10" s="164" t="s">
        <v>273</v>
      </c>
      <c r="I10" s="157"/>
      <c r="J10" s="164" t="s">
        <v>274</v>
      </c>
      <c r="K10" s="157"/>
    </row>
    <row r="11" spans="1:24" ht="30" customHeight="1" x14ac:dyDescent="0.2">
      <c r="B11" s="169">
        <v>127</v>
      </c>
      <c r="C11" s="157"/>
      <c r="D11" s="156">
        <v>52</v>
      </c>
      <c r="E11" s="157"/>
      <c r="F11" s="165">
        <v>34</v>
      </c>
      <c r="G11" s="157"/>
      <c r="H11" s="166">
        <v>41</v>
      </c>
      <c r="I11" s="157"/>
      <c r="J11" s="182">
        <v>39</v>
      </c>
      <c r="K11" s="157"/>
    </row>
    <row r="12" spans="1:24" ht="3.75" customHeight="1" x14ac:dyDescent="0.2">
      <c r="B12" s="157"/>
      <c r="C12" s="157"/>
      <c r="D12" s="157"/>
      <c r="E12" s="157"/>
      <c r="F12" s="157"/>
      <c r="G12" s="157"/>
      <c r="H12" s="157"/>
      <c r="I12" s="157"/>
      <c r="J12" s="157"/>
      <c r="K12" s="157"/>
    </row>
    <row r="13" spans="1:24" ht="18" customHeight="1" x14ac:dyDescent="0.2">
      <c r="B13" s="160" t="s">
        <v>5</v>
      </c>
      <c r="C13" s="157"/>
      <c r="D13" s="160" t="s">
        <v>275</v>
      </c>
      <c r="E13" s="157"/>
      <c r="F13" s="160" t="s">
        <v>276</v>
      </c>
      <c r="G13" s="157"/>
      <c r="H13" s="160" t="s">
        <v>277</v>
      </c>
      <c r="I13" s="157"/>
      <c r="J13" s="160" t="s">
        <v>278</v>
      </c>
      <c r="K13" s="157"/>
    </row>
    <row r="14" spans="1:24" ht="25.5" customHeight="1" x14ac:dyDescent="0.2">
      <c r="B14" s="6" t="s">
        <v>279</v>
      </c>
      <c r="C14" s="7" t="s">
        <v>280</v>
      </c>
      <c r="D14" s="158"/>
      <c r="E14" s="157"/>
      <c r="F14" s="158"/>
      <c r="G14" s="157"/>
      <c r="H14" s="158"/>
      <c r="I14" s="157"/>
      <c r="J14" s="158"/>
      <c r="K14" s="157"/>
    </row>
    <row r="15" spans="1:24" ht="6" customHeight="1" x14ac:dyDescent="0.2">
      <c r="B15" s="8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</row>
    <row r="16" spans="1:24" ht="21.75" customHeight="1" x14ac:dyDescent="0.2">
      <c r="B16" s="164" t="s">
        <v>281</v>
      </c>
      <c r="C16" s="157"/>
      <c r="D16" s="164" t="s">
        <v>282</v>
      </c>
      <c r="E16" s="157"/>
      <c r="F16" s="164" t="s">
        <v>283</v>
      </c>
      <c r="G16" s="157"/>
      <c r="H16" s="164" t="s">
        <v>284</v>
      </c>
      <c r="I16" s="157"/>
      <c r="J16" s="164" t="s">
        <v>285</v>
      </c>
      <c r="K16" s="157"/>
      <c r="L16" s="9"/>
      <c r="M16" s="9"/>
      <c r="N16" s="8"/>
      <c r="O16" s="9"/>
      <c r="P16" s="8"/>
      <c r="Q16" s="9"/>
      <c r="R16" s="8"/>
      <c r="S16" s="9"/>
      <c r="T16" s="8"/>
      <c r="U16" s="9"/>
      <c r="V16" s="8"/>
      <c r="W16" s="9"/>
      <c r="X16" s="9"/>
    </row>
    <row r="17" spans="2:30" ht="30" customHeight="1" x14ac:dyDescent="0.2">
      <c r="B17" s="181">
        <v>46</v>
      </c>
      <c r="C17" s="157"/>
      <c r="D17" s="182">
        <v>11</v>
      </c>
      <c r="E17" s="157"/>
      <c r="F17" s="179">
        <v>19</v>
      </c>
      <c r="G17" s="157"/>
      <c r="H17" s="188">
        <v>0</v>
      </c>
      <c r="I17" s="157"/>
      <c r="J17" s="187">
        <v>15</v>
      </c>
      <c r="K17" s="157"/>
      <c r="L17" s="9"/>
      <c r="M17" s="9"/>
      <c r="N17" s="8"/>
      <c r="O17" s="9"/>
      <c r="P17" s="8"/>
      <c r="Q17" s="9"/>
      <c r="R17" s="8"/>
      <c r="S17" s="9"/>
      <c r="T17" s="8"/>
      <c r="U17" s="9"/>
      <c r="V17" s="8"/>
      <c r="W17" s="9"/>
      <c r="X17" s="9"/>
    </row>
    <row r="18" spans="2:30" ht="3.75" customHeight="1" x14ac:dyDescent="0.2">
      <c r="B18" s="157"/>
      <c r="C18" s="157"/>
      <c r="D18" s="157"/>
      <c r="E18" s="157"/>
      <c r="F18" s="157"/>
      <c r="G18" s="157"/>
      <c r="H18" s="157"/>
      <c r="I18" s="157"/>
      <c r="J18" s="157"/>
      <c r="K18" s="157"/>
      <c r="L18" s="9"/>
      <c r="M18" s="9"/>
      <c r="N18" s="8"/>
      <c r="O18" s="8"/>
      <c r="P18" s="8"/>
      <c r="Q18" s="8"/>
      <c r="R18" s="8"/>
      <c r="S18" s="8"/>
      <c r="T18" s="8"/>
      <c r="U18" s="8"/>
      <c r="V18" s="8"/>
      <c r="W18" s="8"/>
      <c r="X18" s="9"/>
    </row>
    <row r="19" spans="2:30" ht="18" customHeight="1" x14ac:dyDescent="0.2">
      <c r="B19" s="185" t="s">
        <v>286</v>
      </c>
      <c r="C19" s="157"/>
      <c r="D19" s="185" t="s">
        <v>275</v>
      </c>
      <c r="E19" s="157"/>
      <c r="F19" s="185" t="s">
        <v>287</v>
      </c>
      <c r="G19" s="157"/>
      <c r="H19" s="185" t="s">
        <v>288</v>
      </c>
      <c r="I19" s="157"/>
      <c r="J19" s="185" t="s">
        <v>289</v>
      </c>
      <c r="K19" s="157"/>
      <c r="L19" s="9"/>
      <c r="M19" s="9"/>
      <c r="N19" s="8"/>
      <c r="O19" s="8"/>
      <c r="P19" s="8"/>
      <c r="Q19" s="8"/>
      <c r="R19" s="8"/>
      <c r="S19" s="8"/>
      <c r="T19" s="8"/>
      <c r="U19" s="8"/>
      <c r="V19" s="8"/>
      <c r="W19" s="8"/>
      <c r="X19" s="9"/>
    </row>
    <row r="20" spans="2:30" ht="7.5" customHeight="1" x14ac:dyDescent="0.2"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</row>
    <row r="21" spans="2:30" ht="19.5" customHeight="1" x14ac:dyDescent="0.2">
      <c r="B21" s="177" t="s">
        <v>290</v>
      </c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</row>
    <row r="22" spans="2:30" ht="18" customHeight="1" x14ac:dyDescent="0.2">
      <c r="B22" s="174" t="s">
        <v>12</v>
      </c>
      <c r="C22" s="157"/>
      <c r="D22" s="174" t="s">
        <v>291</v>
      </c>
      <c r="E22" s="157"/>
      <c r="F22" s="174" t="s">
        <v>292</v>
      </c>
      <c r="G22" s="157"/>
      <c r="H22" s="174" t="s">
        <v>293</v>
      </c>
      <c r="I22" s="157"/>
      <c r="J22" s="174" t="s">
        <v>294</v>
      </c>
      <c r="K22" s="157"/>
      <c r="L22" s="174" t="s">
        <v>295</v>
      </c>
      <c r="M22" s="157"/>
    </row>
    <row r="23" spans="2:30" ht="13.5" customHeight="1" x14ac:dyDescent="0.2">
      <c r="B23" s="157"/>
      <c r="C23" s="157"/>
      <c r="D23" s="11" t="s">
        <v>13</v>
      </c>
      <c r="E23" s="11" t="s">
        <v>17</v>
      </c>
      <c r="F23" s="11" t="s">
        <v>13</v>
      </c>
      <c r="G23" s="11" t="s">
        <v>17</v>
      </c>
      <c r="H23" s="11" t="s">
        <v>13</v>
      </c>
      <c r="I23" s="11" t="s">
        <v>17</v>
      </c>
      <c r="J23" s="11" t="s">
        <v>13</v>
      </c>
      <c r="K23" s="11" t="s">
        <v>17</v>
      </c>
      <c r="L23" s="11" t="s">
        <v>13</v>
      </c>
      <c r="M23" s="11" t="s">
        <v>17</v>
      </c>
    </row>
    <row r="24" spans="2:30" ht="15" customHeight="1" x14ac:dyDescent="0.2">
      <c r="B24" s="175" t="s">
        <v>238</v>
      </c>
      <c r="C24" s="176"/>
      <c r="D24" s="12">
        <v>4</v>
      </c>
      <c r="E24" s="13">
        <v>1</v>
      </c>
      <c r="F24" s="12" t="s">
        <v>24</v>
      </c>
      <c r="G24" s="13" t="s">
        <v>24</v>
      </c>
      <c r="H24" s="12">
        <v>0</v>
      </c>
      <c r="I24" s="13" t="s">
        <v>24</v>
      </c>
      <c r="J24" s="12">
        <v>0</v>
      </c>
      <c r="K24" s="13" t="s">
        <v>24</v>
      </c>
      <c r="L24" s="12">
        <v>4</v>
      </c>
      <c r="M24" s="13">
        <v>1</v>
      </c>
      <c r="AD24" s="14"/>
    </row>
    <row r="25" spans="2:30" ht="15" customHeight="1" x14ac:dyDescent="0.2">
      <c r="B25" s="180" t="s">
        <v>18</v>
      </c>
      <c r="C25" s="176"/>
      <c r="D25" s="15" t="s">
        <v>24</v>
      </c>
      <c r="E25" s="16" t="s">
        <v>24</v>
      </c>
      <c r="F25" s="15">
        <v>5</v>
      </c>
      <c r="G25" s="16">
        <v>1</v>
      </c>
      <c r="H25" s="15">
        <v>0</v>
      </c>
      <c r="I25" s="16" t="s">
        <v>24</v>
      </c>
      <c r="J25" s="15">
        <v>0</v>
      </c>
      <c r="K25" s="16" t="s">
        <v>24</v>
      </c>
      <c r="L25" s="15">
        <v>5</v>
      </c>
      <c r="M25" s="16">
        <v>1</v>
      </c>
      <c r="AD25" s="14"/>
    </row>
    <row r="26" spans="2:30" ht="15" customHeight="1" x14ac:dyDescent="0.2">
      <c r="B26" s="175" t="s">
        <v>19</v>
      </c>
      <c r="C26" s="176"/>
      <c r="D26" s="12">
        <v>9</v>
      </c>
      <c r="E26" s="13">
        <v>0.375</v>
      </c>
      <c r="F26" s="12">
        <v>26</v>
      </c>
      <c r="G26" s="13">
        <v>0.80952380952380998</v>
      </c>
      <c r="H26" s="12">
        <v>0</v>
      </c>
      <c r="I26" s="13" t="s">
        <v>24</v>
      </c>
      <c r="J26" s="12">
        <v>1</v>
      </c>
      <c r="K26" s="13" t="s">
        <v>24</v>
      </c>
      <c r="L26" s="12">
        <v>36</v>
      </c>
      <c r="M26" s="13">
        <v>0.68965517241379304</v>
      </c>
      <c r="AD26" s="14"/>
    </row>
    <row r="27" spans="2:30" ht="15" customHeight="1" x14ac:dyDescent="0.2">
      <c r="B27" s="180" t="s">
        <v>21</v>
      </c>
      <c r="C27" s="176"/>
      <c r="D27" s="15">
        <v>19</v>
      </c>
      <c r="E27" s="16">
        <v>0.53846153846153799</v>
      </c>
      <c r="F27" s="15">
        <v>11</v>
      </c>
      <c r="G27" s="16">
        <v>0.75</v>
      </c>
      <c r="H27" s="15">
        <v>0</v>
      </c>
      <c r="I27" s="16" t="s">
        <v>24</v>
      </c>
      <c r="J27" s="15">
        <v>0</v>
      </c>
      <c r="K27" s="16" t="s">
        <v>24</v>
      </c>
      <c r="L27" s="15">
        <v>30</v>
      </c>
      <c r="M27" s="16">
        <v>0.61904761904761896</v>
      </c>
      <c r="AD27" s="14"/>
    </row>
    <row r="28" spans="2:30" ht="15" customHeight="1" x14ac:dyDescent="0.2">
      <c r="B28" s="175" t="s">
        <v>20</v>
      </c>
      <c r="C28" s="176"/>
      <c r="D28" s="12">
        <v>16</v>
      </c>
      <c r="E28" s="13">
        <v>0.71428571428571397</v>
      </c>
      <c r="F28" s="12">
        <v>17</v>
      </c>
      <c r="G28" s="13">
        <v>0.83333333333333304</v>
      </c>
      <c r="H28" s="12">
        <v>2</v>
      </c>
      <c r="I28" s="13" t="s">
        <v>24</v>
      </c>
      <c r="J28" s="12">
        <v>0</v>
      </c>
      <c r="K28" s="13" t="s">
        <v>24</v>
      </c>
      <c r="L28" s="12">
        <v>35</v>
      </c>
      <c r="M28" s="13">
        <v>0.76923076923076905</v>
      </c>
      <c r="AD28" s="14"/>
    </row>
    <row r="29" spans="2:30" ht="15" customHeight="1" x14ac:dyDescent="0.2">
      <c r="B29" s="180" t="s">
        <v>22</v>
      </c>
      <c r="C29" s="176"/>
      <c r="D29" s="15" t="s">
        <v>24</v>
      </c>
      <c r="E29" s="16" t="s">
        <v>24</v>
      </c>
      <c r="F29" s="15">
        <v>5</v>
      </c>
      <c r="G29" s="16">
        <v>0.5</v>
      </c>
      <c r="H29" s="15">
        <v>2</v>
      </c>
      <c r="I29" s="16" t="s">
        <v>24</v>
      </c>
      <c r="J29" s="15">
        <v>1</v>
      </c>
      <c r="K29" s="16" t="s">
        <v>24</v>
      </c>
      <c r="L29" s="15">
        <v>8</v>
      </c>
      <c r="M29" s="16">
        <v>0.5</v>
      </c>
      <c r="AD29" s="14"/>
    </row>
    <row r="30" spans="2:30" ht="15" customHeight="1" x14ac:dyDescent="0.2">
      <c r="B30" s="175" t="s">
        <v>23</v>
      </c>
      <c r="C30" s="176"/>
      <c r="D30" s="12">
        <v>1</v>
      </c>
      <c r="E30" s="13" t="s">
        <v>24</v>
      </c>
      <c r="F30" s="12">
        <v>2</v>
      </c>
      <c r="G30" s="13" t="s">
        <v>24</v>
      </c>
      <c r="H30" s="12">
        <v>0</v>
      </c>
      <c r="I30" s="13" t="s">
        <v>24</v>
      </c>
      <c r="J30" s="12">
        <v>0</v>
      </c>
      <c r="K30" s="13" t="s">
        <v>24</v>
      </c>
      <c r="L30" s="12">
        <v>3</v>
      </c>
      <c r="M30" s="13" t="s">
        <v>24</v>
      </c>
      <c r="AD30" s="14"/>
    </row>
    <row r="31" spans="2:30" ht="15" customHeight="1" x14ac:dyDescent="0.2">
      <c r="B31" s="180" t="s">
        <v>25</v>
      </c>
      <c r="C31" s="176"/>
      <c r="D31" s="15">
        <v>1</v>
      </c>
      <c r="E31" s="16">
        <v>0</v>
      </c>
      <c r="F31" s="15">
        <v>1</v>
      </c>
      <c r="G31" s="16" t="s">
        <v>24</v>
      </c>
      <c r="H31" s="15">
        <v>0</v>
      </c>
      <c r="I31" s="16" t="s">
        <v>24</v>
      </c>
      <c r="J31" s="15">
        <v>2</v>
      </c>
      <c r="K31" s="16" t="s">
        <v>24</v>
      </c>
      <c r="L31" s="15">
        <v>4</v>
      </c>
      <c r="M31" s="16">
        <v>0</v>
      </c>
      <c r="AD31" s="14"/>
    </row>
    <row r="32" spans="2:30" ht="15" customHeight="1" x14ac:dyDescent="0.2">
      <c r="B32" s="175" t="s">
        <v>26</v>
      </c>
      <c r="C32" s="176"/>
      <c r="D32" s="12" t="s">
        <v>24</v>
      </c>
      <c r="E32" s="13" t="s">
        <v>24</v>
      </c>
      <c r="F32" s="12" t="s">
        <v>24</v>
      </c>
      <c r="G32" s="13" t="s">
        <v>24</v>
      </c>
      <c r="H32" s="12">
        <v>0</v>
      </c>
      <c r="I32" s="13" t="s">
        <v>24</v>
      </c>
      <c r="J32" s="12">
        <v>0</v>
      </c>
      <c r="K32" s="13" t="s">
        <v>24</v>
      </c>
      <c r="L32" s="12">
        <v>0</v>
      </c>
      <c r="M32" s="13" t="s">
        <v>24</v>
      </c>
      <c r="AD32" s="14"/>
    </row>
    <row r="33" spans="2:32" ht="15" customHeight="1" x14ac:dyDescent="0.2">
      <c r="B33" s="180" t="s">
        <v>27</v>
      </c>
      <c r="C33" s="176"/>
      <c r="D33" s="15" t="s">
        <v>24</v>
      </c>
      <c r="E33" s="16" t="s">
        <v>24</v>
      </c>
      <c r="F33" s="15">
        <v>1</v>
      </c>
      <c r="G33" s="16" t="s">
        <v>24</v>
      </c>
      <c r="H33" s="15">
        <v>0</v>
      </c>
      <c r="I33" s="16" t="s">
        <v>24</v>
      </c>
      <c r="J33" s="15">
        <v>0</v>
      </c>
      <c r="K33" s="16" t="s">
        <v>24</v>
      </c>
      <c r="L33" s="15">
        <v>1</v>
      </c>
      <c r="M33" s="16" t="s">
        <v>24</v>
      </c>
      <c r="AD33" s="14"/>
    </row>
    <row r="34" spans="2:32" ht="19.5" customHeight="1" x14ac:dyDescent="0.2">
      <c r="B34" s="183" t="s">
        <v>28</v>
      </c>
      <c r="C34" s="184"/>
      <c r="D34" s="17">
        <v>50</v>
      </c>
      <c r="E34" s="18">
        <v>0.6</v>
      </c>
      <c r="F34" s="17">
        <v>69</v>
      </c>
      <c r="G34" s="18">
        <v>0.8</v>
      </c>
      <c r="H34" s="17">
        <v>6</v>
      </c>
      <c r="I34" s="18" t="s">
        <v>24</v>
      </c>
      <c r="J34" s="17">
        <v>4</v>
      </c>
      <c r="K34" s="18" t="s">
        <v>24</v>
      </c>
      <c r="L34" s="17">
        <v>129</v>
      </c>
      <c r="M34" s="18">
        <v>0.70588235294117696</v>
      </c>
    </row>
    <row r="35" spans="2:32" ht="6" customHeight="1" x14ac:dyDescent="0.2"/>
    <row r="36" spans="2:32" ht="6" customHeight="1" x14ac:dyDescent="0.2"/>
    <row r="37" spans="2:32" ht="19.5" customHeight="1" x14ac:dyDescent="0.2">
      <c r="B37" s="177" t="s">
        <v>296</v>
      </c>
      <c r="C37" s="157"/>
      <c r="D37" s="157"/>
      <c r="E37" s="157"/>
      <c r="F37" s="157"/>
      <c r="G37" s="157"/>
      <c r="H37" s="157"/>
      <c r="I37" s="157"/>
    </row>
    <row r="38" spans="2:32" ht="18" customHeight="1" x14ac:dyDescent="0.2">
      <c r="B38" s="174" t="s">
        <v>30</v>
      </c>
      <c r="C38" s="157"/>
      <c r="D38" s="174" t="s">
        <v>291</v>
      </c>
      <c r="E38" s="157"/>
      <c r="F38" s="174" t="s">
        <v>292</v>
      </c>
      <c r="G38" s="157"/>
      <c r="H38" s="174" t="s">
        <v>295</v>
      </c>
      <c r="I38" s="157"/>
    </row>
    <row r="39" spans="2:32" ht="13.5" customHeight="1" x14ac:dyDescent="0.2">
      <c r="B39" s="157"/>
      <c r="C39" s="157"/>
      <c r="D39" s="11" t="s">
        <v>13</v>
      </c>
      <c r="E39" s="11" t="s">
        <v>17</v>
      </c>
      <c r="F39" s="11" t="s">
        <v>13</v>
      </c>
      <c r="G39" s="11" t="s">
        <v>17</v>
      </c>
      <c r="H39" s="11" t="s">
        <v>13</v>
      </c>
      <c r="I39" s="11" t="s">
        <v>17</v>
      </c>
    </row>
    <row r="40" spans="2:32" ht="15" customHeight="1" x14ac:dyDescent="0.2">
      <c r="B40" s="178" t="s">
        <v>34</v>
      </c>
      <c r="C40" s="173"/>
      <c r="D40" s="12">
        <v>25</v>
      </c>
      <c r="E40" s="13">
        <v>0.94444444444444398</v>
      </c>
      <c r="F40" s="12">
        <v>45</v>
      </c>
      <c r="G40" s="13">
        <v>0.875</v>
      </c>
      <c r="H40" s="12">
        <v>71</v>
      </c>
      <c r="I40" s="13">
        <v>0.9</v>
      </c>
      <c r="AF40" s="14"/>
    </row>
    <row r="41" spans="2:32" ht="15" customHeight="1" x14ac:dyDescent="0.2">
      <c r="B41" s="172" t="s">
        <v>32</v>
      </c>
      <c r="C41" s="173"/>
      <c r="D41" s="15">
        <v>25</v>
      </c>
      <c r="E41" s="16">
        <v>0.94444444444444398</v>
      </c>
      <c r="F41" s="15">
        <v>14</v>
      </c>
      <c r="G41" s="16">
        <v>0.81818181818181801</v>
      </c>
      <c r="H41" s="15">
        <v>40</v>
      </c>
      <c r="I41" s="16">
        <v>0.89655172413793105</v>
      </c>
      <c r="AF41" s="14"/>
    </row>
    <row r="42" spans="2:32" ht="15" customHeight="1" x14ac:dyDescent="0.2">
      <c r="B42" s="178" t="s">
        <v>37</v>
      </c>
      <c r="C42" s="173"/>
      <c r="D42" s="12">
        <v>23</v>
      </c>
      <c r="E42" s="13">
        <v>0.8125</v>
      </c>
      <c r="F42" s="12">
        <v>7</v>
      </c>
      <c r="G42" s="13">
        <v>0.66666666666666696</v>
      </c>
      <c r="H42" s="12">
        <v>30</v>
      </c>
      <c r="I42" s="13">
        <v>0.78947368421052599</v>
      </c>
      <c r="AF42" s="14"/>
    </row>
    <row r="43" spans="2:32" ht="15" customHeight="1" x14ac:dyDescent="0.2">
      <c r="B43" s="172" t="s">
        <v>33</v>
      </c>
      <c r="C43" s="173"/>
      <c r="D43" s="15">
        <v>25</v>
      </c>
      <c r="E43" s="16">
        <v>0.73684210526315796</v>
      </c>
      <c r="F43" s="15">
        <v>7</v>
      </c>
      <c r="G43" s="16">
        <v>0.66666666666666696</v>
      </c>
      <c r="H43" s="15">
        <v>32</v>
      </c>
      <c r="I43" s="16">
        <v>0.72727272727272696</v>
      </c>
      <c r="AF43" s="14"/>
    </row>
    <row r="44" spans="2:32" ht="15" customHeight="1" x14ac:dyDescent="0.2">
      <c r="B44" s="178" t="s">
        <v>36</v>
      </c>
      <c r="C44" s="173"/>
      <c r="D44" s="12">
        <v>25</v>
      </c>
      <c r="E44" s="13">
        <v>0.78947368421052599</v>
      </c>
      <c r="F44" s="12">
        <v>7</v>
      </c>
      <c r="G44" s="13">
        <v>0.33333333333333298</v>
      </c>
      <c r="H44" s="12">
        <v>32</v>
      </c>
      <c r="I44" s="13">
        <v>0.72727272727272696</v>
      </c>
      <c r="AF44" s="14"/>
    </row>
    <row r="45" spans="2:32" ht="15" customHeight="1" x14ac:dyDescent="0.2">
      <c r="B45" s="172" t="s">
        <v>40</v>
      </c>
      <c r="C45" s="173"/>
      <c r="D45" s="15">
        <v>29</v>
      </c>
      <c r="E45" s="16">
        <v>0.73913043478260898</v>
      </c>
      <c r="F45" s="15">
        <v>48</v>
      </c>
      <c r="G45" s="16">
        <v>0.75</v>
      </c>
      <c r="H45" s="15">
        <v>78</v>
      </c>
      <c r="I45" s="16">
        <v>0.74603174603174605</v>
      </c>
      <c r="AF45" s="14"/>
    </row>
    <row r="46" spans="2:32" ht="15" customHeight="1" x14ac:dyDescent="0.2">
      <c r="B46" s="178" t="s">
        <v>31</v>
      </c>
      <c r="C46" s="173"/>
      <c r="D46" s="12">
        <v>25</v>
      </c>
      <c r="E46" s="13">
        <v>0.68421052631579005</v>
      </c>
      <c r="F46" s="12">
        <v>8</v>
      </c>
      <c r="G46" s="13">
        <v>0.75</v>
      </c>
      <c r="H46" s="12">
        <v>33</v>
      </c>
      <c r="I46" s="13">
        <v>0.69565217391304401</v>
      </c>
      <c r="AF46" s="14"/>
    </row>
    <row r="47" spans="2:32" ht="15" customHeight="1" x14ac:dyDescent="0.2">
      <c r="B47" s="172" t="s">
        <v>35</v>
      </c>
      <c r="C47" s="173"/>
      <c r="D47" s="15">
        <v>30</v>
      </c>
      <c r="E47" s="16">
        <v>0.65217391304347805</v>
      </c>
      <c r="F47" s="15">
        <v>44</v>
      </c>
      <c r="G47" s="16">
        <v>0.81818181818181801</v>
      </c>
      <c r="H47" s="15">
        <v>75</v>
      </c>
      <c r="I47" s="16">
        <v>0.75</v>
      </c>
      <c r="AF47" s="14"/>
    </row>
    <row r="48" spans="2:32" ht="15" customHeight="1" x14ac:dyDescent="0.2">
      <c r="B48" s="178" t="s">
        <v>39</v>
      </c>
      <c r="C48" s="173"/>
      <c r="D48" s="12">
        <v>28</v>
      </c>
      <c r="E48" s="13">
        <v>0.68181818181818199</v>
      </c>
      <c r="F48" s="12">
        <v>43</v>
      </c>
      <c r="G48" s="13">
        <v>0.70588235294117696</v>
      </c>
      <c r="H48" s="12">
        <v>72</v>
      </c>
      <c r="I48" s="13">
        <v>0.69642857142857095</v>
      </c>
      <c r="AF48" s="14"/>
    </row>
    <row r="49" spans="1:32" ht="15" customHeight="1" x14ac:dyDescent="0.2">
      <c r="B49" s="172" t="s">
        <v>38</v>
      </c>
      <c r="C49" s="173"/>
      <c r="D49" s="15">
        <v>24</v>
      </c>
      <c r="E49" s="16">
        <v>0.55555555555555602</v>
      </c>
      <c r="F49" s="15">
        <v>5</v>
      </c>
      <c r="G49" s="16">
        <v>0.5</v>
      </c>
      <c r="H49" s="15">
        <v>29</v>
      </c>
      <c r="I49" s="16">
        <v>0.55000000000000004</v>
      </c>
      <c r="AF49" s="14"/>
    </row>
    <row r="50" spans="1:32" ht="15" customHeight="1" x14ac:dyDescent="0.2">
      <c r="B50" s="178" t="s">
        <v>41</v>
      </c>
      <c r="C50" s="173"/>
      <c r="D50" s="12">
        <v>29</v>
      </c>
      <c r="E50" s="13">
        <v>0.31818181818181801</v>
      </c>
      <c r="F50" s="12">
        <v>43</v>
      </c>
      <c r="G50" s="13">
        <v>0.72972972972973005</v>
      </c>
      <c r="H50" s="12">
        <v>73</v>
      </c>
      <c r="I50" s="13">
        <v>0.57627118644067798</v>
      </c>
      <c r="AF50" s="14"/>
    </row>
    <row r="51" spans="1:32" ht="19.5" customHeight="1" x14ac:dyDescent="0.2">
      <c r="B51" s="170" t="s">
        <v>297</v>
      </c>
      <c r="C51" s="171"/>
      <c r="D51" s="17">
        <v>26</v>
      </c>
      <c r="E51" s="18">
        <v>0.71443410073272795</v>
      </c>
      <c r="F51" s="17">
        <v>42</v>
      </c>
      <c r="G51" s="18">
        <v>0.82624768915221602</v>
      </c>
      <c r="H51" s="17">
        <v>69</v>
      </c>
      <c r="I51" s="18">
        <v>0.78516122317798898</v>
      </c>
    </row>
    <row r="52" spans="1:32" ht="6" customHeight="1" x14ac:dyDescent="0.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</row>
    <row r="53" spans="1:32" ht="15" customHeight="1" x14ac:dyDescent="0.2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</row>
    <row r="54" spans="1:32" ht="15" customHeight="1" x14ac:dyDescent="0.2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</row>
    <row r="55" spans="1:32" ht="15" customHeight="1" x14ac:dyDescent="0.2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</row>
    <row r="56" spans="1:32" ht="15" customHeight="1" x14ac:dyDescent="0.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</row>
    <row r="57" spans="1:32" ht="15" customHeight="1" x14ac:dyDescent="0.2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</row>
    <row r="58" spans="1:32" ht="15" customHeight="1" x14ac:dyDescent="0.2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</row>
    <row r="59" spans="1:32" ht="15" customHeight="1" x14ac:dyDescent="0.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</row>
    <row r="60" spans="1:32" ht="15" customHeight="1" x14ac:dyDescent="0.2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</row>
    <row r="61" spans="1:32" ht="15" customHeight="1" x14ac:dyDescent="0.2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</row>
    <row r="62" spans="1:32" ht="15" customHeight="1" x14ac:dyDescent="0.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</row>
    <row r="63" spans="1:32" ht="15" customHeight="1" x14ac:dyDescent="0.2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</row>
    <row r="64" spans="1:32" ht="15" customHeight="1" x14ac:dyDescent="0.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</row>
    <row r="65" spans="1:19" ht="15" customHeight="1" x14ac:dyDescent="0.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</row>
  </sheetData>
  <mergeCells count="75">
    <mergeCell ref="B47:C47"/>
    <mergeCell ref="B16:C16"/>
    <mergeCell ref="A7:L7"/>
    <mergeCell ref="D10:E10"/>
    <mergeCell ref="H38:I38"/>
    <mergeCell ref="B25:C25"/>
    <mergeCell ref="F10:G10"/>
    <mergeCell ref="F16:G16"/>
    <mergeCell ref="H10:I10"/>
    <mergeCell ref="J14:K14"/>
    <mergeCell ref="D19:E19"/>
    <mergeCell ref="J10:K10"/>
    <mergeCell ref="F19:G19"/>
    <mergeCell ref="B46:C46"/>
    <mergeCell ref="J19:K19"/>
    <mergeCell ref="J13:K13"/>
    <mergeCell ref="H9:I9"/>
    <mergeCell ref="J22:K22"/>
    <mergeCell ref="J11:K12"/>
    <mergeCell ref="H17:I18"/>
    <mergeCell ref="B43:C43"/>
    <mergeCell ref="J9:K9"/>
    <mergeCell ref="B48:C48"/>
    <mergeCell ref="D13:E13"/>
    <mergeCell ref="B42:C42"/>
    <mergeCell ref="F11:G12"/>
    <mergeCell ref="B13:C13"/>
    <mergeCell ref="J17:K18"/>
    <mergeCell ref="D16:E16"/>
    <mergeCell ref="B22:C23"/>
    <mergeCell ref="B44:C44"/>
    <mergeCell ref="B29:C29"/>
    <mergeCell ref="H16:I16"/>
    <mergeCell ref="F38:G38"/>
    <mergeCell ref="J16:K16"/>
    <mergeCell ref="B19:C19"/>
    <mergeCell ref="F14:G14"/>
    <mergeCell ref="B37:I37"/>
    <mergeCell ref="F13:G13"/>
    <mergeCell ref="B9:C9"/>
    <mergeCell ref="H22:I22"/>
    <mergeCell ref="D9:E9"/>
    <mergeCell ref="H13:I13"/>
    <mergeCell ref="F9:G9"/>
    <mergeCell ref="B11:C12"/>
    <mergeCell ref="H11:I12"/>
    <mergeCell ref="B34:C34"/>
    <mergeCell ref="B10:C10"/>
    <mergeCell ref="B28:C28"/>
    <mergeCell ref="H19:I19"/>
    <mergeCell ref="F22:G22"/>
    <mergeCell ref="D22:E22"/>
    <mergeCell ref="B24:C24"/>
    <mergeCell ref="B30:C30"/>
    <mergeCell ref="B33:C33"/>
    <mergeCell ref="B17:C18"/>
    <mergeCell ref="D17:E18"/>
    <mergeCell ref="B31:C31"/>
    <mergeCell ref="B27:C27"/>
    <mergeCell ref="B51:C51"/>
    <mergeCell ref="D11:E12"/>
    <mergeCell ref="B45:C45"/>
    <mergeCell ref="D38:E38"/>
    <mergeCell ref="D14:E14"/>
    <mergeCell ref="B32:C32"/>
    <mergeCell ref="B26:C26"/>
    <mergeCell ref="B41:C41"/>
    <mergeCell ref="B38:C39"/>
    <mergeCell ref="B21:M21"/>
    <mergeCell ref="B50:C50"/>
    <mergeCell ref="F17:G18"/>
    <mergeCell ref="L22:M22"/>
    <mergeCell ref="B40:C40"/>
    <mergeCell ref="B49:C49"/>
    <mergeCell ref="H14:I1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92"/>
  <sheetViews>
    <sheetView showGridLines="0" topLeftCell="B1" zoomScaleNormal="100" workbookViewId="0">
      <selection activeCell="M83" sqref="M83"/>
    </sheetView>
  </sheetViews>
  <sheetFormatPr defaultColWidth="8.7421875" defaultRowHeight="15" x14ac:dyDescent="0.2"/>
  <cols>
    <col min="1" max="1" width="9.01171875" style="1" customWidth="1"/>
    <col min="2" max="2" width="43.98828125" style="1" customWidth="1"/>
    <col min="3" max="3" width="14.9296875" style="1" customWidth="1"/>
    <col min="4" max="4" width="2.95703125" style="1" hidden="1" customWidth="1"/>
    <col min="5" max="5" width="11.97265625" style="1" customWidth="1"/>
    <col min="6" max="6" width="9.953125" style="1" customWidth="1"/>
    <col min="7" max="18" width="7.93359375" style="1" customWidth="1"/>
    <col min="19" max="19" width="9.953125" style="1" customWidth="1"/>
    <col min="20" max="20" width="13.98828125" style="1" customWidth="1"/>
    <col min="22" max="22" width="9.01171875" style="1" customWidth="1"/>
    <col min="23" max="23" width="9.953125" style="1" customWidth="1"/>
    <col min="24" max="24" width="13.98828125" style="1" customWidth="1"/>
    <col min="25" max="25" width="16.0078125" style="1" customWidth="1"/>
  </cols>
  <sheetData>
    <row r="1" spans="1:24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4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4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4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spans="1:24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4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4" ht="21.75" customHeight="1" x14ac:dyDescent="0.2">
      <c r="A7" s="163" t="s">
        <v>298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</row>
    <row r="9" spans="1:24" ht="3.75" customHeight="1" x14ac:dyDescent="0.2">
      <c r="B9" s="167"/>
      <c r="C9" s="157"/>
      <c r="D9" s="168"/>
      <c r="E9" s="157"/>
      <c r="G9" s="161"/>
      <c r="H9" s="157"/>
      <c r="I9" s="162"/>
      <c r="J9" s="157"/>
    </row>
    <row r="10" spans="1:24" ht="21.75" customHeight="1" x14ac:dyDescent="0.2">
      <c r="B10" s="164" t="s">
        <v>299</v>
      </c>
      <c r="C10" s="157"/>
      <c r="D10" s="164" t="s">
        <v>271</v>
      </c>
      <c r="E10" s="157"/>
      <c r="G10" s="164" t="s">
        <v>272</v>
      </c>
      <c r="H10" s="157"/>
      <c r="I10" s="164" t="s">
        <v>273</v>
      </c>
      <c r="J10" s="157"/>
      <c r="N10" s="19"/>
      <c r="T10" s="19"/>
    </row>
    <row r="11" spans="1:24" ht="27.75" customHeight="1" x14ac:dyDescent="0.2">
      <c r="B11" s="169">
        <v>50</v>
      </c>
      <c r="C11" s="157"/>
      <c r="D11" s="156">
        <v>26</v>
      </c>
      <c r="E11" s="157"/>
      <c r="G11" s="165">
        <v>15</v>
      </c>
      <c r="H11" s="157"/>
      <c r="I11" s="166">
        <v>2</v>
      </c>
      <c r="J11" s="157"/>
      <c r="N11" s="20"/>
      <c r="T11" s="21"/>
    </row>
    <row r="12" spans="1:24" ht="27.75" customHeight="1" x14ac:dyDescent="0.2">
      <c r="B12" s="157"/>
      <c r="C12" s="157"/>
      <c r="D12" s="157"/>
      <c r="E12" s="157"/>
      <c r="G12" s="157"/>
      <c r="H12" s="157"/>
      <c r="I12" s="157"/>
      <c r="J12" s="157"/>
    </row>
    <row r="13" spans="1:24" ht="21.75" customHeight="1" x14ac:dyDescent="0.2">
      <c r="B13" s="160" t="s">
        <v>5</v>
      </c>
      <c r="C13" s="157"/>
      <c r="D13" s="160" t="s">
        <v>300</v>
      </c>
      <c r="E13" s="157"/>
      <c r="G13" s="160" t="s">
        <v>301</v>
      </c>
      <c r="H13" s="157"/>
      <c r="I13" s="160" t="s">
        <v>302</v>
      </c>
      <c r="J13" s="157"/>
      <c r="N13" s="22"/>
      <c r="T13" s="22"/>
    </row>
    <row r="14" spans="1:24" ht="31.5" customHeight="1" x14ac:dyDescent="0.2">
      <c r="B14" s="6" t="s">
        <v>303</v>
      </c>
      <c r="C14" s="7" t="s">
        <v>304</v>
      </c>
      <c r="D14" s="189"/>
      <c r="E14" s="157"/>
      <c r="G14" s="189"/>
      <c r="H14" s="157"/>
      <c r="I14" s="189"/>
      <c r="J14" s="157"/>
    </row>
    <row r="16" spans="1:24" ht="24" customHeight="1" x14ac:dyDescent="0.2">
      <c r="B16" s="159" t="s">
        <v>11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</row>
    <row r="17" spans="2:23" ht="24" customHeight="1" x14ac:dyDescent="0.2">
      <c r="B17" s="23" t="s">
        <v>12</v>
      </c>
      <c r="C17" s="23" t="s">
        <v>13</v>
      </c>
      <c r="D17" s="23" t="s">
        <v>14</v>
      </c>
      <c r="E17" s="23" t="s">
        <v>15</v>
      </c>
      <c r="F17" s="23" t="s">
        <v>16</v>
      </c>
      <c r="G17" s="23" t="s">
        <v>17</v>
      </c>
    </row>
    <row r="18" spans="2:23" ht="21.75" customHeight="1" x14ac:dyDescent="0.2">
      <c r="B18" s="24" t="s">
        <v>238</v>
      </c>
      <c r="C18" s="25">
        <v>4</v>
      </c>
      <c r="D18" s="26">
        <v>4</v>
      </c>
      <c r="E18" s="27">
        <v>0</v>
      </c>
      <c r="F18" s="28">
        <v>0</v>
      </c>
      <c r="G18" s="29">
        <v>1</v>
      </c>
    </row>
    <row r="19" spans="2:23" ht="21.75" customHeight="1" x14ac:dyDescent="0.2">
      <c r="B19" s="30" t="s">
        <v>21</v>
      </c>
      <c r="C19" s="31">
        <v>19</v>
      </c>
      <c r="D19" s="32">
        <v>7</v>
      </c>
      <c r="E19" s="33">
        <v>6</v>
      </c>
      <c r="F19" s="34">
        <v>1</v>
      </c>
      <c r="G19" s="35">
        <v>0.53846153846153799</v>
      </c>
    </row>
    <row r="20" spans="2:23" ht="21.75" customHeight="1" x14ac:dyDescent="0.2">
      <c r="B20" s="30" t="s">
        <v>20</v>
      </c>
      <c r="C20" s="31">
        <v>16</v>
      </c>
      <c r="D20" s="32">
        <v>10</v>
      </c>
      <c r="E20" s="33">
        <v>4</v>
      </c>
      <c r="F20" s="34">
        <v>0</v>
      </c>
      <c r="G20" s="35">
        <v>0.71428571428571397</v>
      </c>
    </row>
    <row r="21" spans="2:23" ht="21.75" customHeight="1" x14ac:dyDescent="0.2">
      <c r="B21" s="30" t="s">
        <v>23</v>
      </c>
      <c r="C21" s="31">
        <v>1</v>
      </c>
      <c r="D21" s="32">
        <v>0</v>
      </c>
      <c r="E21" s="33">
        <v>0</v>
      </c>
      <c r="F21" s="34">
        <v>0</v>
      </c>
      <c r="G21" s="35" t="s">
        <v>24</v>
      </c>
    </row>
    <row r="22" spans="2:23" ht="21.75" customHeight="1" x14ac:dyDescent="0.2">
      <c r="B22" s="24" t="s">
        <v>19</v>
      </c>
      <c r="C22" s="25">
        <v>9</v>
      </c>
      <c r="D22" s="26">
        <v>3</v>
      </c>
      <c r="E22" s="27">
        <v>5</v>
      </c>
      <c r="F22" s="28">
        <v>1</v>
      </c>
      <c r="G22" s="29">
        <v>0.375</v>
      </c>
    </row>
    <row r="23" spans="2:23" ht="21.75" customHeight="1" x14ac:dyDescent="0.2">
      <c r="B23" s="24" t="s">
        <v>25</v>
      </c>
      <c r="C23" s="25">
        <v>1</v>
      </c>
      <c r="D23" s="26">
        <v>0</v>
      </c>
      <c r="E23" s="27">
        <v>1</v>
      </c>
      <c r="F23" s="28">
        <v>0</v>
      </c>
      <c r="G23" s="29">
        <v>0</v>
      </c>
    </row>
    <row r="24" spans="2:23" ht="25.5" customHeight="1" x14ac:dyDescent="0.2">
      <c r="B24" s="36" t="s">
        <v>28</v>
      </c>
      <c r="C24" s="37">
        <v>50</v>
      </c>
      <c r="D24" s="38">
        <v>24</v>
      </c>
      <c r="E24" s="38">
        <v>16</v>
      </c>
      <c r="F24" s="38">
        <v>2</v>
      </c>
      <c r="G24" s="39">
        <v>0.6</v>
      </c>
    </row>
    <row r="26" spans="2:23" ht="24" customHeight="1" x14ac:dyDescent="0.2">
      <c r="B26" s="159" t="s">
        <v>305</v>
      </c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  <c r="R26" s="157"/>
      <c r="S26" s="157"/>
      <c r="T26" s="157"/>
      <c r="U26" s="157"/>
      <c r="V26" s="157"/>
      <c r="W26" s="157"/>
    </row>
    <row r="27" spans="2:23" ht="24" customHeight="1" x14ac:dyDescent="0.2">
      <c r="B27" s="23" t="s">
        <v>30</v>
      </c>
      <c r="C27" s="23" t="s">
        <v>13</v>
      </c>
      <c r="D27" s="23" t="s">
        <v>14</v>
      </c>
      <c r="E27" s="23" t="s">
        <v>15</v>
      </c>
      <c r="F27" s="23" t="s">
        <v>16</v>
      </c>
      <c r="G27" s="23" t="s">
        <v>17</v>
      </c>
    </row>
    <row r="28" spans="2:23" ht="21.75" customHeight="1" x14ac:dyDescent="0.2">
      <c r="B28" s="30" t="s">
        <v>32</v>
      </c>
      <c r="C28" s="40">
        <v>25</v>
      </c>
      <c r="D28" s="32">
        <v>17</v>
      </c>
      <c r="E28" s="33">
        <v>1</v>
      </c>
      <c r="F28" s="34">
        <v>1</v>
      </c>
      <c r="G28" s="35">
        <v>0.94444444444444398</v>
      </c>
    </row>
    <row r="29" spans="2:23" ht="21.75" customHeight="1" x14ac:dyDescent="0.2">
      <c r="B29" s="24" t="s">
        <v>34</v>
      </c>
      <c r="C29" s="41">
        <v>25</v>
      </c>
      <c r="D29" s="26">
        <v>17</v>
      </c>
      <c r="E29" s="27">
        <v>1</v>
      </c>
      <c r="F29" s="28">
        <v>2</v>
      </c>
      <c r="G29" s="29">
        <v>0.94444444444444398</v>
      </c>
    </row>
    <row r="30" spans="2:23" ht="21.75" customHeight="1" x14ac:dyDescent="0.2">
      <c r="B30" s="30" t="s">
        <v>37</v>
      </c>
      <c r="C30" s="40">
        <v>23</v>
      </c>
      <c r="D30" s="32">
        <v>13</v>
      </c>
      <c r="E30" s="33">
        <v>3</v>
      </c>
      <c r="F30" s="34">
        <v>2</v>
      </c>
      <c r="G30" s="35">
        <v>0.8125</v>
      </c>
    </row>
    <row r="31" spans="2:23" ht="21.75" customHeight="1" x14ac:dyDescent="0.2">
      <c r="B31" s="30" t="s">
        <v>36</v>
      </c>
      <c r="C31" s="40">
        <v>25</v>
      </c>
      <c r="D31" s="32">
        <v>15</v>
      </c>
      <c r="E31" s="33">
        <v>4</v>
      </c>
      <c r="F31" s="34">
        <v>1</v>
      </c>
      <c r="G31" s="35">
        <v>0.78947368421052599</v>
      </c>
    </row>
    <row r="32" spans="2:23" ht="21.75" customHeight="1" x14ac:dyDescent="0.2">
      <c r="B32" s="24" t="s">
        <v>33</v>
      </c>
      <c r="C32" s="41">
        <v>25</v>
      </c>
      <c r="D32" s="26">
        <v>14</v>
      </c>
      <c r="E32" s="27">
        <v>5</v>
      </c>
      <c r="F32" s="28">
        <v>1</v>
      </c>
      <c r="G32" s="29">
        <v>0.73684210526315796</v>
      </c>
    </row>
    <row r="33" spans="1:26" ht="21.75" customHeight="1" x14ac:dyDescent="0.2">
      <c r="B33" s="24" t="s">
        <v>40</v>
      </c>
      <c r="C33" s="41">
        <v>29</v>
      </c>
      <c r="D33" s="26">
        <v>17</v>
      </c>
      <c r="E33" s="27">
        <v>6</v>
      </c>
      <c r="F33" s="28">
        <v>1</v>
      </c>
      <c r="G33" s="29">
        <v>0.73913043478260898</v>
      </c>
    </row>
    <row r="34" spans="1:26" ht="21.75" customHeight="1" x14ac:dyDescent="0.2">
      <c r="B34" s="24" t="s">
        <v>31</v>
      </c>
      <c r="C34" s="41">
        <v>25</v>
      </c>
      <c r="D34" s="26">
        <v>13</v>
      </c>
      <c r="E34" s="27">
        <v>6</v>
      </c>
      <c r="F34" s="28">
        <v>1</v>
      </c>
      <c r="G34" s="29">
        <v>0.68421052631579005</v>
      </c>
    </row>
    <row r="35" spans="1:26" ht="21.75" customHeight="1" x14ac:dyDescent="0.2">
      <c r="B35" s="24" t="s">
        <v>35</v>
      </c>
      <c r="C35" s="41">
        <v>30</v>
      </c>
      <c r="D35" s="26">
        <v>15</v>
      </c>
      <c r="E35" s="27">
        <v>8</v>
      </c>
      <c r="F35" s="28">
        <v>2</v>
      </c>
      <c r="G35" s="29">
        <v>0.65217391304347805</v>
      </c>
    </row>
    <row r="36" spans="1:26" ht="21.75" customHeight="1" x14ac:dyDescent="0.2">
      <c r="B36" s="30" t="s">
        <v>39</v>
      </c>
      <c r="C36" s="40">
        <v>28</v>
      </c>
      <c r="D36" s="32">
        <v>15</v>
      </c>
      <c r="E36" s="33">
        <v>7</v>
      </c>
      <c r="F36" s="34">
        <v>1</v>
      </c>
      <c r="G36" s="35">
        <v>0.68181818181818199</v>
      </c>
    </row>
    <row r="37" spans="1:26" ht="21.75" customHeight="1" x14ac:dyDescent="0.2">
      <c r="B37" s="30" t="s">
        <v>38</v>
      </c>
      <c r="C37" s="40">
        <v>24</v>
      </c>
      <c r="D37" s="32">
        <v>10</v>
      </c>
      <c r="E37" s="33">
        <v>8</v>
      </c>
      <c r="F37" s="34">
        <v>1</v>
      </c>
      <c r="G37" s="35">
        <v>0.55555555555555602</v>
      </c>
    </row>
    <row r="38" spans="1:26" ht="21.75" customHeight="1" x14ac:dyDescent="0.2">
      <c r="B38" s="30" t="s">
        <v>41</v>
      </c>
      <c r="C38" s="40">
        <v>29</v>
      </c>
      <c r="D38" s="32">
        <v>7</v>
      </c>
      <c r="E38" s="33">
        <v>15</v>
      </c>
      <c r="F38" s="34">
        <v>2</v>
      </c>
      <c r="G38" s="35">
        <v>0.31818181818181801</v>
      </c>
    </row>
    <row r="40" spans="1:26" ht="15.75" customHeight="1" x14ac:dyDescent="0.2"/>
    <row r="45" spans="1:26" ht="25.5" customHeight="1" x14ac:dyDescent="0.2">
      <c r="A45" s="42" t="s">
        <v>42</v>
      </c>
      <c r="B45" s="42" t="s">
        <v>43</v>
      </c>
      <c r="C45" s="42" t="s">
        <v>44</v>
      </c>
      <c r="D45" s="42" t="s">
        <v>45</v>
      </c>
      <c r="E45" s="42" t="s">
        <v>46</v>
      </c>
      <c r="F45" s="42" t="s">
        <v>47</v>
      </c>
      <c r="G45" s="42" t="s">
        <v>306</v>
      </c>
      <c r="H45" s="42" t="s">
        <v>307</v>
      </c>
      <c r="I45" s="42" t="s">
        <v>308</v>
      </c>
      <c r="J45" s="42" t="s">
        <v>48</v>
      </c>
      <c r="K45" s="42" t="s">
        <v>309</v>
      </c>
      <c r="L45" s="42" t="s">
        <v>310</v>
      </c>
      <c r="M45" s="42" t="s">
        <v>311</v>
      </c>
      <c r="N45" s="42" t="s">
        <v>49</v>
      </c>
      <c r="O45" s="42" t="s">
        <v>312</v>
      </c>
      <c r="P45" s="42" t="s">
        <v>313</v>
      </c>
      <c r="Q45" s="42" t="s">
        <v>314</v>
      </c>
      <c r="R45" s="42" t="s">
        <v>50</v>
      </c>
      <c r="S45" s="42" t="s">
        <v>315</v>
      </c>
      <c r="T45" s="42" t="s">
        <v>316</v>
      </c>
      <c r="U45" s="42" t="s">
        <v>317</v>
      </c>
      <c r="V45" s="42" t="s">
        <v>51</v>
      </c>
      <c r="W45" s="42" t="s">
        <v>52</v>
      </c>
      <c r="X45" s="42" t="s">
        <v>53</v>
      </c>
      <c r="Y45" s="43" t="s">
        <v>54</v>
      </c>
      <c r="Z45" s="43" t="s">
        <v>55</v>
      </c>
    </row>
    <row r="46" spans="1:26" ht="25.5" customHeight="1" x14ac:dyDescent="0.2">
      <c r="A46" s="44" t="s">
        <v>318</v>
      </c>
      <c r="B46" s="45" t="s">
        <v>319</v>
      </c>
      <c r="C46" s="46" t="s">
        <v>21</v>
      </c>
      <c r="D46" s="46" t="s">
        <v>64</v>
      </c>
      <c r="E46" s="47" t="s">
        <v>89</v>
      </c>
      <c r="F46" s="48">
        <v>3</v>
      </c>
      <c r="G46" s="49">
        <v>3</v>
      </c>
      <c r="H46" s="49">
        <v>3</v>
      </c>
      <c r="I46" s="49">
        <v>3</v>
      </c>
      <c r="J46" s="50">
        <f>IF(COUNT(G46:I46)=0,"",AVERAGE(G46:I46))</f>
        <v>3</v>
      </c>
      <c r="K46" s="49">
        <v>3</v>
      </c>
      <c r="L46" s="49">
        <v>3</v>
      </c>
      <c r="M46" s="49">
        <v>3</v>
      </c>
      <c r="N46" s="48">
        <f>IF(COUNT(K46:M46)=0,"",AVERAGE(K46:M46))</f>
        <v>3</v>
      </c>
      <c r="O46" s="49"/>
      <c r="P46" s="49"/>
      <c r="Q46" s="49"/>
      <c r="R46" s="48" t="str">
        <f>IF(COUNT(O46:Q46)=0,"",AVERAGE(O46:Q46))</f>
        <v/>
      </c>
      <c r="S46" s="49"/>
      <c r="T46" s="49"/>
      <c r="U46" s="49"/>
      <c r="V46" s="48" t="str">
        <f>IF(COUNT(S46:U46)=0,"",AVERAGE(S46:U46))</f>
        <v/>
      </c>
      <c r="W46" s="51">
        <v>33</v>
      </c>
      <c r="X46" s="52" t="s">
        <v>91</v>
      </c>
      <c r="Y46" s="53" t="s">
        <v>128</v>
      </c>
      <c r="Z46" s="1" t="s">
        <v>61</v>
      </c>
    </row>
    <row r="47" spans="1:26" ht="25.5" customHeight="1" x14ac:dyDescent="0.2">
      <c r="A47" s="44" t="s">
        <v>320</v>
      </c>
      <c r="B47" s="45" t="s">
        <v>321</v>
      </c>
      <c r="C47" s="46" t="s">
        <v>21</v>
      </c>
      <c r="D47" s="46" t="s">
        <v>64</v>
      </c>
      <c r="E47" s="54">
        <v>12.8</v>
      </c>
      <c r="F47" s="55">
        <v>10.88</v>
      </c>
      <c r="G47" s="56">
        <v>0</v>
      </c>
      <c r="H47" s="56">
        <v>0.95292181069958903</v>
      </c>
      <c r="I47" s="56">
        <v>0.99019170753455199</v>
      </c>
      <c r="J47" s="57">
        <f>IF(COUNT(G47:I47)=0,"",AVERAGE(G47:I47))</f>
        <v>0.64770450607804697</v>
      </c>
      <c r="K47" s="58">
        <v>0.98497339037879605</v>
      </c>
      <c r="L47" s="58">
        <v>10.9</v>
      </c>
      <c r="M47" s="58">
        <v>3</v>
      </c>
      <c r="N47" s="59">
        <f>IF(COUNT(K47:M47)=0,"",AVERAGE(K47:M47))</f>
        <v>4.9616577967929318</v>
      </c>
      <c r="O47" s="58"/>
      <c r="P47" s="58"/>
      <c r="Q47" s="58"/>
      <c r="R47" s="59" t="str">
        <f>IF(COUNT(O47:Q47)=0,"",AVERAGE(O47:Q47))</f>
        <v/>
      </c>
      <c r="S47" s="58"/>
      <c r="T47" s="58"/>
      <c r="U47" s="58"/>
      <c r="V47" s="59" t="str">
        <f>IF(COUNT(S47:U47)=0,"",AVERAGE(S47:U47))</f>
        <v/>
      </c>
      <c r="W47" s="60">
        <v>0.73202172715323399</v>
      </c>
      <c r="X47" s="61" t="s">
        <v>59</v>
      </c>
      <c r="Y47" s="53" t="s">
        <v>186</v>
      </c>
      <c r="Z47" s="1" t="s">
        <v>61</v>
      </c>
    </row>
    <row r="48" spans="1:26" ht="25.5" customHeight="1" x14ac:dyDescent="0.2">
      <c r="A48" s="44" t="s">
        <v>322</v>
      </c>
      <c r="B48" s="45" t="s">
        <v>323</v>
      </c>
      <c r="C48" s="46" t="s">
        <v>21</v>
      </c>
      <c r="D48" s="46" t="s">
        <v>64</v>
      </c>
      <c r="E48" s="54">
        <v>5</v>
      </c>
      <c r="F48" s="55">
        <v>4.25</v>
      </c>
      <c r="G48" s="56">
        <v>0</v>
      </c>
      <c r="H48" s="56">
        <v>0</v>
      </c>
      <c r="I48" s="56">
        <v>0.921875</v>
      </c>
      <c r="J48" s="57">
        <f>IF(COUNT(G48:I48)=0,"",AVERAGE(G48:I48))</f>
        <v>0.30729166666666669</v>
      </c>
      <c r="K48" s="58">
        <v>0.98823529411764699</v>
      </c>
      <c r="L48" s="58">
        <v>4</v>
      </c>
      <c r="M48" s="58">
        <v>4</v>
      </c>
      <c r="N48" s="59">
        <f>IF(COUNT(K48:M48)=0,"",AVERAGE(K48:M48))</f>
        <v>2.996078431372549</v>
      </c>
      <c r="O48" s="58"/>
      <c r="P48" s="58"/>
      <c r="Q48" s="58"/>
      <c r="R48" s="59" t="str">
        <f>IF(COUNT(O48:Q48)=0,"",AVERAGE(O48:Q48))</f>
        <v/>
      </c>
      <c r="S48" s="58"/>
      <c r="T48" s="58"/>
      <c r="U48" s="58"/>
      <c r="V48" s="59" t="str">
        <f>IF(COUNT(S48:U48)=0,"",AVERAGE(S48:U48))</f>
        <v/>
      </c>
      <c r="W48" s="60">
        <v>0.477527573529412</v>
      </c>
      <c r="X48" s="61" t="s">
        <v>59</v>
      </c>
      <c r="Y48" s="53" t="s">
        <v>186</v>
      </c>
      <c r="Z48" s="1" t="s">
        <v>61</v>
      </c>
    </row>
    <row r="49" spans="1:26" ht="25.5" customHeight="1" x14ac:dyDescent="0.2">
      <c r="A49" s="44" t="s">
        <v>324</v>
      </c>
      <c r="B49" s="45" t="s">
        <v>325</v>
      </c>
      <c r="C49" s="46" t="s">
        <v>21</v>
      </c>
      <c r="D49" s="46" t="s">
        <v>58</v>
      </c>
      <c r="E49" s="62">
        <v>0.96099999999999997</v>
      </c>
      <c r="F49" s="63">
        <v>0.96689999999999998</v>
      </c>
      <c r="G49" s="64">
        <v>0.99250000000000005</v>
      </c>
      <c r="H49" s="64">
        <v>0.98</v>
      </c>
      <c r="I49" s="64">
        <v>0.99750000000000005</v>
      </c>
      <c r="J49" s="63">
        <f>IF(COUNT(G49:I49)=0,"",AVERAGE(G49:I49))</f>
        <v>0.9900000000000001</v>
      </c>
      <c r="K49" s="65">
        <v>0.99750000000000005</v>
      </c>
      <c r="L49" s="65">
        <v>0.91</v>
      </c>
      <c r="M49" s="65">
        <v>0.96</v>
      </c>
      <c r="N49" s="66">
        <f>IF(COUNT(K49:M49)=0,"",AVERAGE(K49:M49))</f>
        <v>0.95583333333333342</v>
      </c>
      <c r="O49" s="65"/>
      <c r="P49" s="65"/>
      <c r="Q49" s="65"/>
      <c r="R49" s="66" t="str">
        <f>IF(COUNT(O49:Q49)=0,"",AVERAGE(O49:Q49))</f>
        <v/>
      </c>
      <c r="S49" s="65"/>
      <c r="T49" s="65"/>
      <c r="U49" s="65"/>
      <c r="V49" s="66" t="str">
        <f>IF(COUNT(S49:U49)=0,"",AVERAGE(S49:U49))</f>
        <v/>
      </c>
      <c r="W49" s="67">
        <v>0.99187499999999995</v>
      </c>
      <c r="X49" s="68" t="s">
        <v>59</v>
      </c>
      <c r="Y49" s="53" t="s">
        <v>186</v>
      </c>
      <c r="Z49" s="1" t="s">
        <v>61</v>
      </c>
    </row>
    <row r="50" spans="1:26" ht="25.5" customHeight="1" x14ac:dyDescent="0.2">
      <c r="A50" s="44" t="s">
        <v>326</v>
      </c>
      <c r="B50" s="45" t="s">
        <v>327</v>
      </c>
      <c r="C50" s="46" t="s">
        <v>21</v>
      </c>
      <c r="D50" s="46" t="s">
        <v>64</v>
      </c>
      <c r="E50" s="62">
        <v>1.7000000000000001E-2</v>
      </c>
      <c r="F50" s="63">
        <v>1.4500000000000001E-2</v>
      </c>
      <c r="G50" s="64">
        <v>1.7660995046306301E-2</v>
      </c>
      <c r="H50" s="64">
        <v>2.5201351000259799E-2</v>
      </c>
      <c r="I50" s="64">
        <v>1.85919682697075E-2</v>
      </c>
      <c r="J50" s="63">
        <f>IF(COUNT(G50:I50)=0,"",AVERAGE(G50:I50))</f>
        <v>2.0484771438757866E-2</v>
      </c>
      <c r="K50" s="65">
        <v>1.8854748603352001E-2</v>
      </c>
      <c r="L50" s="65">
        <v>1.1733716475095799E-2</v>
      </c>
      <c r="M50" s="65">
        <v>1.39810426540284E-2</v>
      </c>
      <c r="N50" s="66">
        <f>IF(COUNT(K50:M50)=0,"",AVERAGE(K50:M50))</f>
        <v>1.4856502577492067E-2</v>
      </c>
      <c r="O50" s="65"/>
      <c r="P50" s="65"/>
      <c r="Q50" s="65"/>
      <c r="R50" s="66" t="str">
        <f>IF(COUNT(O50:Q50)=0,"",AVERAGE(O50:Q50))</f>
        <v/>
      </c>
      <c r="S50" s="65"/>
      <c r="T50" s="65"/>
      <c r="U50" s="65"/>
      <c r="V50" s="66" t="str">
        <f>IF(COUNT(S50:U50)=0,"",AVERAGE(S50:U50))</f>
        <v/>
      </c>
      <c r="W50" s="67">
        <v>2.00772657299064E-2</v>
      </c>
      <c r="X50" s="68" t="s">
        <v>67</v>
      </c>
      <c r="Y50" s="53" t="s">
        <v>128</v>
      </c>
      <c r="Z50" s="1" t="s">
        <v>61</v>
      </c>
    </row>
    <row r="51" spans="1:26" ht="25.5" customHeight="1" x14ac:dyDescent="0.2">
      <c r="A51" s="44" t="s">
        <v>328</v>
      </c>
      <c r="B51" s="45" t="s">
        <v>329</v>
      </c>
      <c r="C51" s="46" t="s">
        <v>21</v>
      </c>
      <c r="D51" s="46" t="s">
        <v>58</v>
      </c>
      <c r="E51" s="62">
        <v>1</v>
      </c>
      <c r="F51" s="63">
        <v>1</v>
      </c>
      <c r="G51" s="64">
        <v>1</v>
      </c>
      <c r="H51" s="64">
        <v>1</v>
      </c>
      <c r="I51" s="64">
        <v>1</v>
      </c>
      <c r="J51" s="63">
        <f>IF(COUNT(G51:I51)=0,"",AVERAGE(G51:I51))</f>
        <v>1</v>
      </c>
      <c r="K51" s="65">
        <v>1</v>
      </c>
      <c r="L51" s="65">
        <v>1</v>
      </c>
      <c r="M51" s="65">
        <v>1</v>
      </c>
      <c r="N51" s="66">
        <f>IF(COUNT(K51:M51)=0,"",AVERAGE(K51:M51))</f>
        <v>1</v>
      </c>
      <c r="O51" s="65"/>
      <c r="P51" s="65"/>
      <c r="Q51" s="65"/>
      <c r="R51" s="66" t="str">
        <f>IF(COUNT(O51:Q51)=0,"",AVERAGE(O51:Q51))</f>
        <v/>
      </c>
      <c r="S51" s="65"/>
      <c r="T51" s="65"/>
      <c r="U51" s="65"/>
      <c r="V51" s="66" t="str">
        <f>IF(COUNT(S51:U51)=0,"",AVERAGE(S51:U51))</f>
        <v/>
      </c>
      <c r="W51" s="67">
        <v>1</v>
      </c>
      <c r="X51" s="68" t="s">
        <v>59</v>
      </c>
      <c r="Y51" s="53" t="s">
        <v>128</v>
      </c>
      <c r="Z51" s="1" t="s">
        <v>61</v>
      </c>
    </row>
    <row r="52" spans="1:26" ht="25.5" customHeight="1" x14ac:dyDescent="0.2">
      <c r="A52" s="44" t="s">
        <v>330</v>
      </c>
      <c r="B52" s="45" t="s">
        <v>331</v>
      </c>
      <c r="C52" s="46" t="s">
        <v>21</v>
      </c>
      <c r="D52" s="46" t="s">
        <v>64</v>
      </c>
      <c r="E52" s="69">
        <v>5.4000000000000003E-3</v>
      </c>
      <c r="F52" s="63">
        <v>4.5999999999999999E-3</v>
      </c>
      <c r="G52" s="64">
        <v>1.2096774193548401E-3</v>
      </c>
      <c r="H52" s="64">
        <v>2.9761904761904803E-4</v>
      </c>
      <c r="I52" s="64">
        <v>1.88172043010753E-3</v>
      </c>
      <c r="J52" s="63">
        <f>IF(COUNT(G52:I52)=0,"",AVERAGE(G52:I52))</f>
        <v>1.1296722990271394E-3</v>
      </c>
      <c r="K52" s="65">
        <v>4.1666666666666701E-3</v>
      </c>
      <c r="L52" s="65">
        <v>4.0322580645161301E-4</v>
      </c>
      <c r="M52" s="65">
        <v>8.3333333333333295E-4</v>
      </c>
      <c r="N52" s="66">
        <f>IF(COUNT(K52:M52)=0,"",AVERAGE(K52:M52))</f>
        <v>1.8010752688172053E-3</v>
      </c>
      <c r="O52" s="65"/>
      <c r="P52" s="65"/>
      <c r="Q52" s="65"/>
      <c r="R52" s="66" t="str">
        <f>IF(COUNT(O52:Q52)=0,"",AVERAGE(O52:Q52))</f>
        <v/>
      </c>
      <c r="S52" s="65"/>
      <c r="T52" s="65"/>
      <c r="U52" s="65"/>
      <c r="V52" s="66" t="str">
        <f>IF(COUNT(S52:U52)=0,"",AVERAGE(S52:U52))</f>
        <v/>
      </c>
      <c r="W52" s="67">
        <v>1.88892089093702E-3</v>
      </c>
      <c r="X52" s="70" t="s">
        <v>67</v>
      </c>
      <c r="Y52" s="53" t="s">
        <v>128</v>
      </c>
      <c r="Z52" s="1" t="s">
        <v>61</v>
      </c>
    </row>
    <row r="53" spans="1:26" ht="25.5" customHeight="1" x14ac:dyDescent="0.2">
      <c r="A53" s="44" t="s">
        <v>332</v>
      </c>
      <c r="B53" s="45" t="s">
        <v>333</v>
      </c>
      <c r="C53" s="46" t="s">
        <v>21</v>
      </c>
      <c r="D53" s="46" t="s">
        <v>64</v>
      </c>
      <c r="E53" s="62" t="s">
        <v>89</v>
      </c>
      <c r="F53" s="66" t="s">
        <v>89</v>
      </c>
      <c r="G53" s="56">
        <v>5.6898714170635002E-2</v>
      </c>
      <c r="H53" s="56">
        <v>3.6839947383706002E-2</v>
      </c>
      <c r="I53" s="56">
        <v>3.9020006178791797E-2</v>
      </c>
      <c r="J53" s="57">
        <f>IF(COUNT(G53:I53)=0,"",AVERAGE(G53:I53))</f>
        <v>4.4252889244377598E-2</v>
      </c>
      <c r="K53" s="65">
        <v>3.1653660349312503E-2</v>
      </c>
      <c r="L53" s="65">
        <v>3.96108723639595E-2</v>
      </c>
      <c r="M53" s="65">
        <v>4.3309942156702801E-2</v>
      </c>
      <c r="N53" s="66">
        <f>IF(COUNT(K53:M53)=0,"",AVERAGE(K53:M53))</f>
        <v>3.8191491623324934E-2</v>
      </c>
      <c r="O53" s="65"/>
      <c r="P53" s="65"/>
      <c r="Q53" s="65"/>
      <c r="R53" s="66" t="str">
        <f>IF(COUNT(O53:Q53)=0,"",AVERAGE(O53:Q53))</f>
        <v/>
      </c>
      <c r="S53" s="65"/>
      <c r="T53" s="65"/>
      <c r="U53" s="65"/>
      <c r="V53" s="66" t="str">
        <f>IF(COUNT(S53:U53)=0,"",AVERAGE(S53:U53))</f>
        <v/>
      </c>
      <c r="W53" s="67">
        <v>4.1103082020611303E-2</v>
      </c>
      <c r="X53" s="68" t="s">
        <v>71</v>
      </c>
      <c r="Y53" s="53" t="s">
        <v>128</v>
      </c>
      <c r="Z53" s="1" t="s">
        <v>61</v>
      </c>
    </row>
    <row r="54" spans="1:26" ht="25.5" customHeight="1" x14ac:dyDescent="0.2">
      <c r="A54" s="44" t="s">
        <v>334</v>
      </c>
      <c r="B54" s="45" t="s">
        <v>335</v>
      </c>
      <c r="C54" s="46" t="s">
        <v>21</v>
      </c>
      <c r="D54" s="46" t="s">
        <v>64</v>
      </c>
      <c r="E54" s="71">
        <v>23.2</v>
      </c>
      <c r="F54" s="72">
        <v>19.72</v>
      </c>
      <c r="G54" s="56">
        <v>12.955882352941201</v>
      </c>
      <c r="H54" s="56">
        <v>12.176470588235301</v>
      </c>
      <c r="I54" s="56">
        <v>11.7916666666667</v>
      </c>
      <c r="J54" s="57">
        <f>IF(COUNT(G54:I54)=0,"",AVERAGE(G54:I54))</f>
        <v>12.308006535947733</v>
      </c>
      <c r="K54" s="73">
        <v>15.927272727272699</v>
      </c>
      <c r="L54" s="73">
        <v>14.1576086956522</v>
      </c>
      <c r="M54" s="73">
        <v>15.473333333333301</v>
      </c>
      <c r="N54" s="74">
        <f>IF(COUNT(K54:M54)=0,"",AVERAGE(K54:M54))</f>
        <v>15.1860715854194</v>
      </c>
      <c r="O54" s="73"/>
      <c r="P54" s="73"/>
      <c r="Q54" s="73"/>
      <c r="R54" s="74" t="str">
        <f>IF(COUNT(O54:Q54)=0,"",AVERAGE(O54:Q54))</f>
        <v/>
      </c>
      <c r="S54" s="73"/>
      <c r="T54" s="73"/>
      <c r="U54" s="73"/>
      <c r="V54" s="74" t="str">
        <f>IF(COUNT(S54:U54)=0,"",AVERAGE(S54:U54))</f>
        <v/>
      </c>
      <c r="W54" s="75">
        <v>13.212823083779</v>
      </c>
      <c r="X54" s="76" t="s">
        <v>59</v>
      </c>
      <c r="Y54" s="53" t="s">
        <v>128</v>
      </c>
      <c r="Z54" s="1" t="s">
        <v>61</v>
      </c>
    </row>
    <row r="55" spans="1:26" ht="25.5" customHeight="1" x14ac:dyDescent="0.2">
      <c r="A55" s="44" t="s">
        <v>336</v>
      </c>
      <c r="B55" s="45" t="s">
        <v>337</v>
      </c>
      <c r="C55" s="46" t="s">
        <v>21</v>
      </c>
      <c r="D55" s="46" t="s">
        <v>58</v>
      </c>
      <c r="E55" s="62">
        <v>0.96</v>
      </c>
      <c r="F55" s="63">
        <v>0.97</v>
      </c>
      <c r="G55" s="64">
        <v>0.96557971014492805</v>
      </c>
      <c r="H55" s="64">
        <v>0.95475319926873903</v>
      </c>
      <c r="I55" s="64">
        <v>0.98951310861423203</v>
      </c>
      <c r="J55" s="63">
        <f>IF(COUNT(G55:I55)=0,"",AVERAGE(G55:I55))</f>
        <v>0.96994867267596641</v>
      </c>
      <c r="K55" s="65">
        <v>0.98507917174177795</v>
      </c>
      <c r="L55" s="65">
        <v>0.85476815398075301</v>
      </c>
      <c r="M55" s="65">
        <v>0.95599999999999996</v>
      </c>
      <c r="N55" s="66">
        <f>IF(COUNT(K55:M55)=0,"",AVERAGE(K55:M55))</f>
        <v>0.93194910857417701</v>
      </c>
      <c r="O55" s="65"/>
      <c r="P55" s="65"/>
      <c r="Q55" s="65"/>
      <c r="R55" s="66" t="str">
        <f>IF(COUNT(O55:Q55)=0,"",AVERAGE(O55:Q55))</f>
        <v/>
      </c>
      <c r="S55" s="65"/>
      <c r="T55" s="65"/>
      <c r="U55" s="65"/>
      <c r="V55" s="66" t="str">
        <f>IF(COUNT(S55:U55)=0,"",AVERAGE(S55:U55))</f>
        <v/>
      </c>
      <c r="W55" s="67">
        <v>0.97373129744241904</v>
      </c>
      <c r="X55" s="68" t="s">
        <v>67</v>
      </c>
      <c r="Y55" s="53" t="s">
        <v>128</v>
      </c>
      <c r="Z55" s="1" t="s">
        <v>61</v>
      </c>
    </row>
    <row r="56" spans="1:26" ht="25.5" customHeight="1" x14ac:dyDescent="0.2">
      <c r="A56" s="44" t="s">
        <v>338</v>
      </c>
      <c r="B56" s="45" t="s">
        <v>339</v>
      </c>
      <c r="C56" s="46" t="s">
        <v>21</v>
      </c>
      <c r="D56" s="46" t="s">
        <v>58</v>
      </c>
      <c r="E56" s="62">
        <v>0.873</v>
      </c>
      <c r="F56" s="63">
        <v>0.8921</v>
      </c>
      <c r="G56" s="64">
        <v>1</v>
      </c>
      <c r="H56" s="64">
        <v>1</v>
      </c>
      <c r="I56" s="64">
        <v>1</v>
      </c>
      <c r="J56" s="63">
        <f>IF(COUNT(G56:I56)=0,"",AVERAGE(G56:I56))</f>
        <v>1</v>
      </c>
      <c r="K56" s="65">
        <v>1</v>
      </c>
      <c r="L56" s="65">
        <v>0.76923076923076905</v>
      </c>
      <c r="M56" s="65">
        <v>0.87</v>
      </c>
      <c r="N56" s="66">
        <f>IF(COUNT(K56:M56)=0,"",AVERAGE(K56:M56))</f>
        <v>0.87974358974358979</v>
      </c>
      <c r="O56" s="65"/>
      <c r="P56" s="65"/>
      <c r="Q56" s="65"/>
      <c r="R56" s="66" t="str">
        <f>IF(COUNT(O56:Q56)=0,"",AVERAGE(O56:Q56))</f>
        <v/>
      </c>
      <c r="S56" s="65"/>
      <c r="T56" s="65"/>
      <c r="U56" s="65"/>
      <c r="V56" s="66" t="str">
        <f>IF(COUNT(S56:U56)=0,"",AVERAGE(S56:U56))</f>
        <v/>
      </c>
      <c r="W56" s="67">
        <v>1</v>
      </c>
      <c r="X56" s="68" t="s">
        <v>59</v>
      </c>
      <c r="Y56" s="53" t="s">
        <v>128</v>
      </c>
      <c r="Z56" s="1" t="s">
        <v>61</v>
      </c>
    </row>
    <row r="57" spans="1:26" ht="25.5" customHeight="1" x14ac:dyDescent="0.2">
      <c r="A57" s="44" t="s">
        <v>340</v>
      </c>
      <c r="B57" s="45" t="s">
        <v>341</v>
      </c>
      <c r="C57" s="46" t="s">
        <v>21</v>
      </c>
      <c r="D57" s="46" t="s">
        <v>58</v>
      </c>
      <c r="E57" s="77" t="s">
        <v>89</v>
      </c>
      <c r="F57" s="50" t="s">
        <v>89</v>
      </c>
      <c r="G57" s="56">
        <v>3.1137635763798799E-3</v>
      </c>
      <c r="H57" s="56">
        <v>2.9289213549748101E-3</v>
      </c>
      <c r="I57" s="56">
        <v>3.7860008112858899E-3</v>
      </c>
      <c r="J57" s="57">
        <f>IF(COUNT(G57:I57)=0,"",AVERAGE(G57:I57))</f>
        <v>3.2762285808801933E-3</v>
      </c>
      <c r="K57" s="78">
        <v>2.3664304931472098E-3</v>
      </c>
      <c r="L57" s="78">
        <v>3.1284217112466802E-3</v>
      </c>
      <c r="M57" s="78">
        <v>3.1284217112466802E-3</v>
      </c>
      <c r="N57" s="50">
        <f>IF(COUNT(K57:M57)=0,"",AVERAGE(K57:M57))</f>
        <v>2.8744246385468569E-3</v>
      </c>
      <c r="O57" s="78"/>
      <c r="P57" s="78"/>
      <c r="Q57" s="78"/>
      <c r="R57" s="50" t="str">
        <f>IF(COUNT(O57:Q57)=0,"",AVERAGE(O57:Q57))</f>
        <v/>
      </c>
      <c r="S57" s="78"/>
      <c r="T57" s="78"/>
      <c r="U57" s="78"/>
      <c r="V57" s="50" t="str">
        <f>IF(COUNT(S57:U57)=0,"",AVERAGE(S57:U57))</f>
        <v/>
      </c>
      <c r="W57" s="79">
        <v>3.0487790589469499E-3</v>
      </c>
      <c r="X57" s="80" t="s">
        <v>71</v>
      </c>
      <c r="Y57" s="53" t="s">
        <v>128</v>
      </c>
      <c r="Z57" s="1" t="s">
        <v>61</v>
      </c>
    </row>
    <row r="58" spans="1:26" ht="25.5" customHeight="1" x14ac:dyDescent="0.2">
      <c r="A58" s="44" t="s">
        <v>342</v>
      </c>
      <c r="B58" s="45" t="s">
        <v>343</v>
      </c>
      <c r="C58" s="46" t="s">
        <v>21</v>
      </c>
      <c r="D58" s="46" t="s">
        <v>58</v>
      </c>
      <c r="E58" s="77" t="s">
        <v>89</v>
      </c>
      <c r="F58" s="50" t="s">
        <v>344</v>
      </c>
      <c r="G58" s="56">
        <v>5.0518917137993497E-3</v>
      </c>
      <c r="H58" s="56">
        <v>4.54743918212E-3</v>
      </c>
      <c r="I58" s="56">
        <v>4.9736450871739396E-3</v>
      </c>
      <c r="J58" s="57">
        <f>IF(COUNT(G58:I58)=0,"",AVERAGE(G58:I58))</f>
        <v>4.8576586610310961E-3</v>
      </c>
      <c r="K58" s="78">
        <v>3.9766873905870701E-3</v>
      </c>
      <c r="L58" s="78">
        <v>4.81393949436194E-3</v>
      </c>
      <c r="M58" s="78">
        <v>4.81393949436194E-3</v>
      </c>
      <c r="N58" s="50">
        <f>IF(COUNT(K58:M58)=0,"",AVERAGE(K58:M58))</f>
        <v>4.5348554597703164E-3</v>
      </c>
      <c r="O58" s="78"/>
      <c r="P58" s="78"/>
      <c r="Q58" s="78"/>
      <c r="R58" s="50" t="str">
        <f>IF(COUNT(O58:Q58)=0,"",AVERAGE(O58:Q58))</f>
        <v/>
      </c>
      <c r="S58" s="78"/>
      <c r="T58" s="78"/>
      <c r="U58" s="78"/>
      <c r="V58" s="50" t="str">
        <f>IF(COUNT(S58:U58)=0,"",AVERAGE(S58:U58))</f>
        <v/>
      </c>
      <c r="W58" s="79">
        <v>4.6374158434200896E-3</v>
      </c>
      <c r="X58" s="80" t="s">
        <v>71</v>
      </c>
      <c r="Y58" s="53" t="s">
        <v>128</v>
      </c>
      <c r="Z58" s="1" t="s">
        <v>61</v>
      </c>
    </row>
    <row r="59" spans="1:26" ht="25.5" customHeight="1" x14ac:dyDescent="0.2">
      <c r="A59" s="44" t="s">
        <v>345</v>
      </c>
      <c r="B59" s="45" t="s">
        <v>346</v>
      </c>
      <c r="C59" s="46" t="s">
        <v>21</v>
      </c>
      <c r="D59" s="46" t="s">
        <v>64</v>
      </c>
      <c r="E59" s="77" t="s">
        <v>89</v>
      </c>
      <c r="F59" s="50" t="s">
        <v>347</v>
      </c>
      <c r="G59" s="78">
        <v>3.3826059752854699E-3</v>
      </c>
      <c r="H59" s="78">
        <v>3.3826059752854699E-3</v>
      </c>
      <c r="I59" s="78">
        <v>3.3826059752854699E-3</v>
      </c>
      <c r="J59" s="50">
        <f>IF(COUNT(G59:I59)=0,"",AVERAGE(G59:I59))</f>
        <v>3.3826059752854695E-3</v>
      </c>
      <c r="K59" s="78">
        <v>2.4368599721099299E-3</v>
      </c>
      <c r="L59" s="78">
        <v>3.3826059752854699E-3</v>
      </c>
      <c r="M59" s="78">
        <v>3.3400000000000001E-3</v>
      </c>
      <c r="N59" s="50">
        <f>IF(COUNT(K59:M59)=0,"",AVERAGE(K59:M59))</f>
        <v>3.0531553157984669E-3</v>
      </c>
      <c r="O59" s="78"/>
      <c r="P59" s="78"/>
      <c r="Q59" s="78"/>
      <c r="R59" s="50" t="str">
        <f>IF(COUNT(O59:Q59)=0,"",AVERAGE(O59:Q59))</f>
        <v/>
      </c>
      <c r="S59" s="78"/>
      <c r="T59" s="78"/>
      <c r="U59" s="78"/>
      <c r="V59" s="50" t="str">
        <f>IF(COUNT(S59:U59)=0,"",AVERAGE(S59:U59))</f>
        <v/>
      </c>
      <c r="W59" s="79">
        <v>3.1677696894849001E-3</v>
      </c>
      <c r="X59" s="80" t="s">
        <v>71</v>
      </c>
      <c r="Y59" s="53" t="s">
        <v>128</v>
      </c>
      <c r="Z59" s="1" t="s">
        <v>61</v>
      </c>
    </row>
    <row r="60" spans="1:26" ht="25.5" customHeight="1" x14ac:dyDescent="0.2">
      <c r="A60" s="44" t="s">
        <v>348</v>
      </c>
      <c r="B60" s="45" t="s">
        <v>349</v>
      </c>
      <c r="C60" s="46" t="s">
        <v>21</v>
      </c>
      <c r="D60" s="46" t="s">
        <v>58</v>
      </c>
      <c r="E60" s="62">
        <v>0.99</v>
      </c>
      <c r="F60" s="63">
        <v>0.99</v>
      </c>
      <c r="G60" s="64">
        <v>1</v>
      </c>
      <c r="H60" s="64">
        <v>1</v>
      </c>
      <c r="I60" s="64">
        <v>1</v>
      </c>
      <c r="J60" s="63">
        <f>IF(COUNT(G60:I60)=0,"",AVERAGE(G60:I60))</f>
        <v>1</v>
      </c>
      <c r="K60" s="65">
        <v>1</v>
      </c>
      <c r="L60" s="65">
        <v>1</v>
      </c>
      <c r="M60" s="65">
        <v>1</v>
      </c>
      <c r="N60" s="66">
        <f>IF(COUNT(K60:M60)=0,"",AVERAGE(K60:M60))</f>
        <v>1</v>
      </c>
      <c r="O60" s="65"/>
      <c r="P60" s="65"/>
      <c r="Q60" s="65"/>
      <c r="R60" s="66" t="str">
        <f>IF(COUNT(O60:Q60)=0,"",AVERAGE(O60:Q60))</f>
        <v/>
      </c>
      <c r="S60" s="65"/>
      <c r="T60" s="65"/>
      <c r="U60" s="65"/>
      <c r="V60" s="66" t="str">
        <f>IF(COUNT(S60:U60)=0,"",AVERAGE(S60:U60))</f>
        <v/>
      </c>
      <c r="W60" s="67">
        <v>1</v>
      </c>
      <c r="X60" s="68" t="s">
        <v>59</v>
      </c>
      <c r="Y60" s="53" t="s">
        <v>128</v>
      </c>
      <c r="Z60" s="1" t="s">
        <v>61</v>
      </c>
    </row>
    <row r="61" spans="1:26" ht="25.5" customHeight="1" x14ac:dyDescent="0.2">
      <c r="A61" s="44" t="s">
        <v>350</v>
      </c>
      <c r="B61" s="45" t="s">
        <v>351</v>
      </c>
      <c r="C61" s="46" t="s">
        <v>21</v>
      </c>
      <c r="D61" s="46" t="s">
        <v>58</v>
      </c>
      <c r="E61" s="62">
        <v>1</v>
      </c>
      <c r="F61" s="66">
        <v>1</v>
      </c>
      <c r="G61" s="56">
        <v>0.99939999999999996</v>
      </c>
      <c r="H61" s="56">
        <v>0.99590000000000001</v>
      </c>
      <c r="I61" s="56">
        <v>0.99750000000000005</v>
      </c>
      <c r="J61" s="57">
        <f>IF(COUNT(G61:I61)=0,"",AVERAGE(G61:I61))</f>
        <v>0.99759999999999993</v>
      </c>
      <c r="K61" s="65">
        <v>0.999</v>
      </c>
      <c r="L61" s="65">
        <v>0.996</v>
      </c>
      <c r="M61" s="65">
        <v>0.99839999999999995</v>
      </c>
      <c r="N61" s="66">
        <f>IF(COUNT(K61:M61)=0,"",AVERAGE(K61:M61))</f>
        <v>0.99780000000000013</v>
      </c>
      <c r="O61" s="65"/>
      <c r="P61" s="65"/>
      <c r="Q61" s="65"/>
      <c r="R61" s="66" t="str">
        <f>IF(COUNT(O61:Q61)=0,"",AVERAGE(O61:Q61))</f>
        <v/>
      </c>
      <c r="S61" s="65"/>
      <c r="T61" s="65"/>
      <c r="U61" s="65"/>
      <c r="V61" s="66" t="str">
        <f>IF(COUNT(S61:U61)=0,"",AVERAGE(S61:U61))</f>
        <v/>
      </c>
      <c r="W61" s="67">
        <v>0.99795</v>
      </c>
      <c r="X61" s="68" t="s">
        <v>67</v>
      </c>
      <c r="Y61" s="53" t="s">
        <v>128</v>
      </c>
      <c r="Z61" s="1" t="s">
        <v>61</v>
      </c>
    </row>
    <row r="62" spans="1:26" ht="25.5" customHeight="1" x14ac:dyDescent="0.2">
      <c r="A62" s="44" t="s">
        <v>352</v>
      </c>
      <c r="B62" s="45" t="s">
        <v>353</v>
      </c>
      <c r="C62" s="46" t="s">
        <v>21</v>
      </c>
      <c r="D62" s="46" t="s">
        <v>64</v>
      </c>
      <c r="E62" s="62">
        <v>0.64600000000000002</v>
      </c>
      <c r="F62" s="63" t="s">
        <v>354</v>
      </c>
      <c r="G62" s="64">
        <v>0.67623177198409201</v>
      </c>
      <c r="H62" s="64">
        <v>0.63065680039138905</v>
      </c>
      <c r="I62" s="64">
        <v>0.62022443172735697</v>
      </c>
      <c r="J62" s="63">
        <f>IF(COUNT(G62:I62)=0,"",AVERAGE(G62:I62))</f>
        <v>0.6423710013676126</v>
      </c>
      <c r="K62" s="65">
        <v>0.70839947089947097</v>
      </c>
      <c r="L62" s="65">
        <v>0.75600268750663002</v>
      </c>
      <c r="M62" s="65">
        <v>0.66831846712917098</v>
      </c>
      <c r="N62" s="66">
        <f>IF(COUNT(K62:M62)=0,"",AVERAGE(K62:M62))</f>
        <v>0.71090687517842399</v>
      </c>
      <c r="O62" s="65"/>
      <c r="P62" s="65"/>
      <c r="Q62" s="65"/>
      <c r="R62" s="66" t="str">
        <f>IF(COUNT(O62:Q62)=0,"",AVERAGE(O62:Q62))</f>
        <v/>
      </c>
      <c r="S62" s="65"/>
      <c r="T62" s="65"/>
      <c r="U62" s="65"/>
      <c r="V62" s="66" t="str">
        <f>IF(COUNT(S62:U62)=0,"",AVERAGE(S62:U62))</f>
        <v/>
      </c>
      <c r="W62" s="67">
        <v>0.658878118750577</v>
      </c>
      <c r="X62" s="68" t="s">
        <v>71</v>
      </c>
      <c r="Y62" s="53" t="s">
        <v>128</v>
      </c>
      <c r="Z62" s="1" t="s">
        <v>61</v>
      </c>
    </row>
    <row r="63" spans="1:26" ht="25.5" customHeight="1" x14ac:dyDescent="0.2">
      <c r="A63" s="44" t="s">
        <v>355</v>
      </c>
      <c r="B63" s="45" t="s">
        <v>356</v>
      </c>
      <c r="C63" s="46" t="s">
        <v>21</v>
      </c>
      <c r="D63" s="46" t="s">
        <v>64</v>
      </c>
      <c r="E63" s="71">
        <v>3.9</v>
      </c>
      <c r="F63" s="72">
        <v>3.77</v>
      </c>
      <c r="G63" s="56">
        <v>3.69001713796058</v>
      </c>
      <c r="H63" s="56">
        <v>3.6759388038942999</v>
      </c>
      <c r="I63" s="56">
        <v>4.8586541287099596</v>
      </c>
      <c r="J63" s="57">
        <f>IF(COUNT(G63:I63)=0,"",AVERAGE(G63:I63))</f>
        <v>4.0748700235216129</v>
      </c>
      <c r="K63" s="73">
        <v>5.5117244748412304</v>
      </c>
      <c r="L63" s="73">
        <v>5.2780838323353301</v>
      </c>
      <c r="M63" s="73">
        <v>4.5455723542116599</v>
      </c>
      <c r="N63" s="74">
        <f>IF(COUNT(K63:M63)=0,"",AVERAGE(K63:M63))</f>
        <v>5.1117935537960735</v>
      </c>
      <c r="O63" s="73"/>
      <c r="P63" s="73"/>
      <c r="Q63" s="73"/>
      <c r="R63" s="74" t="str">
        <f>IF(COUNT(O63:Q63)=0,"",AVERAGE(O63:Q63))</f>
        <v/>
      </c>
      <c r="S63" s="73"/>
      <c r="T63" s="73"/>
      <c r="U63" s="73"/>
      <c r="V63" s="74" t="str">
        <f>IF(COUNT(S63:U63)=0,"",AVERAGE(S63:U63))</f>
        <v/>
      </c>
      <c r="W63" s="75">
        <v>4.4340836363515201</v>
      </c>
      <c r="X63" s="76" t="s">
        <v>67</v>
      </c>
      <c r="Y63" s="53" t="s">
        <v>128</v>
      </c>
      <c r="Z63" s="1" t="s">
        <v>61</v>
      </c>
    </row>
    <row r="64" spans="1:26" ht="25.5" customHeight="1" x14ac:dyDescent="0.2">
      <c r="A64" s="44" t="s">
        <v>357</v>
      </c>
      <c r="B64" s="45" t="s">
        <v>358</v>
      </c>
      <c r="C64" s="46" t="s">
        <v>21</v>
      </c>
      <c r="D64" s="46" t="s">
        <v>64</v>
      </c>
      <c r="E64" s="62">
        <v>8.6999999999999994E-2</v>
      </c>
      <c r="F64" s="63">
        <v>7.3800000000000004E-2</v>
      </c>
      <c r="G64" s="64">
        <v>3.0769230769230799E-2</v>
      </c>
      <c r="H64" s="64">
        <v>7.1428571428571397E-2</v>
      </c>
      <c r="I64" s="64">
        <v>8.8235294117647106E-2</v>
      </c>
      <c r="J64" s="63">
        <f>IF(COUNT(G64:I64)=0,"",AVERAGE(G64:I64))</f>
        <v>6.3477698771816429E-2</v>
      </c>
      <c r="K64" s="65">
        <v>7.4074074074074098E-2</v>
      </c>
      <c r="L64" s="65">
        <v>4.3956043956044001E-2</v>
      </c>
      <c r="M64" s="65">
        <v>3.7974683544303799E-2</v>
      </c>
      <c r="N64" s="66">
        <f>IF(COUNT(K64:M64)=0,"",AVERAGE(K64:M64))</f>
        <v>5.2001600524807297E-2</v>
      </c>
      <c r="O64" s="65"/>
      <c r="P64" s="65"/>
      <c r="Q64" s="65"/>
      <c r="R64" s="66" t="str">
        <f>IF(COUNT(O64:Q64)=0,"",AVERAGE(O64:Q64))</f>
        <v/>
      </c>
      <c r="S64" s="65"/>
      <c r="T64" s="65"/>
      <c r="U64" s="65"/>
      <c r="V64" s="66" t="str">
        <f>IF(COUNT(S64:U64)=0,"",AVERAGE(S64:U64))</f>
        <v/>
      </c>
      <c r="W64" s="67">
        <v>6.6126792597380898E-2</v>
      </c>
      <c r="X64" s="68" t="s">
        <v>67</v>
      </c>
      <c r="Y64" s="53" t="s">
        <v>128</v>
      </c>
      <c r="Z64" s="1" t="s">
        <v>61</v>
      </c>
    </row>
    <row r="65" spans="1:26" ht="25.5" customHeight="1" x14ac:dyDescent="0.2">
      <c r="A65" s="44" t="s">
        <v>359</v>
      </c>
      <c r="B65" s="45" t="s">
        <v>360</v>
      </c>
      <c r="C65" s="46" t="s">
        <v>19</v>
      </c>
      <c r="D65" s="46" t="s">
        <v>58</v>
      </c>
      <c r="E65" s="62">
        <v>0.92</v>
      </c>
      <c r="F65" s="63">
        <v>0.93</v>
      </c>
      <c r="G65" s="65">
        <v>0.96</v>
      </c>
      <c r="H65" s="65">
        <v>0.94</v>
      </c>
      <c r="I65" s="64">
        <v>0.95888888888888901</v>
      </c>
      <c r="J65" s="66">
        <f>IF(COUNT(G65:I65)=0,"",AVERAGE(G65:I65))</f>
        <v>0.95296296296296301</v>
      </c>
      <c r="K65" s="65">
        <v>0.98329999999999995</v>
      </c>
      <c r="L65" s="65">
        <v>0.91666666666666696</v>
      </c>
      <c r="M65" s="65"/>
      <c r="N65" s="66">
        <f>IF(COUNT(K65:M65)=0,"",AVERAGE(K65:M65))</f>
        <v>0.9499833333333334</v>
      </c>
      <c r="O65" s="65"/>
      <c r="P65" s="65"/>
      <c r="Q65" s="65"/>
      <c r="R65" s="66" t="str">
        <f>IF(COUNT(O65:Q65)=0,"",AVERAGE(O65:Q65))</f>
        <v/>
      </c>
      <c r="S65" s="65"/>
      <c r="T65" s="65"/>
      <c r="U65" s="65"/>
      <c r="V65" s="66" t="str">
        <f>IF(COUNT(S65:U65)=0,"",AVERAGE(S65:U65))</f>
        <v/>
      </c>
      <c r="W65" s="67">
        <v>0.95888888888888901</v>
      </c>
      <c r="X65" s="68" t="s">
        <v>59</v>
      </c>
      <c r="Y65" s="53" t="s">
        <v>186</v>
      </c>
      <c r="Z65" s="1" t="s">
        <v>61</v>
      </c>
    </row>
    <row r="66" spans="1:26" ht="25.5" customHeight="1" x14ac:dyDescent="0.2">
      <c r="A66" s="44" t="s">
        <v>361</v>
      </c>
      <c r="B66" s="45" t="s">
        <v>362</v>
      </c>
      <c r="C66" s="46" t="s">
        <v>19</v>
      </c>
      <c r="D66" s="46" t="s">
        <v>58</v>
      </c>
      <c r="E66" s="62">
        <v>0.95</v>
      </c>
      <c r="F66" s="63">
        <v>0.96</v>
      </c>
      <c r="G66" s="65">
        <v>1</v>
      </c>
      <c r="H66" s="64">
        <v>0.997857142857143</v>
      </c>
      <c r="I66" s="64">
        <v>0.99265517241379297</v>
      </c>
      <c r="J66" s="66">
        <f>IF(COUNT(G66:I66)=0,"",AVERAGE(G66:I66))</f>
        <v>0.99683743842364525</v>
      </c>
      <c r="K66" s="65">
        <v>0.98819999999999997</v>
      </c>
      <c r="L66" s="65">
        <v>0.99133333333333296</v>
      </c>
      <c r="M66" s="65"/>
      <c r="N66" s="66">
        <f>IF(COUNT(K66:M66)=0,"",AVERAGE(K66:M66))</f>
        <v>0.98976666666666646</v>
      </c>
      <c r="O66" s="65"/>
      <c r="P66" s="65"/>
      <c r="Q66" s="65"/>
      <c r="R66" s="66" t="str">
        <f>IF(COUNT(O66:Q66)=0,"",AVERAGE(O66:Q66))</f>
        <v/>
      </c>
      <c r="S66" s="65"/>
      <c r="T66" s="65"/>
      <c r="U66" s="65"/>
      <c r="V66" s="66" t="str">
        <f>IF(COUNT(S66:U66)=0,"",AVERAGE(S66:U66))</f>
        <v/>
      </c>
      <c r="W66" s="67">
        <v>0.99525615763546804</v>
      </c>
      <c r="X66" s="68" t="s">
        <v>59</v>
      </c>
      <c r="Y66" s="53" t="s">
        <v>186</v>
      </c>
      <c r="Z66" s="1" t="s">
        <v>61</v>
      </c>
    </row>
    <row r="67" spans="1:26" ht="25.5" customHeight="1" x14ac:dyDescent="0.2">
      <c r="A67" s="44" t="s">
        <v>363</v>
      </c>
      <c r="B67" s="45" t="s">
        <v>364</v>
      </c>
      <c r="C67" s="46" t="s">
        <v>19</v>
      </c>
      <c r="D67" s="46" t="s">
        <v>58</v>
      </c>
      <c r="E67" s="62">
        <v>0.99</v>
      </c>
      <c r="F67" s="63">
        <v>0.99</v>
      </c>
      <c r="G67" s="65">
        <v>0.96</v>
      </c>
      <c r="H67" s="64">
        <v>0.89870967741935504</v>
      </c>
      <c r="I67" s="64">
        <v>0.99805555555555603</v>
      </c>
      <c r="J67" s="66">
        <f>IF(COUNT(G67:I67)=0,"",AVERAGE(G67:I67))</f>
        <v>0.95225507765830375</v>
      </c>
      <c r="K67" s="65">
        <v>0.98819999999999997</v>
      </c>
      <c r="L67" s="65">
        <v>0.99333333333333296</v>
      </c>
      <c r="M67" s="65"/>
      <c r="N67" s="66">
        <f>IF(COUNT(K67:M67)=0,"",AVERAGE(K67:M67))</f>
        <v>0.99076666666666646</v>
      </c>
      <c r="O67" s="65"/>
      <c r="P67" s="65"/>
      <c r="Q67" s="65"/>
      <c r="R67" s="66" t="str">
        <f>IF(COUNT(O67:Q67)=0,"",AVERAGE(O67:Q67))</f>
        <v/>
      </c>
      <c r="S67" s="65"/>
      <c r="T67" s="65"/>
      <c r="U67" s="65"/>
      <c r="V67" s="66" t="str">
        <f>IF(COUNT(S67:U67)=0,"",AVERAGE(S67:U67))</f>
        <v/>
      </c>
      <c r="W67" s="67">
        <v>0.94838261648745603</v>
      </c>
      <c r="X67" s="68" t="s">
        <v>67</v>
      </c>
      <c r="Y67" s="53" t="s">
        <v>186</v>
      </c>
      <c r="Z67" s="1" t="s">
        <v>61</v>
      </c>
    </row>
    <row r="68" spans="1:26" ht="25.5" customHeight="1" x14ac:dyDescent="0.2">
      <c r="A68" s="44" t="s">
        <v>365</v>
      </c>
      <c r="B68" s="45" t="s">
        <v>366</v>
      </c>
      <c r="C68" s="46" t="s">
        <v>19</v>
      </c>
      <c r="D68" s="46" t="s">
        <v>64</v>
      </c>
      <c r="E68" s="62">
        <v>0.253</v>
      </c>
      <c r="F68" s="63">
        <v>0.2</v>
      </c>
      <c r="G68" s="64">
        <v>0.255892255892256</v>
      </c>
      <c r="H68" s="64">
        <v>0.24246575342465801</v>
      </c>
      <c r="I68" s="64">
        <v>0.39276139410187699</v>
      </c>
      <c r="J68" s="63">
        <f>IF(COUNT(G68:I68)=0,"",AVERAGE(G68:I68))</f>
        <v>0.29703980113959699</v>
      </c>
      <c r="K68" s="65">
        <v>0.27458033573141499</v>
      </c>
      <c r="L68" s="65">
        <v>0.249142857142857</v>
      </c>
      <c r="M68" s="65">
        <v>0.27688787185354702</v>
      </c>
      <c r="N68" s="66">
        <f>IF(COUNT(K68:M68)=0,"",AVERAGE(K68:M68))</f>
        <v>0.26687035490927302</v>
      </c>
      <c r="O68" s="65"/>
      <c r="P68" s="65"/>
      <c r="Q68" s="65"/>
      <c r="R68" s="66" t="str">
        <f>IF(COUNT(O68:Q68)=0,"",AVERAGE(O68:Q68))</f>
        <v/>
      </c>
      <c r="S68" s="65"/>
      <c r="T68" s="65"/>
      <c r="U68" s="65"/>
      <c r="V68" s="66" t="str">
        <f>IF(COUNT(S68:U68)=0,"",AVERAGE(S68:U68))</f>
        <v/>
      </c>
      <c r="W68" s="67">
        <v>0.29142493478755199</v>
      </c>
      <c r="X68" s="68" t="s">
        <v>67</v>
      </c>
      <c r="Y68" s="53" t="s">
        <v>128</v>
      </c>
      <c r="Z68" s="1" t="s">
        <v>61</v>
      </c>
    </row>
    <row r="69" spans="1:26" ht="25.5" customHeight="1" x14ac:dyDescent="0.2">
      <c r="A69" s="44" t="s">
        <v>367</v>
      </c>
      <c r="B69" s="45" t="s">
        <v>368</v>
      </c>
      <c r="C69" s="46" t="s">
        <v>19</v>
      </c>
      <c r="D69" s="46" t="s">
        <v>64</v>
      </c>
      <c r="E69" s="77">
        <v>0.18</v>
      </c>
      <c r="F69" s="57">
        <v>0</v>
      </c>
      <c r="G69" s="81">
        <v>1</v>
      </c>
      <c r="H69" s="81">
        <v>2</v>
      </c>
      <c r="I69" s="81">
        <v>0</v>
      </c>
      <c r="J69" s="82">
        <f>IF(COUNT(G69:I69)=0,"",SUM(G69:I69))</f>
        <v>3</v>
      </c>
      <c r="K69" s="49">
        <v>0</v>
      </c>
      <c r="L69" s="78">
        <v>0</v>
      </c>
      <c r="M69" s="78">
        <v>0</v>
      </c>
      <c r="N69" s="50">
        <f>IF(COUNT(K69:M69)=0,"",SUM(K69:M69))</f>
        <v>0</v>
      </c>
      <c r="O69" s="78"/>
      <c r="P69" s="78"/>
      <c r="Q69" s="78"/>
      <c r="R69" s="50" t="str">
        <f>IF(COUNT(O69:Q69)=0,"",SUM(O69:Q69))</f>
        <v/>
      </c>
      <c r="S69" s="78"/>
      <c r="T69" s="78"/>
      <c r="U69" s="78"/>
      <c r="V69" s="50" t="str">
        <f>IF(COUNT(S69:U69)=0,"",SUM(S69:U69))</f>
        <v/>
      </c>
      <c r="W69" s="79">
        <v>0.75</v>
      </c>
      <c r="X69" s="80" t="s">
        <v>67</v>
      </c>
      <c r="Y69" s="53" t="s">
        <v>128</v>
      </c>
      <c r="Z69" s="1" t="s">
        <v>61</v>
      </c>
    </row>
    <row r="70" spans="1:26" ht="25.5" customHeight="1" x14ac:dyDescent="0.2">
      <c r="A70" s="44" t="s">
        <v>369</v>
      </c>
      <c r="B70" s="45" t="s">
        <v>370</v>
      </c>
      <c r="C70" s="46" t="s">
        <v>19</v>
      </c>
      <c r="D70" s="46" t="s">
        <v>58</v>
      </c>
      <c r="E70" s="62">
        <v>0.97399999999999998</v>
      </c>
      <c r="F70" s="63">
        <v>0.98</v>
      </c>
      <c r="G70" s="64">
        <v>0.98305416789107702</v>
      </c>
      <c r="H70" s="64">
        <v>0.97611773092983001</v>
      </c>
      <c r="I70" s="64">
        <v>0.97853874817225595</v>
      </c>
      <c r="J70" s="63">
        <f>IF(COUNT(G70:I70)=0,"",AVERAGE(G70:I70))</f>
        <v>0.97923688233105433</v>
      </c>
      <c r="K70" s="65">
        <v>0.98302013770254204</v>
      </c>
      <c r="L70" s="65">
        <v>0.98399517535720904</v>
      </c>
      <c r="M70" s="65">
        <v>0.991161284676643</v>
      </c>
      <c r="N70" s="66">
        <f>IF(COUNT(K70:M70)=0,"",AVERAGE(K70:M70))</f>
        <v>0.98605886591213132</v>
      </c>
      <c r="O70" s="65"/>
      <c r="P70" s="65"/>
      <c r="Q70" s="65"/>
      <c r="R70" s="66" t="str">
        <f>IF(COUNT(O70:Q70)=0,"",AVERAGE(O70:Q70))</f>
        <v/>
      </c>
      <c r="S70" s="65"/>
      <c r="T70" s="65"/>
      <c r="U70" s="65"/>
      <c r="V70" s="66" t="str">
        <f>IF(COUNT(S70:U70)=0,"",AVERAGE(S70:U70))</f>
        <v/>
      </c>
      <c r="W70" s="67">
        <v>0.98018269617392595</v>
      </c>
      <c r="X70" s="68" t="s">
        <v>67</v>
      </c>
      <c r="Y70" s="53" t="s">
        <v>128</v>
      </c>
      <c r="Z70" s="1" t="s">
        <v>61</v>
      </c>
    </row>
    <row r="71" spans="1:26" ht="25.5" customHeight="1" x14ac:dyDescent="0.2">
      <c r="A71" s="44" t="s">
        <v>371</v>
      </c>
      <c r="B71" s="45" t="s">
        <v>372</v>
      </c>
      <c r="C71" s="46" t="s">
        <v>19</v>
      </c>
      <c r="D71" s="46" t="s">
        <v>64</v>
      </c>
      <c r="E71" s="83">
        <v>11.7</v>
      </c>
      <c r="F71" s="84">
        <v>60</v>
      </c>
      <c r="G71" s="85">
        <v>59.7</v>
      </c>
      <c r="H71" s="85">
        <v>59</v>
      </c>
      <c r="I71" s="85">
        <v>59.7</v>
      </c>
      <c r="J71" s="84">
        <f>IF(COUNT(G71:I71)=0,"",AVERAGE(G71:I71))</f>
        <v>59.466666666666669</v>
      </c>
      <c r="K71" s="85">
        <v>59.7</v>
      </c>
      <c r="L71" s="85">
        <v>59</v>
      </c>
      <c r="M71" s="85">
        <v>0.994789915966387</v>
      </c>
      <c r="N71" s="86">
        <f>IF(COUNT(K71:M71)=0,"",AVERAGE(K71:M71))</f>
        <v>39.898263305322132</v>
      </c>
      <c r="O71" s="85"/>
      <c r="P71" s="85"/>
      <c r="Q71" s="85"/>
      <c r="R71" s="86" t="str">
        <f>IF(COUNT(O71:Q71)=0,"",AVERAGE(O71:Q71))</f>
        <v/>
      </c>
      <c r="S71" s="85"/>
      <c r="T71" s="85"/>
      <c r="U71" s="85"/>
      <c r="V71" s="86" t="str">
        <f>IF(COUNT(S71:U71)=0,"",AVERAGE(S71:U71))</f>
        <v/>
      </c>
      <c r="W71" s="87">
        <v>0.99528361344537797</v>
      </c>
      <c r="X71" s="70" t="s">
        <v>91</v>
      </c>
      <c r="Y71" s="53" t="s">
        <v>128</v>
      </c>
      <c r="Z71" s="1" t="s">
        <v>61</v>
      </c>
    </row>
    <row r="72" spans="1:26" ht="25.5" customHeight="1" x14ac:dyDescent="0.2">
      <c r="A72" s="44" t="s">
        <v>373</v>
      </c>
      <c r="B72" s="45" t="s">
        <v>374</v>
      </c>
      <c r="C72" s="46" t="s">
        <v>19</v>
      </c>
      <c r="D72" s="46" t="s">
        <v>58</v>
      </c>
      <c r="E72" s="62">
        <v>1</v>
      </c>
      <c r="F72" s="63">
        <v>1</v>
      </c>
      <c r="G72" s="64">
        <v>1</v>
      </c>
      <c r="H72" s="64">
        <v>1</v>
      </c>
      <c r="I72" s="64">
        <v>1</v>
      </c>
      <c r="J72" s="63">
        <f>IF(COUNT(G72:I72)=0,"",AVERAGE(G72:I72))</f>
        <v>1</v>
      </c>
      <c r="K72" s="65">
        <v>1</v>
      </c>
      <c r="L72" s="65">
        <v>1</v>
      </c>
      <c r="M72" s="65">
        <v>1</v>
      </c>
      <c r="N72" s="66">
        <f>IF(COUNT(K72:M72)=0,"",AVERAGE(K72:M72))</f>
        <v>1</v>
      </c>
      <c r="O72" s="65"/>
      <c r="P72" s="65"/>
      <c r="Q72" s="65"/>
      <c r="R72" s="66" t="str">
        <f>IF(COUNT(O72:Q72)=0,"",AVERAGE(O72:Q72))</f>
        <v/>
      </c>
      <c r="S72" s="65"/>
      <c r="T72" s="65"/>
      <c r="U72" s="65"/>
      <c r="V72" s="66" t="str">
        <f>IF(COUNT(S72:U72)=0,"",AVERAGE(S72:U72))</f>
        <v/>
      </c>
      <c r="W72" s="67">
        <v>1</v>
      </c>
      <c r="X72" s="68" t="s">
        <v>59</v>
      </c>
      <c r="Y72" s="53" t="s">
        <v>128</v>
      </c>
      <c r="Z72" s="1" t="s">
        <v>61</v>
      </c>
    </row>
    <row r="73" spans="1:26" ht="25.5" customHeight="1" x14ac:dyDescent="0.2">
      <c r="A73" s="44" t="s">
        <v>375</v>
      </c>
      <c r="B73" s="45" t="s">
        <v>376</v>
      </c>
      <c r="C73" s="46" t="s">
        <v>19</v>
      </c>
      <c r="D73" s="46" t="s">
        <v>64</v>
      </c>
      <c r="E73" s="62">
        <v>1.41E-2</v>
      </c>
      <c r="F73" s="63">
        <v>1.2E-2</v>
      </c>
      <c r="G73" s="64">
        <v>1.25053196713262E-2</v>
      </c>
      <c r="H73" s="64">
        <v>1.18892720057251E-2</v>
      </c>
      <c r="I73" s="64">
        <v>1.06497125378345E-2</v>
      </c>
      <c r="J73" s="63">
        <f>IF(COUNT(G73:I73)=0,"",AVERAGE(G73:I73))</f>
        <v>1.1681434738295268E-2</v>
      </c>
      <c r="K73" s="65">
        <v>1.26028604245008E-2</v>
      </c>
      <c r="L73" s="65">
        <v>1.2780200831727401E-2</v>
      </c>
      <c r="M73" s="65">
        <v>8.1759715380404999E-3</v>
      </c>
      <c r="N73" s="66">
        <f>IF(COUNT(K73:M73)=0,"",AVERAGE(K73:M73))</f>
        <v>1.1186344264756233E-2</v>
      </c>
      <c r="O73" s="65"/>
      <c r="P73" s="65"/>
      <c r="Q73" s="65"/>
      <c r="R73" s="66" t="str">
        <f>IF(COUNT(O73:Q73)=0,"",AVERAGE(O73:Q73))</f>
        <v/>
      </c>
      <c r="S73" s="65"/>
      <c r="T73" s="65"/>
      <c r="U73" s="65"/>
      <c r="V73" s="66" t="str">
        <f>IF(COUNT(S73:U73)=0,"",AVERAGE(S73:U73))</f>
        <v/>
      </c>
      <c r="W73" s="67">
        <v>1.19117911598467E-2</v>
      </c>
      <c r="X73" s="68" t="s">
        <v>67</v>
      </c>
      <c r="Y73" s="53" t="s">
        <v>128</v>
      </c>
      <c r="Z73" s="1" t="s">
        <v>61</v>
      </c>
    </row>
    <row r="74" spans="1:26" ht="25.5" customHeight="1" x14ac:dyDescent="0.2">
      <c r="A74" s="44" t="s">
        <v>377</v>
      </c>
      <c r="B74" s="45" t="s">
        <v>378</v>
      </c>
      <c r="C74" s="46" t="s">
        <v>146</v>
      </c>
      <c r="D74" s="46" t="s">
        <v>58</v>
      </c>
      <c r="E74" s="62">
        <v>0.78800000000000003</v>
      </c>
      <c r="F74" s="63">
        <v>0.9</v>
      </c>
      <c r="G74" s="64">
        <v>0.86119999999999997</v>
      </c>
      <c r="H74" s="64">
        <v>0.92859999999999998</v>
      </c>
      <c r="I74" s="64">
        <v>0.89270000000000005</v>
      </c>
      <c r="J74" s="63">
        <f>IF(COUNT(G74:I74)=0,"",AVERAGE(G74:I74))</f>
        <v>0.89416666666666667</v>
      </c>
      <c r="K74" s="65">
        <v>0.9</v>
      </c>
      <c r="L74" s="65">
        <v>0.84799999999999998</v>
      </c>
      <c r="M74" s="65">
        <v>0.89480000000000004</v>
      </c>
      <c r="N74" s="66">
        <f>IF(COUNT(K74:M74)=0,"",AVERAGE(K74:M74))</f>
        <v>0.88093333333333346</v>
      </c>
      <c r="O74" s="65"/>
      <c r="P74" s="65"/>
      <c r="Q74" s="65"/>
      <c r="R74" s="66" t="str">
        <f>IF(COUNT(O74:Q74)=0,"",AVERAGE(O74:Q74))</f>
        <v/>
      </c>
      <c r="S74" s="65"/>
      <c r="T74" s="65"/>
      <c r="U74" s="65"/>
      <c r="V74" s="66" t="str">
        <f>IF(COUNT(S74:U74)=0,"",AVERAGE(S74:U74))</f>
        <v/>
      </c>
      <c r="W74" s="67">
        <v>0.895625</v>
      </c>
      <c r="X74" s="68" t="s">
        <v>67</v>
      </c>
      <c r="Y74" s="53" t="s">
        <v>186</v>
      </c>
      <c r="Z74" s="1" t="s">
        <v>61</v>
      </c>
    </row>
    <row r="75" spans="1:26" ht="25.5" customHeight="1" x14ac:dyDescent="0.2">
      <c r="A75" s="44" t="s">
        <v>379</v>
      </c>
      <c r="B75" s="45" t="s">
        <v>380</v>
      </c>
      <c r="C75" s="46" t="s">
        <v>146</v>
      </c>
      <c r="D75" s="46" t="s">
        <v>58</v>
      </c>
      <c r="E75" s="62">
        <v>0.98799999999999999</v>
      </c>
      <c r="F75" s="63">
        <v>0.99</v>
      </c>
      <c r="G75" s="64">
        <v>1</v>
      </c>
      <c r="H75" s="64">
        <v>1</v>
      </c>
      <c r="I75" s="64">
        <v>1</v>
      </c>
      <c r="J75" s="63">
        <f>IF(COUNT(G75:I75)=0,"",AVERAGE(G75:I75))</f>
        <v>1</v>
      </c>
      <c r="K75" s="65">
        <v>1</v>
      </c>
      <c r="L75" s="65">
        <v>1</v>
      </c>
      <c r="M75" s="65">
        <v>1</v>
      </c>
      <c r="N75" s="66">
        <f>IF(COUNT(K75:M75)=0,"",AVERAGE(K75:M75))</f>
        <v>1</v>
      </c>
      <c r="O75" s="65"/>
      <c r="P75" s="65"/>
      <c r="Q75" s="65"/>
      <c r="R75" s="66" t="str">
        <f>IF(COUNT(O75:Q75)=0,"",AVERAGE(O75:Q75))</f>
        <v/>
      </c>
      <c r="S75" s="65"/>
      <c r="T75" s="65"/>
      <c r="U75" s="65"/>
      <c r="V75" s="66" t="str">
        <f>IF(COUNT(S75:U75)=0,"",AVERAGE(S75:U75))</f>
        <v/>
      </c>
      <c r="W75" s="67">
        <v>1</v>
      </c>
      <c r="X75" s="68" t="s">
        <v>59</v>
      </c>
      <c r="Y75" s="53" t="s">
        <v>128</v>
      </c>
      <c r="Z75" s="1" t="s">
        <v>61</v>
      </c>
    </row>
    <row r="76" spans="1:26" ht="25.5" customHeight="1" x14ac:dyDescent="0.2">
      <c r="A76" s="44" t="s">
        <v>381</v>
      </c>
      <c r="B76" s="45" t="s">
        <v>382</v>
      </c>
      <c r="C76" s="46" t="s">
        <v>146</v>
      </c>
      <c r="D76" s="46" t="s">
        <v>58</v>
      </c>
      <c r="E76" s="62">
        <v>0.92</v>
      </c>
      <c r="F76" s="63">
        <v>0.93</v>
      </c>
      <c r="G76" s="64">
        <v>0.95343098091433598</v>
      </c>
      <c r="H76" s="64">
        <v>0.95961031757037896</v>
      </c>
      <c r="I76" s="64">
        <v>0.95178002338132395</v>
      </c>
      <c r="J76" s="63">
        <f>IF(COUNT(G76:I76)=0,"",AVERAGE(G76:I76))</f>
        <v>0.95494044062201289</v>
      </c>
      <c r="K76" s="65">
        <v>0.96131031987035298</v>
      </c>
      <c r="L76" s="65">
        <v>0.96744887558971104</v>
      </c>
      <c r="M76" s="65">
        <v>0.98421143548108503</v>
      </c>
      <c r="N76" s="66">
        <f>IF(COUNT(K76:M76)=0,"",AVERAGE(K76:M76))</f>
        <v>0.97099021031371635</v>
      </c>
      <c r="O76" s="65"/>
      <c r="P76" s="65"/>
      <c r="Q76" s="65"/>
      <c r="R76" s="66" t="str">
        <f>IF(COUNT(O76:Q76)=0,"",AVERAGE(O76:Q76))</f>
        <v/>
      </c>
      <c r="S76" s="65"/>
      <c r="T76" s="65"/>
      <c r="U76" s="65"/>
      <c r="V76" s="66" t="str">
        <f>IF(COUNT(S76:U76)=0,"",AVERAGE(S76:U76))</f>
        <v/>
      </c>
      <c r="W76" s="67">
        <v>0.95653291043409805</v>
      </c>
      <c r="X76" s="68" t="s">
        <v>59</v>
      </c>
      <c r="Y76" s="53" t="s">
        <v>128</v>
      </c>
      <c r="Z76" s="1" t="s">
        <v>61</v>
      </c>
    </row>
    <row r="77" spans="1:26" ht="25.5" customHeight="1" x14ac:dyDescent="0.2">
      <c r="A77" s="44" t="s">
        <v>383</v>
      </c>
      <c r="B77" s="45" t="s">
        <v>384</v>
      </c>
      <c r="C77" s="46" t="s">
        <v>146</v>
      </c>
      <c r="D77" s="46" t="s">
        <v>64</v>
      </c>
      <c r="E77" s="47">
        <v>12</v>
      </c>
      <c r="F77" s="48" t="s">
        <v>90</v>
      </c>
      <c r="G77" s="81">
        <v>0</v>
      </c>
      <c r="H77" s="81">
        <v>2</v>
      </c>
      <c r="I77" s="81">
        <v>1</v>
      </c>
      <c r="J77" s="82">
        <f>IF(COUNT(G77:I77)=0,"",SUM(G77:I77))</f>
        <v>3</v>
      </c>
      <c r="K77" s="49">
        <v>0</v>
      </c>
      <c r="L77" s="49">
        <v>0</v>
      </c>
      <c r="M77" s="49">
        <v>1</v>
      </c>
      <c r="N77" s="48">
        <f>IF(COUNT(K77:M77)=0,"",SUM(K77:M77))</f>
        <v>1</v>
      </c>
      <c r="O77" s="49"/>
      <c r="P77" s="49"/>
      <c r="Q77" s="49"/>
      <c r="R77" s="48" t="str">
        <f>IF(COUNT(O77:Q77)=0,"",SUM(O77:Q77))</f>
        <v/>
      </c>
      <c r="S77" s="49"/>
      <c r="T77" s="49"/>
      <c r="U77" s="49"/>
      <c r="V77" s="48" t="str">
        <f>IF(COUNT(S77:U77)=0,"",SUM(S77:U77))</f>
        <v/>
      </c>
      <c r="W77" s="51">
        <v>0.75</v>
      </c>
      <c r="X77" s="52" t="s">
        <v>71</v>
      </c>
      <c r="Y77" s="53" t="s">
        <v>128</v>
      </c>
      <c r="Z77" s="1" t="s">
        <v>61</v>
      </c>
    </row>
    <row r="78" spans="1:26" ht="25.5" customHeight="1" x14ac:dyDescent="0.2">
      <c r="A78" s="44" t="s">
        <v>385</v>
      </c>
      <c r="B78" s="45" t="s">
        <v>386</v>
      </c>
      <c r="C78" s="46" t="s">
        <v>146</v>
      </c>
      <c r="D78" s="46" t="s">
        <v>58</v>
      </c>
      <c r="E78" s="62">
        <v>0.82799999999999996</v>
      </c>
      <c r="F78" s="63">
        <v>0.8538</v>
      </c>
      <c r="G78" s="64">
        <v>0.86404220779220797</v>
      </c>
      <c r="H78" s="64">
        <v>0.80679785478547905</v>
      </c>
      <c r="I78" s="64">
        <v>0.71532967032966999</v>
      </c>
      <c r="J78" s="63">
        <f>IF(COUNT(G78:I78)=0,"",AVERAGE(G78:I78))</f>
        <v>0.79538991096911904</v>
      </c>
      <c r="K78" s="65">
        <v>0.865089285714286</v>
      </c>
      <c r="L78" s="65">
        <v>0.71964285714285703</v>
      </c>
      <c r="M78" s="65">
        <v>0.87846153846153896</v>
      </c>
      <c r="N78" s="66">
        <f>IF(COUNT(K78:M78)=0,"",AVERAGE(K78:M78))</f>
        <v>0.82106456043956066</v>
      </c>
      <c r="O78" s="65"/>
      <c r="P78" s="65"/>
      <c r="Q78" s="65"/>
      <c r="R78" s="66" t="str">
        <f>IF(COUNT(O78:Q78)=0,"",AVERAGE(O78:Q78))</f>
        <v/>
      </c>
      <c r="S78" s="65"/>
      <c r="T78" s="65"/>
      <c r="U78" s="65"/>
      <c r="V78" s="66" t="str">
        <f>IF(COUNT(S78:U78)=0,"",AVERAGE(S78:U78))</f>
        <v/>
      </c>
      <c r="W78" s="67">
        <v>0.81281475465541098</v>
      </c>
      <c r="X78" s="68" t="s">
        <v>67</v>
      </c>
      <c r="Y78" s="53" t="s">
        <v>128</v>
      </c>
      <c r="Z78" s="1" t="s">
        <v>61</v>
      </c>
    </row>
    <row r="79" spans="1:26" ht="25.5" customHeight="1" x14ac:dyDescent="0.2">
      <c r="A79" s="44" t="s">
        <v>387</v>
      </c>
      <c r="B79" s="45" t="s">
        <v>388</v>
      </c>
      <c r="C79" s="46" t="s">
        <v>146</v>
      </c>
      <c r="D79" s="46" t="s">
        <v>64</v>
      </c>
      <c r="E79" s="62">
        <v>1.7000000000000001E-2</v>
      </c>
      <c r="F79" s="63">
        <v>1.4500000000000001E-2</v>
      </c>
      <c r="G79" s="64">
        <v>1.37535816618911E-2</v>
      </c>
      <c r="H79" s="64">
        <v>7.7985074626865701E-3</v>
      </c>
      <c r="I79" s="64">
        <v>2.1175757575757601E-2</v>
      </c>
      <c r="J79" s="63">
        <f>IF(COUNT(G79:I79)=0,"",AVERAGE(G79:I79))</f>
        <v>1.4242615566778425E-2</v>
      </c>
      <c r="K79" s="65">
        <v>1.05088495575221E-2</v>
      </c>
      <c r="L79" s="65">
        <v>3.4605682605682599E-3</v>
      </c>
      <c r="M79" s="65">
        <v>4.0671072699542503E-3</v>
      </c>
      <c r="N79" s="66">
        <f>IF(COUNT(K79:M79)=0,"",AVERAGE(K79:M79))</f>
        <v>6.0121750293482034E-3</v>
      </c>
      <c r="O79" s="65"/>
      <c r="P79" s="65"/>
      <c r="Q79" s="65"/>
      <c r="R79" s="66" t="str">
        <f>IF(COUNT(O79:Q79)=0,"",AVERAGE(O79:Q79))</f>
        <v/>
      </c>
      <c r="S79" s="65"/>
      <c r="T79" s="65"/>
      <c r="U79" s="65"/>
      <c r="V79" s="66" t="str">
        <f>IF(COUNT(S79:U79)=0,"",AVERAGE(S79:U79))</f>
        <v/>
      </c>
      <c r="W79" s="67">
        <v>1.33091740644643E-2</v>
      </c>
      <c r="X79" s="68" t="s">
        <v>59</v>
      </c>
      <c r="Y79" s="53" t="s">
        <v>128</v>
      </c>
      <c r="Z79" s="1" t="s">
        <v>61</v>
      </c>
    </row>
    <row r="80" spans="1:26" ht="25.5" customHeight="1" x14ac:dyDescent="0.2">
      <c r="A80" s="44" t="s">
        <v>389</v>
      </c>
      <c r="B80" s="45" t="s">
        <v>390</v>
      </c>
      <c r="C80" s="46" t="s">
        <v>146</v>
      </c>
      <c r="D80" s="46" t="s">
        <v>64</v>
      </c>
      <c r="E80" s="62">
        <v>1.9E-2</v>
      </c>
      <c r="F80" s="63">
        <v>1.6199999999999999E-2</v>
      </c>
      <c r="G80" s="64">
        <v>1.58721704394141E-2</v>
      </c>
      <c r="H80" s="64">
        <v>1.5479822493412799E-2</v>
      </c>
      <c r="I80" s="64">
        <v>1.8096504011658601E-2</v>
      </c>
      <c r="J80" s="63">
        <f>IF(COUNT(G80:I80)=0,"",AVERAGE(G80:I80))</f>
        <v>1.6482832314828499E-2</v>
      </c>
      <c r="K80" s="65">
        <v>2.0139402426168601E-2</v>
      </c>
      <c r="L80" s="65">
        <v>2.1949949155650399E-2</v>
      </c>
      <c r="M80" s="65">
        <v>1.86042494385904E-2</v>
      </c>
      <c r="N80" s="66">
        <f>IF(COUNT(K80:M80)=0,"",AVERAGE(K80:M80))</f>
        <v>2.0231200340136465E-2</v>
      </c>
      <c r="O80" s="65"/>
      <c r="P80" s="65"/>
      <c r="Q80" s="65"/>
      <c r="R80" s="66" t="str">
        <f>IF(COUNT(O80:Q80)=0,"",AVERAGE(O80:Q80))</f>
        <v/>
      </c>
      <c r="S80" s="65"/>
      <c r="T80" s="65"/>
      <c r="U80" s="65"/>
      <c r="V80" s="66" t="str">
        <f>IF(COUNT(S80:U80)=0,"",AVERAGE(S80:U80))</f>
        <v/>
      </c>
      <c r="W80" s="67">
        <v>1.7396974842663501E-2</v>
      </c>
      <c r="X80" s="68" t="s">
        <v>67</v>
      </c>
      <c r="Y80" s="53" t="s">
        <v>128</v>
      </c>
      <c r="Z80" s="1" t="s">
        <v>61</v>
      </c>
    </row>
    <row r="81" spans="1:26" ht="25.5" customHeight="1" x14ac:dyDescent="0.2">
      <c r="A81" s="44" t="s">
        <v>391</v>
      </c>
      <c r="B81" s="45" t="s">
        <v>392</v>
      </c>
      <c r="C81" s="46" t="s">
        <v>146</v>
      </c>
      <c r="D81" s="46" t="s">
        <v>64</v>
      </c>
      <c r="E81" s="62">
        <v>0.01</v>
      </c>
      <c r="F81" s="63">
        <v>8.5000000000000006E-3</v>
      </c>
      <c r="G81" s="64">
        <v>0</v>
      </c>
      <c r="H81" s="64">
        <v>0</v>
      </c>
      <c r="I81" s="64">
        <v>0</v>
      </c>
      <c r="J81" s="63">
        <f>IF(COUNT(G81:I81)=0,"",AVERAGE(G81:I81))</f>
        <v>0</v>
      </c>
      <c r="K81" s="78">
        <v>0</v>
      </c>
      <c r="L81" s="78">
        <v>0</v>
      </c>
      <c r="M81" s="78">
        <v>1.37551581843191E-3</v>
      </c>
      <c r="N81" s="50">
        <f>IF(COUNT(K81:M81)=0,"",AVERAGE(K81:M81))</f>
        <v>4.5850527281063666E-4</v>
      </c>
      <c r="O81" s="78"/>
      <c r="P81" s="78"/>
      <c r="Q81" s="78"/>
      <c r="R81" s="50" t="str">
        <f>IF(COUNT(O81:Q81)=0,"",AVERAGE(O81:Q81))</f>
        <v/>
      </c>
      <c r="S81" s="78"/>
      <c r="T81" s="78"/>
      <c r="U81" s="78"/>
      <c r="V81" s="50" t="str">
        <f>IF(COUNT(S81:U81)=0,"",AVERAGE(S81:U81))</f>
        <v/>
      </c>
      <c r="W81" s="79">
        <v>0</v>
      </c>
      <c r="X81" s="80" t="s">
        <v>59</v>
      </c>
      <c r="Y81" s="53" t="s">
        <v>128</v>
      </c>
      <c r="Z81" s="1" t="s">
        <v>61</v>
      </c>
    </row>
    <row r="82" spans="1:26" ht="25.5" customHeight="1" x14ac:dyDescent="0.2">
      <c r="A82" s="44" t="s">
        <v>393</v>
      </c>
      <c r="B82" s="45" t="s">
        <v>394</v>
      </c>
      <c r="C82" s="46" t="s">
        <v>146</v>
      </c>
      <c r="D82" s="46" t="s">
        <v>64</v>
      </c>
      <c r="E82" s="62">
        <v>7.1999999999999995E-2</v>
      </c>
      <c r="F82" s="63">
        <v>6.1199999999999997E-2</v>
      </c>
      <c r="G82" s="64">
        <v>4.3478260869565202E-2</v>
      </c>
      <c r="H82" s="64">
        <v>6.0301507537688398E-2</v>
      </c>
      <c r="I82" s="64">
        <v>6.5326633165829207E-2</v>
      </c>
      <c r="J82" s="63">
        <f>IF(COUNT(G82:I82)=0,"",AVERAGE(G82:I82))</f>
        <v>5.636880052436094E-2</v>
      </c>
      <c r="K82" s="65">
        <v>6.0606060606060601E-2</v>
      </c>
      <c r="L82" s="65">
        <v>7.0351999999999998E-2</v>
      </c>
      <c r="M82" s="65">
        <v>2.5000000000000001E-2</v>
      </c>
      <c r="N82" s="66">
        <f>IF(COUNT(K82:M82)=0,"",AVERAGE(K82:M82))</f>
        <v>5.19860202020202E-2</v>
      </c>
      <c r="O82" s="65"/>
      <c r="P82" s="65"/>
      <c r="Q82" s="65"/>
      <c r="R82" s="66" t="str">
        <f>IF(COUNT(O82:Q82)=0,"",AVERAGE(O82:Q82))</f>
        <v/>
      </c>
      <c r="S82" s="65"/>
      <c r="T82" s="65"/>
      <c r="U82" s="65"/>
      <c r="V82" s="66" t="str">
        <f>IF(COUNT(S82:U82)=0,"",AVERAGE(S82:U82))</f>
        <v/>
      </c>
      <c r="W82" s="67">
        <v>5.7428115544785899E-2</v>
      </c>
      <c r="X82" s="68" t="s">
        <v>59</v>
      </c>
      <c r="Y82" s="53" t="s">
        <v>128</v>
      </c>
      <c r="Z82" s="1" t="s">
        <v>61</v>
      </c>
    </row>
    <row r="83" spans="1:26" ht="25.5" customHeight="1" x14ac:dyDescent="0.2">
      <c r="A83" s="44" t="s">
        <v>395</v>
      </c>
      <c r="B83" s="45" t="s">
        <v>396</v>
      </c>
      <c r="C83" s="46" t="s">
        <v>146</v>
      </c>
      <c r="D83" s="46" t="s">
        <v>58</v>
      </c>
      <c r="E83" s="62">
        <v>1</v>
      </c>
      <c r="F83" s="63">
        <v>1</v>
      </c>
      <c r="G83" s="64">
        <v>1</v>
      </c>
      <c r="H83" s="64">
        <v>1</v>
      </c>
      <c r="I83" s="64">
        <v>1</v>
      </c>
      <c r="J83" s="63">
        <f>IF(COUNT(G83:I83)=0,"",AVERAGE(G83:I83))</f>
        <v>1</v>
      </c>
      <c r="K83" s="65">
        <v>1</v>
      </c>
      <c r="L83" s="65">
        <v>1</v>
      </c>
      <c r="M83" s="65">
        <v>1</v>
      </c>
      <c r="N83" s="66">
        <f>IF(COUNT(K83:M83)=0,"",AVERAGE(K83:M83))</f>
        <v>1</v>
      </c>
      <c r="O83" s="65"/>
      <c r="P83" s="65"/>
      <c r="Q83" s="65"/>
      <c r="R83" s="66" t="str">
        <f>IF(COUNT(O83:Q83)=0,"",AVERAGE(O83:Q83))</f>
        <v/>
      </c>
      <c r="S83" s="65"/>
      <c r="T83" s="65"/>
      <c r="U83" s="65"/>
      <c r="V83" s="66" t="str">
        <f>IF(COUNT(S83:U83)=0,"",AVERAGE(S83:U83))</f>
        <v/>
      </c>
      <c r="W83" s="67">
        <v>1</v>
      </c>
      <c r="X83" s="68" t="s">
        <v>59</v>
      </c>
      <c r="Y83" s="53" t="s">
        <v>128</v>
      </c>
      <c r="Z83" s="1" t="s">
        <v>61</v>
      </c>
    </row>
    <row r="84" spans="1:26" ht="25.5" customHeight="1" x14ac:dyDescent="0.2">
      <c r="A84" s="44" t="s">
        <v>397</v>
      </c>
      <c r="B84" s="45" t="s">
        <v>398</v>
      </c>
      <c r="C84" s="46" t="s">
        <v>146</v>
      </c>
      <c r="D84" s="46" t="s">
        <v>64</v>
      </c>
      <c r="E84" s="62">
        <v>2.7E-2</v>
      </c>
      <c r="F84" s="57">
        <v>1.35E-2</v>
      </c>
      <c r="G84" s="64">
        <v>2.7660472972972999E-2</v>
      </c>
      <c r="H84" s="64">
        <v>3.1138790035587199E-2</v>
      </c>
      <c r="I84" s="64">
        <v>4.0790712268591198E-2</v>
      </c>
      <c r="J84" s="63">
        <f>IF(COUNT(G84:I84)=0,"",AVERAGE(G84:I84))</f>
        <v>3.3196658425717132E-2</v>
      </c>
      <c r="K84" s="78">
        <v>4.07725321888412E-2</v>
      </c>
      <c r="L84" s="78">
        <v>3.8892162639952897E-2</v>
      </c>
      <c r="M84" s="78">
        <v>2.4539877300613501E-2</v>
      </c>
      <c r="N84" s="50">
        <f>IF(COUNT(K84:M84)=0,"",AVERAGE(K84:M84))</f>
        <v>3.4734857376469197E-2</v>
      </c>
      <c r="O84" s="78"/>
      <c r="P84" s="78"/>
      <c r="Q84" s="78"/>
      <c r="R84" s="50" t="str">
        <f>IF(COUNT(O84:Q84)=0,"",AVERAGE(O84:Q84))</f>
        <v/>
      </c>
      <c r="S84" s="78"/>
      <c r="T84" s="78"/>
      <c r="U84" s="78"/>
      <c r="V84" s="50" t="str">
        <f>IF(COUNT(S84:U84)=0,"",AVERAGE(S84:U84))</f>
        <v/>
      </c>
      <c r="W84" s="79">
        <v>3.5090626866498199E-2</v>
      </c>
      <c r="X84" s="80" t="s">
        <v>71</v>
      </c>
      <c r="Y84" s="53" t="s">
        <v>128</v>
      </c>
      <c r="Z84" s="1" t="s">
        <v>61</v>
      </c>
    </row>
    <row r="85" spans="1:26" ht="25.5" customHeight="1" x14ac:dyDescent="0.2">
      <c r="A85" s="44" t="s">
        <v>399</v>
      </c>
      <c r="B85" s="45" t="s">
        <v>400</v>
      </c>
      <c r="C85" s="46" t="s">
        <v>146</v>
      </c>
      <c r="D85" s="46" t="s">
        <v>58</v>
      </c>
      <c r="E85" s="62">
        <v>0.86929999999999996</v>
      </c>
      <c r="F85" s="63">
        <v>0.88490000000000002</v>
      </c>
      <c r="G85" s="64">
        <v>0.89370000000000005</v>
      </c>
      <c r="H85" s="64">
        <v>0.84109999999999996</v>
      </c>
      <c r="I85" s="64">
        <v>0.88680000000000003</v>
      </c>
      <c r="J85" s="63">
        <f>IF(COUNT(G85:I85)=0,"",AVERAGE(G85:I85))</f>
        <v>0.87386666666666668</v>
      </c>
      <c r="K85" s="65">
        <v>0.86660000000000004</v>
      </c>
      <c r="L85" s="65">
        <v>0.87509999999999999</v>
      </c>
      <c r="M85" s="65">
        <v>0.90759999999999996</v>
      </c>
      <c r="N85" s="66">
        <f>IF(COUNT(K85:M85)=0,"",AVERAGE(K85:M85))</f>
        <v>0.88310000000000011</v>
      </c>
      <c r="O85" s="65"/>
      <c r="P85" s="65"/>
      <c r="Q85" s="65"/>
      <c r="R85" s="66" t="str">
        <f>IF(COUNT(O85:Q85)=0,"",AVERAGE(O85:Q85))</f>
        <v/>
      </c>
      <c r="S85" s="65"/>
      <c r="T85" s="65"/>
      <c r="U85" s="65"/>
      <c r="V85" s="66" t="str">
        <f>IF(COUNT(S85:U85)=0,"",AVERAGE(S85:U85))</f>
        <v/>
      </c>
      <c r="W85" s="67">
        <v>0.87204999999999999</v>
      </c>
      <c r="X85" s="68" t="s">
        <v>67</v>
      </c>
      <c r="Y85" s="53" t="s">
        <v>68</v>
      </c>
      <c r="Z85" s="1" t="s">
        <v>61</v>
      </c>
    </row>
    <row r="86" spans="1:26" ht="25.5" customHeight="1" x14ac:dyDescent="0.2">
      <c r="A86" s="44" t="s">
        <v>401</v>
      </c>
      <c r="B86" s="45" t="s">
        <v>402</v>
      </c>
      <c r="C86" s="46" t="s">
        <v>146</v>
      </c>
      <c r="D86" s="46" t="s">
        <v>58</v>
      </c>
      <c r="E86" s="62">
        <v>0.88060000000000005</v>
      </c>
      <c r="F86" s="63">
        <v>0.89380000000000004</v>
      </c>
      <c r="G86" s="64">
        <v>0.89370000000000005</v>
      </c>
      <c r="H86" s="64">
        <v>0.92090000000000005</v>
      </c>
      <c r="I86" s="64">
        <v>0.89570000000000005</v>
      </c>
      <c r="J86" s="63">
        <f>IF(COUNT(G86:I86)=0,"",AVERAGE(G86:I86))</f>
        <v>0.90343333333333342</v>
      </c>
      <c r="K86" s="65">
        <v>0.90900000000000003</v>
      </c>
      <c r="L86" s="65">
        <v>0.88780000000000003</v>
      </c>
      <c r="M86" s="65">
        <v>0.8911</v>
      </c>
      <c r="N86" s="66">
        <f>IF(COUNT(K86:M86)=0,"",AVERAGE(K86:M86))</f>
        <v>0.89596666666666669</v>
      </c>
      <c r="O86" s="65"/>
      <c r="P86" s="65"/>
      <c r="Q86" s="65"/>
      <c r="R86" s="66" t="str">
        <f>IF(COUNT(O86:Q86)=0,"",AVERAGE(O86:Q86))</f>
        <v/>
      </c>
      <c r="S86" s="65"/>
      <c r="T86" s="65"/>
      <c r="U86" s="65"/>
      <c r="V86" s="66" t="str">
        <f>IF(COUNT(S86:U86)=0,"",AVERAGE(S86:U86))</f>
        <v/>
      </c>
      <c r="W86" s="67">
        <v>0.90482499999999999</v>
      </c>
      <c r="X86" s="68" t="s">
        <v>59</v>
      </c>
      <c r="Y86" s="53" t="s">
        <v>128</v>
      </c>
      <c r="Z86" s="1" t="s">
        <v>61</v>
      </c>
    </row>
    <row r="87" spans="1:26" ht="25.5" customHeight="1" x14ac:dyDescent="0.2">
      <c r="A87" s="44" t="s">
        <v>403</v>
      </c>
      <c r="B87" s="45" t="s">
        <v>404</v>
      </c>
      <c r="C87" s="46" t="s">
        <v>146</v>
      </c>
      <c r="D87" s="46" t="s">
        <v>58</v>
      </c>
      <c r="E87" s="62">
        <v>0.84240000000000004</v>
      </c>
      <c r="F87" s="63">
        <v>0.86580000000000001</v>
      </c>
      <c r="G87" s="64">
        <v>0.86370000000000002</v>
      </c>
      <c r="H87" s="64">
        <v>0.83750000000000002</v>
      </c>
      <c r="I87" s="64">
        <v>0.95660000000000001</v>
      </c>
      <c r="J87" s="63">
        <f>IF(COUNT(G87:I87)=0,"",AVERAGE(G87:I87))</f>
        <v>0.88593333333333335</v>
      </c>
      <c r="K87" s="65"/>
      <c r="L87" s="65">
        <v>0.77200000000000002</v>
      </c>
      <c r="M87" s="65" t="s">
        <v>405</v>
      </c>
      <c r="N87" s="66">
        <f>IF(COUNT(K87:M87)=0,"",AVERAGE(K87:M87))</f>
        <v>0.77200000000000002</v>
      </c>
      <c r="O87" s="65"/>
      <c r="P87" s="65"/>
      <c r="Q87" s="65"/>
      <c r="R87" s="66" t="str">
        <f>IF(COUNT(O87:Q87)=0,"",AVERAGE(O87:Q87))</f>
        <v/>
      </c>
      <c r="S87" s="65"/>
      <c r="T87" s="65"/>
      <c r="U87" s="65"/>
      <c r="V87" s="66" t="str">
        <f>IF(COUNT(S87:U87)=0,"",AVERAGE(S87:U87))</f>
        <v/>
      </c>
      <c r="W87" s="67">
        <v>0.88593333333333302</v>
      </c>
      <c r="X87" s="68" t="s">
        <v>59</v>
      </c>
      <c r="Y87" s="53" t="s">
        <v>128</v>
      </c>
      <c r="Z87" s="1" t="s">
        <v>61</v>
      </c>
    </row>
    <row r="88" spans="1:26" ht="25.5" customHeight="1" x14ac:dyDescent="0.2">
      <c r="A88" s="44" t="s">
        <v>406</v>
      </c>
      <c r="B88" s="45" t="s">
        <v>407</v>
      </c>
      <c r="C88" s="46" t="s">
        <v>146</v>
      </c>
      <c r="D88" s="46" t="s">
        <v>58</v>
      </c>
      <c r="E88" s="62">
        <v>0.83499999999999996</v>
      </c>
      <c r="F88" s="63">
        <v>0.80700000000000005</v>
      </c>
      <c r="G88" s="64">
        <v>0.86539999999999995</v>
      </c>
      <c r="H88" s="64">
        <v>0.80359999999999998</v>
      </c>
      <c r="I88" s="64">
        <v>0.78380000000000005</v>
      </c>
      <c r="J88" s="63">
        <f>IF(COUNT(G88:I88)=0,"",AVERAGE(G88:I88))</f>
        <v>0.81759999999999999</v>
      </c>
      <c r="K88" s="65">
        <v>0.77690000000000003</v>
      </c>
      <c r="L88" s="65">
        <v>0.79920000000000002</v>
      </c>
      <c r="M88" s="65">
        <v>0.78779999999999994</v>
      </c>
      <c r="N88" s="66">
        <f>IF(COUNT(K88:M88)=0,"",AVERAGE(K88:M88))</f>
        <v>0.7879666666666667</v>
      </c>
      <c r="O88" s="65"/>
      <c r="P88" s="65"/>
      <c r="Q88" s="65"/>
      <c r="R88" s="66" t="str">
        <f>IF(COUNT(O88:Q88)=0,"",AVERAGE(O88:Q88))</f>
        <v/>
      </c>
      <c r="S88" s="65"/>
      <c r="T88" s="65"/>
      <c r="U88" s="65"/>
      <c r="V88" s="66" t="str">
        <f>IF(COUNT(S88:U88)=0,"",AVERAGE(S88:U88))</f>
        <v/>
      </c>
      <c r="W88" s="67">
        <v>0.80742499999999995</v>
      </c>
      <c r="X88" s="68" t="s">
        <v>59</v>
      </c>
      <c r="Y88" s="53" t="s">
        <v>128</v>
      </c>
      <c r="Z88" s="1" t="s">
        <v>61</v>
      </c>
    </row>
    <row r="89" spans="1:26" ht="25.5" customHeight="1" x14ac:dyDescent="0.2">
      <c r="A89" s="44" t="s">
        <v>408</v>
      </c>
      <c r="B89" s="45" t="s">
        <v>409</v>
      </c>
      <c r="C89" s="46" t="s">
        <v>146</v>
      </c>
      <c r="D89" s="46" t="s">
        <v>58</v>
      </c>
      <c r="E89" s="62">
        <v>0.82099999999999995</v>
      </c>
      <c r="F89" s="63">
        <v>0.84799999999999998</v>
      </c>
      <c r="G89" s="64">
        <v>0.90859999999999996</v>
      </c>
      <c r="H89" s="64">
        <v>0.91039999999999999</v>
      </c>
      <c r="I89" s="65">
        <v>0.91720000000000002</v>
      </c>
      <c r="J89" s="63">
        <f>IF(COUNT(G89:I89)=0,"",AVERAGE(G89:I89))</f>
        <v>0.91206666666666669</v>
      </c>
      <c r="K89" s="65">
        <v>0.91769999999999996</v>
      </c>
      <c r="L89" s="65">
        <v>0.89129999999999998</v>
      </c>
      <c r="M89" s="65">
        <v>0.8962</v>
      </c>
      <c r="N89" s="66">
        <f>IF(COUNT(K89:M89)=0,"",AVERAGE(K89:M89))</f>
        <v>0.90173333333333339</v>
      </c>
      <c r="O89" s="65"/>
      <c r="P89" s="65"/>
      <c r="Q89" s="65"/>
      <c r="R89" s="66" t="str">
        <f>IF(COUNT(O89:Q89)=0,"",AVERAGE(O89:Q89))</f>
        <v/>
      </c>
      <c r="S89" s="65"/>
      <c r="T89" s="65"/>
      <c r="U89" s="65"/>
      <c r="V89" s="66" t="str">
        <f>IF(COUNT(S89:U89)=0,"",AVERAGE(S89:U89))</f>
        <v/>
      </c>
      <c r="W89" s="67">
        <v>0.91223333333333301</v>
      </c>
      <c r="X89" s="68" t="s">
        <v>59</v>
      </c>
      <c r="Y89" s="53" t="s">
        <v>68</v>
      </c>
      <c r="Z89" s="1" t="s">
        <v>61</v>
      </c>
    </row>
    <row r="90" spans="1:26" ht="25.5" customHeight="1" x14ac:dyDescent="0.2">
      <c r="A90" s="44" t="s">
        <v>410</v>
      </c>
      <c r="B90" s="45" t="s">
        <v>411</v>
      </c>
      <c r="C90" s="46" t="s">
        <v>238</v>
      </c>
      <c r="D90" s="46" t="s">
        <v>64</v>
      </c>
      <c r="E90" s="62">
        <v>0</v>
      </c>
      <c r="F90" s="63">
        <v>0</v>
      </c>
      <c r="G90" s="64">
        <v>0</v>
      </c>
      <c r="H90" s="64">
        <v>0</v>
      </c>
      <c r="I90" s="64">
        <v>0</v>
      </c>
      <c r="J90" s="63">
        <f>IF(COUNT(G90:I90)=0,"",AVERAGE(G90:I90))</f>
        <v>0</v>
      </c>
      <c r="K90" s="65">
        <v>0</v>
      </c>
      <c r="L90" s="65">
        <v>0</v>
      </c>
      <c r="M90" s="65">
        <v>0</v>
      </c>
      <c r="N90" s="66">
        <f>IF(COUNT(K90:M90)=0,"",AVERAGE(K90:M90))</f>
        <v>0</v>
      </c>
      <c r="O90" s="65"/>
      <c r="P90" s="65"/>
      <c r="Q90" s="65"/>
      <c r="R90" s="66" t="str">
        <f>IF(COUNT(O90:Q90)=0,"",AVERAGE(O90:Q90))</f>
        <v/>
      </c>
      <c r="S90" s="65"/>
      <c r="T90" s="65"/>
      <c r="U90" s="65"/>
      <c r="V90" s="66" t="str">
        <f>IF(COUNT(S90:U90)=0,"",AVERAGE(S90:U90))</f>
        <v/>
      </c>
      <c r="W90" s="67">
        <v>0</v>
      </c>
      <c r="X90" s="68" t="s">
        <v>59</v>
      </c>
      <c r="Y90" s="53" t="s">
        <v>128</v>
      </c>
      <c r="Z90" s="1" t="s">
        <v>61</v>
      </c>
    </row>
    <row r="91" spans="1:26" ht="25.5" customHeight="1" x14ac:dyDescent="0.2">
      <c r="A91" s="44" t="s">
        <v>412</v>
      </c>
      <c r="B91" s="45" t="s">
        <v>413</v>
      </c>
      <c r="C91" s="46" t="s">
        <v>238</v>
      </c>
      <c r="D91" s="46" t="s">
        <v>64</v>
      </c>
      <c r="E91" s="62">
        <v>0</v>
      </c>
      <c r="F91" s="63">
        <v>0</v>
      </c>
      <c r="G91" s="64">
        <v>0</v>
      </c>
      <c r="H91" s="64">
        <v>0</v>
      </c>
      <c r="I91" s="64">
        <v>0</v>
      </c>
      <c r="J91" s="63">
        <f>IF(COUNT(G91:I91)=0,"",AVERAGE(G91:I91))</f>
        <v>0</v>
      </c>
      <c r="K91" s="65">
        <v>0</v>
      </c>
      <c r="L91" s="65">
        <v>0</v>
      </c>
      <c r="M91" s="65">
        <v>0</v>
      </c>
      <c r="N91" s="66">
        <f>IF(COUNT(K91:M91)=0,"",AVERAGE(K91:M91))</f>
        <v>0</v>
      </c>
      <c r="O91" s="65"/>
      <c r="P91" s="65"/>
      <c r="Q91" s="65"/>
      <c r="R91" s="66" t="str">
        <f>IF(COUNT(O91:Q91)=0,"",AVERAGE(O91:Q91))</f>
        <v/>
      </c>
      <c r="S91" s="65"/>
      <c r="T91" s="65"/>
      <c r="U91" s="65"/>
      <c r="V91" s="66" t="str">
        <f>IF(COUNT(S91:U91)=0,"",AVERAGE(S91:U91))</f>
        <v/>
      </c>
      <c r="W91" s="67">
        <v>0</v>
      </c>
      <c r="X91" s="68" t="s">
        <v>59</v>
      </c>
      <c r="Y91" s="53" t="s">
        <v>128</v>
      </c>
      <c r="Z91" s="1" t="s">
        <v>61</v>
      </c>
    </row>
    <row r="92" spans="1:26" ht="25.5" customHeight="1" x14ac:dyDescent="0.2">
      <c r="A92" s="44" t="s">
        <v>414</v>
      </c>
      <c r="B92" s="45" t="s">
        <v>415</v>
      </c>
      <c r="C92" s="46" t="s">
        <v>238</v>
      </c>
      <c r="D92" s="46" t="s">
        <v>64</v>
      </c>
      <c r="E92" s="62">
        <v>0</v>
      </c>
      <c r="F92" s="63">
        <v>0</v>
      </c>
      <c r="G92" s="64">
        <v>0</v>
      </c>
      <c r="H92" s="64">
        <v>0</v>
      </c>
      <c r="I92" s="64">
        <v>0</v>
      </c>
      <c r="J92" s="63">
        <f>IF(COUNT(G92:I92)=0,"",AVERAGE(G92:I92))</f>
        <v>0</v>
      </c>
      <c r="K92" s="65">
        <v>0</v>
      </c>
      <c r="L92" s="65">
        <v>0</v>
      </c>
      <c r="M92" s="65">
        <v>0</v>
      </c>
      <c r="N92" s="66">
        <f>IF(COUNT(K92:M92)=0,"",AVERAGE(K92:M92))</f>
        <v>0</v>
      </c>
      <c r="O92" s="65"/>
      <c r="P92" s="65"/>
      <c r="Q92" s="65"/>
      <c r="R92" s="66" t="str">
        <f>IF(COUNT(O92:Q92)=0,"",AVERAGE(O92:Q92))</f>
        <v/>
      </c>
      <c r="S92" s="65"/>
      <c r="T92" s="65"/>
      <c r="U92" s="65"/>
      <c r="V92" s="66" t="str">
        <f>IF(COUNT(S92:U92)=0,"",AVERAGE(S92:U92))</f>
        <v/>
      </c>
      <c r="W92" s="67">
        <v>0</v>
      </c>
      <c r="X92" s="68" t="s">
        <v>59</v>
      </c>
      <c r="Y92" s="53" t="s">
        <v>128</v>
      </c>
      <c r="Z92" s="1" t="s">
        <v>61</v>
      </c>
    </row>
    <row r="93" spans="1:26" ht="25.5" customHeight="1" x14ac:dyDescent="0.2">
      <c r="A93" s="44" t="s">
        <v>416</v>
      </c>
      <c r="B93" s="45" t="s">
        <v>417</v>
      </c>
      <c r="C93" s="46" t="s">
        <v>238</v>
      </c>
      <c r="D93" s="46" t="s">
        <v>58</v>
      </c>
      <c r="E93" s="62">
        <v>0.45</v>
      </c>
      <c r="F93" s="63">
        <v>0.9</v>
      </c>
      <c r="G93" s="64">
        <v>1</v>
      </c>
      <c r="H93" s="64">
        <v>1</v>
      </c>
      <c r="I93" s="64">
        <v>1</v>
      </c>
      <c r="J93" s="63">
        <f>IF(COUNT(G93:I93)=0,"",AVERAGE(G93:I93))</f>
        <v>1</v>
      </c>
      <c r="K93" s="65">
        <v>1</v>
      </c>
      <c r="L93" s="65">
        <v>1</v>
      </c>
      <c r="M93" s="65">
        <v>1</v>
      </c>
      <c r="N93" s="66">
        <f>IF(COUNT(K93:M93)=0,"",AVERAGE(K93:M93))</f>
        <v>1</v>
      </c>
      <c r="O93" s="65"/>
      <c r="P93" s="65"/>
      <c r="Q93" s="65"/>
      <c r="R93" s="66" t="str">
        <f>IF(COUNT(O93:Q93)=0,"",AVERAGE(O93:Q93))</f>
        <v/>
      </c>
      <c r="S93" s="65"/>
      <c r="T93" s="65"/>
      <c r="U93" s="65"/>
      <c r="V93" s="66" t="str">
        <f>IF(COUNT(S93:U93)=0,"",AVERAGE(S93:U93))</f>
        <v/>
      </c>
      <c r="W93" s="67">
        <v>1</v>
      </c>
      <c r="X93" s="68" t="s">
        <v>59</v>
      </c>
      <c r="Y93" s="53" t="s">
        <v>128</v>
      </c>
      <c r="Z93" s="1" t="s">
        <v>61</v>
      </c>
    </row>
    <row r="94" spans="1:26" ht="25.5" customHeight="1" x14ac:dyDescent="0.2">
      <c r="A94" s="44" t="s">
        <v>418</v>
      </c>
      <c r="B94" s="45" t="s">
        <v>419</v>
      </c>
      <c r="C94" s="46" t="s">
        <v>23</v>
      </c>
      <c r="D94" s="46" t="s">
        <v>58</v>
      </c>
      <c r="E94" s="62">
        <v>1</v>
      </c>
      <c r="F94" s="63" t="s">
        <v>420</v>
      </c>
      <c r="G94" s="64"/>
      <c r="H94" s="64"/>
      <c r="I94" s="64"/>
      <c r="J94" s="63"/>
      <c r="K94" s="65"/>
      <c r="L94" s="65"/>
      <c r="M94" s="65"/>
      <c r="N94" s="66"/>
      <c r="O94" s="65"/>
      <c r="P94" s="65"/>
      <c r="Q94" s="65"/>
      <c r="R94" s="66"/>
      <c r="S94" s="65"/>
      <c r="T94" s="65"/>
      <c r="U94" s="65"/>
      <c r="V94" s="66"/>
      <c r="W94" s="67">
        <v>4.2114695340501801E-2</v>
      </c>
      <c r="X94" s="68" t="s">
        <v>71</v>
      </c>
      <c r="Y94" s="53" t="s">
        <v>186</v>
      </c>
      <c r="Z94" s="1" t="s">
        <v>61</v>
      </c>
    </row>
    <row r="95" spans="1:26" ht="25.5" customHeight="1" x14ac:dyDescent="0.2">
      <c r="A95" s="44" t="s">
        <v>421</v>
      </c>
      <c r="B95" s="45" t="s">
        <v>422</v>
      </c>
      <c r="C95" s="46" t="s">
        <v>184</v>
      </c>
      <c r="D95" s="46" t="s">
        <v>58</v>
      </c>
      <c r="E95" s="62" t="s">
        <v>89</v>
      </c>
      <c r="F95" s="66">
        <v>0.7</v>
      </c>
      <c r="G95" s="64">
        <v>0.25</v>
      </c>
      <c r="H95" s="64">
        <v>0.5</v>
      </c>
      <c r="I95" s="64">
        <v>1</v>
      </c>
      <c r="J95" s="63">
        <f>IF(COUNT(G95:I95)=0,"",LOOKUP(2,1/(G95:I95&lt;&gt;""),G95:I95))</f>
        <v>1</v>
      </c>
      <c r="K95" s="65">
        <v>1</v>
      </c>
      <c r="L95" s="65">
        <v>1</v>
      </c>
      <c r="M95" s="65">
        <v>1</v>
      </c>
      <c r="N95" s="66">
        <f>IF(COUNT(K95:M95)=0,"",LOOKUP(2,1/(K95:M95&lt;&gt;""),K95:M95))</f>
        <v>1</v>
      </c>
      <c r="O95" s="65"/>
      <c r="P95" s="65"/>
      <c r="Q95" s="65"/>
      <c r="R95" s="66" t="str">
        <f>IF(COUNT(O95:Q95)=0,"",LOOKUP(2,1/(O95:Q95&lt;&gt;""),O95:Q95))</f>
        <v/>
      </c>
      <c r="S95" s="65"/>
      <c r="T95" s="65"/>
      <c r="U95" s="65"/>
      <c r="V95" s="66" t="str">
        <f>IF(COUNT(S95:U95)=0,"",LOOKUP(2,1/(S95:U95&lt;&gt;""),S95:U95))</f>
        <v/>
      </c>
      <c r="W95" s="67">
        <v>0.6875</v>
      </c>
      <c r="X95" s="68" t="s">
        <v>67</v>
      </c>
      <c r="Y95" s="53" t="s">
        <v>179</v>
      </c>
      <c r="Z95" s="1" t="s">
        <v>61</v>
      </c>
    </row>
    <row r="96" spans="1:26" ht="15" customHeight="1" x14ac:dyDescent="0.2">
      <c r="A96" s="44" t="s">
        <v>423</v>
      </c>
      <c r="B96" s="45" t="s">
        <v>424</v>
      </c>
      <c r="C96" s="46" t="s">
        <v>21</v>
      </c>
      <c r="D96" s="46" t="s">
        <v>58</v>
      </c>
      <c r="E96" s="47"/>
      <c r="F96" s="48"/>
      <c r="G96" s="78"/>
      <c r="H96" s="78"/>
      <c r="I96" s="78"/>
      <c r="J96" s="50" t="str">
        <f>IF(COUNT(G96:I96)=0,"",AVERAGE(G96:I96))</f>
        <v/>
      </c>
      <c r="K96" s="49"/>
      <c r="L96" s="49"/>
      <c r="M96" s="49"/>
      <c r="N96" s="48" t="str">
        <f>IF(COUNT(K96:M96)=0,"",AVERAGE(K96:M96))</f>
        <v/>
      </c>
      <c r="O96" s="49"/>
      <c r="P96" s="49"/>
      <c r="Q96" s="49"/>
      <c r="R96" s="48" t="str">
        <f>IF(COUNT(O96:Q96)=0,"",AVERAGE(O96:Q96))</f>
        <v/>
      </c>
      <c r="S96" s="49"/>
      <c r="T96" s="49"/>
      <c r="U96" s="49"/>
      <c r="V96" s="48" t="str">
        <f>IF(COUNT(S96:U96)=0,"",AVERAGE(S96:U96))</f>
        <v/>
      </c>
      <c r="W96" s="51"/>
      <c r="X96" s="52" t="s">
        <v>91</v>
      </c>
      <c r="Y96" s="53" t="s">
        <v>128</v>
      </c>
      <c r="Z96" s="1" t="s">
        <v>220</v>
      </c>
    </row>
    <row r="97" spans="1:26" ht="15" customHeight="1" x14ac:dyDescent="0.2">
      <c r="A97" s="44" t="s">
        <v>425</v>
      </c>
      <c r="B97" s="45" t="s">
        <v>426</v>
      </c>
      <c r="C97" s="46" t="s">
        <v>146</v>
      </c>
      <c r="D97" s="46" t="s">
        <v>64</v>
      </c>
      <c r="E97" s="47"/>
      <c r="F97" s="48"/>
      <c r="G97" s="78"/>
      <c r="H97" s="78"/>
      <c r="I97" s="78"/>
      <c r="J97" s="50" t="str">
        <f>IF(COUNT(G97:I97)=0,"",AVERAGE(G97:I97))</f>
        <v/>
      </c>
      <c r="K97" s="49"/>
      <c r="L97" s="49"/>
      <c r="M97" s="49"/>
      <c r="N97" s="48" t="str">
        <f>IF(COUNT(K97:M97)=0,"",AVERAGE(K97:M97))</f>
        <v/>
      </c>
      <c r="O97" s="49"/>
      <c r="P97" s="49"/>
      <c r="Q97" s="49"/>
      <c r="R97" s="48" t="str">
        <f>IF(COUNT(O97:Q97)=0,"",AVERAGE(O97:Q97))</f>
        <v/>
      </c>
      <c r="S97" s="49"/>
      <c r="T97" s="49"/>
      <c r="U97" s="49"/>
      <c r="V97" s="48" t="str">
        <f>IF(COUNT(S97:U97)=0,"",AVERAGE(S97:U97))</f>
        <v/>
      </c>
      <c r="W97" s="51"/>
      <c r="X97" s="52" t="s">
        <v>91</v>
      </c>
      <c r="Y97" s="53" t="s">
        <v>128</v>
      </c>
      <c r="Z97" s="1" t="s">
        <v>220</v>
      </c>
    </row>
    <row r="98" spans="1:26" ht="15" customHeight="1" x14ac:dyDescent="0.2">
      <c r="A98" s="44" t="s">
        <v>427</v>
      </c>
      <c r="B98" s="45" t="s">
        <v>428</v>
      </c>
      <c r="C98" s="46" t="s">
        <v>21</v>
      </c>
      <c r="D98" s="46" t="s">
        <v>64</v>
      </c>
      <c r="E98" s="47">
        <v>6</v>
      </c>
      <c r="F98" s="48">
        <v>5</v>
      </c>
      <c r="G98" s="78"/>
      <c r="H98" s="78"/>
      <c r="I98" s="78"/>
      <c r="J98" s="50" t="str">
        <f>IF(COUNT(G98:I98)=0,"",AVERAGE(G98:I98))</f>
        <v/>
      </c>
      <c r="K98" s="49"/>
      <c r="L98" s="49"/>
      <c r="M98" s="49"/>
      <c r="N98" s="48" t="str">
        <f>IF(COUNT(K98:M98)=0,"",AVERAGE(K98:M98))</f>
        <v/>
      </c>
      <c r="O98" s="49"/>
      <c r="P98" s="49"/>
      <c r="Q98" s="49"/>
      <c r="R98" s="48" t="str">
        <f>IF(COUNT(O98:Q98)=0,"",AVERAGE(O98:Q98))</f>
        <v/>
      </c>
      <c r="S98" s="49"/>
      <c r="T98" s="49"/>
      <c r="U98" s="49"/>
      <c r="V98" s="48" t="str">
        <f>IF(COUNT(S98:U98)=0,"",AVERAGE(S98:U98))</f>
        <v/>
      </c>
      <c r="W98" s="51"/>
      <c r="X98" s="52" t="s">
        <v>91</v>
      </c>
      <c r="Y98" s="53" t="s">
        <v>128</v>
      </c>
      <c r="Z98" s="1" t="s">
        <v>220</v>
      </c>
    </row>
    <row r="99" spans="1:26" ht="15" customHeight="1" x14ac:dyDescent="0.2">
      <c r="A99" s="44" t="s">
        <v>429</v>
      </c>
      <c r="B99" s="45" t="s">
        <v>430</v>
      </c>
      <c r="C99" s="46" t="s">
        <v>19</v>
      </c>
      <c r="D99" s="46" t="s">
        <v>64</v>
      </c>
      <c r="E99" s="62">
        <v>0.14000000000000001</v>
      </c>
      <c r="F99" s="48">
        <v>7.0000000000000007E-2</v>
      </c>
      <c r="G99" s="78"/>
      <c r="H99" s="78"/>
      <c r="I99" s="78"/>
      <c r="J99" s="50" t="str">
        <f>IF(COUNT(G99:I99)=0,"",AVERAGE(G99:I99))</f>
        <v/>
      </c>
      <c r="K99" s="49"/>
      <c r="L99" s="49"/>
      <c r="M99" s="49"/>
      <c r="N99" s="48" t="str">
        <f>IF(COUNT(K99:M99)=0,"",AVERAGE(K99:M99))</f>
        <v/>
      </c>
      <c r="O99" s="49"/>
      <c r="P99" s="49"/>
      <c r="Q99" s="49"/>
      <c r="R99" s="48" t="str">
        <f>IF(COUNT(O99:Q99)=0,"",AVERAGE(O99:Q99))</f>
        <v/>
      </c>
      <c r="S99" s="49"/>
      <c r="T99" s="49"/>
      <c r="U99" s="49"/>
      <c r="V99" s="48" t="str">
        <f>IF(COUNT(S99:U99)=0,"",AVERAGE(S99:U99))</f>
        <v/>
      </c>
      <c r="W99" s="51"/>
      <c r="X99" s="52" t="s">
        <v>91</v>
      </c>
      <c r="Y99" s="53" t="s">
        <v>131</v>
      </c>
      <c r="Z99" s="1" t="s">
        <v>220</v>
      </c>
    </row>
    <row r="100" spans="1:26" ht="15" customHeight="1" x14ac:dyDescent="0.2">
      <c r="A100" s="44" t="s">
        <v>431</v>
      </c>
      <c r="B100" s="45" t="s">
        <v>432</v>
      </c>
      <c r="C100" s="46" t="s">
        <v>21</v>
      </c>
      <c r="D100" s="46" t="s">
        <v>225</v>
      </c>
      <c r="E100" s="47"/>
      <c r="F100" s="48"/>
      <c r="G100" s="78"/>
      <c r="H100" s="78"/>
      <c r="I100" s="78"/>
      <c r="J100" s="50" t="str">
        <f>IF(COUNT(G100:I100)=0,"",AVERAGE(G100:I100))</f>
        <v/>
      </c>
      <c r="K100" s="49"/>
      <c r="L100" s="49"/>
      <c r="M100" s="49"/>
      <c r="N100" s="48" t="str">
        <f>IF(COUNT(K100:M100)=0,"",AVERAGE(K100:M100))</f>
        <v/>
      </c>
      <c r="O100" s="49"/>
      <c r="P100" s="49"/>
      <c r="Q100" s="49"/>
      <c r="R100" s="48" t="str">
        <f>IF(COUNT(O100:Q100)=0,"",AVERAGE(O100:Q100))</f>
        <v/>
      </c>
      <c r="S100" s="49"/>
      <c r="T100" s="49"/>
      <c r="U100" s="49"/>
      <c r="V100" s="48" t="str">
        <f>IF(COUNT(S100:U100)=0,"",AVERAGE(S100:U100))</f>
        <v/>
      </c>
      <c r="W100" s="51"/>
      <c r="X100" s="52" t="s">
        <v>91</v>
      </c>
      <c r="Y100" s="53" t="s">
        <v>128</v>
      </c>
      <c r="Z100" s="1" t="s">
        <v>220</v>
      </c>
    </row>
    <row r="101" spans="1:26" ht="36" customHeight="1" x14ac:dyDescent="0.2">
      <c r="A101" s="44" t="s">
        <v>433</v>
      </c>
      <c r="B101" s="45" t="s">
        <v>434</v>
      </c>
      <c r="C101" s="46" t="s">
        <v>19</v>
      </c>
      <c r="D101" s="46" t="s">
        <v>64</v>
      </c>
      <c r="E101" s="47"/>
      <c r="F101" s="48"/>
      <c r="G101" s="78"/>
      <c r="H101" s="78"/>
      <c r="I101" s="78"/>
      <c r="J101" s="50" t="str">
        <f>IF(COUNT(G101:I101)=0,"",AVERAGE(G101:I101))</f>
        <v/>
      </c>
      <c r="K101" s="49"/>
      <c r="L101" s="49"/>
      <c r="M101" s="49"/>
      <c r="N101" s="48" t="str">
        <f>IF(COUNT(K101:M101)=0,"",AVERAGE(K101:M101))</f>
        <v/>
      </c>
      <c r="O101" s="49"/>
      <c r="P101" s="49"/>
      <c r="Q101" s="49"/>
      <c r="R101" s="48" t="str">
        <f>IF(COUNT(O101:Q101)=0,"",AVERAGE(O101:Q101))</f>
        <v/>
      </c>
      <c r="S101" s="49"/>
      <c r="T101" s="49"/>
      <c r="U101" s="49"/>
      <c r="V101" s="48" t="str">
        <f>IF(COUNT(S101:U101)=0,"",AVERAGE(S101:U101))</f>
        <v/>
      </c>
      <c r="W101" s="51"/>
      <c r="X101" s="52" t="s">
        <v>91</v>
      </c>
      <c r="Y101" s="53" t="s">
        <v>435</v>
      </c>
      <c r="Z101" s="1" t="s">
        <v>220</v>
      </c>
    </row>
    <row r="102" spans="1:26" ht="15" customHeight="1" x14ac:dyDescent="0.2">
      <c r="A102" s="44" t="s">
        <v>436</v>
      </c>
      <c r="B102" s="45" t="s">
        <v>437</v>
      </c>
      <c r="C102" s="46" t="s">
        <v>238</v>
      </c>
      <c r="D102" s="46" t="s">
        <v>225</v>
      </c>
      <c r="E102" s="47"/>
      <c r="F102" s="48"/>
      <c r="G102" s="78"/>
      <c r="H102" s="78"/>
      <c r="I102" s="78"/>
      <c r="J102" s="50" t="str">
        <f>IF(COUNT(G102:I102)=0,"",AVERAGE(G102:I102))</f>
        <v/>
      </c>
      <c r="K102" s="49"/>
      <c r="L102" s="49"/>
      <c r="M102" s="49"/>
      <c r="N102" s="48" t="str">
        <f>IF(COUNT(K102:M102)=0,"",AVERAGE(K102:M102))</f>
        <v/>
      </c>
      <c r="O102" s="49"/>
      <c r="P102" s="49"/>
      <c r="Q102" s="49"/>
      <c r="R102" s="48" t="str">
        <f>IF(COUNT(O102:Q102)=0,"",AVERAGE(O102:Q102))</f>
        <v/>
      </c>
      <c r="S102" s="49"/>
      <c r="T102" s="49"/>
      <c r="U102" s="49"/>
      <c r="V102" s="48" t="str">
        <f>IF(COUNT(S102:U102)=0,"",AVERAGE(S102:U102))</f>
        <v/>
      </c>
      <c r="W102" s="51"/>
      <c r="X102" s="52" t="s">
        <v>91</v>
      </c>
      <c r="Y102" s="53" t="s">
        <v>247</v>
      </c>
      <c r="Z102" s="1" t="s">
        <v>220</v>
      </c>
    </row>
    <row r="103" spans="1:26" ht="15" customHeight="1" x14ac:dyDescent="0.2">
      <c r="A103" s="44" t="s">
        <v>438</v>
      </c>
      <c r="B103" s="45" t="s">
        <v>439</v>
      </c>
      <c r="C103" s="46" t="s">
        <v>196</v>
      </c>
      <c r="D103" s="46" t="s">
        <v>225</v>
      </c>
      <c r="E103" s="47"/>
      <c r="F103" s="48"/>
      <c r="G103" s="78"/>
      <c r="H103" s="78"/>
      <c r="I103" s="78"/>
      <c r="J103" s="50" t="str">
        <f>IF(COUNT(G103:I103)=0,"",AVERAGE(G103:I103))</f>
        <v/>
      </c>
      <c r="K103" s="49"/>
      <c r="L103" s="49"/>
      <c r="M103" s="49"/>
      <c r="N103" s="48" t="str">
        <f>IF(COUNT(K103:M103)=0,"",AVERAGE(K103:M103))</f>
        <v/>
      </c>
      <c r="O103" s="49"/>
      <c r="P103" s="49"/>
      <c r="Q103" s="49"/>
      <c r="R103" s="48" t="str">
        <f>IF(COUNT(O103:Q103)=0,"",AVERAGE(O103:Q103))</f>
        <v/>
      </c>
      <c r="S103" s="49"/>
      <c r="T103" s="49"/>
      <c r="U103" s="49"/>
      <c r="V103" s="48" t="str">
        <f>IF(COUNT(S103:U103)=0,"",AVERAGE(S103:U103))</f>
        <v/>
      </c>
      <c r="W103" s="51"/>
      <c r="X103" s="52" t="s">
        <v>91</v>
      </c>
      <c r="Y103" s="53" t="s">
        <v>247</v>
      </c>
      <c r="Z103" s="1" t="s">
        <v>220</v>
      </c>
    </row>
    <row r="104" spans="1:26" ht="24" customHeight="1" x14ac:dyDescent="0.2">
      <c r="A104" s="44" t="s">
        <v>440</v>
      </c>
      <c r="B104" s="45" t="s">
        <v>441</v>
      </c>
      <c r="C104" s="46" t="s">
        <v>196</v>
      </c>
      <c r="D104" s="46" t="s">
        <v>225</v>
      </c>
      <c r="E104" s="47"/>
      <c r="F104" s="48"/>
      <c r="G104" s="78"/>
      <c r="H104" s="78"/>
      <c r="I104" s="78"/>
      <c r="J104" s="50" t="str">
        <f>IF(COUNT(G104:I104)=0,"",AVERAGE(G104:I104))</f>
        <v/>
      </c>
      <c r="K104" s="49"/>
      <c r="L104" s="49"/>
      <c r="M104" s="49"/>
      <c r="N104" s="48" t="str">
        <f>IF(COUNT(K104:M104)=0,"",AVERAGE(K104:M104))</f>
        <v/>
      </c>
      <c r="O104" s="49"/>
      <c r="P104" s="49"/>
      <c r="Q104" s="49"/>
      <c r="R104" s="48" t="str">
        <f>IF(COUNT(O104:Q104)=0,"",AVERAGE(O104:Q104))</f>
        <v/>
      </c>
      <c r="S104" s="49"/>
      <c r="T104" s="49"/>
      <c r="U104" s="49"/>
      <c r="V104" s="48" t="str">
        <f>IF(COUNT(S104:U104)=0,"",AVERAGE(S104:U104))</f>
        <v/>
      </c>
      <c r="W104" s="51"/>
      <c r="X104" s="52" t="s">
        <v>91</v>
      </c>
      <c r="Y104" s="53" t="s">
        <v>247</v>
      </c>
      <c r="Z104" s="1" t="s">
        <v>220</v>
      </c>
    </row>
    <row r="105" spans="1:26" ht="24" customHeight="1" x14ac:dyDescent="0.2">
      <c r="A105" s="44" t="s">
        <v>442</v>
      </c>
      <c r="B105" s="45" t="s">
        <v>443</v>
      </c>
      <c r="C105" s="46" t="s">
        <v>196</v>
      </c>
      <c r="D105" s="46" t="s">
        <v>225</v>
      </c>
      <c r="E105" s="47"/>
      <c r="F105" s="48"/>
      <c r="G105" s="78"/>
      <c r="H105" s="78"/>
      <c r="I105" s="78"/>
      <c r="J105" s="50" t="str">
        <f>IF(COUNT(G105:I105)=0,"",AVERAGE(G105:I105))</f>
        <v/>
      </c>
      <c r="K105" s="49"/>
      <c r="L105" s="49"/>
      <c r="M105" s="49"/>
      <c r="N105" s="48" t="str">
        <f>IF(COUNT(K105:M105)=0,"",AVERAGE(K105:M105))</f>
        <v/>
      </c>
      <c r="O105" s="49"/>
      <c r="P105" s="49"/>
      <c r="Q105" s="49"/>
      <c r="R105" s="48" t="str">
        <f>IF(COUNT(O105:Q105)=0,"",AVERAGE(O105:Q105))</f>
        <v/>
      </c>
      <c r="S105" s="49"/>
      <c r="T105" s="49"/>
      <c r="U105" s="49"/>
      <c r="V105" s="48" t="str">
        <f>IF(COUNT(S105:U105)=0,"",AVERAGE(S105:U105))</f>
        <v/>
      </c>
      <c r="W105" s="51"/>
      <c r="X105" s="52" t="s">
        <v>91</v>
      </c>
      <c r="Y105" s="53" t="s">
        <v>228</v>
      </c>
      <c r="Z105" s="1" t="s">
        <v>220</v>
      </c>
    </row>
    <row r="106" spans="1:26" ht="15" customHeight="1" x14ac:dyDescent="0.2">
      <c r="A106" s="44" t="s">
        <v>444</v>
      </c>
      <c r="B106" s="45" t="s">
        <v>445</v>
      </c>
      <c r="C106" s="46" t="s">
        <v>196</v>
      </c>
      <c r="D106" s="46" t="s">
        <v>225</v>
      </c>
      <c r="E106" s="47"/>
      <c r="F106" s="48"/>
      <c r="G106" s="78"/>
      <c r="H106" s="78"/>
      <c r="I106" s="78"/>
      <c r="J106" s="50" t="str">
        <f>IF(COUNT(G106:I106)=0,"",AVERAGE(G106:I106))</f>
        <v/>
      </c>
      <c r="K106" s="49"/>
      <c r="L106" s="49"/>
      <c r="M106" s="49"/>
      <c r="N106" s="48" t="str">
        <f>IF(COUNT(K106:M106)=0,"",AVERAGE(K106:M106))</f>
        <v/>
      </c>
      <c r="O106" s="49"/>
      <c r="P106" s="49"/>
      <c r="Q106" s="49"/>
      <c r="R106" s="48" t="str">
        <f>IF(COUNT(O106:Q106)=0,"",AVERAGE(O106:Q106))</f>
        <v/>
      </c>
      <c r="S106" s="49"/>
      <c r="T106" s="49"/>
      <c r="U106" s="49"/>
      <c r="V106" s="48" t="str">
        <f>IF(COUNT(S106:U106)=0,"",AVERAGE(S106:U106))</f>
        <v/>
      </c>
      <c r="W106" s="51"/>
      <c r="X106" s="52" t="s">
        <v>91</v>
      </c>
      <c r="Y106" s="53" t="s">
        <v>228</v>
      </c>
      <c r="Z106" s="1" t="s">
        <v>220</v>
      </c>
    </row>
    <row r="107" spans="1:26" ht="15" customHeight="1" x14ac:dyDescent="0.2">
      <c r="G107" s="88"/>
      <c r="H107" s="88"/>
      <c r="I107" s="88"/>
      <c r="K107" s="88"/>
      <c r="L107" s="88"/>
      <c r="M107" s="88"/>
      <c r="O107" s="88"/>
      <c r="P107" s="88"/>
      <c r="Q107" s="88"/>
      <c r="S107" s="88"/>
      <c r="T107" s="88"/>
      <c r="U107" s="88"/>
    </row>
    <row r="108" spans="1:26" ht="15" customHeight="1" x14ac:dyDescent="0.2">
      <c r="G108" s="88"/>
      <c r="H108" s="88"/>
      <c r="I108" s="88"/>
      <c r="K108" s="88"/>
      <c r="L108" s="88"/>
      <c r="M108" s="88"/>
      <c r="O108" s="88"/>
      <c r="P108" s="88"/>
      <c r="Q108" s="88"/>
      <c r="S108" s="88"/>
      <c r="T108" s="88"/>
      <c r="U108" s="88"/>
    </row>
    <row r="109" spans="1:26" ht="15" customHeight="1" x14ac:dyDescent="0.2">
      <c r="G109" s="88"/>
      <c r="H109" s="88"/>
      <c r="I109" s="88"/>
      <c r="K109" s="88"/>
      <c r="L109" s="88"/>
      <c r="M109" s="88"/>
      <c r="O109" s="88"/>
      <c r="P109" s="88"/>
      <c r="Q109" s="88"/>
      <c r="S109" s="88"/>
      <c r="T109" s="88"/>
      <c r="U109" s="88"/>
    </row>
    <row r="110" spans="1:26" ht="15" customHeight="1" x14ac:dyDescent="0.2">
      <c r="G110" s="88"/>
      <c r="H110" s="88"/>
      <c r="I110" s="88"/>
      <c r="K110" s="88"/>
      <c r="L110" s="88"/>
      <c r="M110" s="88"/>
      <c r="O110" s="88"/>
      <c r="P110" s="88"/>
      <c r="Q110" s="88"/>
      <c r="S110" s="88"/>
      <c r="T110" s="88"/>
      <c r="U110" s="88"/>
    </row>
    <row r="111" spans="1:26" ht="15" customHeight="1" x14ac:dyDescent="0.2">
      <c r="G111" s="88"/>
      <c r="H111" s="88"/>
      <c r="I111" s="88"/>
      <c r="K111" s="88"/>
      <c r="L111" s="88"/>
      <c r="M111" s="88"/>
      <c r="O111" s="88"/>
      <c r="P111" s="88"/>
      <c r="Q111" s="88"/>
      <c r="S111" s="88"/>
      <c r="T111" s="88"/>
      <c r="U111" s="88"/>
    </row>
    <row r="112" spans="1:26" ht="15" customHeight="1" x14ac:dyDescent="0.2">
      <c r="G112" s="88"/>
      <c r="H112" s="88"/>
      <c r="I112" s="88"/>
      <c r="K112" s="88"/>
      <c r="L112" s="88"/>
      <c r="M112" s="88"/>
      <c r="O112" s="88"/>
      <c r="P112" s="88"/>
      <c r="Q112" s="88"/>
      <c r="S112" s="88"/>
      <c r="T112" s="88"/>
      <c r="U112" s="88"/>
    </row>
    <row r="113" spans="7:21" ht="15" customHeight="1" x14ac:dyDescent="0.2">
      <c r="G113" s="88"/>
      <c r="H113" s="88"/>
      <c r="I113" s="88"/>
      <c r="K113" s="88"/>
      <c r="L113" s="88"/>
      <c r="M113" s="88"/>
      <c r="O113" s="88"/>
      <c r="P113" s="88"/>
      <c r="Q113" s="88"/>
      <c r="S113" s="88"/>
      <c r="T113" s="88"/>
      <c r="U113" s="88"/>
    </row>
    <row r="114" spans="7:21" ht="15" customHeight="1" x14ac:dyDescent="0.2">
      <c r="G114" s="88"/>
      <c r="H114" s="88"/>
      <c r="I114" s="88"/>
      <c r="K114" s="88"/>
      <c r="L114" s="88"/>
      <c r="M114" s="88"/>
      <c r="O114" s="88"/>
      <c r="P114" s="88"/>
      <c r="Q114" s="88"/>
      <c r="S114" s="88"/>
      <c r="T114" s="88"/>
      <c r="U114" s="88"/>
    </row>
    <row r="115" spans="7:21" ht="15" customHeight="1" x14ac:dyDescent="0.2">
      <c r="G115" s="88"/>
      <c r="H115" s="88"/>
      <c r="I115" s="88"/>
      <c r="K115" s="88"/>
      <c r="L115" s="88"/>
      <c r="M115" s="88"/>
      <c r="O115" s="88"/>
      <c r="P115" s="88"/>
      <c r="Q115" s="88"/>
      <c r="S115" s="88"/>
      <c r="T115" s="88"/>
      <c r="U115" s="88"/>
    </row>
    <row r="116" spans="7:21" ht="15" customHeight="1" x14ac:dyDescent="0.2">
      <c r="G116" s="88"/>
      <c r="H116" s="88"/>
      <c r="I116" s="88"/>
      <c r="K116" s="88"/>
      <c r="L116" s="88"/>
      <c r="M116" s="88"/>
      <c r="O116" s="88"/>
      <c r="P116" s="88"/>
      <c r="Q116" s="88"/>
      <c r="S116" s="88"/>
      <c r="T116" s="88"/>
      <c r="U116" s="88"/>
    </row>
    <row r="117" spans="7:21" ht="15" customHeight="1" x14ac:dyDescent="0.2">
      <c r="G117" s="88"/>
      <c r="H117" s="88"/>
      <c r="I117" s="88"/>
      <c r="K117" s="88"/>
      <c r="L117" s="88"/>
      <c r="M117" s="88"/>
      <c r="O117" s="88"/>
      <c r="P117" s="88"/>
      <c r="Q117" s="88"/>
      <c r="S117" s="88"/>
      <c r="T117" s="88"/>
      <c r="U117" s="88"/>
    </row>
    <row r="118" spans="7:21" ht="15" customHeight="1" x14ac:dyDescent="0.2">
      <c r="G118" s="88"/>
      <c r="H118" s="88"/>
      <c r="I118" s="88"/>
      <c r="K118" s="88"/>
      <c r="L118" s="88"/>
      <c r="M118" s="88"/>
      <c r="O118" s="88"/>
      <c r="P118" s="88"/>
      <c r="Q118" s="88"/>
      <c r="S118" s="88"/>
      <c r="T118" s="88"/>
      <c r="U118" s="88"/>
    </row>
    <row r="119" spans="7:21" ht="15" customHeight="1" x14ac:dyDescent="0.2">
      <c r="G119" s="88"/>
      <c r="H119" s="88"/>
      <c r="I119" s="88"/>
      <c r="K119" s="88"/>
      <c r="L119" s="88"/>
      <c r="M119" s="88"/>
      <c r="O119" s="88"/>
      <c r="P119" s="88"/>
      <c r="Q119" s="88"/>
      <c r="S119" s="88"/>
      <c r="T119" s="88"/>
      <c r="U119" s="88"/>
    </row>
    <row r="120" spans="7:21" ht="15" customHeight="1" x14ac:dyDescent="0.2">
      <c r="G120" s="88"/>
      <c r="H120" s="88"/>
      <c r="I120" s="88"/>
      <c r="K120" s="88"/>
      <c r="L120" s="88"/>
      <c r="M120" s="88"/>
      <c r="O120" s="88"/>
      <c r="P120" s="88"/>
      <c r="Q120" s="88"/>
      <c r="S120" s="88"/>
      <c r="T120" s="88"/>
      <c r="U120" s="88"/>
    </row>
    <row r="121" spans="7:21" ht="15" customHeight="1" x14ac:dyDescent="0.2">
      <c r="G121" s="88"/>
      <c r="H121" s="88"/>
      <c r="I121" s="88"/>
      <c r="K121" s="88"/>
      <c r="L121" s="88"/>
      <c r="M121" s="88"/>
      <c r="O121" s="88"/>
      <c r="P121" s="88"/>
      <c r="Q121" s="88"/>
      <c r="S121" s="88"/>
      <c r="T121" s="88"/>
      <c r="U121" s="88"/>
    </row>
    <row r="122" spans="7:21" ht="15" customHeight="1" x14ac:dyDescent="0.2">
      <c r="G122" s="88"/>
      <c r="H122" s="88"/>
      <c r="I122" s="88"/>
      <c r="K122" s="88"/>
      <c r="L122" s="88"/>
      <c r="M122" s="88"/>
      <c r="O122" s="88"/>
      <c r="P122" s="88"/>
      <c r="Q122" s="88"/>
      <c r="S122" s="88"/>
      <c r="T122" s="88"/>
      <c r="U122" s="88"/>
    </row>
    <row r="123" spans="7:21" ht="15" customHeight="1" x14ac:dyDescent="0.2">
      <c r="G123" s="88"/>
      <c r="H123" s="88"/>
      <c r="I123" s="88"/>
      <c r="K123" s="88"/>
      <c r="L123" s="88"/>
      <c r="M123" s="88"/>
      <c r="O123" s="88"/>
      <c r="P123" s="88"/>
      <c r="Q123" s="88"/>
      <c r="S123" s="88"/>
      <c r="T123" s="88"/>
      <c r="U123" s="88"/>
    </row>
    <row r="124" spans="7:21" ht="15" customHeight="1" x14ac:dyDescent="0.2">
      <c r="G124" s="88"/>
      <c r="H124" s="88"/>
      <c r="I124" s="88"/>
      <c r="K124" s="88"/>
      <c r="L124" s="88"/>
      <c r="M124" s="88"/>
      <c r="O124" s="88"/>
      <c r="P124" s="88"/>
      <c r="Q124" s="88"/>
      <c r="S124" s="88"/>
      <c r="T124" s="88"/>
      <c r="U124" s="88"/>
    </row>
    <row r="125" spans="7:21" ht="15" customHeight="1" x14ac:dyDescent="0.2">
      <c r="G125" s="88"/>
      <c r="H125" s="88"/>
      <c r="I125" s="88"/>
      <c r="K125" s="88"/>
      <c r="L125" s="88"/>
      <c r="M125" s="88"/>
      <c r="O125" s="88"/>
      <c r="P125" s="88"/>
      <c r="Q125" s="88"/>
      <c r="S125" s="88"/>
      <c r="T125" s="88"/>
      <c r="U125" s="88"/>
    </row>
    <row r="126" spans="7:21" ht="15" customHeight="1" x14ac:dyDescent="0.2">
      <c r="G126" s="88"/>
      <c r="H126" s="88"/>
      <c r="I126" s="88"/>
      <c r="K126" s="88"/>
      <c r="L126" s="88"/>
      <c r="M126" s="88"/>
      <c r="O126" s="88"/>
      <c r="P126" s="88"/>
      <c r="Q126" s="88"/>
      <c r="S126" s="88"/>
      <c r="T126" s="88"/>
      <c r="U126" s="88"/>
    </row>
    <row r="127" spans="7:21" ht="15" customHeight="1" x14ac:dyDescent="0.2">
      <c r="G127" s="88"/>
      <c r="H127" s="88"/>
      <c r="I127" s="88"/>
      <c r="K127" s="88"/>
      <c r="L127" s="88"/>
      <c r="M127" s="88"/>
      <c r="O127" s="88"/>
      <c r="P127" s="88"/>
      <c r="Q127" s="88"/>
      <c r="S127" s="88"/>
      <c r="T127" s="88"/>
      <c r="U127" s="88"/>
    </row>
    <row r="128" spans="7:21" ht="15" customHeight="1" x14ac:dyDescent="0.2">
      <c r="G128" s="88"/>
      <c r="H128" s="88"/>
      <c r="I128" s="88"/>
      <c r="K128" s="88"/>
      <c r="L128" s="88"/>
      <c r="M128" s="88"/>
      <c r="O128" s="88"/>
      <c r="P128" s="88"/>
      <c r="Q128" s="88"/>
      <c r="S128" s="88"/>
      <c r="T128" s="88"/>
      <c r="U128" s="88"/>
    </row>
    <row r="129" spans="7:21" ht="15" customHeight="1" x14ac:dyDescent="0.2">
      <c r="G129" s="88"/>
      <c r="H129" s="88"/>
      <c r="I129" s="88"/>
      <c r="K129" s="88"/>
      <c r="L129" s="88"/>
      <c r="M129" s="88"/>
      <c r="O129" s="88"/>
      <c r="P129" s="88"/>
      <c r="Q129" s="88"/>
      <c r="S129" s="88"/>
      <c r="T129" s="88"/>
      <c r="U129" s="88"/>
    </row>
    <row r="130" spans="7:21" ht="15" customHeight="1" x14ac:dyDescent="0.2">
      <c r="G130" s="88"/>
      <c r="H130" s="88"/>
      <c r="I130" s="88"/>
      <c r="K130" s="88"/>
      <c r="L130" s="88"/>
      <c r="M130" s="88"/>
      <c r="O130" s="88"/>
      <c r="P130" s="88"/>
      <c r="Q130" s="88"/>
      <c r="S130" s="88"/>
      <c r="T130" s="88"/>
      <c r="U130" s="88"/>
    </row>
    <row r="131" spans="7:21" ht="15" customHeight="1" x14ac:dyDescent="0.2">
      <c r="G131" s="88"/>
      <c r="H131" s="88"/>
      <c r="I131" s="88"/>
      <c r="K131" s="88"/>
      <c r="L131" s="88"/>
      <c r="M131" s="88"/>
      <c r="O131" s="88"/>
      <c r="P131" s="88"/>
      <c r="Q131" s="88"/>
      <c r="S131" s="88"/>
      <c r="T131" s="88"/>
      <c r="U131" s="88"/>
    </row>
    <row r="132" spans="7:21" ht="15" customHeight="1" x14ac:dyDescent="0.2">
      <c r="G132" s="88"/>
      <c r="H132" s="88"/>
      <c r="I132" s="88"/>
      <c r="K132" s="88"/>
      <c r="L132" s="88"/>
      <c r="M132" s="88"/>
      <c r="O132" s="88"/>
      <c r="P132" s="88"/>
      <c r="Q132" s="88"/>
      <c r="S132" s="88"/>
      <c r="T132" s="88"/>
      <c r="U132" s="88"/>
    </row>
    <row r="133" spans="7:21" ht="15" customHeight="1" x14ac:dyDescent="0.2">
      <c r="G133" s="88"/>
      <c r="H133" s="88"/>
      <c r="I133" s="88"/>
      <c r="K133" s="88"/>
      <c r="L133" s="88"/>
      <c r="M133" s="88"/>
      <c r="O133" s="88"/>
      <c r="P133" s="88"/>
      <c r="Q133" s="88"/>
      <c r="S133" s="88"/>
      <c r="T133" s="88"/>
      <c r="U133" s="88"/>
    </row>
    <row r="134" spans="7:21" ht="15" customHeight="1" x14ac:dyDescent="0.2">
      <c r="G134" s="88"/>
      <c r="H134" s="88"/>
      <c r="I134" s="88"/>
      <c r="K134" s="88"/>
      <c r="L134" s="88"/>
      <c r="M134" s="88"/>
      <c r="O134" s="88"/>
      <c r="P134" s="88"/>
      <c r="Q134" s="88"/>
      <c r="S134" s="88"/>
      <c r="T134" s="88"/>
      <c r="U134" s="88"/>
    </row>
    <row r="135" spans="7:21" ht="15" customHeight="1" x14ac:dyDescent="0.2">
      <c r="G135" s="88"/>
      <c r="H135" s="88"/>
      <c r="I135" s="88"/>
      <c r="K135" s="88"/>
      <c r="L135" s="88"/>
      <c r="M135" s="88"/>
      <c r="O135" s="88"/>
      <c r="P135" s="88"/>
      <c r="Q135" s="88"/>
      <c r="S135" s="88"/>
      <c r="T135" s="88"/>
      <c r="U135" s="88"/>
    </row>
    <row r="136" spans="7:21" ht="15" customHeight="1" x14ac:dyDescent="0.2">
      <c r="G136" s="88"/>
      <c r="H136" s="88"/>
      <c r="I136" s="88"/>
      <c r="K136" s="88"/>
      <c r="L136" s="88"/>
      <c r="M136" s="88"/>
      <c r="O136" s="88"/>
      <c r="P136" s="88"/>
      <c r="Q136" s="88"/>
      <c r="S136" s="88"/>
      <c r="T136" s="88"/>
      <c r="U136" s="88"/>
    </row>
    <row r="137" spans="7:21" ht="15" customHeight="1" x14ac:dyDescent="0.2">
      <c r="G137" s="88"/>
      <c r="H137" s="88"/>
      <c r="I137" s="88"/>
      <c r="K137" s="88"/>
      <c r="L137" s="88"/>
      <c r="M137" s="88"/>
      <c r="O137" s="88"/>
      <c r="P137" s="88"/>
      <c r="Q137" s="88"/>
      <c r="S137" s="88"/>
      <c r="T137" s="88"/>
      <c r="U137" s="88"/>
    </row>
    <row r="138" spans="7:21" ht="15" customHeight="1" x14ac:dyDescent="0.2">
      <c r="G138" s="88"/>
      <c r="H138" s="88"/>
      <c r="I138" s="88"/>
      <c r="K138" s="88"/>
      <c r="L138" s="88"/>
      <c r="M138" s="88"/>
      <c r="O138" s="88"/>
      <c r="P138" s="88"/>
      <c r="Q138" s="88"/>
      <c r="S138" s="88"/>
      <c r="T138" s="88"/>
      <c r="U138" s="88"/>
    </row>
    <row r="139" spans="7:21" ht="15" customHeight="1" x14ac:dyDescent="0.2">
      <c r="G139" s="88"/>
      <c r="H139" s="88"/>
      <c r="I139" s="88"/>
      <c r="K139" s="88"/>
      <c r="L139" s="88"/>
      <c r="M139" s="88"/>
      <c r="O139" s="88"/>
      <c r="P139" s="88"/>
      <c r="Q139" s="88"/>
      <c r="S139" s="88"/>
      <c r="T139" s="88"/>
      <c r="U139" s="88"/>
    </row>
    <row r="140" spans="7:21" ht="15" customHeight="1" x14ac:dyDescent="0.2">
      <c r="G140" s="88"/>
      <c r="H140" s="88"/>
      <c r="I140" s="88"/>
      <c r="K140" s="88"/>
      <c r="L140" s="88"/>
      <c r="M140" s="88"/>
      <c r="O140" s="88"/>
      <c r="P140" s="88"/>
      <c r="Q140" s="88"/>
      <c r="S140" s="88"/>
      <c r="T140" s="88"/>
      <c r="U140" s="88"/>
    </row>
    <row r="141" spans="7:21" ht="15" customHeight="1" x14ac:dyDescent="0.2">
      <c r="G141" s="88"/>
      <c r="H141" s="88"/>
      <c r="I141" s="88"/>
      <c r="K141" s="88"/>
      <c r="L141" s="88"/>
      <c r="M141" s="88"/>
      <c r="O141" s="88"/>
      <c r="P141" s="88"/>
      <c r="Q141" s="88"/>
      <c r="S141" s="88"/>
      <c r="T141" s="88"/>
      <c r="U141" s="88"/>
    </row>
    <row r="142" spans="7:21" ht="15" customHeight="1" x14ac:dyDescent="0.2">
      <c r="G142" s="88"/>
      <c r="H142" s="88"/>
      <c r="I142" s="88"/>
      <c r="K142" s="88"/>
      <c r="L142" s="88"/>
      <c r="M142" s="88"/>
      <c r="O142" s="88"/>
      <c r="P142" s="88"/>
      <c r="Q142" s="88"/>
      <c r="S142" s="88"/>
      <c r="T142" s="88"/>
      <c r="U142" s="88"/>
    </row>
    <row r="143" spans="7:21" ht="15" customHeight="1" x14ac:dyDescent="0.2">
      <c r="G143" s="88"/>
      <c r="H143" s="88"/>
      <c r="I143" s="88"/>
      <c r="K143" s="88"/>
      <c r="L143" s="88"/>
      <c r="M143" s="88"/>
      <c r="O143" s="88"/>
      <c r="P143" s="88"/>
      <c r="Q143" s="88"/>
      <c r="S143" s="88"/>
      <c r="T143" s="88"/>
      <c r="U143" s="88"/>
    </row>
    <row r="144" spans="7:21" ht="15" customHeight="1" x14ac:dyDescent="0.2">
      <c r="G144" s="88"/>
      <c r="H144" s="88"/>
      <c r="I144" s="88"/>
      <c r="K144" s="88"/>
      <c r="L144" s="88"/>
      <c r="M144" s="88"/>
      <c r="O144" s="88"/>
      <c r="P144" s="88"/>
      <c r="Q144" s="88"/>
      <c r="S144" s="88"/>
      <c r="T144" s="88"/>
      <c r="U144" s="88"/>
    </row>
    <row r="145" spans="7:21" ht="15" customHeight="1" x14ac:dyDescent="0.2">
      <c r="G145" s="88"/>
      <c r="H145" s="88"/>
      <c r="I145" s="88"/>
      <c r="K145" s="88"/>
      <c r="L145" s="88"/>
      <c r="M145" s="88"/>
      <c r="O145" s="88"/>
      <c r="P145" s="88"/>
      <c r="Q145" s="88"/>
      <c r="S145" s="88"/>
      <c r="T145" s="88"/>
      <c r="U145" s="88"/>
    </row>
    <row r="146" spans="7:21" ht="15" customHeight="1" x14ac:dyDescent="0.2">
      <c r="G146" s="88"/>
      <c r="H146" s="88"/>
      <c r="I146" s="88"/>
      <c r="K146" s="88"/>
      <c r="L146" s="88"/>
      <c r="M146" s="88"/>
      <c r="O146" s="88"/>
      <c r="P146" s="88"/>
      <c r="Q146" s="88"/>
      <c r="S146" s="88"/>
      <c r="T146" s="88"/>
      <c r="U146" s="88"/>
    </row>
    <row r="147" spans="7:21" ht="15" customHeight="1" x14ac:dyDescent="0.2">
      <c r="G147" s="88"/>
      <c r="H147" s="88"/>
      <c r="I147" s="88"/>
      <c r="K147" s="88"/>
      <c r="L147" s="88"/>
      <c r="M147" s="88"/>
      <c r="O147" s="88"/>
      <c r="P147" s="88"/>
      <c r="Q147" s="88"/>
      <c r="S147" s="88"/>
      <c r="T147" s="88"/>
      <c r="U147" s="88"/>
    </row>
    <row r="148" spans="7:21" ht="15" customHeight="1" x14ac:dyDescent="0.2">
      <c r="G148" s="88"/>
      <c r="H148" s="88"/>
      <c r="I148" s="88"/>
      <c r="K148" s="88"/>
      <c r="L148" s="88"/>
      <c r="M148" s="88"/>
      <c r="O148" s="88"/>
      <c r="P148" s="88"/>
      <c r="Q148" s="88"/>
      <c r="S148" s="88"/>
      <c r="T148" s="88"/>
      <c r="U148" s="88"/>
    </row>
    <row r="149" spans="7:21" ht="15" customHeight="1" x14ac:dyDescent="0.2">
      <c r="G149" s="88"/>
      <c r="H149" s="88"/>
      <c r="I149" s="88"/>
      <c r="K149" s="88"/>
      <c r="L149" s="88"/>
      <c r="M149" s="88"/>
      <c r="O149" s="88"/>
      <c r="P149" s="88"/>
      <c r="Q149" s="88"/>
      <c r="S149" s="88"/>
      <c r="T149" s="88"/>
      <c r="U149" s="88"/>
    </row>
    <row r="150" spans="7:21" ht="15" customHeight="1" x14ac:dyDescent="0.2">
      <c r="G150" s="88"/>
      <c r="H150" s="88"/>
      <c r="I150" s="88"/>
      <c r="K150" s="88"/>
      <c r="L150" s="88"/>
      <c r="M150" s="88"/>
      <c r="O150" s="88"/>
      <c r="P150" s="88"/>
      <c r="Q150" s="88"/>
      <c r="S150" s="88"/>
      <c r="T150" s="88"/>
      <c r="U150" s="88"/>
    </row>
    <row r="151" spans="7:21" ht="15" customHeight="1" x14ac:dyDescent="0.2">
      <c r="G151" s="88"/>
      <c r="H151" s="88"/>
      <c r="I151" s="88"/>
      <c r="K151" s="88"/>
      <c r="L151" s="88"/>
      <c r="M151" s="88"/>
      <c r="O151" s="88"/>
      <c r="P151" s="88"/>
      <c r="Q151" s="88"/>
      <c r="S151" s="88"/>
      <c r="T151" s="88"/>
      <c r="U151" s="88"/>
    </row>
    <row r="152" spans="7:21" ht="15" customHeight="1" x14ac:dyDescent="0.2">
      <c r="G152" s="88"/>
      <c r="H152" s="88"/>
      <c r="I152" s="88"/>
      <c r="K152" s="88"/>
      <c r="L152" s="88"/>
      <c r="M152" s="88"/>
      <c r="O152" s="88"/>
      <c r="P152" s="88"/>
      <c r="Q152" s="88"/>
      <c r="S152" s="88"/>
      <c r="T152" s="88"/>
      <c r="U152" s="88"/>
    </row>
    <row r="153" spans="7:21" ht="15" customHeight="1" x14ac:dyDescent="0.2">
      <c r="G153" s="88"/>
      <c r="H153" s="88"/>
      <c r="I153" s="88"/>
      <c r="K153" s="88"/>
      <c r="L153" s="88"/>
      <c r="M153" s="88"/>
      <c r="O153" s="88"/>
      <c r="P153" s="88"/>
      <c r="Q153" s="88"/>
      <c r="S153" s="88"/>
      <c r="T153" s="88"/>
      <c r="U153" s="88"/>
    </row>
    <row r="154" spans="7:21" ht="15" customHeight="1" x14ac:dyDescent="0.2">
      <c r="G154" s="88"/>
      <c r="H154" s="88"/>
      <c r="I154" s="88"/>
      <c r="K154" s="88"/>
      <c r="L154" s="88"/>
      <c r="M154" s="88"/>
      <c r="O154" s="88"/>
      <c r="P154" s="88"/>
      <c r="Q154" s="88"/>
      <c r="S154" s="88"/>
      <c r="T154" s="88"/>
      <c r="U154" s="88"/>
    </row>
    <row r="155" spans="7:21" ht="15" customHeight="1" x14ac:dyDescent="0.2">
      <c r="G155" s="88"/>
      <c r="H155" s="88"/>
      <c r="I155" s="88"/>
      <c r="K155" s="88"/>
      <c r="L155" s="88"/>
      <c r="M155" s="88"/>
      <c r="O155" s="88"/>
      <c r="P155" s="88"/>
      <c r="Q155" s="88"/>
      <c r="S155" s="88"/>
      <c r="T155" s="88"/>
      <c r="U155" s="88"/>
    </row>
    <row r="156" spans="7:21" ht="15" customHeight="1" x14ac:dyDescent="0.2">
      <c r="G156" s="88"/>
      <c r="H156" s="88"/>
      <c r="I156" s="88"/>
      <c r="K156" s="88"/>
      <c r="L156" s="88"/>
      <c r="M156" s="88"/>
      <c r="O156" s="88"/>
      <c r="P156" s="88"/>
      <c r="Q156" s="88"/>
      <c r="S156" s="88"/>
      <c r="T156" s="88"/>
      <c r="U156" s="88"/>
    </row>
    <row r="157" spans="7:21" ht="15" customHeight="1" x14ac:dyDescent="0.2">
      <c r="G157" s="88"/>
      <c r="H157" s="88"/>
      <c r="I157" s="88"/>
      <c r="K157" s="88"/>
      <c r="L157" s="88"/>
      <c r="M157" s="88"/>
      <c r="O157" s="88"/>
      <c r="P157" s="88"/>
      <c r="Q157" s="88"/>
      <c r="S157" s="88"/>
      <c r="T157" s="88"/>
      <c r="U157" s="88"/>
    </row>
    <row r="158" spans="7:21" ht="15" customHeight="1" x14ac:dyDescent="0.2">
      <c r="G158" s="88"/>
      <c r="H158" s="88"/>
      <c r="I158" s="88"/>
      <c r="K158" s="88"/>
      <c r="L158" s="88"/>
      <c r="M158" s="88"/>
      <c r="O158" s="88"/>
      <c r="P158" s="88"/>
      <c r="Q158" s="88"/>
      <c r="S158" s="88"/>
      <c r="T158" s="88"/>
      <c r="U158" s="88"/>
    </row>
    <row r="159" spans="7:21" ht="15" customHeight="1" x14ac:dyDescent="0.2">
      <c r="G159" s="88"/>
      <c r="H159" s="88"/>
      <c r="I159" s="88"/>
      <c r="K159" s="88"/>
      <c r="L159" s="88"/>
      <c r="M159" s="88"/>
      <c r="O159" s="88"/>
      <c r="P159" s="88"/>
      <c r="Q159" s="88"/>
      <c r="S159" s="88"/>
      <c r="T159" s="88"/>
      <c r="U159" s="88"/>
    </row>
    <row r="160" spans="7:21" ht="15" customHeight="1" x14ac:dyDescent="0.2">
      <c r="G160" s="88"/>
      <c r="H160" s="88"/>
      <c r="I160" s="88"/>
      <c r="K160" s="88"/>
      <c r="L160" s="88"/>
      <c r="M160" s="88"/>
      <c r="O160" s="88"/>
      <c r="P160" s="88"/>
      <c r="Q160" s="88"/>
      <c r="S160" s="88"/>
      <c r="T160" s="88"/>
      <c r="U160" s="88"/>
    </row>
    <row r="161" spans="7:21" ht="15" customHeight="1" x14ac:dyDescent="0.2">
      <c r="G161" s="88"/>
      <c r="H161" s="88"/>
      <c r="I161" s="88"/>
      <c r="K161" s="88"/>
      <c r="L161" s="88"/>
      <c r="M161" s="88"/>
      <c r="O161" s="88"/>
      <c r="P161" s="88"/>
      <c r="Q161" s="88"/>
      <c r="S161" s="88"/>
      <c r="T161" s="88"/>
      <c r="U161" s="88"/>
    </row>
    <row r="162" spans="7:21" ht="15" customHeight="1" x14ac:dyDescent="0.2">
      <c r="G162" s="88"/>
      <c r="H162" s="88"/>
      <c r="I162" s="88"/>
      <c r="K162" s="88"/>
      <c r="L162" s="88"/>
      <c r="M162" s="88"/>
      <c r="O162" s="88"/>
      <c r="P162" s="88"/>
      <c r="Q162" s="88"/>
      <c r="S162" s="88"/>
      <c r="T162" s="88"/>
      <c r="U162" s="88"/>
    </row>
    <row r="163" spans="7:21" ht="15" customHeight="1" x14ac:dyDescent="0.2">
      <c r="G163" s="88"/>
      <c r="H163" s="88"/>
      <c r="I163" s="88"/>
      <c r="K163" s="88"/>
      <c r="L163" s="88"/>
      <c r="M163" s="88"/>
      <c r="O163" s="88"/>
      <c r="P163" s="88"/>
      <c r="Q163" s="88"/>
      <c r="S163" s="88"/>
      <c r="T163" s="88"/>
      <c r="U163" s="88"/>
    </row>
    <row r="164" spans="7:21" ht="15" customHeight="1" x14ac:dyDescent="0.2">
      <c r="G164" s="88"/>
      <c r="H164" s="88"/>
      <c r="I164" s="88"/>
      <c r="K164" s="88"/>
      <c r="L164" s="88"/>
      <c r="M164" s="88"/>
      <c r="O164" s="88"/>
      <c r="P164" s="88"/>
      <c r="Q164" s="88"/>
      <c r="S164" s="88"/>
      <c r="T164" s="88"/>
      <c r="U164" s="88"/>
    </row>
    <row r="165" spans="7:21" ht="15" customHeight="1" x14ac:dyDescent="0.2">
      <c r="G165" s="88"/>
      <c r="H165" s="88"/>
      <c r="I165" s="88"/>
      <c r="K165" s="88"/>
      <c r="L165" s="88"/>
      <c r="M165" s="88"/>
      <c r="O165" s="88"/>
      <c r="P165" s="88"/>
      <c r="Q165" s="88"/>
      <c r="S165" s="88"/>
      <c r="T165" s="88"/>
      <c r="U165" s="88"/>
    </row>
    <row r="166" spans="7:21" ht="15" customHeight="1" x14ac:dyDescent="0.2">
      <c r="G166" s="88"/>
      <c r="H166" s="88"/>
      <c r="I166" s="88"/>
      <c r="K166" s="88"/>
      <c r="L166" s="88"/>
      <c r="M166" s="88"/>
      <c r="O166" s="88"/>
      <c r="P166" s="88"/>
      <c r="Q166" s="88"/>
      <c r="S166" s="88"/>
      <c r="T166" s="88"/>
      <c r="U166" s="88"/>
    </row>
    <row r="167" spans="7:21" ht="15" customHeight="1" x14ac:dyDescent="0.2">
      <c r="G167" s="88"/>
      <c r="H167" s="88"/>
      <c r="I167" s="88"/>
      <c r="K167" s="88"/>
      <c r="L167" s="88"/>
      <c r="M167" s="88"/>
      <c r="O167" s="88"/>
      <c r="P167" s="88"/>
      <c r="Q167" s="88"/>
      <c r="S167" s="88"/>
      <c r="T167" s="88"/>
      <c r="U167" s="88"/>
    </row>
    <row r="168" spans="7:21" ht="15" customHeight="1" x14ac:dyDescent="0.2">
      <c r="G168" s="88"/>
      <c r="H168" s="88"/>
      <c r="I168" s="88"/>
      <c r="K168" s="88"/>
      <c r="L168" s="88"/>
      <c r="M168" s="88"/>
      <c r="O168" s="88"/>
      <c r="P168" s="88"/>
      <c r="Q168" s="88"/>
      <c r="S168" s="88"/>
      <c r="T168" s="88"/>
      <c r="U168" s="88"/>
    </row>
    <row r="169" spans="7:21" ht="15" customHeight="1" x14ac:dyDescent="0.2">
      <c r="G169" s="88"/>
      <c r="H169" s="88"/>
      <c r="I169" s="88"/>
      <c r="K169" s="88"/>
      <c r="L169" s="88"/>
      <c r="M169" s="88"/>
      <c r="O169" s="88"/>
      <c r="P169" s="88"/>
      <c r="Q169" s="88"/>
      <c r="S169" s="88"/>
      <c r="T169" s="88"/>
      <c r="U169" s="88"/>
    </row>
    <row r="170" spans="7:21" ht="15" customHeight="1" x14ac:dyDescent="0.2">
      <c r="G170" s="88"/>
      <c r="H170" s="88"/>
      <c r="I170" s="88"/>
      <c r="K170" s="88"/>
      <c r="L170" s="88"/>
      <c r="M170" s="88"/>
      <c r="O170" s="88"/>
      <c r="P170" s="88"/>
      <c r="Q170" s="88"/>
      <c r="S170" s="88"/>
      <c r="T170" s="88"/>
      <c r="U170" s="88"/>
    </row>
    <row r="171" spans="7:21" ht="15" customHeight="1" x14ac:dyDescent="0.2">
      <c r="G171" s="88"/>
      <c r="H171" s="88"/>
      <c r="I171" s="88"/>
      <c r="K171" s="88"/>
      <c r="L171" s="88"/>
      <c r="M171" s="88"/>
      <c r="O171" s="88"/>
      <c r="P171" s="88"/>
      <c r="Q171" s="88"/>
      <c r="S171" s="88"/>
      <c r="T171" s="88"/>
      <c r="U171" s="88"/>
    </row>
    <row r="172" spans="7:21" ht="15" customHeight="1" x14ac:dyDescent="0.2">
      <c r="G172" s="88"/>
      <c r="H172" s="88"/>
      <c r="I172" s="88"/>
      <c r="K172" s="88"/>
      <c r="L172" s="88"/>
      <c r="M172" s="88"/>
      <c r="O172" s="88"/>
      <c r="P172" s="88"/>
      <c r="Q172" s="88"/>
      <c r="S172" s="88"/>
      <c r="T172" s="88"/>
      <c r="U172" s="88"/>
    </row>
    <row r="173" spans="7:21" ht="15" customHeight="1" x14ac:dyDescent="0.2">
      <c r="G173" s="88"/>
      <c r="H173" s="88"/>
      <c r="I173" s="88"/>
      <c r="K173" s="88"/>
      <c r="L173" s="88"/>
      <c r="M173" s="88"/>
      <c r="O173" s="88"/>
      <c r="P173" s="88"/>
      <c r="Q173" s="88"/>
      <c r="S173" s="88"/>
      <c r="T173" s="88"/>
      <c r="U173" s="88"/>
    </row>
    <row r="174" spans="7:21" ht="15" customHeight="1" x14ac:dyDescent="0.2">
      <c r="G174" s="88"/>
      <c r="H174" s="88"/>
      <c r="I174" s="88"/>
      <c r="K174" s="88"/>
      <c r="L174" s="88"/>
      <c r="M174" s="88"/>
      <c r="O174" s="88"/>
      <c r="P174" s="88"/>
      <c r="Q174" s="88"/>
      <c r="S174" s="88"/>
      <c r="T174" s="88"/>
      <c r="U174" s="88"/>
    </row>
    <row r="175" spans="7:21" ht="15" customHeight="1" x14ac:dyDescent="0.2">
      <c r="G175" s="88"/>
      <c r="H175" s="88"/>
      <c r="I175" s="88"/>
      <c r="K175" s="88"/>
      <c r="L175" s="88"/>
      <c r="M175" s="88"/>
      <c r="O175" s="88"/>
      <c r="P175" s="88"/>
      <c r="Q175" s="88"/>
      <c r="S175" s="88"/>
      <c r="T175" s="88"/>
      <c r="U175" s="88"/>
    </row>
    <row r="176" spans="7:21" ht="15" customHeight="1" x14ac:dyDescent="0.2">
      <c r="G176" s="88"/>
      <c r="H176" s="88"/>
      <c r="I176" s="88"/>
      <c r="K176" s="88"/>
      <c r="L176" s="88"/>
      <c r="M176" s="88"/>
      <c r="O176" s="88"/>
      <c r="P176" s="88"/>
      <c r="Q176" s="88"/>
      <c r="S176" s="88"/>
      <c r="T176" s="88"/>
      <c r="U176" s="88"/>
    </row>
    <row r="177" spans="7:21" ht="15" customHeight="1" x14ac:dyDescent="0.2">
      <c r="G177" s="88"/>
      <c r="H177" s="88"/>
      <c r="I177" s="88"/>
      <c r="K177" s="88"/>
      <c r="L177" s="88"/>
      <c r="M177" s="88"/>
      <c r="O177" s="88"/>
      <c r="P177" s="88"/>
      <c r="Q177" s="88"/>
      <c r="S177" s="88"/>
      <c r="T177" s="88"/>
      <c r="U177" s="88"/>
    </row>
    <row r="178" spans="7:21" ht="15" customHeight="1" x14ac:dyDescent="0.2">
      <c r="G178" s="88"/>
      <c r="H178" s="88"/>
      <c r="I178" s="88"/>
      <c r="K178" s="88"/>
      <c r="L178" s="88"/>
      <c r="M178" s="88"/>
      <c r="O178" s="88"/>
      <c r="P178" s="88"/>
      <c r="Q178" s="88"/>
      <c r="S178" s="88"/>
      <c r="T178" s="88"/>
      <c r="U178" s="88"/>
    </row>
    <row r="179" spans="7:21" ht="15" customHeight="1" x14ac:dyDescent="0.2">
      <c r="G179" s="88"/>
      <c r="H179" s="88"/>
      <c r="I179" s="88"/>
      <c r="K179" s="88"/>
      <c r="L179" s="88"/>
      <c r="M179" s="88"/>
      <c r="O179" s="88"/>
      <c r="P179" s="88"/>
      <c r="Q179" s="88"/>
      <c r="S179" s="88"/>
      <c r="T179" s="88"/>
      <c r="U179" s="88"/>
    </row>
    <row r="180" spans="7:21" ht="15" customHeight="1" x14ac:dyDescent="0.2">
      <c r="G180" s="88"/>
      <c r="H180" s="88"/>
      <c r="I180" s="88"/>
      <c r="K180" s="88"/>
      <c r="L180" s="88"/>
      <c r="M180" s="88"/>
      <c r="O180" s="88"/>
      <c r="P180" s="88"/>
      <c r="Q180" s="88"/>
      <c r="S180" s="88"/>
      <c r="T180" s="88"/>
      <c r="U180" s="88"/>
    </row>
    <row r="181" spans="7:21" ht="15" customHeight="1" x14ac:dyDescent="0.2">
      <c r="G181" s="88"/>
      <c r="H181" s="88"/>
      <c r="I181" s="88"/>
      <c r="K181" s="88"/>
      <c r="L181" s="88"/>
      <c r="M181" s="88"/>
      <c r="O181" s="88"/>
      <c r="P181" s="88"/>
      <c r="Q181" s="88"/>
      <c r="S181" s="88"/>
      <c r="T181" s="88"/>
      <c r="U181" s="88"/>
    </row>
    <row r="182" spans="7:21" ht="15" customHeight="1" x14ac:dyDescent="0.2">
      <c r="G182" s="88"/>
      <c r="H182" s="88"/>
      <c r="I182" s="88"/>
      <c r="K182" s="88"/>
      <c r="L182" s="88"/>
      <c r="M182" s="88"/>
      <c r="O182" s="88"/>
      <c r="P182" s="88"/>
      <c r="Q182" s="88"/>
      <c r="S182" s="88"/>
      <c r="T182" s="88"/>
      <c r="U182" s="88"/>
    </row>
    <row r="183" spans="7:21" ht="15" customHeight="1" x14ac:dyDescent="0.2">
      <c r="G183" s="88"/>
      <c r="H183" s="88"/>
      <c r="I183" s="88"/>
      <c r="K183" s="88"/>
      <c r="L183" s="88"/>
      <c r="M183" s="88"/>
      <c r="O183" s="88"/>
      <c r="P183" s="88"/>
      <c r="Q183" s="88"/>
      <c r="S183" s="88"/>
      <c r="T183" s="88"/>
      <c r="U183" s="88"/>
    </row>
    <row r="184" spans="7:21" ht="15" customHeight="1" x14ac:dyDescent="0.2">
      <c r="G184" s="88"/>
      <c r="H184" s="88"/>
      <c r="I184" s="88"/>
      <c r="K184" s="88"/>
      <c r="L184" s="88"/>
      <c r="M184" s="88"/>
      <c r="O184" s="88"/>
      <c r="P184" s="88"/>
      <c r="Q184" s="88"/>
      <c r="S184" s="88"/>
      <c r="T184" s="88"/>
      <c r="U184" s="88"/>
    </row>
    <row r="185" spans="7:21" ht="15" customHeight="1" x14ac:dyDescent="0.2">
      <c r="G185" s="88"/>
      <c r="H185" s="88"/>
      <c r="I185" s="88"/>
      <c r="K185" s="88"/>
      <c r="L185" s="88"/>
      <c r="M185" s="88"/>
      <c r="O185" s="88"/>
      <c r="P185" s="88"/>
      <c r="Q185" s="88"/>
      <c r="S185" s="88"/>
      <c r="T185" s="88"/>
      <c r="U185" s="88"/>
    </row>
    <row r="186" spans="7:21" ht="15" customHeight="1" x14ac:dyDescent="0.2">
      <c r="G186" s="88"/>
      <c r="H186" s="88"/>
      <c r="I186" s="88"/>
      <c r="K186" s="88"/>
      <c r="L186" s="88"/>
      <c r="M186" s="88"/>
      <c r="O186" s="88"/>
      <c r="P186" s="88"/>
      <c r="Q186" s="88"/>
      <c r="S186" s="88"/>
      <c r="T186" s="88"/>
      <c r="U186" s="88"/>
    </row>
    <row r="187" spans="7:21" ht="15" customHeight="1" x14ac:dyDescent="0.2">
      <c r="G187" s="88"/>
      <c r="H187" s="88"/>
      <c r="I187" s="88"/>
      <c r="K187" s="88"/>
      <c r="L187" s="88"/>
      <c r="M187" s="88"/>
      <c r="O187" s="88"/>
      <c r="P187" s="88"/>
      <c r="Q187" s="88"/>
      <c r="S187" s="88"/>
      <c r="T187" s="88"/>
      <c r="U187" s="88"/>
    </row>
    <row r="188" spans="7:21" ht="15" customHeight="1" x14ac:dyDescent="0.2">
      <c r="G188" s="88"/>
      <c r="H188" s="88"/>
      <c r="I188" s="88"/>
      <c r="K188" s="88"/>
      <c r="L188" s="88"/>
      <c r="M188" s="88"/>
      <c r="O188" s="88"/>
      <c r="P188" s="88"/>
      <c r="Q188" s="88"/>
      <c r="S188" s="88"/>
      <c r="T188" s="88"/>
      <c r="U188" s="88"/>
    </row>
    <row r="189" spans="7:21" ht="15" customHeight="1" x14ac:dyDescent="0.2">
      <c r="G189" s="88"/>
      <c r="H189" s="88"/>
      <c r="I189" s="88"/>
      <c r="K189" s="88"/>
      <c r="L189" s="88"/>
      <c r="M189" s="88"/>
      <c r="O189" s="88"/>
      <c r="P189" s="88"/>
      <c r="Q189" s="88"/>
      <c r="S189" s="88"/>
      <c r="T189" s="88"/>
      <c r="U189" s="88"/>
    </row>
    <row r="190" spans="7:21" ht="15" customHeight="1" x14ac:dyDescent="0.2">
      <c r="G190" s="88"/>
      <c r="H190" s="88"/>
      <c r="I190" s="88"/>
      <c r="K190" s="88"/>
      <c r="L190" s="88"/>
      <c r="M190" s="88"/>
      <c r="O190" s="88"/>
      <c r="P190" s="88"/>
      <c r="Q190" s="88"/>
      <c r="S190" s="88"/>
      <c r="T190" s="88"/>
      <c r="U190" s="88"/>
    </row>
    <row r="191" spans="7:21" ht="15" customHeight="1" x14ac:dyDescent="0.2">
      <c r="G191" s="88"/>
      <c r="H191" s="88"/>
      <c r="I191" s="88"/>
      <c r="K191" s="88"/>
      <c r="L191" s="88"/>
      <c r="M191" s="88"/>
      <c r="O191" s="88"/>
      <c r="P191" s="88"/>
      <c r="Q191" s="88"/>
      <c r="S191" s="88"/>
      <c r="T191" s="88"/>
      <c r="U191" s="88"/>
    </row>
    <row r="192" spans="7:21" ht="15" customHeight="1" x14ac:dyDescent="0.2">
      <c r="G192" s="88"/>
      <c r="H192" s="88"/>
      <c r="I192" s="88"/>
      <c r="K192" s="88"/>
      <c r="L192" s="88"/>
      <c r="M192" s="88"/>
      <c r="O192" s="88"/>
      <c r="P192" s="88"/>
      <c r="Q192" s="88"/>
      <c r="S192" s="88"/>
      <c r="T192" s="88"/>
      <c r="U192" s="88"/>
    </row>
    <row r="193" spans="7:21" ht="15" customHeight="1" x14ac:dyDescent="0.2">
      <c r="G193" s="88"/>
      <c r="H193" s="88"/>
      <c r="I193" s="88"/>
      <c r="K193" s="88"/>
      <c r="L193" s="88"/>
      <c r="M193" s="88"/>
      <c r="O193" s="88"/>
      <c r="P193" s="88"/>
      <c r="Q193" s="88"/>
      <c r="S193" s="88"/>
      <c r="T193" s="88"/>
      <c r="U193" s="88"/>
    </row>
    <row r="194" spans="7:21" ht="15" customHeight="1" x14ac:dyDescent="0.2">
      <c r="G194" s="88"/>
      <c r="H194" s="88"/>
      <c r="I194" s="88"/>
      <c r="K194" s="88"/>
      <c r="L194" s="88"/>
      <c r="M194" s="88"/>
      <c r="O194" s="88"/>
      <c r="P194" s="88"/>
      <c r="Q194" s="88"/>
      <c r="S194" s="88"/>
      <c r="T194" s="88"/>
      <c r="U194" s="88"/>
    </row>
    <row r="195" spans="7:21" ht="15" customHeight="1" x14ac:dyDescent="0.2">
      <c r="G195" s="88"/>
      <c r="H195" s="88"/>
      <c r="I195" s="88"/>
      <c r="K195" s="88"/>
      <c r="L195" s="88"/>
      <c r="M195" s="88"/>
      <c r="O195" s="88"/>
      <c r="P195" s="88"/>
      <c r="Q195" s="88"/>
      <c r="S195" s="88"/>
      <c r="T195" s="88"/>
      <c r="U195" s="88"/>
    </row>
    <row r="196" spans="7:21" ht="15" customHeight="1" x14ac:dyDescent="0.2">
      <c r="G196" s="88"/>
      <c r="H196" s="88"/>
      <c r="I196" s="88"/>
      <c r="K196" s="88"/>
      <c r="L196" s="88"/>
      <c r="M196" s="88"/>
      <c r="O196" s="88"/>
      <c r="P196" s="88"/>
      <c r="Q196" s="88"/>
      <c r="S196" s="88"/>
      <c r="T196" s="88"/>
      <c r="U196" s="88"/>
    </row>
    <row r="197" spans="7:21" ht="15" customHeight="1" x14ac:dyDescent="0.2">
      <c r="G197" s="88"/>
      <c r="H197" s="88"/>
      <c r="I197" s="88"/>
      <c r="K197" s="88"/>
      <c r="L197" s="88"/>
      <c r="M197" s="88"/>
      <c r="O197" s="88"/>
      <c r="P197" s="88"/>
      <c r="Q197" s="88"/>
      <c r="S197" s="88"/>
      <c r="T197" s="88"/>
      <c r="U197" s="88"/>
    </row>
    <row r="198" spans="7:21" ht="15" customHeight="1" x14ac:dyDescent="0.2">
      <c r="G198" s="88"/>
      <c r="H198" s="88"/>
      <c r="I198" s="88"/>
      <c r="K198" s="88"/>
      <c r="L198" s="88"/>
      <c r="M198" s="88"/>
      <c r="O198" s="88"/>
      <c r="P198" s="88"/>
      <c r="Q198" s="88"/>
      <c r="S198" s="88"/>
      <c r="T198" s="88"/>
      <c r="U198" s="88"/>
    </row>
    <row r="199" spans="7:21" ht="15" customHeight="1" x14ac:dyDescent="0.2">
      <c r="G199" s="88"/>
      <c r="H199" s="88"/>
      <c r="I199" s="88"/>
      <c r="K199" s="88"/>
      <c r="L199" s="88"/>
      <c r="M199" s="88"/>
      <c r="O199" s="88"/>
      <c r="P199" s="88"/>
      <c r="Q199" s="88"/>
      <c r="S199" s="88"/>
      <c r="T199" s="88"/>
      <c r="U199" s="88"/>
    </row>
    <row r="200" spans="7:21" ht="15" customHeight="1" x14ac:dyDescent="0.2">
      <c r="G200" s="88"/>
      <c r="H200" s="88"/>
      <c r="I200" s="88"/>
      <c r="K200" s="88"/>
      <c r="L200" s="88"/>
      <c r="M200" s="88"/>
      <c r="O200" s="88"/>
      <c r="P200" s="88"/>
      <c r="Q200" s="88"/>
      <c r="S200" s="88"/>
      <c r="T200" s="88"/>
      <c r="U200" s="88"/>
    </row>
    <row r="201" spans="7:21" ht="15" customHeight="1" x14ac:dyDescent="0.2">
      <c r="G201" s="88"/>
      <c r="H201" s="88"/>
      <c r="I201" s="88"/>
      <c r="K201" s="88"/>
      <c r="L201" s="88"/>
      <c r="M201" s="88"/>
      <c r="O201" s="88"/>
      <c r="P201" s="88"/>
      <c r="Q201" s="88"/>
      <c r="S201" s="88"/>
      <c r="T201" s="88"/>
      <c r="U201" s="88"/>
    </row>
    <row r="202" spans="7:21" ht="15" customHeight="1" x14ac:dyDescent="0.2">
      <c r="G202" s="88"/>
      <c r="H202" s="88"/>
      <c r="I202" s="88"/>
      <c r="K202" s="88"/>
      <c r="L202" s="88"/>
      <c r="M202" s="88"/>
      <c r="O202" s="88"/>
      <c r="P202" s="88"/>
      <c r="Q202" s="88"/>
      <c r="S202" s="88"/>
      <c r="T202" s="88"/>
      <c r="U202" s="88"/>
    </row>
    <row r="203" spans="7:21" ht="15" customHeight="1" x14ac:dyDescent="0.2">
      <c r="G203" s="88"/>
      <c r="H203" s="88"/>
      <c r="I203" s="88"/>
      <c r="K203" s="88"/>
      <c r="L203" s="88"/>
      <c r="M203" s="88"/>
      <c r="O203" s="88"/>
      <c r="P203" s="88"/>
      <c r="Q203" s="88"/>
      <c r="S203" s="88"/>
      <c r="T203" s="88"/>
      <c r="U203" s="88"/>
    </row>
    <row r="204" spans="7:21" ht="15" customHeight="1" x14ac:dyDescent="0.2">
      <c r="G204" s="88"/>
      <c r="H204" s="88"/>
      <c r="I204" s="88"/>
      <c r="K204" s="88"/>
      <c r="L204" s="88"/>
      <c r="M204" s="88"/>
      <c r="O204" s="88"/>
      <c r="P204" s="88"/>
      <c r="Q204" s="88"/>
      <c r="S204" s="88"/>
      <c r="T204" s="88"/>
      <c r="U204" s="88"/>
    </row>
    <row r="205" spans="7:21" ht="15" customHeight="1" x14ac:dyDescent="0.2">
      <c r="G205" s="88"/>
      <c r="H205" s="88"/>
      <c r="I205" s="88"/>
      <c r="K205" s="88"/>
      <c r="L205" s="88"/>
      <c r="M205" s="88"/>
      <c r="O205" s="88"/>
      <c r="P205" s="88"/>
      <c r="Q205" s="88"/>
      <c r="S205" s="88"/>
      <c r="T205" s="88"/>
      <c r="U205" s="88"/>
    </row>
    <row r="206" spans="7:21" ht="15" customHeight="1" x14ac:dyDescent="0.2">
      <c r="G206" s="88"/>
      <c r="H206" s="88"/>
      <c r="I206" s="88"/>
      <c r="K206" s="88"/>
      <c r="L206" s="88"/>
      <c r="M206" s="88"/>
      <c r="O206" s="88"/>
      <c r="P206" s="88"/>
      <c r="Q206" s="88"/>
      <c r="S206" s="88"/>
      <c r="T206" s="88"/>
      <c r="U206" s="88"/>
    </row>
    <row r="207" spans="7:21" ht="15" customHeight="1" x14ac:dyDescent="0.2">
      <c r="G207" s="88"/>
      <c r="H207" s="88"/>
      <c r="I207" s="88"/>
      <c r="K207" s="88"/>
      <c r="L207" s="88"/>
      <c r="M207" s="88"/>
      <c r="O207" s="88"/>
      <c r="P207" s="88"/>
      <c r="Q207" s="88"/>
      <c r="S207" s="88"/>
      <c r="T207" s="88"/>
      <c r="U207" s="88"/>
    </row>
    <row r="208" spans="7:21" ht="15" customHeight="1" x14ac:dyDescent="0.2">
      <c r="G208" s="88"/>
      <c r="H208" s="88"/>
      <c r="I208" s="88"/>
      <c r="K208" s="88"/>
      <c r="L208" s="88"/>
      <c r="M208" s="88"/>
      <c r="O208" s="88"/>
      <c r="P208" s="88"/>
      <c r="Q208" s="88"/>
      <c r="S208" s="88"/>
      <c r="T208" s="88"/>
      <c r="U208" s="88"/>
    </row>
    <row r="209" spans="7:21" ht="15" customHeight="1" x14ac:dyDescent="0.2">
      <c r="G209" s="88"/>
      <c r="H209" s="88"/>
      <c r="I209" s="88"/>
      <c r="K209" s="88"/>
      <c r="L209" s="88"/>
      <c r="M209" s="88"/>
      <c r="O209" s="88"/>
      <c r="P209" s="88"/>
      <c r="Q209" s="88"/>
      <c r="S209" s="88"/>
      <c r="T209" s="88"/>
      <c r="U209" s="88"/>
    </row>
    <row r="210" spans="7:21" ht="15" customHeight="1" x14ac:dyDescent="0.2">
      <c r="G210" s="88"/>
      <c r="H210" s="88"/>
      <c r="I210" s="88"/>
      <c r="K210" s="88"/>
      <c r="L210" s="88"/>
      <c r="M210" s="88"/>
      <c r="O210" s="88"/>
      <c r="P210" s="88"/>
      <c r="Q210" s="88"/>
      <c r="S210" s="88"/>
      <c r="T210" s="88"/>
      <c r="U210" s="88"/>
    </row>
    <row r="211" spans="7:21" ht="15" customHeight="1" x14ac:dyDescent="0.2">
      <c r="G211" s="88"/>
      <c r="H211" s="88"/>
      <c r="I211" s="88"/>
      <c r="K211" s="88"/>
      <c r="L211" s="88"/>
      <c r="M211" s="88"/>
      <c r="O211" s="88"/>
      <c r="P211" s="88"/>
      <c r="Q211" s="88"/>
      <c r="S211" s="88"/>
      <c r="T211" s="88"/>
      <c r="U211" s="88"/>
    </row>
    <row r="212" spans="7:21" ht="15" customHeight="1" x14ac:dyDescent="0.2">
      <c r="G212" s="88"/>
      <c r="H212" s="88"/>
      <c r="I212" s="88"/>
      <c r="K212" s="88"/>
      <c r="L212" s="88"/>
      <c r="M212" s="88"/>
      <c r="O212" s="88"/>
      <c r="P212" s="88"/>
      <c r="Q212" s="88"/>
      <c r="S212" s="88"/>
      <c r="T212" s="88"/>
      <c r="U212" s="88"/>
    </row>
    <row r="213" spans="7:21" ht="15" customHeight="1" x14ac:dyDescent="0.2">
      <c r="G213" s="88"/>
      <c r="H213" s="88"/>
      <c r="I213" s="88"/>
      <c r="K213" s="88"/>
      <c r="L213" s="88"/>
      <c r="M213" s="88"/>
      <c r="O213" s="88"/>
      <c r="P213" s="88"/>
      <c r="Q213" s="88"/>
      <c r="S213" s="88"/>
      <c r="T213" s="88"/>
      <c r="U213" s="88"/>
    </row>
    <row r="214" spans="7:21" ht="15" customHeight="1" x14ac:dyDescent="0.2">
      <c r="G214" s="88"/>
      <c r="H214" s="88"/>
      <c r="I214" s="88"/>
      <c r="K214" s="88"/>
      <c r="L214" s="88"/>
      <c r="M214" s="88"/>
      <c r="O214" s="88"/>
      <c r="P214" s="88"/>
      <c r="Q214" s="88"/>
      <c r="S214" s="88"/>
      <c r="T214" s="88"/>
      <c r="U214" s="88"/>
    </row>
    <row r="215" spans="7:21" ht="15" customHeight="1" x14ac:dyDescent="0.2">
      <c r="G215" s="88"/>
      <c r="H215" s="88"/>
      <c r="I215" s="88"/>
      <c r="K215" s="88"/>
      <c r="L215" s="88"/>
      <c r="M215" s="88"/>
      <c r="O215" s="88"/>
      <c r="P215" s="88"/>
      <c r="Q215" s="88"/>
      <c r="S215" s="88"/>
      <c r="T215" s="88"/>
      <c r="U215" s="88"/>
    </row>
    <row r="216" spans="7:21" ht="15" customHeight="1" x14ac:dyDescent="0.2">
      <c r="G216" s="88"/>
      <c r="H216" s="88"/>
      <c r="I216" s="88"/>
      <c r="K216" s="88"/>
      <c r="L216" s="88"/>
      <c r="M216" s="88"/>
      <c r="O216" s="88"/>
      <c r="P216" s="88"/>
      <c r="Q216" s="88"/>
      <c r="S216" s="88"/>
      <c r="T216" s="88"/>
      <c r="U216" s="88"/>
    </row>
    <row r="217" spans="7:21" ht="15" customHeight="1" x14ac:dyDescent="0.2">
      <c r="G217" s="88"/>
      <c r="H217" s="88"/>
      <c r="I217" s="88"/>
      <c r="K217" s="88"/>
      <c r="L217" s="88"/>
      <c r="M217" s="88"/>
      <c r="O217" s="88"/>
      <c r="P217" s="88"/>
      <c r="Q217" s="88"/>
      <c r="S217" s="88"/>
      <c r="T217" s="88"/>
      <c r="U217" s="88"/>
    </row>
    <row r="218" spans="7:21" ht="15" customHeight="1" x14ac:dyDescent="0.2">
      <c r="G218" s="88"/>
      <c r="H218" s="88"/>
      <c r="I218" s="88"/>
      <c r="K218" s="88"/>
      <c r="L218" s="88"/>
      <c r="M218" s="88"/>
      <c r="O218" s="88"/>
      <c r="P218" s="88"/>
      <c r="Q218" s="88"/>
      <c r="S218" s="88"/>
      <c r="T218" s="88"/>
      <c r="U218" s="88"/>
    </row>
    <row r="219" spans="7:21" ht="15" customHeight="1" x14ac:dyDescent="0.2">
      <c r="G219" s="88"/>
      <c r="H219" s="88"/>
      <c r="I219" s="88"/>
      <c r="K219" s="88"/>
      <c r="L219" s="88"/>
      <c r="M219" s="88"/>
      <c r="O219" s="88"/>
      <c r="P219" s="88"/>
      <c r="Q219" s="88"/>
      <c r="S219" s="88"/>
      <c r="T219" s="88"/>
      <c r="U219" s="88"/>
    </row>
    <row r="220" spans="7:21" ht="15" customHeight="1" x14ac:dyDescent="0.2">
      <c r="G220" s="88"/>
      <c r="H220" s="88"/>
      <c r="I220" s="88"/>
      <c r="K220" s="88"/>
      <c r="L220" s="88"/>
      <c r="M220" s="88"/>
      <c r="O220" s="88"/>
      <c r="P220" s="88"/>
      <c r="Q220" s="88"/>
      <c r="S220" s="88"/>
      <c r="T220" s="88"/>
      <c r="U220" s="88"/>
    </row>
    <row r="221" spans="7:21" ht="15" customHeight="1" x14ac:dyDescent="0.2">
      <c r="G221" s="88"/>
      <c r="H221" s="88"/>
      <c r="I221" s="88"/>
      <c r="K221" s="88"/>
      <c r="L221" s="88"/>
      <c r="M221" s="88"/>
      <c r="O221" s="88"/>
      <c r="P221" s="88"/>
      <c r="Q221" s="88"/>
      <c r="S221" s="88"/>
      <c r="T221" s="88"/>
      <c r="U221" s="88"/>
    </row>
    <row r="222" spans="7:21" ht="15" customHeight="1" x14ac:dyDescent="0.2">
      <c r="G222" s="88"/>
      <c r="H222" s="88"/>
      <c r="I222" s="88"/>
      <c r="K222" s="88"/>
      <c r="L222" s="88"/>
      <c r="M222" s="88"/>
      <c r="O222" s="88"/>
      <c r="P222" s="88"/>
      <c r="Q222" s="88"/>
      <c r="S222" s="88"/>
      <c r="T222" s="88"/>
      <c r="U222" s="88"/>
    </row>
    <row r="223" spans="7:21" ht="15" customHeight="1" x14ac:dyDescent="0.2">
      <c r="G223" s="88"/>
      <c r="H223" s="88"/>
      <c r="I223" s="88"/>
      <c r="K223" s="88"/>
      <c r="L223" s="88"/>
      <c r="M223" s="88"/>
      <c r="O223" s="88"/>
      <c r="P223" s="88"/>
      <c r="Q223" s="88"/>
      <c r="S223" s="88"/>
      <c r="T223" s="88"/>
      <c r="U223" s="88"/>
    </row>
    <row r="224" spans="7:21" ht="15" customHeight="1" x14ac:dyDescent="0.2">
      <c r="G224" s="88"/>
      <c r="H224" s="88"/>
      <c r="I224" s="88"/>
      <c r="K224" s="88"/>
      <c r="L224" s="88"/>
      <c r="M224" s="88"/>
      <c r="O224" s="88"/>
      <c r="P224" s="88"/>
      <c r="Q224" s="88"/>
      <c r="S224" s="88"/>
      <c r="T224" s="88"/>
      <c r="U224" s="88"/>
    </row>
    <row r="225" spans="7:21" ht="15" customHeight="1" x14ac:dyDescent="0.2">
      <c r="G225" s="88"/>
      <c r="H225" s="88"/>
      <c r="I225" s="88"/>
      <c r="K225" s="88"/>
      <c r="L225" s="88"/>
      <c r="M225" s="88"/>
      <c r="O225" s="88"/>
      <c r="P225" s="88"/>
      <c r="Q225" s="88"/>
      <c r="S225" s="88"/>
      <c r="T225" s="88"/>
      <c r="U225" s="88"/>
    </row>
    <row r="226" spans="7:21" ht="15" customHeight="1" x14ac:dyDescent="0.2">
      <c r="G226" s="88"/>
      <c r="H226" s="88"/>
      <c r="I226" s="88"/>
      <c r="K226" s="88"/>
      <c r="L226" s="88"/>
      <c r="M226" s="88"/>
      <c r="O226" s="88"/>
      <c r="P226" s="88"/>
      <c r="Q226" s="88"/>
      <c r="S226" s="88"/>
      <c r="T226" s="88"/>
      <c r="U226" s="88"/>
    </row>
    <row r="227" spans="7:21" ht="15" customHeight="1" x14ac:dyDescent="0.2">
      <c r="G227" s="88"/>
      <c r="H227" s="88"/>
      <c r="I227" s="88"/>
      <c r="K227" s="88"/>
      <c r="L227" s="88"/>
      <c r="M227" s="88"/>
      <c r="O227" s="88"/>
      <c r="P227" s="88"/>
      <c r="Q227" s="88"/>
      <c r="S227" s="88"/>
      <c r="T227" s="88"/>
      <c r="U227" s="88"/>
    </row>
    <row r="228" spans="7:21" ht="15" customHeight="1" x14ac:dyDescent="0.2">
      <c r="G228" s="88"/>
      <c r="H228" s="88"/>
      <c r="I228" s="88"/>
      <c r="K228" s="88"/>
      <c r="L228" s="88"/>
      <c r="M228" s="88"/>
      <c r="O228" s="88"/>
      <c r="P228" s="88"/>
      <c r="Q228" s="88"/>
      <c r="S228" s="88"/>
      <c r="T228" s="88"/>
      <c r="U228" s="88"/>
    </row>
    <row r="229" spans="7:21" ht="15" customHeight="1" x14ac:dyDescent="0.2">
      <c r="G229" s="88"/>
      <c r="H229" s="88"/>
      <c r="I229" s="88"/>
      <c r="K229" s="88"/>
      <c r="L229" s="88"/>
      <c r="M229" s="88"/>
      <c r="O229" s="88"/>
      <c r="P229" s="88"/>
      <c r="Q229" s="88"/>
      <c r="S229" s="88"/>
      <c r="T229" s="88"/>
      <c r="U229" s="88"/>
    </row>
    <row r="230" spans="7:21" ht="15" customHeight="1" x14ac:dyDescent="0.2">
      <c r="G230" s="88"/>
      <c r="H230" s="88"/>
      <c r="I230" s="88"/>
      <c r="K230" s="88"/>
      <c r="L230" s="88"/>
      <c r="M230" s="88"/>
      <c r="O230" s="88"/>
      <c r="P230" s="88"/>
      <c r="Q230" s="88"/>
      <c r="S230" s="88"/>
      <c r="T230" s="88"/>
      <c r="U230" s="88"/>
    </row>
    <row r="231" spans="7:21" ht="15" customHeight="1" x14ac:dyDescent="0.2">
      <c r="G231" s="88"/>
      <c r="H231" s="88"/>
      <c r="I231" s="88"/>
      <c r="K231" s="88"/>
      <c r="L231" s="88"/>
      <c r="M231" s="88"/>
      <c r="O231" s="88"/>
      <c r="P231" s="88"/>
      <c r="Q231" s="88"/>
      <c r="S231" s="88"/>
      <c r="T231" s="88"/>
      <c r="U231" s="88"/>
    </row>
    <row r="232" spans="7:21" ht="15" customHeight="1" x14ac:dyDescent="0.2">
      <c r="G232" s="88"/>
      <c r="H232" s="88"/>
      <c r="I232" s="88"/>
      <c r="K232" s="88"/>
      <c r="L232" s="88"/>
      <c r="M232" s="88"/>
      <c r="O232" s="88"/>
      <c r="P232" s="88"/>
      <c r="Q232" s="88"/>
      <c r="S232" s="88"/>
      <c r="T232" s="88"/>
      <c r="U232" s="88"/>
    </row>
    <row r="233" spans="7:21" ht="15" customHeight="1" x14ac:dyDescent="0.2">
      <c r="G233" s="88"/>
      <c r="H233" s="88"/>
      <c r="I233" s="88"/>
      <c r="K233" s="88"/>
      <c r="L233" s="88"/>
      <c r="M233" s="88"/>
      <c r="O233" s="88"/>
      <c r="P233" s="88"/>
      <c r="Q233" s="88"/>
      <c r="S233" s="88"/>
      <c r="T233" s="88"/>
      <c r="U233" s="88"/>
    </row>
    <row r="234" spans="7:21" ht="15" customHeight="1" x14ac:dyDescent="0.2">
      <c r="G234" s="88"/>
      <c r="H234" s="88"/>
      <c r="I234" s="88"/>
      <c r="K234" s="88"/>
      <c r="L234" s="88"/>
      <c r="M234" s="88"/>
      <c r="O234" s="88"/>
      <c r="P234" s="88"/>
      <c r="Q234" s="88"/>
      <c r="S234" s="88"/>
      <c r="T234" s="88"/>
      <c r="U234" s="88"/>
    </row>
    <row r="235" spans="7:21" ht="15" customHeight="1" x14ac:dyDescent="0.2">
      <c r="G235" s="88"/>
      <c r="H235" s="88"/>
      <c r="I235" s="88"/>
      <c r="K235" s="88"/>
      <c r="L235" s="88"/>
      <c r="M235" s="88"/>
      <c r="O235" s="88"/>
      <c r="P235" s="88"/>
      <c r="Q235" s="88"/>
      <c r="S235" s="88"/>
      <c r="T235" s="88"/>
      <c r="U235" s="88"/>
    </row>
    <row r="236" spans="7:21" ht="15" customHeight="1" x14ac:dyDescent="0.2">
      <c r="G236" s="88"/>
      <c r="H236" s="88"/>
      <c r="I236" s="88"/>
      <c r="K236" s="88"/>
      <c r="L236" s="88"/>
      <c r="M236" s="88"/>
      <c r="O236" s="88"/>
      <c r="P236" s="88"/>
      <c r="Q236" s="88"/>
      <c r="S236" s="88"/>
      <c r="T236" s="88"/>
      <c r="U236" s="88"/>
    </row>
    <row r="237" spans="7:21" ht="15" customHeight="1" x14ac:dyDescent="0.2">
      <c r="G237" s="88"/>
      <c r="H237" s="88"/>
      <c r="I237" s="88"/>
      <c r="K237" s="88"/>
      <c r="L237" s="88"/>
      <c r="M237" s="88"/>
      <c r="O237" s="88"/>
      <c r="P237" s="88"/>
      <c r="Q237" s="88"/>
      <c r="S237" s="88"/>
      <c r="T237" s="88"/>
      <c r="U237" s="88"/>
    </row>
    <row r="238" spans="7:21" ht="15" customHeight="1" x14ac:dyDescent="0.2">
      <c r="G238" s="88"/>
      <c r="H238" s="88"/>
      <c r="I238" s="88"/>
      <c r="K238" s="88"/>
      <c r="L238" s="88"/>
      <c r="M238" s="88"/>
      <c r="O238" s="88"/>
      <c r="P238" s="88"/>
      <c r="Q238" s="88"/>
      <c r="S238" s="88"/>
      <c r="T238" s="88"/>
      <c r="U238" s="88"/>
    </row>
    <row r="239" spans="7:21" ht="15" customHeight="1" x14ac:dyDescent="0.2">
      <c r="G239" s="88"/>
      <c r="H239" s="88"/>
      <c r="I239" s="88"/>
      <c r="K239" s="88"/>
      <c r="L239" s="88"/>
      <c r="M239" s="88"/>
      <c r="O239" s="88"/>
      <c r="P239" s="88"/>
      <c r="Q239" s="88"/>
      <c r="S239" s="88"/>
      <c r="T239" s="88"/>
      <c r="U239" s="88"/>
    </row>
    <row r="240" spans="7:21" ht="15" customHeight="1" x14ac:dyDescent="0.2">
      <c r="G240" s="88"/>
      <c r="H240" s="88"/>
      <c r="I240" s="88"/>
      <c r="K240" s="88"/>
      <c r="L240" s="88"/>
      <c r="M240" s="88"/>
      <c r="O240" s="88"/>
      <c r="P240" s="88"/>
      <c r="Q240" s="88"/>
      <c r="S240" s="88"/>
      <c r="T240" s="88"/>
      <c r="U240" s="88"/>
    </row>
    <row r="241" spans="7:21" ht="15" customHeight="1" x14ac:dyDescent="0.2">
      <c r="G241" s="88"/>
      <c r="H241" s="88"/>
      <c r="I241" s="88"/>
      <c r="K241" s="88"/>
      <c r="L241" s="88"/>
      <c r="M241" s="88"/>
      <c r="O241" s="88"/>
      <c r="P241" s="88"/>
      <c r="Q241" s="88"/>
      <c r="S241" s="88"/>
      <c r="T241" s="88"/>
      <c r="U241" s="88"/>
    </row>
    <row r="242" spans="7:21" ht="15" customHeight="1" x14ac:dyDescent="0.2">
      <c r="G242" s="88"/>
      <c r="H242" s="88"/>
      <c r="I242" s="88"/>
      <c r="K242" s="88"/>
      <c r="L242" s="88"/>
      <c r="M242" s="88"/>
      <c r="O242" s="88"/>
      <c r="P242" s="88"/>
      <c r="Q242" s="88"/>
      <c r="S242" s="88"/>
      <c r="T242" s="88"/>
      <c r="U242" s="88"/>
    </row>
    <row r="243" spans="7:21" ht="15" customHeight="1" x14ac:dyDescent="0.2">
      <c r="G243" s="88"/>
      <c r="H243" s="88"/>
      <c r="I243" s="88"/>
      <c r="K243" s="88"/>
      <c r="L243" s="88"/>
      <c r="M243" s="88"/>
      <c r="O243" s="88"/>
      <c r="P243" s="88"/>
      <c r="Q243" s="88"/>
      <c r="S243" s="88"/>
      <c r="T243" s="88"/>
      <c r="U243" s="88"/>
    </row>
    <row r="244" spans="7:21" ht="15" customHeight="1" x14ac:dyDescent="0.2">
      <c r="G244" s="88"/>
      <c r="H244" s="88"/>
      <c r="I244" s="88"/>
      <c r="K244" s="88"/>
      <c r="L244" s="88"/>
      <c r="M244" s="88"/>
      <c r="O244" s="88"/>
      <c r="P244" s="88"/>
      <c r="Q244" s="88"/>
      <c r="S244" s="88"/>
      <c r="T244" s="88"/>
      <c r="U244" s="88"/>
    </row>
    <row r="245" spans="7:21" ht="15" customHeight="1" x14ac:dyDescent="0.2">
      <c r="G245" s="88"/>
      <c r="H245" s="88"/>
      <c r="I245" s="88"/>
      <c r="K245" s="88"/>
      <c r="L245" s="88"/>
      <c r="M245" s="88"/>
      <c r="O245" s="88"/>
      <c r="P245" s="88"/>
      <c r="Q245" s="88"/>
      <c r="S245" s="88"/>
      <c r="T245" s="88"/>
      <c r="U245" s="88"/>
    </row>
    <row r="246" spans="7:21" ht="15" customHeight="1" x14ac:dyDescent="0.2">
      <c r="G246" s="88"/>
      <c r="H246" s="88"/>
      <c r="I246" s="88"/>
      <c r="K246" s="88"/>
      <c r="L246" s="88"/>
      <c r="M246" s="88"/>
      <c r="O246" s="88"/>
      <c r="P246" s="88"/>
      <c r="Q246" s="88"/>
      <c r="S246" s="88"/>
      <c r="T246" s="88"/>
      <c r="U246" s="88"/>
    </row>
    <row r="247" spans="7:21" ht="15" customHeight="1" x14ac:dyDescent="0.2">
      <c r="G247" s="88"/>
      <c r="H247" s="88"/>
      <c r="I247" s="88"/>
      <c r="K247" s="88"/>
      <c r="L247" s="88"/>
      <c r="M247" s="88"/>
      <c r="O247" s="88"/>
      <c r="P247" s="88"/>
      <c r="Q247" s="88"/>
      <c r="S247" s="88"/>
      <c r="T247" s="88"/>
      <c r="U247" s="88"/>
    </row>
    <row r="248" spans="7:21" ht="15" customHeight="1" x14ac:dyDescent="0.2">
      <c r="G248" s="88"/>
      <c r="H248" s="88"/>
      <c r="I248" s="88"/>
      <c r="K248" s="88"/>
      <c r="L248" s="88"/>
      <c r="M248" s="88"/>
      <c r="O248" s="88"/>
      <c r="P248" s="88"/>
      <c r="Q248" s="88"/>
      <c r="S248" s="88"/>
      <c r="T248" s="88"/>
      <c r="U248" s="88"/>
    </row>
    <row r="249" spans="7:21" ht="15" customHeight="1" x14ac:dyDescent="0.2">
      <c r="G249" s="88"/>
      <c r="H249" s="88"/>
      <c r="I249" s="88"/>
      <c r="K249" s="88"/>
      <c r="L249" s="88"/>
      <c r="M249" s="88"/>
      <c r="O249" s="88"/>
      <c r="P249" s="88"/>
      <c r="Q249" s="88"/>
      <c r="S249" s="88"/>
      <c r="T249" s="88"/>
      <c r="U249" s="88"/>
    </row>
    <row r="250" spans="7:21" ht="15" customHeight="1" x14ac:dyDescent="0.2">
      <c r="G250" s="88"/>
      <c r="H250" s="88"/>
      <c r="I250" s="88"/>
      <c r="K250" s="88"/>
      <c r="L250" s="88"/>
      <c r="M250" s="88"/>
      <c r="O250" s="88"/>
      <c r="P250" s="88"/>
      <c r="Q250" s="88"/>
      <c r="S250" s="88"/>
      <c r="T250" s="88"/>
      <c r="U250" s="88"/>
    </row>
    <row r="251" spans="7:21" ht="15" customHeight="1" x14ac:dyDescent="0.2">
      <c r="G251" s="88"/>
      <c r="H251" s="88"/>
      <c r="I251" s="88"/>
      <c r="K251" s="88"/>
      <c r="L251" s="88"/>
      <c r="M251" s="88"/>
      <c r="O251" s="88"/>
      <c r="P251" s="88"/>
      <c r="Q251" s="88"/>
      <c r="S251" s="88"/>
      <c r="T251" s="88"/>
      <c r="U251" s="88"/>
    </row>
    <row r="252" spans="7:21" ht="15" customHeight="1" x14ac:dyDescent="0.2">
      <c r="G252" s="88"/>
      <c r="H252" s="88"/>
      <c r="I252" s="88"/>
      <c r="K252" s="88"/>
      <c r="L252" s="88"/>
      <c r="M252" s="88"/>
      <c r="O252" s="88"/>
      <c r="P252" s="88"/>
      <c r="Q252" s="88"/>
      <c r="S252" s="88"/>
      <c r="T252" s="88"/>
      <c r="U252" s="88"/>
    </row>
    <row r="253" spans="7:21" ht="15" customHeight="1" x14ac:dyDescent="0.2">
      <c r="G253" s="88"/>
      <c r="H253" s="88"/>
      <c r="I253" s="88"/>
      <c r="K253" s="88"/>
      <c r="L253" s="88"/>
      <c r="M253" s="88"/>
      <c r="O253" s="88"/>
      <c r="P253" s="88"/>
      <c r="Q253" s="88"/>
      <c r="S253" s="88"/>
      <c r="T253" s="88"/>
      <c r="U253" s="88"/>
    </row>
    <row r="254" spans="7:21" ht="15" customHeight="1" x14ac:dyDescent="0.2">
      <c r="G254" s="88"/>
      <c r="H254" s="88"/>
      <c r="I254" s="88"/>
      <c r="K254" s="88"/>
      <c r="L254" s="88"/>
      <c r="M254" s="88"/>
      <c r="O254" s="88"/>
      <c r="P254" s="88"/>
      <c r="Q254" s="88"/>
      <c r="S254" s="88"/>
      <c r="T254" s="88"/>
      <c r="U254" s="88"/>
    </row>
    <row r="255" spans="7:21" ht="15" customHeight="1" x14ac:dyDescent="0.2">
      <c r="G255" s="88"/>
      <c r="H255" s="88"/>
      <c r="I255" s="88"/>
      <c r="K255" s="88"/>
      <c r="L255" s="88"/>
      <c r="M255" s="88"/>
      <c r="O255" s="88"/>
      <c r="P255" s="88"/>
      <c r="Q255" s="88"/>
      <c r="S255" s="88"/>
      <c r="T255" s="88"/>
      <c r="U255" s="88"/>
    </row>
    <row r="256" spans="7:21" ht="15" customHeight="1" x14ac:dyDescent="0.2">
      <c r="G256" s="88"/>
      <c r="H256" s="88"/>
      <c r="I256" s="88"/>
      <c r="K256" s="88"/>
      <c r="L256" s="88"/>
      <c r="M256" s="88"/>
      <c r="O256" s="88"/>
      <c r="P256" s="88"/>
      <c r="Q256" s="88"/>
      <c r="S256" s="88"/>
      <c r="T256" s="88"/>
      <c r="U256" s="88"/>
    </row>
    <row r="257" spans="7:21" ht="15" customHeight="1" x14ac:dyDescent="0.2">
      <c r="G257" s="88"/>
      <c r="H257" s="88"/>
      <c r="I257" s="88"/>
      <c r="K257" s="88"/>
      <c r="L257" s="88"/>
      <c r="M257" s="88"/>
      <c r="O257" s="88"/>
      <c r="P257" s="88"/>
      <c r="Q257" s="88"/>
      <c r="S257" s="88"/>
      <c r="T257" s="88"/>
      <c r="U257" s="88"/>
    </row>
    <row r="258" spans="7:21" ht="15" customHeight="1" x14ac:dyDescent="0.2">
      <c r="G258" s="88"/>
      <c r="H258" s="88"/>
      <c r="I258" s="88"/>
      <c r="K258" s="88"/>
      <c r="L258" s="88"/>
      <c r="M258" s="88"/>
      <c r="O258" s="88"/>
      <c r="P258" s="88"/>
      <c r="Q258" s="88"/>
      <c r="S258" s="88"/>
      <c r="T258" s="88"/>
      <c r="U258" s="88"/>
    </row>
    <row r="259" spans="7:21" ht="15" customHeight="1" x14ac:dyDescent="0.2">
      <c r="G259" s="88"/>
      <c r="H259" s="88"/>
      <c r="I259" s="88"/>
      <c r="K259" s="88"/>
      <c r="L259" s="88"/>
      <c r="M259" s="88"/>
      <c r="O259" s="88"/>
      <c r="P259" s="88"/>
      <c r="Q259" s="88"/>
      <c r="S259" s="88"/>
      <c r="T259" s="88"/>
      <c r="U259" s="88"/>
    </row>
    <row r="260" spans="7:21" ht="15" customHeight="1" x14ac:dyDescent="0.2">
      <c r="G260" s="88"/>
      <c r="H260" s="88"/>
      <c r="I260" s="88"/>
      <c r="K260" s="88"/>
      <c r="L260" s="88"/>
      <c r="M260" s="88"/>
      <c r="O260" s="88"/>
      <c r="P260" s="88"/>
      <c r="Q260" s="88"/>
      <c r="S260" s="88"/>
      <c r="T260" s="88"/>
      <c r="U260" s="88"/>
    </row>
    <row r="261" spans="7:21" ht="15" customHeight="1" x14ac:dyDescent="0.2">
      <c r="G261" s="88"/>
      <c r="H261" s="88"/>
      <c r="I261" s="88"/>
      <c r="K261" s="88"/>
      <c r="L261" s="88"/>
      <c r="M261" s="88"/>
      <c r="O261" s="88"/>
      <c r="P261" s="88"/>
      <c r="Q261" s="88"/>
      <c r="S261" s="88"/>
      <c r="T261" s="88"/>
      <c r="U261" s="88"/>
    </row>
    <row r="262" spans="7:21" ht="15" customHeight="1" x14ac:dyDescent="0.2">
      <c r="G262" s="88"/>
      <c r="H262" s="88"/>
      <c r="I262" s="88"/>
      <c r="K262" s="88"/>
      <c r="L262" s="88"/>
      <c r="M262" s="88"/>
      <c r="O262" s="88"/>
      <c r="P262" s="88"/>
      <c r="Q262" s="88"/>
      <c r="S262" s="88"/>
      <c r="T262" s="88"/>
      <c r="U262" s="88"/>
    </row>
    <row r="263" spans="7:21" ht="15" customHeight="1" x14ac:dyDescent="0.2">
      <c r="G263" s="88"/>
      <c r="H263" s="88"/>
      <c r="I263" s="88"/>
      <c r="K263" s="88"/>
      <c r="L263" s="88"/>
      <c r="M263" s="88"/>
      <c r="O263" s="88"/>
      <c r="P263" s="88"/>
      <c r="Q263" s="88"/>
      <c r="S263" s="88"/>
      <c r="T263" s="88"/>
      <c r="U263" s="88"/>
    </row>
    <row r="264" spans="7:21" ht="15" customHeight="1" x14ac:dyDescent="0.2">
      <c r="G264" s="88"/>
      <c r="H264" s="88"/>
      <c r="I264" s="88"/>
      <c r="K264" s="88"/>
      <c r="L264" s="88"/>
      <c r="M264" s="88"/>
      <c r="O264" s="88"/>
      <c r="P264" s="88"/>
      <c r="Q264" s="88"/>
      <c r="S264" s="88"/>
      <c r="T264" s="88"/>
      <c r="U264" s="88"/>
    </row>
    <row r="265" spans="7:21" ht="15" customHeight="1" x14ac:dyDescent="0.2">
      <c r="G265" s="88"/>
      <c r="H265" s="88"/>
      <c r="I265" s="88"/>
      <c r="K265" s="88"/>
      <c r="L265" s="88"/>
      <c r="M265" s="88"/>
      <c r="O265" s="88"/>
      <c r="P265" s="88"/>
      <c r="Q265" s="88"/>
      <c r="S265" s="88"/>
      <c r="T265" s="88"/>
      <c r="U265" s="88"/>
    </row>
    <row r="266" spans="7:21" ht="15" customHeight="1" x14ac:dyDescent="0.2">
      <c r="G266" s="88"/>
      <c r="H266" s="88"/>
      <c r="I266" s="88"/>
      <c r="K266" s="88"/>
      <c r="L266" s="88"/>
      <c r="M266" s="88"/>
      <c r="O266" s="88"/>
      <c r="P266" s="88"/>
      <c r="Q266" s="88"/>
      <c r="S266" s="88"/>
      <c r="T266" s="88"/>
      <c r="U266" s="88"/>
    </row>
    <row r="267" spans="7:21" ht="15" customHeight="1" x14ac:dyDescent="0.2">
      <c r="G267" s="88"/>
      <c r="H267" s="88"/>
      <c r="I267" s="88"/>
      <c r="K267" s="88"/>
      <c r="L267" s="88"/>
      <c r="M267" s="88"/>
      <c r="O267" s="88"/>
      <c r="P267" s="88"/>
      <c r="Q267" s="88"/>
      <c r="S267" s="88"/>
      <c r="T267" s="88"/>
      <c r="U267" s="88"/>
    </row>
    <row r="268" spans="7:21" ht="15" customHeight="1" x14ac:dyDescent="0.2">
      <c r="G268" s="88"/>
      <c r="H268" s="88"/>
      <c r="I268" s="88"/>
      <c r="K268" s="88"/>
      <c r="L268" s="88"/>
      <c r="M268" s="88"/>
      <c r="O268" s="88"/>
      <c r="P268" s="88"/>
      <c r="Q268" s="88"/>
      <c r="S268" s="88"/>
      <c r="T268" s="88"/>
      <c r="U268" s="88"/>
    </row>
    <row r="269" spans="7:21" ht="15" customHeight="1" x14ac:dyDescent="0.2">
      <c r="G269" s="88"/>
      <c r="H269" s="88"/>
      <c r="I269" s="88"/>
      <c r="K269" s="88"/>
      <c r="L269" s="88"/>
      <c r="M269" s="88"/>
      <c r="O269" s="88"/>
      <c r="P269" s="88"/>
      <c r="Q269" s="88"/>
      <c r="S269" s="88"/>
      <c r="T269" s="88"/>
      <c r="U269" s="88"/>
    </row>
    <row r="270" spans="7:21" ht="15" customHeight="1" x14ac:dyDescent="0.2">
      <c r="G270" s="88"/>
      <c r="H270" s="88"/>
      <c r="I270" s="88"/>
      <c r="K270" s="88"/>
      <c r="L270" s="88"/>
      <c r="M270" s="88"/>
      <c r="O270" s="88"/>
      <c r="P270" s="88"/>
      <c r="Q270" s="88"/>
      <c r="S270" s="88"/>
      <c r="T270" s="88"/>
      <c r="U270" s="88"/>
    </row>
    <row r="271" spans="7:21" ht="15" customHeight="1" x14ac:dyDescent="0.2">
      <c r="G271" s="88"/>
      <c r="H271" s="88"/>
      <c r="I271" s="88"/>
      <c r="K271" s="88"/>
      <c r="L271" s="88"/>
      <c r="M271" s="88"/>
      <c r="O271" s="88"/>
      <c r="P271" s="88"/>
      <c r="Q271" s="88"/>
      <c r="S271" s="88"/>
      <c r="T271" s="88"/>
      <c r="U271" s="88"/>
    </row>
    <row r="272" spans="7:21" ht="15" customHeight="1" x14ac:dyDescent="0.2">
      <c r="G272" s="88"/>
      <c r="H272" s="88"/>
      <c r="I272" s="88"/>
      <c r="K272" s="88"/>
      <c r="L272" s="88"/>
      <c r="M272" s="88"/>
      <c r="O272" s="88"/>
      <c r="P272" s="88"/>
      <c r="Q272" s="88"/>
      <c r="S272" s="88"/>
      <c r="T272" s="88"/>
      <c r="U272" s="88"/>
    </row>
    <row r="273" spans="7:21" ht="15" customHeight="1" x14ac:dyDescent="0.2">
      <c r="G273" s="88"/>
      <c r="H273" s="88"/>
      <c r="I273" s="88"/>
      <c r="K273" s="88"/>
      <c r="L273" s="88"/>
      <c r="M273" s="88"/>
      <c r="O273" s="88"/>
      <c r="P273" s="88"/>
      <c r="Q273" s="88"/>
      <c r="S273" s="88"/>
      <c r="T273" s="88"/>
      <c r="U273" s="88"/>
    </row>
    <row r="274" spans="7:21" ht="15" customHeight="1" x14ac:dyDescent="0.2">
      <c r="G274" s="88"/>
      <c r="H274" s="88"/>
      <c r="I274" s="88"/>
      <c r="K274" s="88"/>
      <c r="L274" s="88"/>
      <c r="M274" s="88"/>
      <c r="O274" s="88"/>
      <c r="P274" s="88"/>
      <c r="Q274" s="88"/>
      <c r="S274" s="88"/>
      <c r="T274" s="88"/>
      <c r="U274" s="88"/>
    </row>
    <row r="275" spans="7:21" ht="15" customHeight="1" x14ac:dyDescent="0.2">
      <c r="G275" s="88"/>
      <c r="H275" s="88"/>
      <c r="I275" s="88"/>
      <c r="K275" s="88"/>
      <c r="L275" s="88"/>
      <c r="M275" s="88"/>
      <c r="O275" s="88"/>
      <c r="P275" s="88"/>
      <c r="Q275" s="88"/>
      <c r="S275" s="88"/>
      <c r="T275" s="88"/>
      <c r="U275" s="88"/>
    </row>
    <row r="276" spans="7:21" ht="15" customHeight="1" x14ac:dyDescent="0.2">
      <c r="G276" s="88"/>
      <c r="H276" s="88"/>
      <c r="I276" s="88"/>
      <c r="K276" s="88"/>
      <c r="L276" s="88"/>
      <c r="M276" s="88"/>
      <c r="O276" s="88"/>
      <c r="P276" s="88"/>
      <c r="Q276" s="88"/>
      <c r="S276" s="88"/>
      <c r="T276" s="88"/>
      <c r="U276" s="88"/>
    </row>
    <row r="277" spans="7:21" ht="15" customHeight="1" x14ac:dyDescent="0.2">
      <c r="G277" s="88"/>
      <c r="H277" s="88"/>
      <c r="I277" s="88"/>
      <c r="K277" s="88"/>
      <c r="L277" s="88"/>
      <c r="M277" s="88"/>
      <c r="O277" s="88"/>
      <c r="P277" s="88"/>
      <c r="Q277" s="88"/>
      <c r="S277" s="88"/>
      <c r="T277" s="88"/>
      <c r="U277" s="88"/>
    </row>
    <row r="278" spans="7:21" ht="15" customHeight="1" x14ac:dyDescent="0.2">
      <c r="G278" s="88"/>
      <c r="H278" s="88"/>
      <c r="I278" s="88"/>
      <c r="K278" s="88"/>
      <c r="L278" s="88"/>
      <c r="M278" s="88"/>
      <c r="O278" s="88"/>
      <c r="P278" s="88"/>
      <c r="Q278" s="88"/>
      <c r="S278" s="88"/>
      <c r="T278" s="88"/>
      <c r="U278" s="88"/>
    </row>
    <row r="279" spans="7:21" ht="15" customHeight="1" x14ac:dyDescent="0.2">
      <c r="G279" s="88"/>
      <c r="H279" s="88"/>
      <c r="I279" s="88"/>
      <c r="K279" s="88"/>
      <c r="L279" s="88"/>
      <c r="M279" s="88"/>
      <c r="O279" s="88"/>
      <c r="P279" s="88"/>
      <c r="Q279" s="88"/>
      <c r="S279" s="88"/>
      <c r="T279" s="88"/>
      <c r="U279" s="88"/>
    </row>
    <row r="280" spans="7:21" ht="15" customHeight="1" x14ac:dyDescent="0.2">
      <c r="G280" s="88"/>
      <c r="H280" s="88"/>
      <c r="I280" s="88"/>
      <c r="K280" s="88"/>
      <c r="L280" s="88"/>
      <c r="M280" s="88"/>
      <c r="O280" s="88"/>
      <c r="P280" s="88"/>
      <c r="Q280" s="88"/>
      <c r="S280" s="88"/>
      <c r="T280" s="88"/>
      <c r="U280" s="88"/>
    </row>
    <row r="281" spans="7:21" ht="15" customHeight="1" x14ac:dyDescent="0.2">
      <c r="G281" s="88"/>
      <c r="H281" s="88"/>
      <c r="I281" s="88"/>
      <c r="K281" s="88"/>
      <c r="L281" s="88"/>
      <c r="M281" s="88"/>
      <c r="O281" s="88"/>
      <c r="P281" s="88"/>
      <c r="Q281" s="88"/>
      <c r="S281" s="88"/>
      <c r="T281" s="88"/>
      <c r="U281" s="88"/>
    </row>
    <row r="282" spans="7:21" ht="15" customHeight="1" x14ac:dyDescent="0.2">
      <c r="G282" s="88"/>
      <c r="H282" s="88"/>
      <c r="I282" s="88"/>
      <c r="K282" s="88"/>
      <c r="L282" s="88"/>
      <c r="M282" s="88"/>
      <c r="O282" s="88"/>
      <c r="P282" s="88"/>
      <c r="Q282" s="88"/>
      <c r="S282" s="88"/>
      <c r="T282" s="88"/>
      <c r="U282" s="88"/>
    </row>
    <row r="283" spans="7:21" ht="15" customHeight="1" x14ac:dyDescent="0.2">
      <c r="G283" s="88"/>
      <c r="H283" s="88"/>
      <c r="I283" s="88"/>
      <c r="K283" s="88"/>
      <c r="L283" s="88"/>
      <c r="M283" s="88"/>
      <c r="O283" s="88"/>
      <c r="P283" s="88"/>
      <c r="Q283" s="88"/>
      <c r="S283" s="88"/>
      <c r="T283" s="88"/>
      <c r="U283" s="88"/>
    </row>
    <row r="284" spans="7:21" ht="15" customHeight="1" x14ac:dyDescent="0.2">
      <c r="G284" s="88"/>
      <c r="H284" s="88"/>
      <c r="I284" s="88"/>
      <c r="K284" s="88"/>
      <c r="L284" s="88"/>
      <c r="M284" s="88"/>
      <c r="O284" s="88"/>
      <c r="P284" s="88"/>
      <c r="Q284" s="88"/>
      <c r="S284" s="88"/>
      <c r="T284" s="88"/>
      <c r="U284" s="88"/>
    </row>
    <row r="285" spans="7:21" ht="15" customHeight="1" x14ac:dyDescent="0.2">
      <c r="G285" s="88"/>
      <c r="H285" s="88"/>
      <c r="I285" s="88"/>
      <c r="K285" s="88"/>
      <c r="L285" s="88"/>
      <c r="M285" s="88"/>
      <c r="O285" s="88"/>
      <c r="P285" s="88"/>
      <c r="Q285" s="88"/>
      <c r="S285" s="88"/>
      <c r="T285" s="88"/>
      <c r="U285" s="88"/>
    </row>
    <row r="286" spans="7:21" ht="15" customHeight="1" x14ac:dyDescent="0.2">
      <c r="G286" s="88"/>
      <c r="H286" s="88"/>
      <c r="I286" s="88"/>
      <c r="K286" s="88"/>
      <c r="L286" s="88"/>
      <c r="M286" s="88"/>
      <c r="O286" s="88"/>
      <c r="P286" s="88"/>
      <c r="Q286" s="88"/>
      <c r="S286" s="88"/>
      <c r="T286" s="88"/>
      <c r="U286" s="88"/>
    </row>
    <row r="287" spans="7:21" ht="15" customHeight="1" x14ac:dyDescent="0.2">
      <c r="G287" s="88"/>
      <c r="H287" s="88"/>
      <c r="I287" s="88"/>
      <c r="K287" s="88"/>
      <c r="L287" s="88"/>
      <c r="M287" s="88"/>
      <c r="O287" s="88"/>
      <c r="P287" s="88"/>
      <c r="Q287" s="88"/>
      <c r="S287" s="88"/>
      <c r="T287" s="88"/>
      <c r="U287" s="88"/>
    </row>
    <row r="288" spans="7:21" ht="15" customHeight="1" x14ac:dyDescent="0.2">
      <c r="G288" s="88"/>
      <c r="H288" s="88"/>
      <c r="I288" s="88"/>
      <c r="K288" s="88"/>
      <c r="L288" s="88"/>
      <c r="M288" s="88"/>
      <c r="O288" s="88"/>
      <c r="P288" s="88"/>
      <c r="Q288" s="88"/>
      <c r="S288" s="88"/>
      <c r="T288" s="88"/>
      <c r="U288" s="88"/>
    </row>
    <row r="289" spans="7:21" ht="15" customHeight="1" x14ac:dyDescent="0.2">
      <c r="G289" s="88"/>
      <c r="H289" s="88"/>
      <c r="I289" s="88"/>
      <c r="K289" s="88"/>
      <c r="L289" s="88"/>
      <c r="M289" s="88"/>
      <c r="O289" s="88"/>
      <c r="P289" s="88"/>
      <c r="Q289" s="88"/>
      <c r="S289" s="88"/>
      <c r="T289" s="88"/>
      <c r="U289" s="88"/>
    </row>
    <row r="290" spans="7:21" ht="15" customHeight="1" x14ac:dyDescent="0.2">
      <c r="G290" s="88"/>
      <c r="H290" s="88"/>
      <c r="I290" s="88"/>
      <c r="K290" s="88"/>
      <c r="L290" s="88"/>
      <c r="M290" s="88"/>
      <c r="O290" s="88"/>
      <c r="P290" s="88"/>
      <c r="Q290" s="88"/>
      <c r="S290" s="88"/>
      <c r="T290" s="88"/>
      <c r="U290" s="88"/>
    </row>
    <row r="291" spans="7:21" ht="15" customHeight="1" x14ac:dyDescent="0.2">
      <c r="G291" s="88"/>
      <c r="H291" s="88"/>
      <c r="I291" s="88"/>
      <c r="K291" s="88"/>
      <c r="L291" s="88"/>
      <c r="M291" s="88"/>
      <c r="O291" s="88"/>
      <c r="P291" s="88"/>
      <c r="Q291" s="88"/>
      <c r="S291" s="88"/>
      <c r="T291" s="88"/>
      <c r="U291" s="88"/>
    </row>
    <row r="292" spans="7:21" ht="15" customHeight="1" x14ac:dyDescent="0.2">
      <c r="G292" s="88"/>
      <c r="H292" s="88"/>
      <c r="I292" s="88"/>
      <c r="K292" s="88"/>
      <c r="L292" s="88"/>
      <c r="M292" s="88"/>
      <c r="O292" s="88"/>
      <c r="P292" s="88"/>
      <c r="Q292" s="88"/>
      <c r="S292" s="88"/>
      <c r="T292" s="88"/>
      <c r="U292" s="88"/>
    </row>
    <row r="293" spans="7:21" ht="15" customHeight="1" x14ac:dyDescent="0.2">
      <c r="G293" s="88"/>
      <c r="H293" s="88"/>
      <c r="I293" s="88"/>
      <c r="K293" s="88"/>
      <c r="L293" s="88"/>
      <c r="M293" s="88"/>
      <c r="O293" s="88"/>
      <c r="P293" s="88"/>
      <c r="Q293" s="88"/>
      <c r="S293" s="88"/>
      <c r="T293" s="88"/>
      <c r="U293" s="88"/>
    </row>
    <row r="294" spans="7:21" ht="15" customHeight="1" x14ac:dyDescent="0.2">
      <c r="G294" s="88"/>
      <c r="H294" s="88"/>
      <c r="I294" s="88"/>
      <c r="K294" s="88"/>
      <c r="L294" s="88"/>
      <c r="M294" s="88"/>
      <c r="O294" s="88"/>
      <c r="P294" s="88"/>
      <c r="Q294" s="88"/>
      <c r="S294" s="88"/>
      <c r="T294" s="88"/>
      <c r="U294" s="88"/>
    </row>
    <row r="295" spans="7:21" ht="15" customHeight="1" x14ac:dyDescent="0.2">
      <c r="G295" s="88"/>
      <c r="H295" s="88"/>
      <c r="I295" s="88"/>
      <c r="K295" s="88"/>
      <c r="L295" s="88"/>
      <c r="M295" s="88"/>
      <c r="O295" s="88"/>
      <c r="P295" s="88"/>
      <c r="Q295" s="88"/>
      <c r="S295" s="88"/>
      <c r="T295" s="88"/>
      <c r="U295" s="88"/>
    </row>
    <row r="296" spans="7:21" ht="15" customHeight="1" x14ac:dyDescent="0.2">
      <c r="G296" s="88"/>
      <c r="H296" s="88"/>
      <c r="I296" s="88"/>
      <c r="K296" s="88"/>
      <c r="L296" s="88"/>
      <c r="M296" s="88"/>
      <c r="O296" s="88"/>
      <c r="P296" s="88"/>
      <c r="Q296" s="88"/>
      <c r="S296" s="88"/>
      <c r="T296" s="88"/>
      <c r="U296" s="88"/>
    </row>
    <row r="297" spans="7:21" ht="15" customHeight="1" x14ac:dyDescent="0.2">
      <c r="G297" s="88"/>
      <c r="H297" s="88"/>
      <c r="I297" s="88"/>
      <c r="K297" s="88"/>
      <c r="L297" s="88"/>
      <c r="M297" s="88"/>
      <c r="O297" s="88"/>
      <c r="P297" s="88"/>
      <c r="Q297" s="88"/>
      <c r="S297" s="88"/>
      <c r="T297" s="88"/>
      <c r="U297" s="88"/>
    </row>
    <row r="298" spans="7:21" ht="15" customHeight="1" x14ac:dyDescent="0.2">
      <c r="G298" s="88"/>
      <c r="H298" s="88"/>
      <c r="I298" s="88"/>
      <c r="K298" s="88"/>
      <c r="L298" s="88"/>
      <c r="M298" s="88"/>
      <c r="O298" s="88"/>
      <c r="P298" s="88"/>
      <c r="Q298" s="88"/>
      <c r="S298" s="88"/>
      <c r="T298" s="88"/>
      <c r="U298" s="88"/>
    </row>
    <row r="299" spans="7:21" ht="15" customHeight="1" x14ac:dyDescent="0.2">
      <c r="G299" s="88"/>
      <c r="H299" s="88"/>
      <c r="I299" s="88"/>
      <c r="K299" s="88"/>
      <c r="L299" s="88"/>
      <c r="M299" s="88"/>
      <c r="O299" s="88"/>
      <c r="P299" s="88"/>
      <c r="Q299" s="88"/>
      <c r="S299" s="88"/>
      <c r="T299" s="88"/>
      <c r="U299" s="88"/>
    </row>
    <row r="300" spans="7:21" ht="15" customHeight="1" x14ac:dyDescent="0.2">
      <c r="G300" s="88"/>
      <c r="H300" s="88"/>
      <c r="I300" s="88"/>
      <c r="K300" s="88"/>
      <c r="L300" s="88"/>
      <c r="M300" s="88"/>
      <c r="O300" s="88"/>
      <c r="P300" s="88"/>
      <c r="Q300" s="88"/>
      <c r="S300" s="88"/>
      <c r="T300" s="88"/>
      <c r="U300" s="88"/>
    </row>
    <row r="301" spans="7:21" ht="15" customHeight="1" x14ac:dyDescent="0.2">
      <c r="G301" s="88"/>
      <c r="H301" s="88"/>
      <c r="I301" s="88"/>
      <c r="K301" s="88"/>
      <c r="L301" s="88"/>
      <c r="M301" s="88"/>
      <c r="O301" s="88"/>
      <c r="P301" s="88"/>
      <c r="Q301" s="88"/>
      <c r="S301" s="88"/>
      <c r="T301" s="88"/>
      <c r="U301" s="88"/>
    </row>
    <row r="302" spans="7:21" ht="15" customHeight="1" x14ac:dyDescent="0.2">
      <c r="G302" s="88"/>
      <c r="H302" s="88"/>
      <c r="I302" s="88"/>
      <c r="K302" s="88"/>
      <c r="L302" s="88"/>
      <c r="M302" s="88"/>
      <c r="O302" s="88"/>
      <c r="P302" s="88"/>
      <c r="Q302" s="88"/>
      <c r="S302" s="88"/>
      <c r="T302" s="88"/>
      <c r="U302" s="88"/>
    </row>
    <row r="303" spans="7:21" ht="15" customHeight="1" x14ac:dyDescent="0.2">
      <c r="G303" s="88"/>
      <c r="H303" s="88"/>
      <c r="I303" s="88"/>
      <c r="K303" s="88"/>
      <c r="L303" s="88"/>
      <c r="M303" s="88"/>
      <c r="O303" s="88"/>
      <c r="P303" s="88"/>
      <c r="Q303" s="88"/>
      <c r="S303" s="88"/>
      <c r="T303" s="88"/>
      <c r="U303" s="88"/>
    </row>
    <row r="304" spans="7:21" ht="15" customHeight="1" x14ac:dyDescent="0.2">
      <c r="G304" s="88"/>
      <c r="H304" s="88"/>
      <c r="I304" s="88"/>
      <c r="K304" s="88"/>
      <c r="L304" s="88"/>
      <c r="M304" s="88"/>
      <c r="O304" s="88"/>
      <c r="P304" s="88"/>
      <c r="Q304" s="88"/>
      <c r="S304" s="88"/>
      <c r="T304" s="88"/>
      <c r="U304" s="88"/>
    </row>
    <row r="305" spans="7:21" ht="15" customHeight="1" x14ac:dyDescent="0.2">
      <c r="G305" s="88"/>
      <c r="H305" s="88"/>
      <c r="I305" s="88"/>
      <c r="K305" s="88"/>
      <c r="L305" s="88"/>
      <c r="M305" s="88"/>
      <c r="O305" s="88"/>
      <c r="P305" s="88"/>
      <c r="Q305" s="88"/>
      <c r="S305" s="88"/>
      <c r="T305" s="88"/>
      <c r="U305" s="88"/>
    </row>
    <row r="306" spans="7:21" ht="15" customHeight="1" x14ac:dyDescent="0.2">
      <c r="G306" s="88"/>
      <c r="H306" s="88"/>
      <c r="I306" s="88"/>
      <c r="K306" s="88"/>
      <c r="L306" s="88"/>
      <c r="M306" s="88"/>
      <c r="O306" s="88"/>
      <c r="P306" s="88"/>
      <c r="Q306" s="88"/>
      <c r="S306" s="88"/>
      <c r="T306" s="88"/>
      <c r="U306" s="88"/>
    </row>
    <row r="307" spans="7:21" ht="15" customHeight="1" x14ac:dyDescent="0.2">
      <c r="G307" s="88"/>
      <c r="H307" s="88"/>
      <c r="I307" s="88"/>
      <c r="K307" s="88"/>
      <c r="L307" s="88"/>
      <c r="M307" s="88"/>
      <c r="O307" s="88"/>
      <c r="P307" s="88"/>
      <c r="Q307" s="88"/>
      <c r="S307" s="88"/>
      <c r="T307" s="88"/>
      <c r="U307" s="88"/>
    </row>
    <row r="308" spans="7:21" ht="15" customHeight="1" x14ac:dyDescent="0.2">
      <c r="G308" s="88"/>
      <c r="H308" s="88"/>
      <c r="I308" s="88"/>
      <c r="K308" s="88"/>
      <c r="L308" s="88"/>
      <c r="M308" s="88"/>
      <c r="O308" s="88"/>
      <c r="P308" s="88"/>
      <c r="Q308" s="88"/>
      <c r="S308" s="88"/>
      <c r="T308" s="88"/>
      <c r="U308" s="88"/>
    </row>
    <row r="309" spans="7:21" ht="15" customHeight="1" x14ac:dyDescent="0.2">
      <c r="G309" s="88"/>
      <c r="H309" s="88"/>
      <c r="I309" s="88"/>
      <c r="K309" s="88"/>
      <c r="L309" s="88"/>
      <c r="M309" s="88"/>
      <c r="O309" s="88"/>
      <c r="P309" s="88"/>
      <c r="Q309" s="88"/>
      <c r="S309" s="88"/>
      <c r="T309" s="88"/>
      <c r="U309" s="88"/>
    </row>
    <row r="310" spans="7:21" ht="15" customHeight="1" x14ac:dyDescent="0.2">
      <c r="G310" s="88"/>
      <c r="H310" s="88"/>
      <c r="I310" s="88"/>
      <c r="K310" s="88"/>
      <c r="L310" s="88"/>
      <c r="M310" s="88"/>
      <c r="O310" s="88"/>
      <c r="P310" s="88"/>
      <c r="Q310" s="88"/>
      <c r="S310" s="88"/>
      <c r="T310" s="88"/>
      <c r="U310" s="88"/>
    </row>
    <row r="311" spans="7:21" ht="15" customHeight="1" x14ac:dyDescent="0.2">
      <c r="G311" s="88"/>
      <c r="H311" s="88"/>
      <c r="I311" s="88"/>
      <c r="K311" s="88"/>
      <c r="L311" s="88"/>
      <c r="M311" s="88"/>
      <c r="O311" s="88"/>
      <c r="P311" s="88"/>
      <c r="Q311" s="88"/>
      <c r="S311" s="88"/>
      <c r="T311" s="88"/>
      <c r="U311" s="88"/>
    </row>
    <row r="312" spans="7:21" ht="15" customHeight="1" x14ac:dyDescent="0.2">
      <c r="G312" s="88"/>
      <c r="H312" s="88"/>
      <c r="I312" s="88"/>
      <c r="K312" s="88"/>
      <c r="L312" s="88"/>
      <c r="M312" s="88"/>
      <c r="O312" s="88"/>
      <c r="P312" s="88"/>
      <c r="Q312" s="88"/>
      <c r="S312" s="88"/>
      <c r="T312" s="88"/>
      <c r="U312" s="88"/>
    </row>
    <row r="313" spans="7:21" ht="15" customHeight="1" x14ac:dyDescent="0.2">
      <c r="G313" s="88"/>
      <c r="H313" s="88"/>
      <c r="I313" s="88"/>
      <c r="K313" s="88"/>
      <c r="L313" s="88"/>
      <c r="M313" s="88"/>
      <c r="O313" s="88"/>
      <c r="P313" s="88"/>
      <c r="Q313" s="88"/>
      <c r="S313" s="88"/>
      <c r="T313" s="88"/>
      <c r="U313" s="88"/>
    </row>
    <row r="314" spans="7:21" ht="15" customHeight="1" x14ac:dyDescent="0.2">
      <c r="G314" s="88"/>
      <c r="H314" s="88"/>
      <c r="I314" s="88"/>
      <c r="K314" s="88"/>
      <c r="L314" s="88"/>
      <c r="M314" s="88"/>
      <c r="O314" s="88"/>
      <c r="P314" s="88"/>
      <c r="Q314" s="88"/>
      <c r="S314" s="88"/>
      <c r="T314" s="88"/>
      <c r="U314" s="88"/>
    </row>
    <row r="315" spans="7:21" ht="15" customHeight="1" x14ac:dyDescent="0.2">
      <c r="G315" s="88"/>
      <c r="H315" s="88"/>
      <c r="I315" s="88"/>
      <c r="K315" s="88"/>
      <c r="L315" s="88"/>
      <c r="M315" s="88"/>
      <c r="O315" s="88"/>
      <c r="P315" s="88"/>
      <c r="Q315" s="88"/>
      <c r="S315" s="88"/>
      <c r="T315" s="88"/>
      <c r="U315" s="88"/>
    </row>
    <row r="316" spans="7:21" ht="15" customHeight="1" x14ac:dyDescent="0.2">
      <c r="G316" s="88"/>
      <c r="H316" s="88"/>
      <c r="I316" s="88"/>
      <c r="K316" s="88"/>
      <c r="L316" s="88"/>
      <c r="M316" s="88"/>
      <c r="O316" s="88"/>
      <c r="P316" s="88"/>
      <c r="Q316" s="88"/>
      <c r="S316" s="88"/>
      <c r="T316" s="88"/>
      <c r="U316" s="88"/>
    </row>
    <row r="317" spans="7:21" ht="15" customHeight="1" x14ac:dyDescent="0.2">
      <c r="G317" s="88"/>
      <c r="H317" s="88"/>
      <c r="I317" s="88"/>
      <c r="K317" s="88"/>
      <c r="L317" s="88"/>
      <c r="M317" s="88"/>
      <c r="O317" s="88"/>
      <c r="P317" s="88"/>
      <c r="Q317" s="88"/>
      <c r="S317" s="88"/>
      <c r="T317" s="88"/>
      <c r="U317" s="88"/>
    </row>
    <row r="318" spans="7:21" ht="15" customHeight="1" x14ac:dyDescent="0.2">
      <c r="G318" s="88"/>
      <c r="H318" s="88"/>
      <c r="I318" s="88"/>
      <c r="K318" s="88"/>
      <c r="L318" s="88"/>
      <c r="M318" s="88"/>
      <c r="O318" s="88"/>
      <c r="P318" s="88"/>
      <c r="Q318" s="88"/>
      <c r="S318" s="88"/>
      <c r="T318" s="88"/>
      <c r="U318" s="88"/>
    </row>
    <row r="319" spans="7:21" ht="15" customHeight="1" x14ac:dyDescent="0.2">
      <c r="G319" s="88"/>
      <c r="H319" s="88"/>
      <c r="I319" s="88"/>
      <c r="K319" s="88"/>
      <c r="L319" s="88"/>
      <c r="M319" s="88"/>
      <c r="O319" s="88"/>
      <c r="P319" s="88"/>
      <c r="Q319" s="88"/>
      <c r="S319" s="88"/>
      <c r="T319" s="88"/>
      <c r="U319" s="88"/>
    </row>
    <row r="320" spans="7:21" ht="15" customHeight="1" x14ac:dyDescent="0.2">
      <c r="G320" s="88"/>
      <c r="H320" s="88"/>
      <c r="I320" s="88"/>
      <c r="K320" s="88"/>
      <c r="L320" s="88"/>
      <c r="M320" s="88"/>
      <c r="O320" s="88"/>
      <c r="P320" s="88"/>
      <c r="Q320" s="88"/>
      <c r="S320" s="88"/>
      <c r="T320" s="88"/>
      <c r="U320" s="88"/>
    </row>
    <row r="321" spans="7:21" ht="15" customHeight="1" x14ac:dyDescent="0.2">
      <c r="G321" s="88"/>
      <c r="H321" s="88"/>
      <c r="I321" s="88"/>
      <c r="K321" s="88"/>
      <c r="L321" s="88"/>
      <c r="M321" s="88"/>
      <c r="O321" s="88"/>
      <c r="P321" s="88"/>
      <c r="Q321" s="88"/>
      <c r="S321" s="88"/>
      <c r="T321" s="88"/>
      <c r="U321" s="88"/>
    </row>
    <row r="322" spans="7:21" ht="15" customHeight="1" x14ac:dyDescent="0.2">
      <c r="G322" s="88"/>
      <c r="H322" s="88"/>
      <c r="I322" s="88"/>
      <c r="K322" s="88"/>
      <c r="L322" s="88"/>
      <c r="M322" s="88"/>
      <c r="O322" s="88"/>
      <c r="P322" s="88"/>
      <c r="Q322" s="88"/>
      <c r="S322" s="88"/>
      <c r="T322" s="88"/>
      <c r="U322" s="88"/>
    </row>
    <row r="323" spans="7:21" ht="15" customHeight="1" x14ac:dyDescent="0.2">
      <c r="G323" s="88"/>
      <c r="H323" s="88"/>
      <c r="I323" s="88"/>
      <c r="K323" s="88"/>
      <c r="L323" s="88"/>
      <c r="M323" s="88"/>
      <c r="O323" s="88"/>
      <c r="P323" s="88"/>
      <c r="Q323" s="88"/>
      <c r="S323" s="88"/>
      <c r="T323" s="88"/>
      <c r="U323" s="88"/>
    </row>
    <row r="324" spans="7:21" ht="15" customHeight="1" x14ac:dyDescent="0.2">
      <c r="G324" s="88"/>
      <c r="H324" s="88"/>
      <c r="I324" s="88"/>
      <c r="K324" s="88"/>
      <c r="L324" s="88"/>
      <c r="M324" s="88"/>
      <c r="O324" s="88"/>
      <c r="P324" s="88"/>
      <c r="Q324" s="88"/>
      <c r="S324" s="88"/>
      <c r="T324" s="88"/>
      <c r="U324" s="88"/>
    </row>
    <row r="325" spans="7:21" ht="15" customHeight="1" x14ac:dyDescent="0.2">
      <c r="G325" s="88"/>
      <c r="H325" s="88"/>
      <c r="I325" s="88"/>
      <c r="K325" s="88"/>
      <c r="L325" s="88"/>
      <c r="M325" s="88"/>
      <c r="O325" s="88"/>
      <c r="P325" s="88"/>
      <c r="Q325" s="88"/>
      <c r="S325" s="88"/>
      <c r="T325" s="88"/>
      <c r="U325" s="88"/>
    </row>
    <row r="326" spans="7:21" ht="15" customHeight="1" x14ac:dyDescent="0.2">
      <c r="G326" s="88"/>
      <c r="H326" s="88"/>
      <c r="I326" s="88"/>
      <c r="K326" s="88"/>
      <c r="L326" s="88"/>
      <c r="M326" s="88"/>
      <c r="O326" s="88"/>
      <c r="P326" s="88"/>
      <c r="Q326" s="88"/>
      <c r="S326" s="88"/>
      <c r="T326" s="88"/>
      <c r="U326" s="88"/>
    </row>
    <row r="327" spans="7:21" ht="15" customHeight="1" x14ac:dyDescent="0.2">
      <c r="G327" s="88"/>
      <c r="H327" s="88"/>
      <c r="I327" s="88"/>
      <c r="K327" s="88"/>
      <c r="L327" s="88"/>
      <c r="M327" s="88"/>
      <c r="O327" s="88"/>
      <c r="P327" s="88"/>
      <c r="Q327" s="88"/>
      <c r="S327" s="88"/>
      <c r="T327" s="88"/>
      <c r="U327" s="88"/>
    </row>
    <row r="328" spans="7:21" ht="15" customHeight="1" x14ac:dyDescent="0.2">
      <c r="G328" s="88"/>
      <c r="H328" s="88"/>
      <c r="I328" s="88"/>
      <c r="K328" s="88"/>
      <c r="L328" s="88"/>
      <c r="M328" s="88"/>
      <c r="O328" s="88"/>
      <c r="P328" s="88"/>
      <c r="Q328" s="88"/>
      <c r="S328" s="88"/>
      <c r="T328" s="88"/>
      <c r="U328" s="88"/>
    </row>
    <row r="329" spans="7:21" ht="15" customHeight="1" x14ac:dyDescent="0.2">
      <c r="G329" s="88"/>
      <c r="H329" s="88"/>
      <c r="I329" s="88"/>
      <c r="K329" s="88"/>
      <c r="L329" s="88"/>
      <c r="M329" s="88"/>
      <c r="O329" s="88"/>
      <c r="P329" s="88"/>
      <c r="Q329" s="88"/>
      <c r="S329" s="88"/>
      <c r="T329" s="88"/>
      <c r="U329" s="88"/>
    </row>
    <row r="330" spans="7:21" ht="15" customHeight="1" x14ac:dyDescent="0.2">
      <c r="G330" s="88"/>
      <c r="H330" s="88"/>
      <c r="I330" s="88"/>
      <c r="K330" s="88"/>
      <c r="L330" s="88"/>
      <c r="M330" s="88"/>
      <c r="O330" s="88"/>
      <c r="P330" s="88"/>
      <c r="Q330" s="88"/>
      <c r="S330" s="88"/>
      <c r="T330" s="88"/>
      <c r="U330" s="88"/>
    </row>
    <row r="331" spans="7:21" ht="15" customHeight="1" x14ac:dyDescent="0.2">
      <c r="G331" s="88"/>
      <c r="H331" s="88"/>
      <c r="I331" s="88"/>
      <c r="K331" s="88"/>
      <c r="L331" s="88"/>
      <c r="M331" s="88"/>
      <c r="O331" s="88"/>
      <c r="P331" s="88"/>
      <c r="Q331" s="88"/>
      <c r="S331" s="88"/>
      <c r="T331" s="88"/>
      <c r="U331" s="88"/>
    </row>
    <row r="332" spans="7:21" ht="15" customHeight="1" x14ac:dyDescent="0.2">
      <c r="G332" s="88"/>
      <c r="H332" s="88"/>
      <c r="I332" s="88"/>
      <c r="K332" s="88"/>
      <c r="L332" s="88"/>
      <c r="M332" s="88"/>
      <c r="O332" s="88"/>
      <c r="P332" s="88"/>
      <c r="Q332" s="88"/>
      <c r="S332" s="88"/>
      <c r="T332" s="88"/>
      <c r="U332" s="88"/>
    </row>
    <row r="333" spans="7:21" ht="15" customHeight="1" x14ac:dyDescent="0.2">
      <c r="G333" s="88"/>
      <c r="H333" s="88"/>
      <c r="I333" s="88"/>
      <c r="K333" s="88"/>
      <c r="L333" s="88"/>
      <c r="M333" s="88"/>
      <c r="O333" s="88"/>
      <c r="P333" s="88"/>
      <c r="Q333" s="88"/>
      <c r="S333" s="88"/>
      <c r="T333" s="88"/>
      <c r="U333" s="88"/>
    </row>
    <row r="334" spans="7:21" ht="15" customHeight="1" x14ac:dyDescent="0.2">
      <c r="G334" s="88"/>
      <c r="H334" s="88"/>
      <c r="I334" s="88"/>
      <c r="K334" s="88"/>
      <c r="L334" s="88"/>
      <c r="M334" s="88"/>
      <c r="O334" s="88"/>
      <c r="P334" s="88"/>
      <c r="Q334" s="88"/>
      <c r="S334" s="88"/>
      <c r="T334" s="88"/>
      <c r="U334" s="88"/>
    </row>
    <row r="335" spans="7:21" ht="15" customHeight="1" x14ac:dyDescent="0.2">
      <c r="G335" s="88"/>
      <c r="H335" s="88"/>
      <c r="I335" s="88"/>
      <c r="K335" s="88"/>
      <c r="L335" s="88"/>
      <c r="M335" s="88"/>
      <c r="O335" s="88"/>
      <c r="P335" s="88"/>
      <c r="Q335" s="88"/>
      <c r="S335" s="88"/>
      <c r="T335" s="88"/>
      <c r="U335" s="88"/>
    </row>
    <row r="336" spans="7:21" ht="15" customHeight="1" x14ac:dyDescent="0.2">
      <c r="G336" s="88"/>
      <c r="H336" s="88"/>
      <c r="I336" s="88"/>
      <c r="K336" s="88"/>
      <c r="L336" s="88"/>
      <c r="M336" s="88"/>
      <c r="O336" s="88"/>
      <c r="P336" s="88"/>
      <c r="Q336" s="88"/>
      <c r="S336" s="88"/>
      <c r="T336" s="88"/>
      <c r="U336" s="88"/>
    </row>
    <row r="337" spans="7:21" ht="15" customHeight="1" x14ac:dyDescent="0.2">
      <c r="G337" s="88"/>
      <c r="H337" s="88"/>
      <c r="I337" s="88"/>
      <c r="K337" s="88"/>
      <c r="L337" s="88"/>
      <c r="M337" s="88"/>
      <c r="O337" s="88"/>
      <c r="P337" s="88"/>
      <c r="Q337" s="88"/>
      <c r="S337" s="88"/>
      <c r="T337" s="88"/>
      <c r="U337" s="88"/>
    </row>
    <row r="338" spans="7:21" ht="15" customHeight="1" x14ac:dyDescent="0.2">
      <c r="G338" s="88"/>
      <c r="H338" s="88"/>
      <c r="I338" s="88"/>
      <c r="K338" s="88"/>
      <c r="L338" s="88"/>
      <c r="M338" s="88"/>
      <c r="O338" s="88"/>
      <c r="P338" s="88"/>
      <c r="Q338" s="88"/>
      <c r="S338" s="88"/>
      <c r="T338" s="88"/>
      <c r="U338" s="88"/>
    </row>
    <row r="339" spans="7:21" ht="15" customHeight="1" x14ac:dyDescent="0.2">
      <c r="G339" s="88"/>
      <c r="H339" s="88"/>
      <c r="I339" s="88"/>
      <c r="K339" s="88"/>
      <c r="L339" s="88"/>
      <c r="M339" s="88"/>
      <c r="O339" s="88"/>
      <c r="P339" s="88"/>
      <c r="Q339" s="88"/>
      <c r="S339" s="88"/>
      <c r="T339" s="88"/>
      <c r="U339" s="88"/>
    </row>
    <row r="340" spans="7:21" ht="15" customHeight="1" x14ac:dyDescent="0.2">
      <c r="G340" s="88"/>
      <c r="H340" s="88"/>
      <c r="I340" s="88"/>
      <c r="K340" s="88"/>
      <c r="L340" s="88"/>
      <c r="M340" s="88"/>
      <c r="O340" s="88"/>
      <c r="P340" s="88"/>
      <c r="Q340" s="88"/>
      <c r="S340" s="88"/>
      <c r="T340" s="88"/>
      <c r="U340" s="88"/>
    </row>
    <row r="341" spans="7:21" ht="15" customHeight="1" x14ac:dyDescent="0.2">
      <c r="G341" s="88"/>
      <c r="H341" s="88"/>
      <c r="I341" s="88"/>
      <c r="K341" s="88"/>
      <c r="L341" s="88"/>
      <c r="M341" s="88"/>
      <c r="O341" s="88"/>
      <c r="P341" s="88"/>
      <c r="Q341" s="88"/>
      <c r="S341" s="88"/>
      <c r="T341" s="88"/>
      <c r="U341" s="88"/>
    </row>
    <row r="342" spans="7:21" ht="15" customHeight="1" x14ac:dyDescent="0.2">
      <c r="G342" s="88"/>
      <c r="H342" s="88"/>
      <c r="I342" s="88"/>
      <c r="K342" s="88"/>
      <c r="L342" s="88"/>
      <c r="M342" s="88"/>
      <c r="O342" s="88"/>
      <c r="P342" s="88"/>
      <c r="Q342" s="88"/>
      <c r="S342" s="88"/>
      <c r="T342" s="88"/>
      <c r="U342" s="88"/>
    </row>
    <row r="343" spans="7:21" ht="15" customHeight="1" x14ac:dyDescent="0.2">
      <c r="G343" s="88"/>
      <c r="H343" s="88"/>
      <c r="I343" s="88"/>
      <c r="K343" s="88"/>
      <c r="L343" s="88"/>
      <c r="M343" s="88"/>
      <c r="O343" s="88"/>
      <c r="P343" s="88"/>
      <c r="Q343" s="88"/>
      <c r="S343" s="88"/>
      <c r="T343" s="88"/>
      <c r="U343" s="88"/>
    </row>
    <row r="344" spans="7:21" ht="15" customHeight="1" x14ac:dyDescent="0.2">
      <c r="G344" s="88"/>
      <c r="H344" s="88"/>
      <c r="I344" s="88"/>
      <c r="K344" s="88"/>
      <c r="L344" s="88"/>
      <c r="M344" s="88"/>
      <c r="O344" s="88"/>
      <c r="P344" s="88"/>
      <c r="Q344" s="88"/>
      <c r="S344" s="88"/>
      <c r="T344" s="88"/>
      <c r="U344" s="88"/>
    </row>
    <row r="345" spans="7:21" ht="15" customHeight="1" x14ac:dyDescent="0.2">
      <c r="G345" s="88"/>
      <c r="H345" s="88"/>
      <c r="I345" s="88"/>
      <c r="K345" s="88"/>
      <c r="L345" s="88"/>
      <c r="M345" s="88"/>
      <c r="O345" s="88"/>
      <c r="P345" s="88"/>
      <c r="Q345" s="88"/>
      <c r="S345" s="88"/>
      <c r="T345" s="88"/>
      <c r="U345" s="88"/>
    </row>
    <row r="346" spans="7:21" ht="15" customHeight="1" x14ac:dyDescent="0.2">
      <c r="G346" s="88"/>
      <c r="H346" s="88"/>
      <c r="I346" s="88"/>
      <c r="K346" s="88"/>
      <c r="L346" s="88"/>
      <c r="M346" s="88"/>
      <c r="O346" s="88"/>
      <c r="P346" s="88"/>
      <c r="Q346" s="88"/>
      <c r="S346" s="88"/>
      <c r="T346" s="88"/>
      <c r="U346" s="88"/>
    </row>
    <row r="347" spans="7:21" ht="15" customHeight="1" x14ac:dyDescent="0.2">
      <c r="G347" s="88"/>
      <c r="H347" s="88"/>
      <c r="I347" s="88"/>
      <c r="K347" s="88"/>
      <c r="L347" s="88"/>
      <c r="M347" s="88"/>
      <c r="O347" s="88"/>
      <c r="P347" s="88"/>
      <c r="Q347" s="88"/>
      <c r="S347" s="88"/>
      <c r="T347" s="88"/>
      <c r="U347" s="88"/>
    </row>
    <row r="348" spans="7:21" ht="15" customHeight="1" x14ac:dyDescent="0.2">
      <c r="G348" s="88"/>
      <c r="H348" s="88"/>
      <c r="I348" s="88"/>
      <c r="K348" s="88"/>
      <c r="L348" s="88"/>
      <c r="M348" s="88"/>
      <c r="O348" s="88"/>
      <c r="P348" s="88"/>
      <c r="Q348" s="88"/>
      <c r="S348" s="88"/>
      <c r="T348" s="88"/>
      <c r="U348" s="88"/>
    </row>
    <row r="349" spans="7:21" ht="15" customHeight="1" x14ac:dyDescent="0.2">
      <c r="G349" s="88"/>
      <c r="H349" s="88"/>
      <c r="I349" s="88"/>
      <c r="K349" s="88"/>
      <c r="L349" s="88"/>
      <c r="M349" s="88"/>
      <c r="O349" s="88"/>
      <c r="P349" s="88"/>
      <c r="Q349" s="88"/>
      <c r="S349" s="88"/>
      <c r="T349" s="88"/>
      <c r="U349" s="88"/>
    </row>
    <row r="350" spans="7:21" ht="15" customHeight="1" x14ac:dyDescent="0.2">
      <c r="G350" s="88"/>
      <c r="H350" s="88"/>
      <c r="I350" s="88"/>
      <c r="K350" s="88"/>
      <c r="L350" s="88"/>
      <c r="M350" s="88"/>
      <c r="O350" s="88"/>
      <c r="P350" s="88"/>
      <c r="Q350" s="88"/>
      <c r="S350" s="88"/>
      <c r="T350" s="88"/>
      <c r="U350" s="88"/>
    </row>
    <row r="351" spans="7:21" ht="15" customHeight="1" x14ac:dyDescent="0.2">
      <c r="G351" s="88"/>
      <c r="H351" s="88"/>
      <c r="I351" s="88"/>
      <c r="K351" s="88"/>
      <c r="L351" s="88"/>
      <c r="M351" s="88"/>
      <c r="O351" s="88"/>
      <c r="P351" s="88"/>
      <c r="Q351" s="88"/>
      <c r="S351" s="88"/>
      <c r="T351" s="88"/>
      <c r="U351" s="88"/>
    </row>
    <row r="352" spans="7:21" ht="15" customHeight="1" x14ac:dyDescent="0.2">
      <c r="G352" s="88"/>
      <c r="H352" s="88"/>
      <c r="I352" s="88"/>
      <c r="K352" s="88"/>
      <c r="L352" s="88"/>
      <c r="M352" s="88"/>
      <c r="O352" s="88"/>
      <c r="P352" s="88"/>
      <c r="Q352" s="88"/>
      <c r="S352" s="88"/>
      <c r="T352" s="88"/>
      <c r="U352" s="88"/>
    </row>
    <row r="353" spans="7:21" ht="15" customHeight="1" x14ac:dyDescent="0.2">
      <c r="G353" s="88"/>
      <c r="H353" s="88"/>
      <c r="I353" s="88"/>
      <c r="K353" s="88"/>
      <c r="L353" s="88"/>
      <c r="M353" s="88"/>
      <c r="O353" s="88"/>
      <c r="P353" s="88"/>
      <c r="Q353" s="88"/>
      <c r="S353" s="88"/>
      <c r="T353" s="88"/>
      <c r="U353" s="88"/>
    </row>
    <row r="354" spans="7:21" ht="15" customHeight="1" x14ac:dyDescent="0.2">
      <c r="G354" s="88"/>
      <c r="H354" s="88"/>
      <c r="I354" s="88"/>
      <c r="K354" s="88"/>
      <c r="L354" s="88"/>
      <c r="M354" s="88"/>
      <c r="O354" s="88"/>
      <c r="P354" s="88"/>
      <c r="Q354" s="88"/>
      <c r="S354" s="88"/>
      <c r="T354" s="88"/>
      <c r="U354" s="88"/>
    </row>
    <row r="355" spans="7:21" ht="15" customHeight="1" x14ac:dyDescent="0.2">
      <c r="G355" s="88"/>
      <c r="H355" s="88"/>
      <c r="I355" s="88"/>
      <c r="K355" s="88"/>
      <c r="L355" s="88"/>
      <c r="M355" s="88"/>
      <c r="O355" s="88"/>
      <c r="P355" s="88"/>
      <c r="Q355" s="88"/>
      <c r="S355" s="88"/>
      <c r="T355" s="88"/>
      <c r="U355" s="88"/>
    </row>
    <row r="356" spans="7:21" ht="15" customHeight="1" x14ac:dyDescent="0.2">
      <c r="G356" s="88"/>
      <c r="H356" s="88"/>
      <c r="I356" s="88"/>
      <c r="K356" s="88"/>
      <c r="L356" s="88"/>
      <c r="M356" s="88"/>
      <c r="O356" s="88"/>
      <c r="P356" s="88"/>
      <c r="Q356" s="88"/>
      <c r="S356" s="88"/>
      <c r="T356" s="88"/>
      <c r="U356" s="88"/>
    </row>
    <row r="357" spans="7:21" ht="15" customHeight="1" x14ac:dyDescent="0.2">
      <c r="G357" s="88"/>
      <c r="H357" s="88"/>
      <c r="I357" s="88"/>
      <c r="K357" s="88"/>
      <c r="L357" s="88"/>
      <c r="M357" s="88"/>
      <c r="O357" s="88"/>
      <c r="P357" s="88"/>
      <c r="Q357" s="88"/>
      <c r="S357" s="88"/>
      <c r="T357" s="88"/>
      <c r="U357" s="88"/>
    </row>
    <row r="358" spans="7:21" ht="15" customHeight="1" x14ac:dyDescent="0.2">
      <c r="G358" s="88"/>
      <c r="H358" s="88"/>
      <c r="I358" s="88"/>
      <c r="K358" s="88"/>
      <c r="L358" s="88"/>
      <c r="M358" s="88"/>
      <c r="O358" s="88"/>
      <c r="P358" s="88"/>
      <c r="Q358" s="88"/>
      <c r="S358" s="88"/>
      <c r="T358" s="88"/>
      <c r="U358" s="88"/>
    </row>
    <row r="359" spans="7:21" ht="15" customHeight="1" x14ac:dyDescent="0.2">
      <c r="G359" s="88"/>
      <c r="H359" s="88"/>
      <c r="I359" s="88"/>
      <c r="K359" s="88"/>
      <c r="L359" s="88"/>
      <c r="M359" s="88"/>
      <c r="O359" s="88"/>
      <c r="P359" s="88"/>
      <c r="Q359" s="88"/>
      <c r="S359" s="88"/>
      <c r="T359" s="88"/>
      <c r="U359" s="88"/>
    </row>
    <row r="360" spans="7:21" ht="15" customHeight="1" x14ac:dyDescent="0.2">
      <c r="G360" s="88"/>
      <c r="H360" s="88"/>
      <c r="I360" s="88"/>
      <c r="K360" s="88"/>
      <c r="L360" s="88"/>
      <c r="M360" s="88"/>
      <c r="O360" s="88"/>
      <c r="P360" s="88"/>
      <c r="Q360" s="88"/>
      <c r="S360" s="88"/>
      <c r="T360" s="88"/>
      <c r="U360" s="88"/>
    </row>
    <row r="361" spans="7:21" ht="15" customHeight="1" x14ac:dyDescent="0.2">
      <c r="G361" s="88"/>
      <c r="H361" s="88"/>
      <c r="I361" s="88"/>
      <c r="K361" s="88"/>
      <c r="L361" s="88"/>
      <c r="M361" s="88"/>
      <c r="O361" s="88"/>
      <c r="P361" s="88"/>
      <c r="Q361" s="88"/>
      <c r="S361" s="88"/>
      <c r="T361" s="88"/>
      <c r="U361" s="88"/>
    </row>
    <row r="362" spans="7:21" ht="15" customHeight="1" x14ac:dyDescent="0.2">
      <c r="G362" s="88"/>
      <c r="H362" s="88"/>
      <c r="I362" s="88"/>
      <c r="K362" s="88"/>
      <c r="L362" s="88"/>
      <c r="M362" s="88"/>
      <c r="O362" s="88"/>
      <c r="P362" s="88"/>
      <c r="Q362" s="88"/>
      <c r="S362" s="88"/>
      <c r="T362" s="88"/>
      <c r="U362" s="88"/>
    </row>
    <row r="363" spans="7:21" ht="15" customHeight="1" x14ac:dyDescent="0.2">
      <c r="G363" s="88"/>
      <c r="H363" s="88"/>
      <c r="I363" s="88"/>
      <c r="K363" s="88"/>
      <c r="L363" s="88"/>
      <c r="M363" s="88"/>
      <c r="O363" s="88"/>
      <c r="P363" s="88"/>
      <c r="Q363" s="88"/>
      <c r="S363" s="88"/>
      <c r="T363" s="88"/>
      <c r="U363" s="88"/>
    </row>
    <row r="364" spans="7:21" ht="15" customHeight="1" x14ac:dyDescent="0.2">
      <c r="G364" s="88"/>
      <c r="H364" s="88"/>
      <c r="I364" s="88"/>
      <c r="K364" s="88"/>
      <c r="L364" s="88"/>
      <c r="M364" s="88"/>
      <c r="O364" s="88"/>
      <c r="P364" s="88"/>
      <c r="Q364" s="88"/>
      <c r="S364" s="88"/>
      <c r="T364" s="88"/>
      <c r="U364" s="88"/>
    </row>
    <row r="365" spans="7:21" ht="15" customHeight="1" x14ac:dyDescent="0.2">
      <c r="G365" s="88"/>
      <c r="H365" s="88"/>
      <c r="I365" s="88"/>
      <c r="K365" s="88"/>
      <c r="L365" s="88"/>
      <c r="M365" s="88"/>
      <c r="O365" s="88"/>
      <c r="P365" s="88"/>
      <c r="Q365" s="88"/>
      <c r="S365" s="88"/>
      <c r="T365" s="88"/>
      <c r="U365" s="88"/>
    </row>
    <row r="366" spans="7:21" ht="15" customHeight="1" x14ac:dyDescent="0.2">
      <c r="G366" s="88"/>
      <c r="H366" s="88"/>
      <c r="I366" s="88"/>
      <c r="K366" s="88"/>
      <c r="L366" s="88"/>
      <c r="M366" s="88"/>
      <c r="O366" s="88"/>
      <c r="P366" s="88"/>
      <c r="Q366" s="88"/>
      <c r="S366" s="88"/>
      <c r="T366" s="88"/>
      <c r="U366" s="88"/>
    </row>
    <row r="367" spans="7:21" ht="15" customHeight="1" x14ac:dyDescent="0.2">
      <c r="G367" s="88"/>
      <c r="H367" s="88"/>
      <c r="I367" s="88"/>
      <c r="K367" s="88"/>
      <c r="L367" s="88"/>
      <c r="M367" s="88"/>
      <c r="O367" s="88"/>
      <c r="P367" s="88"/>
      <c r="Q367" s="88"/>
      <c r="S367" s="88"/>
      <c r="T367" s="88"/>
      <c r="U367" s="88"/>
    </row>
    <row r="368" spans="7:21" ht="15" customHeight="1" x14ac:dyDescent="0.2">
      <c r="G368" s="88"/>
      <c r="H368" s="88"/>
      <c r="I368" s="88"/>
      <c r="K368" s="88"/>
      <c r="L368" s="88"/>
      <c r="M368" s="88"/>
      <c r="O368" s="88"/>
      <c r="P368" s="88"/>
      <c r="Q368" s="88"/>
      <c r="S368" s="88"/>
      <c r="T368" s="88"/>
      <c r="U368" s="88"/>
    </row>
    <row r="369" spans="7:21" ht="15" customHeight="1" x14ac:dyDescent="0.2">
      <c r="G369" s="88"/>
      <c r="H369" s="88"/>
      <c r="I369" s="88"/>
      <c r="K369" s="88"/>
      <c r="L369" s="88"/>
      <c r="M369" s="88"/>
      <c r="O369" s="88"/>
      <c r="P369" s="88"/>
      <c r="Q369" s="88"/>
      <c r="S369" s="88"/>
      <c r="T369" s="88"/>
      <c r="U369" s="88"/>
    </row>
    <row r="370" spans="7:21" ht="15" customHeight="1" x14ac:dyDescent="0.2">
      <c r="G370" s="88"/>
      <c r="H370" s="88"/>
      <c r="I370" s="88"/>
      <c r="K370" s="88"/>
      <c r="L370" s="88"/>
      <c r="M370" s="88"/>
      <c r="O370" s="88"/>
      <c r="P370" s="88"/>
      <c r="Q370" s="88"/>
      <c r="S370" s="88"/>
      <c r="T370" s="88"/>
      <c r="U370" s="88"/>
    </row>
    <row r="371" spans="7:21" ht="15" customHeight="1" x14ac:dyDescent="0.2">
      <c r="G371" s="88"/>
      <c r="H371" s="88"/>
      <c r="I371" s="88"/>
      <c r="K371" s="88"/>
      <c r="L371" s="88"/>
      <c r="M371" s="88"/>
      <c r="O371" s="88"/>
      <c r="P371" s="88"/>
      <c r="Q371" s="88"/>
      <c r="S371" s="88"/>
      <c r="T371" s="88"/>
      <c r="U371" s="88"/>
    </row>
    <row r="372" spans="7:21" ht="15" customHeight="1" x14ac:dyDescent="0.2">
      <c r="G372" s="88"/>
      <c r="H372" s="88"/>
      <c r="I372" s="88"/>
      <c r="K372" s="88"/>
      <c r="L372" s="88"/>
      <c r="M372" s="88"/>
      <c r="O372" s="88"/>
      <c r="P372" s="88"/>
      <c r="Q372" s="88"/>
      <c r="S372" s="88"/>
      <c r="T372" s="88"/>
      <c r="U372" s="88"/>
    </row>
    <row r="373" spans="7:21" ht="15" customHeight="1" x14ac:dyDescent="0.2">
      <c r="G373" s="88"/>
      <c r="H373" s="88"/>
      <c r="I373" s="88"/>
      <c r="K373" s="88"/>
      <c r="L373" s="88"/>
      <c r="M373" s="88"/>
      <c r="O373" s="88"/>
      <c r="P373" s="88"/>
      <c r="Q373" s="88"/>
      <c r="S373" s="88"/>
      <c r="T373" s="88"/>
      <c r="U373" s="88"/>
    </row>
    <row r="374" spans="7:21" ht="15" customHeight="1" x14ac:dyDescent="0.2">
      <c r="G374" s="88"/>
      <c r="H374" s="88"/>
      <c r="I374" s="88"/>
      <c r="K374" s="88"/>
      <c r="L374" s="88"/>
      <c r="M374" s="88"/>
      <c r="O374" s="88"/>
      <c r="P374" s="88"/>
      <c r="Q374" s="88"/>
      <c r="S374" s="88"/>
      <c r="T374" s="88"/>
      <c r="U374" s="88"/>
    </row>
    <row r="375" spans="7:21" ht="15" customHeight="1" x14ac:dyDescent="0.2">
      <c r="G375" s="88"/>
      <c r="H375" s="88"/>
      <c r="I375" s="88"/>
      <c r="K375" s="88"/>
      <c r="L375" s="88"/>
      <c r="M375" s="88"/>
      <c r="O375" s="88"/>
      <c r="P375" s="88"/>
      <c r="Q375" s="88"/>
      <c r="S375" s="88"/>
      <c r="T375" s="88"/>
      <c r="U375" s="88"/>
    </row>
    <row r="376" spans="7:21" ht="15" customHeight="1" x14ac:dyDescent="0.2">
      <c r="G376" s="88"/>
      <c r="H376" s="88"/>
      <c r="I376" s="88"/>
      <c r="K376" s="88"/>
      <c r="L376" s="88"/>
      <c r="M376" s="88"/>
      <c r="O376" s="88"/>
      <c r="P376" s="88"/>
      <c r="Q376" s="88"/>
      <c r="S376" s="88"/>
      <c r="T376" s="88"/>
      <c r="U376" s="88"/>
    </row>
    <row r="377" spans="7:21" ht="15" customHeight="1" x14ac:dyDescent="0.2">
      <c r="G377" s="88"/>
      <c r="H377" s="88"/>
      <c r="I377" s="88"/>
      <c r="K377" s="88"/>
      <c r="L377" s="88"/>
      <c r="M377" s="88"/>
      <c r="O377" s="88"/>
      <c r="P377" s="88"/>
      <c r="Q377" s="88"/>
      <c r="S377" s="88"/>
      <c r="T377" s="88"/>
      <c r="U377" s="88"/>
    </row>
    <row r="378" spans="7:21" ht="15" customHeight="1" x14ac:dyDescent="0.2">
      <c r="G378" s="88"/>
      <c r="H378" s="88"/>
      <c r="I378" s="88"/>
      <c r="K378" s="88"/>
      <c r="L378" s="88"/>
      <c r="M378" s="88"/>
      <c r="O378" s="88"/>
      <c r="P378" s="88"/>
      <c r="Q378" s="88"/>
      <c r="S378" s="88"/>
      <c r="T378" s="88"/>
      <c r="U378" s="88"/>
    </row>
    <row r="379" spans="7:21" ht="15" customHeight="1" x14ac:dyDescent="0.2">
      <c r="G379" s="88"/>
      <c r="H379" s="88"/>
      <c r="I379" s="88"/>
      <c r="K379" s="88"/>
      <c r="L379" s="88"/>
      <c r="M379" s="88"/>
      <c r="O379" s="88"/>
      <c r="P379" s="88"/>
      <c r="Q379" s="88"/>
      <c r="S379" s="88"/>
      <c r="T379" s="88"/>
      <c r="U379" s="88"/>
    </row>
    <row r="380" spans="7:21" ht="15" customHeight="1" x14ac:dyDescent="0.2">
      <c r="G380" s="88"/>
      <c r="H380" s="88"/>
      <c r="I380" s="88"/>
      <c r="K380" s="88"/>
      <c r="L380" s="88"/>
      <c r="M380" s="88"/>
      <c r="O380" s="88"/>
      <c r="P380" s="88"/>
      <c r="Q380" s="88"/>
      <c r="S380" s="88"/>
      <c r="T380" s="88"/>
      <c r="U380" s="88"/>
    </row>
    <row r="381" spans="7:21" ht="15" customHeight="1" x14ac:dyDescent="0.2">
      <c r="G381" s="88"/>
      <c r="H381" s="88"/>
      <c r="I381" s="88"/>
      <c r="K381" s="88"/>
      <c r="L381" s="88"/>
      <c r="M381" s="88"/>
      <c r="O381" s="88"/>
      <c r="P381" s="88"/>
      <c r="Q381" s="88"/>
      <c r="S381" s="88"/>
      <c r="T381" s="88"/>
      <c r="U381" s="88"/>
    </row>
    <row r="382" spans="7:21" ht="15" customHeight="1" x14ac:dyDescent="0.2">
      <c r="G382" s="88"/>
      <c r="H382" s="88"/>
      <c r="I382" s="88"/>
      <c r="K382" s="88"/>
      <c r="L382" s="88"/>
      <c r="M382" s="88"/>
      <c r="O382" s="88"/>
      <c r="P382" s="88"/>
      <c r="Q382" s="88"/>
      <c r="S382" s="88"/>
      <c r="T382" s="88"/>
      <c r="U382" s="88"/>
    </row>
    <row r="383" spans="7:21" ht="15" customHeight="1" x14ac:dyDescent="0.2">
      <c r="G383" s="88"/>
      <c r="H383" s="88"/>
      <c r="I383" s="88"/>
      <c r="K383" s="88"/>
      <c r="L383" s="88"/>
      <c r="M383" s="88"/>
      <c r="O383" s="88"/>
      <c r="P383" s="88"/>
      <c r="Q383" s="88"/>
      <c r="S383" s="88"/>
      <c r="T383" s="88"/>
      <c r="U383" s="88"/>
    </row>
    <row r="384" spans="7:21" ht="15" customHeight="1" x14ac:dyDescent="0.2">
      <c r="G384" s="88"/>
      <c r="H384" s="88"/>
      <c r="I384" s="88"/>
      <c r="K384" s="88"/>
      <c r="L384" s="88"/>
      <c r="M384" s="88"/>
      <c r="O384" s="88"/>
      <c r="P384" s="88"/>
      <c r="Q384" s="88"/>
      <c r="S384" s="88"/>
      <c r="T384" s="88"/>
      <c r="U384" s="88"/>
    </row>
    <row r="385" spans="7:21" ht="15" customHeight="1" x14ac:dyDescent="0.2">
      <c r="G385" s="88"/>
      <c r="H385" s="88"/>
      <c r="I385" s="88"/>
      <c r="K385" s="88"/>
      <c r="L385" s="88"/>
      <c r="M385" s="88"/>
      <c r="O385" s="88"/>
      <c r="P385" s="88"/>
      <c r="Q385" s="88"/>
      <c r="S385" s="88"/>
      <c r="T385" s="88"/>
      <c r="U385" s="88"/>
    </row>
    <row r="386" spans="7:21" ht="15" customHeight="1" x14ac:dyDescent="0.2">
      <c r="G386" s="88"/>
      <c r="H386" s="88"/>
      <c r="I386" s="88"/>
      <c r="K386" s="88"/>
      <c r="L386" s="88"/>
      <c r="M386" s="88"/>
      <c r="O386" s="88"/>
      <c r="P386" s="88"/>
      <c r="Q386" s="88"/>
      <c r="S386" s="88"/>
      <c r="T386" s="88"/>
      <c r="U386" s="88"/>
    </row>
    <row r="387" spans="7:21" ht="15" customHeight="1" x14ac:dyDescent="0.2">
      <c r="G387" s="88"/>
      <c r="H387" s="88"/>
      <c r="I387" s="88"/>
      <c r="K387" s="88"/>
      <c r="L387" s="88"/>
      <c r="M387" s="88"/>
      <c r="O387" s="88"/>
      <c r="P387" s="88"/>
      <c r="Q387" s="88"/>
      <c r="S387" s="88"/>
      <c r="T387" s="88"/>
      <c r="U387" s="88"/>
    </row>
    <row r="388" spans="7:21" ht="15" customHeight="1" x14ac:dyDescent="0.2">
      <c r="G388" s="88"/>
      <c r="H388" s="88"/>
      <c r="I388" s="88"/>
      <c r="K388" s="88"/>
      <c r="L388" s="88"/>
      <c r="M388" s="88"/>
      <c r="O388" s="88"/>
      <c r="P388" s="88"/>
      <c r="Q388" s="88"/>
      <c r="S388" s="88"/>
      <c r="T388" s="88"/>
      <c r="U388" s="88"/>
    </row>
    <row r="389" spans="7:21" ht="15" customHeight="1" x14ac:dyDescent="0.2">
      <c r="G389" s="88"/>
      <c r="H389" s="88"/>
      <c r="I389" s="88"/>
      <c r="K389" s="88"/>
      <c r="L389" s="88"/>
      <c r="M389" s="88"/>
      <c r="O389" s="88"/>
      <c r="P389" s="88"/>
      <c r="Q389" s="88"/>
      <c r="S389" s="88"/>
      <c r="T389" s="88"/>
      <c r="U389" s="88"/>
    </row>
    <row r="390" spans="7:21" ht="15" customHeight="1" x14ac:dyDescent="0.2">
      <c r="G390" s="88"/>
      <c r="H390" s="88"/>
      <c r="I390" s="88"/>
      <c r="K390" s="88"/>
      <c r="L390" s="88"/>
      <c r="M390" s="88"/>
      <c r="O390" s="88"/>
      <c r="P390" s="88"/>
      <c r="Q390" s="88"/>
      <c r="S390" s="88"/>
      <c r="T390" s="88"/>
      <c r="U390" s="88"/>
    </row>
    <row r="391" spans="7:21" ht="15" customHeight="1" x14ac:dyDescent="0.2">
      <c r="G391" s="88"/>
      <c r="H391" s="88"/>
      <c r="I391" s="88"/>
      <c r="K391" s="88"/>
      <c r="L391" s="88"/>
      <c r="M391" s="88"/>
      <c r="O391" s="88"/>
      <c r="P391" s="88"/>
      <c r="Q391" s="88"/>
      <c r="S391" s="88"/>
      <c r="T391" s="88"/>
      <c r="U391" s="88"/>
    </row>
    <row r="392" spans="7:21" ht="15" customHeight="1" x14ac:dyDescent="0.2">
      <c r="G392" s="88"/>
      <c r="H392" s="88"/>
      <c r="I392" s="88"/>
      <c r="K392" s="88"/>
      <c r="L392" s="88"/>
      <c r="M392" s="88"/>
      <c r="O392" s="88"/>
      <c r="P392" s="88"/>
      <c r="Q392" s="88"/>
      <c r="S392" s="88"/>
      <c r="T392" s="88"/>
      <c r="U392" s="88"/>
    </row>
    <row r="393" spans="7:21" ht="15" customHeight="1" x14ac:dyDescent="0.2">
      <c r="G393" s="88"/>
      <c r="H393" s="88"/>
      <c r="I393" s="88"/>
      <c r="K393" s="88"/>
      <c r="L393" s="88"/>
      <c r="M393" s="88"/>
      <c r="O393" s="88"/>
      <c r="P393" s="88"/>
      <c r="Q393" s="88"/>
      <c r="S393" s="88"/>
      <c r="T393" s="88"/>
      <c r="U393" s="88"/>
    </row>
    <row r="394" spans="7:21" ht="15" customHeight="1" x14ac:dyDescent="0.2">
      <c r="G394" s="88"/>
      <c r="H394" s="88"/>
      <c r="I394" s="88"/>
      <c r="K394" s="88"/>
      <c r="L394" s="88"/>
      <c r="M394" s="88"/>
      <c r="O394" s="88"/>
      <c r="P394" s="88"/>
      <c r="Q394" s="88"/>
      <c r="S394" s="88"/>
      <c r="T394" s="88"/>
      <c r="U394" s="88"/>
    </row>
    <row r="395" spans="7:21" ht="15" customHeight="1" x14ac:dyDescent="0.2">
      <c r="G395" s="88"/>
      <c r="H395" s="88"/>
      <c r="I395" s="88"/>
      <c r="K395" s="88"/>
      <c r="L395" s="88"/>
      <c r="M395" s="88"/>
      <c r="O395" s="88"/>
      <c r="P395" s="88"/>
      <c r="Q395" s="88"/>
      <c r="S395" s="88"/>
      <c r="T395" s="88"/>
      <c r="U395" s="88"/>
    </row>
    <row r="396" spans="7:21" ht="15" customHeight="1" x14ac:dyDescent="0.2">
      <c r="G396" s="88"/>
      <c r="H396" s="88"/>
      <c r="I396" s="88"/>
      <c r="K396" s="88"/>
      <c r="L396" s="88"/>
      <c r="M396" s="88"/>
      <c r="O396" s="88"/>
      <c r="P396" s="88"/>
      <c r="Q396" s="88"/>
      <c r="S396" s="88"/>
      <c r="T396" s="88"/>
      <c r="U396" s="88"/>
    </row>
    <row r="397" spans="7:21" ht="15" customHeight="1" x14ac:dyDescent="0.2">
      <c r="G397" s="88"/>
      <c r="H397" s="88"/>
      <c r="I397" s="88"/>
      <c r="K397" s="88"/>
      <c r="L397" s="88"/>
      <c r="M397" s="88"/>
      <c r="O397" s="88"/>
      <c r="P397" s="88"/>
      <c r="Q397" s="88"/>
      <c r="S397" s="88"/>
      <c r="T397" s="88"/>
      <c r="U397" s="88"/>
    </row>
    <row r="398" spans="7:21" ht="15" customHeight="1" x14ac:dyDescent="0.2">
      <c r="G398" s="88"/>
      <c r="H398" s="88"/>
      <c r="I398" s="88"/>
      <c r="K398" s="88"/>
      <c r="L398" s="88"/>
      <c r="M398" s="88"/>
      <c r="O398" s="88"/>
      <c r="P398" s="88"/>
      <c r="Q398" s="88"/>
      <c r="S398" s="88"/>
      <c r="T398" s="88"/>
      <c r="U398" s="88"/>
    </row>
    <row r="399" spans="7:21" ht="15" customHeight="1" x14ac:dyDescent="0.2">
      <c r="G399" s="88"/>
      <c r="H399" s="88"/>
      <c r="I399" s="88"/>
      <c r="K399" s="88"/>
      <c r="L399" s="88"/>
      <c r="M399" s="88"/>
      <c r="O399" s="88"/>
      <c r="P399" s="88"/>
      <c r="Q399" s="88"/>
      <c r="S399" s="88"/>
      <c r="T399" s="88"/>
      <c r="U399" s="88"/>
    </row>
    <row r="400" spans="7:21" ht="15" customHeight="1" x14ac:dyDescent="0.2">
      <c r="G400" s="88"/>
      <c r="H400" s="88"/>
      <c r="I400" s="88"/>
      <c r="K400" s="88"/>
      <c r="L400" s="88"/>
      <c r="M400" s="88"/>
      <c r="O400" s="88"/>
      <c r="P400" s="88"/>
      <c r="Q400" s="88"/>
      <c r="S400" s="88"/>
      <c r="T400" s="88"/>
      <c r="U400" s="88"/>
    </row>
    <row r="401" spans="7:21" ht="15" customHeight="1" x14ac:dyDescent="0.2">
      <c r="G401" s="88"/>
      <c r="H401" s="88"/>
      <c r="I401" s="88"/>
      <c r="K401" s="88"/>
      <c r="L401" s="88"/>
      <c r="M401" s="88"/>
      <c r="O401" s="88"/>
      <c r="P401" s="88"/>
      <c r="Q401" s="88"/>
      <c r="S401" s="88"/>
      <c r="T401" s="88"/>
      <c r="U401" s="88"/>
    </row>
    <row r="402" spans="7:21" ht="15" customHeight="1" x14ac:dyDescent="0.2">
      <c r="G402" s="88"/>
      <c r="H402" s="88"/>
      <c r="I402" s="88"/>
      <c r="K402" s="88"/>
      <c r="L402" s="88"/>
      <c r="M402" s="88"/>
      <c r="O402" s="88"/>
      <c r="P402" s="88"/>
      <c r="Q402" s="88"/>
      <c r="S402" s="88"/>
      <c r="T402" s="88"/>
      <c r="U402" s="88"/>
    </row>
    <row r="403" spans="7:21" ht="15" customHeight="1" x14ac:dyDescent="0.2">
      <c r="G403" s="88"/>
      <c r="H403" s="88"/>
      <c r="I403" s="88"/>
      <c r="K403" s="88"/>
      <c r="L403" s="88"/>
      <c r="M403" s="88"/>
      <c r="O403" s="88"/>
      <c r="P403" s="88"/>
      <c r="Q403" s="88"/>
      <c r="S403" s="88"/>
      <c r="T403" s="88"/>
      <c r="U403" s="88"/>
    </row>
    <row r="404" spans="7:21" ht="15" customHeight="1" x14ac:dyDescent="0.2">
      <c r="G404" s="88"/>
      <c r="H404" s="88"/>
      <c r="I404" s="88"/>
      <c r="K404" s="88"/>
      <c r="L404" s="88"/>
      <c r="M404" s="88"/>
      <c r="O404" s="88"/>
      <c r="P404" s="88"/>
      <c r="Q404" s="88"/>
      <c r="S404" s="88"/>
      <c r="T404" s="88"/>
      <c r="U404" s="88"/>
    </row>
    <row r="405" spans="7:21" ht="15" customHeight="1" x14ac:dyDescent="0.2">
      <c r="G405" s="88"/>
      <c r="H405" s="88"/>
      <c r="I405" s="88"/>
      <c r="K405" s="88"/>
      <c r="L405" s="88"/>
      <c r="M405" s="88"/>
      <c r="O405" s="88"/>
      <c r="P405" s="88"/>
      <c r="Q405" s="88"/>
      <c r="S405" s="88"/>
      <c r="T405" s="88"/>
      <c r="U405" s="88"/>
    </row>
    <row r="406" spans="7:21" ht="15" customHeight="1" x14ac:dyDescent="0.2">
      <c r="G406" s="88"/>
      <c r="H406" s="88"/>
      <c r="I406" s="88"/>
      <c r="K406" s="88"/>
      <c r="L406" s="88"/>
      <c r="M406" s="88"/>
      <c r="O406" s="88"/>
      <c r="P406" s="88"/>
      <c r="Q406" s="88"/>
      <c r="S406" s="88"/>
      <c r="T406" s="88"/>
      <c r="U406" s="88"/>
    </row>
    <row r="407" spans="7:21" ht="15" customHeight="1" x14ac:dyDescent="0.2">
      <c r="G407" s="88"/>
      <c r="H407" s="88"/>
      <c r="I407" s="88"/>
      <c r="K407" s="88"/>
      <c r="L407" s="88"/>
      <c r="M407" s="88"/>
      <c r="O407" s="88"/>
      <c r="P407" s="88"/>
      <c r="Q407" s="88"/>
      <c r="S407" s="88"/>
      <c r="T407" s="88"/>
      <c r="U407" s="88"/>
    </row>
    <row r="408" spans="7:21" ht="15" customHeight="1" x14ac:dyDescent="0.2">
      <c r="G408" s="88"/>
      <c r="H408" s="88"/>
      <c r="I408" s="88"/>
      <c r="K408" s="88"/>
      <c r="L408" s="88"/>
      <c r="M408" s="88"/>
      <c r="O408" s="88"/>
      <c r="P408" s="88"/>
      <c r="Q408" s="88"/>
      <c r="S408" s="88"/>
      <c r="T408" s="88"/>
      <c r="U408" s="88"/>
    </row>
    <row r="409" spans="7:21" ht="15" customHeight="1" x14ac:dyDescent="0.2">
      <c r="G409" s="88"/>
      <c r="H409" s="88"/>
      <c r="I409" s="88"/>
      <c r="K409" s="88"/>
      <c r="L409" s="88"/>
      <c r="M409" s="88"/>
      <c r="O409" s="88"/>
      <c r="P409" s="88"/>
      <c r="Q409" s="88"/>
      <c r="S409" s="88"/>
      <c r="T409" s="88"/>
      <c r="U409" s="88"/>
    </row>
    <row r="410" spans="7:21" ht="15" customHeight="1" x14ac:dyDescent="0.2">
      <c r="G410" s="88"/>
      <c r="H410" s="88"/>
      <c r="I410" s="88"/>
      <c r="K410" s="88"/>
      <c r="L410" s="88"/>
      <c r="M410" s="88"/>
      <c r="O410" s="88"/>
      <c r="P410" s="88"/>
      <c r="Q410" s="88"/>
      <c r="S410" s="88"/>
      <c r="T410" s="88"/>
      <c r="U410" s="88"/>
    </row>
    <row r="411" spans="7:21" ht="15" customHeight="1" x14ac:dyDescent="0.2">
      <c r="G411" s="88"/>
      <c r="H411" s="88"/>
      <c r="I411" s="88"/>
      <c r="K411" s="88"/>
      <c r="L411" s="88"/>
      <c r="M411" s="88"/>
      <c r="O411" s="88"/>
      <c r="P411" s="88"/>
      <c r="Q411" s="88"/>
      <c r="S411" s="88"/>
      <c r="T411" s="88"/>
      <c r="U411" s="88"/>
    </row>
    <row r="412" spans="7:21" ht="15" customHeight="1" x14ac:dyDescent="0.2">
      <c r="G412" s="88"/>
      <c r="H412" s="88"/>
      <c r="I412" s="88"/>
      <c r="K412" s="88"/>
      <c r="L412" s="88"/>
      <c r="M412" s="88"/>
      <c r="O412" s="88"/>
      <c r="P412" s="88"/>
      <c r="Q412" s="88"/>
      <c r="S412" s="88"/>
      <c r="T412" s="88"/>
      <c r="U412" s="88"/>
    </row>
    <row r="413" spans="7:21" ht="15" customHeight="1" x14ac:dyDescent="0.2">
      <c r="G413" s="88"/>
      <c r="H413" s="88"/>
      <c r="I413" s="88"/>
      <c r="K413" s="88"/>
      <c r="L413" s="88"/>
      <c r="M413" s="88"/>
      <c r="O413" s="88"/>
      <c r="P413" s="88"/>
      <c r="Q413" s="88"/>
      <c r="S413" s="88"/>
      <c r="T413" s="88"/>
      <c r="U413" s="88"/>
    </row>
    <row r="414" spans="7:21" ht="15" customHeight="1" x14ac:dyDescent="0.2">
      <c r="G414" s="88"/>
      <c r="H414" s="88"/>
      <c r="I414" s="88"/>
      <c r="K414" s="88"/>
      <c r="L414" s="88"/>
      <c r="M414" s="88"/>
      <c r="O414" s="88"/>
      <c r="P414" s="88"/>
      <c r="Q414" s="88"/>
      <c r="S414" s="88"/>
      <c r="T414" s="88"/>
      <c r="U414" s="88"/>
    </row>
    <row r="415" spans="7:21" ht="15" customHeight="1" x14ac:dyDescent="0.2">
      <c r="G415" s="88"/>
      <c r="H415" s="88"/>
      <c r="I415" s="88"/>
      <c r="K415" s="88"/>
      <c r="L415" s="88"/>
      <c r="M415" s="88"/>
      <c r="O415" s="88"/>
      <c r="P415" s="88"/>
      <c r="Q415" s="88"/>
      <c r="S415" s="88"/>
      <c r="T415" s="88"/>
      <c r="U415" s="88"/>
    </row>
    <row r="416" spans="7:21" ht="15" customHeight="1" x14ac:dyDescent="0.2">
      <c r="G416" s="88"/>
      <c r="H416" s="88"/>
      <c r="I416" s="88"/>
      <c r="K416" s="88"/>
      <c r="L416" s="88"/>
      <c r="M416" s="88"/>
      <c r="O416" s="88"/>
      <c r="P416" s="88"/>
      <c r="Q416" s="88"/>
      <c r="S416" s="88"/>
      <c r="T416" s="88"/>
      <c r="U416" s="88"/>
    </row>
    <row r="417" spans="7:21" ht="15" customHeight="1" x14ac:dyDescent="0.2">
      <c r="G417" s="88"/>
      <c r="H417" s="88"/>
      <c r="I417" s="88"/>
      <c r="K417" s="88"/>
      <c r="L417" s="88"/>
      <c r="M417" s="88"/>
      <c r="O417" s="88"/>
      <c r="P417" s="88"/>
      <c r="Q417" s="88"/>
      <c r="S417" s="88"/>
      <c r="T417" s="88"/>
      <c r="U417" s="88"/>
    </row>
    <row r="418" spans="7:21" ht="15" customHeight="1" x14ac:dyDescent="0.2">
      <c r="G418" s="88"/>
      <c r="H418" s="88"/>
      <c r="I418" s="88"/>
      <c r="K418" s="88"/>
      <c r="L418" s="88"/>
      <c r="M418" s="88"/>
      <c r="O418" s="88"/>
      <c r="P418" s="88"/>
      <c r="Q418" s="88"/>
      <c r="S418" s="88"/>
      <c r="T418" s="88"/>
      <c r="U418" s="88"/>
    </row>
    <row r="419" spans="7:21" ht="15" customHeight="1" x14ac:dyDescent="0.2">
      <c r="G419" s="88"/>
      <c r="H419" s="88"/>
      <c r="I419" s="88"/>
      <c r="K419" s="88"/>
      <c r="L419" s="88"/>
      <c r="M419" s="88"/>
      <c r="O419" s="88"/>
      <c r="P419" s="88"/>
      <c r="Q419" s="88"/>
      <c r="S419" s="88"/>
      <c r="T419" s="88"/>
      <c r="U419" s="88"/>
    </row>
    <row r="420" spans="7:21" ht="15" customHeight="1" x14ac:dyDescent="0.2">
      <c r="G420" s="88"/>
      <c r="H420" s="88"/>
      <c r="I420" s="88"/>
      <c r="K420" s="88"/>
      <c r="L420" s="88"/>
      <c r="M420" s="88"/>
      <c r="O420" s="88"/>
      <c r="P420" s="88"/>
      <c r="Q420" s="88"/>
      <c r="S420" s="88"/>
      <c r="T420" s="88"/>
      <c r="U420" s="88"/>
    </row>
    <row r="421" spans="7:21" ht="15" customHeight="1" x14ac:dyDescent="0.2">
      <c r="G421" s="88"/>
      <c r="H421" s="88"/>
      <c r="I421" s="88"/>
      <c r="K421" s="88"/>
      <c r="L421" s="88"/>
      <c r="M421" s="88"/>
      <c r="O421" s="88"/>
      <c r="P421" s="88"/>
      <c r="Q421" s="88"/>
      <c r="S421" s="88"/>
      <c r="T421" s="88"/>
      <c r="U421" s="88"/>
    </row>
    <row r="422" spans="7:21" ht="15" customHeight="1" x14ac:dyDescent="0.2">
      <c r="G422" s="88"/>
      <c r="H422" s="88"/>
      <c r="I422" s="88"/>
      <c r="K422" s="88"/>
      <c r="L422" s="88"/>
      <c r="M422" s="88"/>
      <c r="O422" s="88"/>
      <c r="P422" s="88"/>
      <c r="Q422" s="88"/>
      <c r="S422" s="88"/>
      <c r="T422" s="88"/>
      <c r="U422" s="88"/>
    </row>
    <row r="423" spans="7:21" ht="15" customHeight="1" x14ac:dyDescent="0.2">
      <c r="G423" s="88"/>
      <c r="H423" s="88"/>
      <c r="I423" s="88"/>
      <c r="K423" s="88"/>
      <c r="L423" s="88"/>
      <c r="M423" s="88"/>
      <c r="O423" s="88"/>
      <c r="P423" s="88"/>
      <c r="Q423" s="88"/>
      <c r="S423" s="88"/>
      <c r="T423" s="88"/>
      <c r="U423" s="88"/>
    </row>
    <row r="424" spans="7:21" ht="15" customHeight="1" x14ac:dyDescent="0.2">
      <c r="G424" s="88"/>
      <c r="H424" s="88"/>
      <c r="I424" s="88"/>
      <c r="K424" s="88"/>
      <c r="L424" s="88"/>
      <c r="M424" s="88"/>
      <c r="O424" s="88"/>
      <c r="P424" s="88"/>
      <c r="Q424" s="88"/>
      <c r="S424" s="88"/>
      <c r="T424" s="88"/>
      <c r="U424" s="88"/>
    </row>
    <row r="425" spans="7:21" ht="15" customHeight="1" x14ac:dyDescent="0.2">
      <c r="G425" s="88"/>
      <c r="H425" s="88"/>
      <c r="I425" s="88"/>
      <c r="K425" s="88"/>
      <c r="L425" s="88"/>
      <c r="M425" s="88"/>
      <c r="O425" s="88"/>
      <c r="P425" s="88"/>
      <c r="Q425" s="88"/>
      <c r="S425" s="88"/>
      <c r="T425" s="88"/>
      <c r="U425" s="88"/>
    </row>
    <row r="426" spans="7:21" ht="15" customHeight="1" x14ac:dyDescent="0.2">
      <c r="G426" s="88"/>
      <c r="H426" s="88"/>
      <c r="I426" s="88"/>
      <c r="K426" s="88"/>
      <c r="L426" s="88"/>
      <c r="M426" s="88"/>
      <c r="O426" s="88"/>
      <c r="P426" s="88"/>
      <c r="Q426" s="88"/>
      <c r="S426" s="88"/>
      <c r="T426" s="88"/>
      <c r="U426" s="88"/>
    </row>
    <row r="427" spans="7:21" ht="15" customHeight="1" x14ac:dyDescent="0.2">
      <c r="G427" s="88"/>
      <c r="H427" s="88"/>
      <c r="I427" s="88"/>
      <c r="K427" s="88"/>
      <c r="L427" s="88"/>
      <c r="M427" s="88"/>
      <c r="O427" s="88"/>
      <c r="P427" s="88"/>
      <c r="Q427" s="88"/>
      <c r="S427" s="88"/>
      <c r="T427" s="88"/>
      <c r="U427" s="88"/>
    </row>
    <row r="428" spans="7:21" ht="15" customHeight="1" x14ac:dyDescent="0.2">
      <c r="G428" s="88"/>
      <c r="H428" s="88"/>
      <c r="I428" s="88"/>
      <c r="K428" s="88"/>
      <c r="L428" s="88"/>
      <c r="M428" s="88"/>
      <c r="O428" s="88"/>
      <c r="P428" s="88"/>
      <c r="Q428" s="88"/>
      <c r="S428" s="88"/>
      <c r="T428" s="88"/>
      <c r="U428" s="88"/>
    </row>
    <row r="429" spans="7:21" ht="15" customHeight="1" x14ac:dyDescent="0.2">
      <c r="G429" s="88"/>
      <c r="H429" s="88"/>
      <c r="I429" s="88"/>
      <c r="K429" s="88"/>
      <c r="L429" s="88"/>
      <c r="M429" s="88"/>
      <c r="O429" s="88"/>
      <c r="P429" s="88"/>
      <c r="Q429" s="88"/>
      <c r="S429" s="88"/>
      <c r="T429" s="88"/>
      <c r="U429" s="88"/>
    </row>
    <row r="430" spans="7:21" ht="15" customHeight="1" x14ac:dyDescent="0.2">
      <c r="G430" s="88"/>
      <c r="H430" s="88"/>
      <c r="I430" s="88"/>
      <c r="K430" s="88"/>
      <c r="L430" s="88"/>
      <c r="M430" s="88"/>
      <c r="O430" s="88"/>
      <c r="P430" s="88"/>
      <c r="Q430" s="88"/>
      <c r="S430" s="88"/>
      <c r="T430" s="88"/>
      <c r="U430" s="88"/>
    </row>
    <row r="431" spans="7:21" ht="15" customHeight="1" x14ac:dyDescent="0.2">
      <c r="G431" s="88"/>
      <c r="H431" s="88"/>
      <c r="I431" s="88"/>
      <c r="K431" s="88"/>
      <c r="L431" s="88"/>
      <c r="M431" s="88"/>
      <c r="O431" s="88"/>
      <c r="P431" s="88"/>
      <c r="Q431" s="88"/>
      <c r="S431" s="88"/>
      <c r="T431" s="88"/>
      <c r="U431" s="88"/>
    </row>
    <row r="432" spans="7:21" ht="15" customHeight="1" x14ac:dyDescent="0.2">
      <c r="G432" s="88"/>
      <c r="H432" s="88"/>
      <c r="I432" s="88"/>
      <c r="K432" s="88"/>
      <c r="L432" s="88"/>
      <c r="M432" s="88"/>
      <c r="O432" s="88"/>
      <c r="P432" s="88"/>
      <c r="Q432" s="88"/>
      <c r="S432" s="88"/>
      <c r="T432" s="88"/>
      <c r="U432" s="88"/>
    </row>
    <row r="433" spans="7:21" ht="15" customHeight="1" x14ac:dyDescent="0.2">
      <c r="G433" s="88"/>
      <c r="H433" s="88"/>
      <c r="I433" s="88"/>
      <c r="K433" s="88"/>
      <c r="L433" s="88"/>
      <c r="M433" s="88"/>
      <c r="O433" s="88"/>
      <c r="P433" s="88"/>
      <c r="Q433" s="88"/>
      <c r="S433" s="88"/>
      <c r="T433" s="88"/>
      <c r="U433" s="88"/>
    </row>
    <row r="434" spans="7:21" ht="15" customHeight="1" x14ac:dyDescent="0.2">
      <c r="G434" s="88"/>
      <c r="H434" s="88"/>
      <c r="I434" s="88"/>
      <c r="K434" s="88"/>
      <c r="L434" s="88"/>
      <c r="M434" s="88"/>
      <c r="O434" s="88"/>
      <c r="P434" s="88"/>
      <c r="Q434" s="88"/>
      <c r="S434" s="88"/>
      <c r="T434" s="88"/>
      <c r="U434" s="88"/>
    </row>
    <row r="435" spans="7:21" ht="15" customHeight="1" x14ac:dyDescent="0.2">
      <c r="G435" s="88"/>
      <c r="H435" s="88"/>
      <c r="I435" s="88"/>
      <c r="K435" s="88"/>
      <c r="L435" s="88"/>
      <c r="M435" s="88"/>
      <c r="O435" s="88"/>
      <c r="P435" s="88"/>
      <c r="Q435" s="88"/>
      <c r="S435" s="88"/>
      <c r="T435" s="88"/>
      <c r="U435" s="88"/>
    </row>
    <row r="436" spans="7:21" ht="15" customHeight="1" x14ac:dyDescent="0.2">
      <c r="G436" s="88"/>
      <c r="H436" s="88"/>
      <c r="I436" s="88"/>
      <c r="K436" s="88"/>
      <c r="L436" s="88"/>
      <c r="M436" s="88"/>
      <c r="O436" s="88"/>
      <c r="P436" s="88"/>
      <c r="Q436" s="88"/>
      <c r="S436" s="88"/>
      <c r="T436" s="88"/>
      <c r="U436" s="88"/>
    </row>
    <row r="437" spans="7:21" ht="15" customHeight="1" x14ac:dyDescent="0.2">
      <c r="G437" s="88"/>
      <c r="H437" s="88"/>
      <c r="I437" s="88"/>
      <c r="K437" s="88"/>
      <c r="L437" s="88"/>
      <c r="M437" s="88"/>
      <c r="O437" s="88"/>
      <c r="P437" s="88"/>
      <c r="Q437" s="88"/>
      <c r="S437" s="88"/>
      <c r="T437" s="88"/>
      <c r="U437" s="88"/>
    </row>
    <row r="438" spans="7:21" ht="15" customHeight="1" x14ac:dyDescent="0.2">
      <c r="G438" s="88"/>
      <c r="H438" s="88"/>
      <c r="I438" s="88"/>
      <c r="K438" s="88"/>
      <c r="L438" s="88"/>
      <c r="M438" s="88"/>
      <c r="O438" s="88"/>
      <c r="P438" s="88"/>
      <c r="Q438" s="88"/>
      <c r="S438" s="88"/>
      <c r="T438" s="88"/>
      <c r="U438" s="88"/>
    </row>
    <row r="439" spans="7:21" ht="15" customHeight="1" x14ac:dyDescent="0.2">
      <c r="G439" s="88"/>
      <c r="H439" s="88"/>
      <c r="I439" s="88"/>
      <c r="K439" s="88"/>
      <c r="L439" s="88"/>
      <c r="M439" s="88"/>
      <c r="O439" s="88"/>
      <c r="P439" s="88"/>
      <c r="Q439" s="88"/>
      <c r="S439" s="88"/>
      <c r="T439" s="88"/>
      <c r="U439" s="88"/>
    </row>
    <row r="440" spans="7:21" ht="15" customHeight="1" x14ac:dyDescent="0.2">
      <c r="G440" s="88"/>
      <c r="H440" s="88"/>
      <c r="I440" s="88"/>
      <c r="K440" s="88"/>
      <c r="L440" s="88"/>
      <c r="M440" s="88"/>
      <c r="O440" s="88"/>
      <c r="P440" s="88"/>
      <c r="Q440" s="88"/>
      <c r="S440" s="88"/>
      <c r="T440" s="88"/>
      <c r="U440" s="88"/>
    </row>
    <row r="441" spans="7:21" ht="15" customHeight="1" x14ac:dyDescent="0.2">
      <c r="G441" s="88"/>
      <c r="H441" s="88"/>
      <c r="I441" s="88"/>
      <c r="K441" s="88"/>
      <c r="L441" s="88"/>
      <c r="M441" s="88"/>
      <c r="O441" s="88"/>
      <c r="P441" s="88"/>
      <c r="Q441" s="88"/>
      <c r="S441" s="88"/>
      <c r="T441" s="88"/>
      <c r="U441" s="88"/>
    </row>
    <row r="442" spans="7:21" ht="15" customHeight="1" x14ac:dyDescent="0.2">
      <c r="G442" s="88"/>
      <c r="H442" s="88"/>
      <c r="I442" s="88"/>
      <c r="K442" s="88"/>
      <c r="L442" s="88"/>
      <c r="M442" s="88"/>
      <c r="O442" s="88"/>
      <c r="P442" s="88"/>
      <c r="Q442" s="88"/>
      <c r="S442" s="88"/>
      <c r="T442" s="88"/>
      <c r="U442" s="88"/>
    </row>
    <row r="443" spans="7:21" ht="15" customHeight="1" x14ac:dyDescent="0.2">
      <c r="G443" s="88"/>
      <c r="H443" s="88"/>
      <c r="I443" s="88"/>
      <c r="K443" s="88"/>
      <c r="L443" s="88"/>
      <c r="M443" s="88"/>
      <c r="O443" s="88"/>
      <c r="P443" s="88"/>
      <c r="Q443" s="88"/>
      <c r="S443" s="88"/>
      <c r="T443" s="88"/>
      <c r="U443" s="88"/>
    </row>
    <row r="444" spans="7:21" ht="15" customHeight="1" x14ac:dyDescent="0.2">
      <c r="G444" s="88"/>
      <c r="H444" s="88"/>
      <c r="I444" s="88"/>
      <c r="K444" s="88"/>
      <c r="L444" s="88"/>
      <c r="M444" s="88"/>
      <c r="O444" s="88"/>
      <c r="P444" s="88"/>
      <c r="Q444" s="88"/>
      <c r="S444" s="88"/>
      <c r="T444" s="88"/>
      <c r="U444" s="88"/>
    </row>
    <row r="445" spans="7:21" ht="15" customHeight="1" x14ac:dyDescent="0.2">
      <c r="G445" s="88"/>
      <c r="H445" s="88"/>
      <c r="I445" s="88"/>
      <c r="K445" s="88"/>
      <c r="L445" s="88"/>
      <c r="M445" s="88"/>
      <c r="O445" s="88"/>
      <c r="P445" s="88"/>
      <c r="Q445" s="88"/>
      <c r="S445" s="88"/>
      <c r="T445" s="88"/>
      <c r="U445" s="88"/>
    </row>
    <row r="446" spans="7:21" ht="15" customHeight="1" x14ac:dyDescent="0.2">
      <c r="G446" s="88"/>
      <c r="H446" s="88"/>
      <c r="I446" s="88"/>
      <c r="K446" s="88"/>
      <c r="L446" s="88"/>
      <c r="M446" s="88"/>
      <c r="O446" s="88"/>
      <c r="P446" s="88"/>
      <c r="Q446" s="88"/>
      <c r="S446" s="88"/>
      <c r="T446" s="88"/>
      <c r="U446" s="88"/>
    </row>
    <row r="447" spans="7:21" ht="15" customHeight="1" x14ac:dyDescent="0.2">
      <c r="G447" s="88"/>
      <c r="H447" s="88"/>
      <c r="I447" s="88"/>
      <c r="K447" s="88"/>
      <c r="L447" s="88"/>
      <c r="M447" s="88"/>
      <c r="O447" s="88"/>
      <c r="P447" s="88"/>
      <c r="Q447" s="88"/>
      <c r="S447" s="88"/>
      <c r="T447" s="88"/>
      <c r="U447" s="88"/>
    </row>
    <row r="448" spans="7:21" ht="15" customHeight="1" x14ac:dyDescent="0.2">
      <c r="G448" s="88"/>
      <c r="H448" s="88"/>
      <c r="I448" s="88"/>
      <c r="K448" s="88"/>
      <c r="L448" s="88"/>
      <c r="M448" s="88"/>
      <c r="O448" s="88"/>
      <c r="P448" s="88"/>
      <c r="Q448" s="88"/>
      <c r="S448" s="88"/>
      <c r="T448" s="88"/>
      <c r="U448" s="88"/>
    </row>
    <row r="449" spans="7:21" ht="15" customHeight="1" x14ac:dyDescent="0.2">
      <c r="G449" s="88"/>
      <c r="H449" s="88"/>
      <c r="I449" s="88"/>
      <c r="K449" s="88"/>
      <c r="L449" s="88"/>
      <c r="M449" s="88"/>
      <c r="O449" s="88"/>
      <c r="P449" s="88"/>
      <c r="Q449" s="88"/>
      <c r="S449" s="88"/>
      <c r="T449" s="88"/>
      <c r="U449" s="88"/>
    </row>
    <row r="450" spans="7:21" ht="15" customHeight="1" x14ac:dyDescent="0.2">
      <c r="G450" s="88"/>
      <c r="H450" s="88"/>
      <c r="I450" s="88"/>
      <c r="K450" s="88"/>
      <c r="L450" s="88"/>
      <c r="M450" s="88"/>
      <c r="O450" s="88"/>
      <c r="P450" s="88"/>
      <c r="Q450" s="88"/>
      <c r="S450" s="88"/>
      <c r="T450" s="88"/>
      <c r="U450" s="88"/>
    </row>
    <row r="451" spans="7:21" ht="15" customHeight="1" x14ac:dyDescent="0.2">
      <c r="G451" s="88"/>
      <c r="H451" s="88"/>
      <c r="I451" s="88"/>
      <c r="K451" s="88"/>
      <c r="L451" s="88"/>
      <c r="M451" s="88"/>
      <c r="O451" s="88"/>
      <c r="P451" s="88"/>
      <c r="Q451" s="88"/>
      <c r="S451" s="88"/>
      <c r="T451" s="88"/>
      <c r="U451" s="88"/>
    </row>
    <row r="452" spans="7:21" ht="15" customHeight="1" x14ac:dyDescent="0.2">
      <c r="G452" s="88"/>
      <c r="H452" s="88"/>
      <c r="I452" s="88"/>
      <c r="K452" s="88"/>
      <c r="L452" s="88"/>
      <c r="M452" s="88"/>
      <c r="O452" s="88"/>
      <c r="P452" s="88"/>
      <c r="Q452" s="88"/>
      <c r="S452" s="88"/>
      <c r="T452" s="88"/>
      <c r="U452" s="88"/>
    </row>
    <row r="453" spans="7:21" ht="15" customHeight="1" x14ac:dyDescent="0.2">
      <c r="G453" s="88"/>
      <c r="H453" s="88"/>
      <c r="I453" s="88"/>
      <c r="K453" s="88"/>
      <c r="L453" s="88"/>
      <c r="M453" s="88"/>
      <c r="O453" s="88"/>
      <c r="P453" s="88"/>
      <c r="Q453" s="88"/>
      <c r="S453" s="88"/>
      <c r="T453" s="88"/>
      <c r="U453" s="88"/>
    </row>
    <row r="454" spans="7:21" ht="15" customHeight="1" x14ac:dyDescent="0.2">
      <c r="G454" s="88"/>
      <c r="H454" s="88"/>
      <c r="I454" s="88"/>
      <c r="K454" s="88"/>
      <c r="L454" s="88"/>
      <c r="M454" s="88"/>
      <c r="O454" s="88"/>
      <c r="P454" s="88"/>
      <c r="Q454" s="88"/>
      <c r="S454" s="88"/>
      <c r="T454" s="88"/>
      <c r="U454" s="88"/>
    </row>
    <row r="455" spans="7:21" ht="15" customHeight="1" x14ac:dyDescent="0.2">
      <c r="G455" s="88"/>
      <c r="H455" s="88"/>
      <c r="I455" s="88"/>
      <c r="K455" s="88"/>
      <c r="L455" s="88"/>
      <c r="M455" s="88"/>
      <c r="O455" s="88"/>
      <c r="P455" s="88"/>
      <c r="Q455" s="88"/>
      <c r="S455" s="88"/>
      <c r="T455" s="88"/>
      <c r="U455" s="88"/>
    </row>
    <row r="456" spans="7:21" ht="15" customHeight="1" x14ac:dyDescent="0.2">
      <c r="G456" s="88"/>
      <c r="H456" s="88"/>
      <c r="I456" s="88"/>
      <c r="K456" s="88"/>
      <c r="L456" s="88"/>
      <c r="M456" s="88"/>
      <c r="O456" s="88"/>
      <c r="P456" s="88"/>
      <c r="Q456" s="88"/>
      <c r="S456" s="88"/>
      <c r="T456" s="88"/>
      <c r="U456" s="88"/>
    </row>
    <row r="457" spans="7:21" ht="15" customHeight="1" x14ac:dyDescent="0.2">
      <c r="G457" s="88"/>
      <c r="H457" s="88"/>
      <c r="I457" s="88"/>
      <c r="K457" s="88"/>
      <c r="L457" s="88"/>
      <c r="M457" s="88"/>
      <c r="O457" s="88"/>
      <c r="P457" s="88"/>
      <c r="Q457" s="88"/>
      <c r="S457" s="88"/>
      <c r="T457" s="88"/>
      <c r="U457" s="88"/>
    </row>
    <row r="458" spans="7:21" ht="15" customHeight="1" x14ac:dyDescent="0.2">
      <c r="G458" s="88"/>
      <c r="H458" s="88"/>
      <c r="I458" s="88"/>
      <c r="K458" s="88"/>
      <c r="L458" s="88"/>
      <c r="M458" s="88"/>
      <c r="O458" s="88"/>
      <c r="P458" s="88"/>
      <c r="Q458" s="88"/>
      <c r="S458" s="88"/>
      <c r="T458" s="88"/>
      <c r="U458" s="88"/>
    </row>
    <row r="459" spans="7:21" ht="15" customHeight="1" x14ac:dyDescent="0.2">
      <c r="G459" s="88"/>
      <c r="H459" s="88"/>
      <c r="I459" s="88"/>
      <c r="K459" s="88"/>
      <c r="L459" s="88"/>
      <c r="M459" s="88"/>
      <c r="O459" s="88"/>
      <c r="P459" s="88"/>
      <c r="Q459" s="88"/>
      <c r="S459" s="88"/>
      <c r="T459" s="88"/>
      <c r="U459" s="88"/>
    </row>
    <row r="460" spans="7:21" ht="15" customHeight="1" x14ac:dyDescent="0.2">
      <c r="G460" s="88"/>
      <c r="H460" s="88"/>
      <c r="I460" s="88"/>
      <c r="K460" s="88"/>
      <c r="L460" s="88"/>
      <c r="M460" s="88"/>
      <c r="O460" s="88"/>
      <c r="P460" s="88"/>
      <c r="Q460" s="88"/>
      <c r="S460" s="88"/>
      <c r="T460" s="88"/>
      <c r="U460" s="88"/>
    </row>
    <row r="461" spans="7:21" ht="15" customHeight="1" x14ac:dyDescent="0.2">
      <c r="G461" s="88"/>
      <c r="H461" s="88"/>
      <c r="I461" s="88"/>
      <c r="K461" s="88"/>
      <c r="L461" s="88"/>
      <c r="M461" s="88"/>
      <c r="O461" s="88"/>
      <c r="P461" s="88"/>
      <c r="Q461" s="88"/>
      <c r="S461" s="88"/>
      <c r="T461" s="88"/>
      <c r="U461" s="88"/>
    </row>
    <row r="462" spans="7:21" ht="15" customHeight="1" x14ac:dyDescent="0.2">
      <c r="G462" s="88"/>
      <c r="H462" s="88"/>
      <c r="I462" s="88"/>
      <c r="K462" s="88"/>
      <c r="L462" s="88"/>
      <c r="M462" s="88"/>
      <c r="O462" s="88"/>
      <c r="P462" s="88"/>
      <c r="Q462" s="88"/>
      <c r="S462" s="88"/>
      <c r="T462" s="88"/>
      <c r="U462" s="88"/>
    </row>
    <row r="463" spans="7:21" ht="15" customHeight="1" x14ac:dyDescent="0.2">
      <c r="G463" s="88"/>
      <c r="H463" s="88"/>
      <c r="I463" s="88"/>
      <c r="K463" s="88"/>
      <c r="L463" s="88"/>
      <c r="M463" s="88"/>
      <c r="O463" s="88"/>
      <c r="P463" s="88"/>
      <c r="Q463" s="88"/>
      <c r="S463" s="88"/>
      <c r="T463" s="88"/>
      <c r="U463" s="88"/>
    </row>
    <row r="464" spans="7:21" ht="15" customHeight="1" x14ac:dyDescent="0.2">
      <c r="G464" s="88"/>
      <c r="H464" s="88"/>
      <c r="I464" s="88"/>
      <c r="K464" s="88"/>
      <c r="L464" s="88"/>
      <c r="M464" s="88"/>
      <c r="O464" s="88"/>
      <c r="P464" s="88"/>
      <c r="Q464" s="88"/>
      <c r="S464" s="88"/>
      <c r="T464" s="88"/>
      <c r="U464" s="88"/>
    </row>
    <row r="465" spans="7:21" ht="15" customHeight="1" x14ac:dyDescent="0.2">
      <c r="G465" s="88"/>
      <c r="H465" s="88"/>
      <c r="I465" s="88"/>
      <c r="K465" s="88"/>
      <c r="L465" s="88"/>
      <c r="M465" s="88"/>
      <c r="O465" s="88"/>
      <c r="P465" s="88"/>
      <c r="Q465" s="88"/>
      <c r="S465" s="88"/>
      <c r="T465" s="88"/>
      <c r="U465" s="88"/>
    </row>
    <row r="466" spans="7:21" ht="15" customHeight="1" x14ac:dyDescent="0.2">
      <c r="G466" s="88"/>
      <c r="H466" s="88"/>
      <c r="I466" s="88"/>
      <c r="K466" s="88"/>
      <c r="L466" s="88"/>
      <c r="M466" s="88"/>
      <c r="O466" s="88"/>
      <c r="P466" s="88"/>
      <c r="Q466" s="88"/>
      <c r="S466" s="88"/>
      <c r="T466" s="88"/>
      <c r="U466" s="88"/>
    </row>
    <row r="467" spans="7:21" ht="15" customHeight="1" x14ac:dyDescent="0.2">
      <c r="G467" s="88"/>
      <c r="H467" s="88"/>
      <c r="I467" s="88"/>
      <c r="K467" s="88"/>
      <c r="L467" s="88"/>
      <c r="M467" s="88"/>
      <c r="O467" s="88"/>
      <c r="P467" s="88"/>
      <c r="Q467" s="88"/>
      <c r="S467" s="88"/>
      <c r="T467" s="88"/>
      <c r="U467" s="88"/>
    </row>
    <row r="468" spans="7:21" ht="15" customHeight="1" x14ac:dyDescent="0.2">
      <c r="G468" s="88"/>
      <c r="H468" s="88"/>
      <c r="I468" s="88"/>
      <c r="K468" s="88"/>
      <c r="L468" s="88"/>
      <c r="M468" s="88"/>
      <c r="O468" s="88"/>
      <c r="P468" s="88"/>
      <c r="Q468" s="88"/>
      <c r="S468" s="88"/>
      <c r="T468" s="88"/>
      <c r="U468" s="88"/>
    </row>
    <row r="469" spans="7:21" ht="15" customHeight="1" x14ac:dyDescent="0.2">
      <c r="G469" s="88"/>
      <c r="H469" s="88"/>
      <c r="I469" s="88"/>
      <c r="K469" s="88"/>
      <c r="L469" s="88"/>
      <c r="M469" s="88"/>
      <c r="O469" s="88"/>
      <c r="P469" s="88"/>
      <c r="Q469" s="88"/>
      <c r="S469" s="88"/>
      <c r="T469" s="88"/>
      <c r="U469" s="88"/>
    </row>
    <row r="470" spans="7:21" ht="15" customHeight="1" x14ac:dyDescent="0.2">
      <c r="G470" s="88"/>
      <c r="H470" s="88"/>
      <c r="I470" s="88"/>
      <c r="K470" s="88"/>
      <c r="L470" s="88"/>
      <c r="M470" s="88"/>
      <c r="O470" s="88"/>
      <c r="P470" s="88"/>
      <c r="Q470" s="88"/>
      <c r="S470" s="88"/>
      <c r="T470" s="88"/>
      <c r="U470" s="88"/>
    </row>
    <row r="471" spans="7:21" ht="15" customHeight="1" x14ac:dyDescent="0.2">
      <c r="G471" s="88"/>
      <c r="H471" s="88"/>
      <c r="I471" s="88"/>
      <c r="K471" s="88"/>
      <c r="L471" s="88"/>
      <c r="M471" s="88"/>
      <c r="O471" s="88"/>
      <c r="P471" s="88"/>
      <c r="Q471" s="88"/>
      <c r="S471" s="88"/>
      <c r="T471" s="88"/>
      <c r="U471" s="88"/>
    </row>
    <row r="472" spans="7:21" ht="15" customHeight="1" x14ac:dyDescent="0.2">
      <c r="G472" s="88"/>
      <c r="H472" s="88"/>
      <c r="I472" s="88"/>
      <c r="K472" s="88"/>
      <c r="L472" s="88"/>
      <c r="M472" s="88"/>
      <c r="O472" s="88"/>
      <c r="P472" s="88"/>
      <c r="Q472" s="88"/>
      <c r="S472" s="88"/>
      <c r="T472" s="88"/>
      <c r="U472" s="88"/>
    </row>
    <row r="473" spans="7:21" ht="15" customHeight="1" x14ac:dyDescent="0.2">
      <c r="G473" s="88"/>
      <c r="H473" s="88"/>
      <c r="I473" s="88"/>
      <c r="K473" s="88"/>
      <c r="L473" s="88"/>
      <c r="M473" s="88"/>
      <c r="O473" s="88"/>
      <c r="P473" s="88"/>
      <c r="Q473" s="88"/>
      <c r="S473" s="88"/>
      <c r="T473" s="88"/>
      <c r="U473" s="88"/>
    </row>
    <row r="474" spans="7:21" ht="15" customHeight="1" x14ac:dyDescent="0.2">
      <c r="G474" s="88"/>
      <c r="H474" s="88"/>
      <c r="I474" s="88"/>
      <c r="K474" s="88"/>
      <c r="L474" s="88"/>
      <c r="M474" s="88"/>
      <c r="O474" s="88"/>
      <c r="P474" s="88"/>
      <c r="Q474" s="88"/>
      <c r="S474" s="88"/>
      <c r="T474" s="88"/>
      <c r="U474" s="88"/>
    </row>
    <row r="475" spans="7:21" ht="15" customHeight="1" x14ac:dyDescent="0.2">
      <c r="G475" s="88"/>
      <c r="H475" s="88"/>
      <c r="I475" s="88"/>
      <c r="K475" s="88"/>
      <c r="L475" s="88"/>
      <c r="M475" s="88"/>
      <c r="O475" s="88"/>
      <c r="P475" s="88"/>
      <c r="Q475" s="88"/>
      <c r="S475" s="88"/>
      <c r="T475" s="88"/>
      <c r="U475" s="88"/>
    </row>
    <row r="476" spans="7:21" ht="15" customHeight="1" x14ac:dyDescent="0.2">
      <c r="G476" s="88"/>
      <c r="H476" s="88"/>
      <c r="I476" s="88"/>
      <c r="K476" s="88"/>
      <c r="L476" s="88"/>
      <c r="M476" s="88"/>
      <c r="O476" s="88"/>
      <c r="P476" s="88"/>
      <c r="Q476" s="88"/>
      <c r="S476" s="88"/>
      <c r="T476" s="88"/>
      <c r="U476" s="88"/>
    </row>
    <row r="477" spans="7:21" ht="15" customHeight="1" x14ac:dyDescent="0.2">
      <c r="G477" s="88"/>
      <c r="H477" s="88"/>
      <c r="I477" s="88"/>
      <c r="K477" s="88"/>
      <c r="L477" s="88"/>
      <c r="M477" s="88"/>
      <c r="O477" s="88"/>
      <c r="P477" s="88"/>
      <c r="Q477" s="88"/>
      <c r="S477" s="88"/>
      <c r="T477" s="88"/>
      <c r="U477" s="88"/>
    </row>
    <row r="478" spans="7:21" ht="15" customHeight="1" x14ac:dyDescent="0.2">
      <c r="G478" s="88"/>
      <c r="H478" s="88"/>
      <c r="I478" s="88"/>
      <c r="K478" s="88"/>
      <c r="L478" s="88"/>
      <c r="M478" s="88"/>
      <c r="O478" s="88"/>
      <c r="P478" s="88"/>
      <c r="Q478" s="88"/>
      <c r="S478" s="88"/>
      <c r="T478" s="88"/>
      <c r="U478" s="88"/>
    </row>
    <row r="479" spans="7:21" ht="15" customHeight="1" x14ac:dyDescent="0.2">
      <c r="G479" s="88"/>
      <c r="H479" s="88"/>
      <c r="I479" s="88"/>
      <c r="K479" s="88"/>
      <c r="L479" s="88"/>
      <c r="M479" s="88"/>
      <c r="O479" s="88"/>
      <c r="P479" s="88"/>
      <c r="Q479" s="88"/>
      <c r="S479" s="88"/>
      <c r="T479" s="88"/>
      <c r="U479" s="88"/>
    </row>
    <row r="480" spans="7:21" ht="15" customHeight="1" x14ac:dyDescent="0.2">
      <c r="G480" s="88"/>
      <c r="H480" s="88"/>
      <c r="I480" s="88"/>
      <c r="K480" s="88"/>
      <c r="L480" s="88"/>
      <c r="M480" s="88"/>
      <c r="O480" s="88"/>
      <c r="P480" s="88"/>
      <c r="Q480" s="88"/>
      <c r="S480" s="88"/>
      <c r="T480" s="88"/>
      <c r="U480" s="88"/>
    </row>
    <row r="481" spans="7:21" ht="15" customHeight="1" x14ac:dyDescent="0.2">
      <c r="G481" s="88"/>
      <c r="H481" s="88"/>
      <c r="I481" s="88"/>
      <c r="K481" s="88"/>
      <c r="L481" s="88"/>
      <c r="M481" s="88"/>
      <c r="O481" s="88"/>
      <c r="P481" s="88"/>
      <c r="Q481" s="88"/>
      <c r="S481" s="88"/>
      <c r="T481" s="88"/>
      <c r="U481" s="88"/>
    </row>
    <row r="482" spans="7:21" ht="15" customHeight="1" x14ac:dyDescent="0.2">
      <c r="G482" s="88"/>
      <c r="H482" s="88"/>
      <c r="I482" s="88"/>
      <c r="K482" s="88"/>
      <c r="L482" s="88"/>
      <c r="M482" s="88"/>
      <c r="O482" s="88"/>
      <c r="P482" s="88"/>
      <c r="Q482" s="88"/>
      <c r="S482" s="88"/>
      <c r="T482" s="88"/>
      <c r="U482" s="88"/>
    </row>
    <row r="483" spans="7:21" ht="15" customHeight="1" x14ac:dyDescent="0.2">
      <c r="G483" s="88"/>
      <c r="H483" s="88"/>
      <c r="I483" s="88"/>
      <c r="K483" s="88"/>
      <c r="L483" s="88"/>
      <c r="M483" s="88"/>
      <c r="O483" s="88"/>
      <c r="P483" s="88"/>
      <c r="Q483" s="88"/>
      <c r="S483" s="88"/>
      <c r="T483" s="88"/>
      <c r="U483" s="88"/>
    </row>
    <row r="484" spans="7:21" ht="15" customHeight="1" x14ac:dyDescent="0.2">
      <c r="G484" s="88"/>
      <c r="H484" s="88"/>
      <c r="I484" s="88"/>
      <c r="K484" s="88"/>
      <c r="L484" s="88"/>
      <c r="M484" s="88"/>
      <c r="O484" s="88"/>
      <c r="P484" s="88"/>
      <c r="Q484" s="88"/>
      <c r="S484" s="88"/>
      <c r="T484" s="88"/>
      <c r="U484" s="88"/>
    </row>
    <row r="485" spans="7:21" ht="15" customHeight="1" x14ac:dyDescent="0.2">
      <c r="G485" s="88"/>
      <c r="H485" s="88"/>
      <c r="I485" s="88"/>
      <c r="K485" s="88"/>
      <c r="L485" s="88"/>
      <c r="M485" s="88"/>
      <c r="O485" s="88"/>
      <c r="P485" s="88"/>
      <c r="Q485" s="88"/>
      <c r="S485" s="88"/>
      <c r="T485" s="88"/>
      <c r="U485" s="88"/>
    </row>
    <row r="486" spans="7:21" ht="15" customHeight="1" x14ac:dyDescent="0.2">
      <c r="G486" s="88"/>
      <c r="H486" s="88"/>
      <c r="I486" s="88"/>
      <c r="K486" s="88"/>
      <c r="L486" s="88"/>
      <c r="M486" s="88"/>
      <c r="O486" s="88"/>
      <c r="P486" s="88"/>
      <c r="Q486" s="88"/>
      <c r="S486" s="88"/>
      <c r="T486" s="88"/>
      <c r="U486" s="88"/>
    </row>
    <row r="487" spans="7:21" ht="15" customHeight="1" x14ac:dyDescent="0.2">
      <c r="G487" s="88"/>
      <c r="H487" s="88"/>
      <c r="I487" s="88"/>
      <c r="K487" s="88"/>
      <c r="L487" s="88"/>
      <c r="M487" s="88"/>
      <c r="O487" s="88"/>
      <c r="P487" s="88"/>
      <c r="Q487" s="88"/>
      <c r="S487" s="88"/>
      <c r="T487" s="88"/>
      <c r="U487" s="88"/>
    </row>
    <row r="488" spans="7:21" ht="15" customHeight="1" x14ac:dyDescent="0.2">
      <c r="G488" s="88"/>
      <c r="H488" s="88"/>
      <c r="I488" s="88"/>
      <c r="K488" s="88"/>
      <c r="L488" s="88"/>
      <c r="M488" s="88"/>
      <c r="O488" s="88"/>
      <c r="P488" s="88"/>
      <c r="Q488" s="88"/>
      <c r="S488" s="88"/>
      <c r="T488" s="88"/>
      <c r="U488" s="88"/>
    </row>
    <row r="489" spans="7:21" ht="15" customHeight="1" x14ac:dyDescent="0.2">
      <c r="G489" s="88"/>
      <c r="H489" s="88"/>
      <c r="I489" s="88"/>
      <c r="K489" s="88"/>
      <c r="L489" s="88"/>
      <c r="M489" s="88"/>
      <c r="O489" s="88"/>
      <c r="P489" s="88"/>
      <c r="Q489" s="88"/>
      <c r="S489" s="88"/>
      <c r="T489" s="88"/>
      <c r="U489" s="88"/>
    </row>
    <row r="490" spans="7:21" ht="15" customHeight="1" x14ac:dyDescent="0.2">
      <c r="G490" s="88"/>
      <c r="H490" s="88"/>
      <c r="I490" s="88"/>
      <c r="K490" s="88"/>
      <c r="L490" s="88"/>
      <c r="M490" s="88"/>
      <c r="O490" s="88"/>
      <c r="P490" s="88"/>
      <c r="Q490" s="88"/>
      <c r="S490" s="88"/>
      <c r="T490" s="88"/>
      <c r="U490" s="88"/>
    </row>
    <row r="491" spans="7:21" ht="15" customHeight="1" x14ac:dyDescent="0.2">
      <c r="G491" s="88"/>
      <c r="H491" s="88"/>
      <c r="I491" s="88"/>
      <c r="K491" s="88"/>
      <c r="L491" s="88"/>
      <c r="M491" s="88"/>
      <c r="O491" s="88"/>
      <c r="P491" s="88"/>
      <c r="Q491" s="88"/>
      <c r="S491" s="88"/>
      <c r="T491" s="88"/>
      <c r="U491" s="88"/>
    </row>
    <row r="492" spans="7:21" ht="15" customHeight="1" x14ac:dyDescent="0.2">
      <c r="G492" s="88"/>
      <c r="H492" s="88"/>
      <c r="I492" s="88"/>
      <c r="K492" s="88"/>
      <c r="L492" s="88"/>
      <c r="M492" s="88"/>
      <c r="O492" s="88"/>
      <c r="P492" s="88"/>
      <c r="Q492" s="88"/>
      <c r="S492" s="88"/>
      <c r="T492" s="88"/>
      <c r="U492" s="88"/>
    </row>
    <row r="493" spans="7:21" ht="15" customHeight="1" x14ac:dyDescent="0.2">
      <c r="G493" s="88"/>
      <c r="H493" s="88"/>
      <c r="I493" s="88"/>
      <c r="K493" s="88"/>
      <c r="L493" s="88"/>
      <c r="M493" s="88"/>
      <c r="O493" s="88"/>
      <c r="P493" s="88"/>
      <c r="Q493" s="88"/>
      <c r="S493" s="88"/>
      <c r="T493" s="88"/>
      <c r="U493" s="88"/>
    </row>
    <row r="494" spans="7:21" ht="15" customHeight="1" x14ac:dyDescent="0.2">
      <c r="G494" s="88"/>
      <c r="H494" s="88"/>
      <c r="I494" s="88"/>
      <c r="K494" s="88"/>
      <c r="L494" s="88"/>
      <c r="M494" s="88"/>
      <c r="O494" s="88"/>
      <c r="P494" s="88"/>
      <c r="Q494" s="88"/>
      <c r="S494" s="88"/>
      <c r="T494" s="88"/>
      <c r="U494" s="88"/>
    </row>
    <row r="495" spans="7:21" ht="15" customHeight="1" x14ac:dyDescent="0.2">
      <c r="G495" s="88"/>
      <c r="H495" s="88"/>
      <c r="I495" s="88"/>
      <c r="K495" s="88"/>
      <c r="L495" s="88"/>
      <c r="M495" s="88"/>
      <c r="O495" s="88"/>
      <c r="P495" s="88"/>
      <c r="Q495" s="88"/>
      <c r="S495" s="88"/>
      <c r="T495" s="88"/>
      <c r="U495" s="88"/>
    </row>
    <row r="496" spans="7:21" ht="15" customHeight="1" x14ac:dyDescent="0.2">
      <c r="G496" s="88"/>
      <c r="H496" s="88"/>
      <c r="I496" s="88"/>
      <c r="K496" s="88"/>
      <c r="L496" s="88"/>
      <c r="M496" s="88"/>
      <c r="O496" s="88"/>
      <c r="P496" s="88"/>
      <c r="Q496" s="88"/>
      <c r="S496" s="88"/>
      <c r="T496" s="88"/>
      <c r="U496" s="88"/>
    </row>
    <row r="497" spans="7:21" ht="15" customHeight="1" x14ac:dyDescent="0.2">
      <c r="G497" s="88"/>
      <c r="H497" s="88"/>
      <c r="I497" s="88"/>
      <c r="K497" s="88"/>
      <c r="L497" s="88"/>
      <c r="M497" s="88"/>
      <c r="O497" s="88"/>
      <c r="P497" s="88"/>
      <c r="Q497" s="88"/>
      <c r="S497" s="88"/>
      <c r="T497" s="88"/>
      <c r="U497" s="88"/>
    </row>
    <row r="498" spans="7:21" ht="15" customHeight="1" x14ac:dyDescent="0.2">
      <c r="G498" s="88"/>
      <c r="H498" s="88"/>
      <c r="I498" s="88"/>
      <c r="K498" s="88"/>
      <c r="L498" s="88"/>
      <c r="M498" s="88"/>
      <c r="O498" s="88"/>
      <c r="P498" s="88"/>
      <c r="Q498" s="88"/>
      <c r="S498" s="88"/>
      <c r="T498" s="88"/>
      <c r="U498" s="88"/>
    </row>
    <row r="499" spans="7:21" ht="15" customHeight="1" x14ac:dyDescent="0.2">
      <c r="G499" s="88"/>
      <c r="H499" s="88"/>
      <c r="I499" s="88"/>
      <c r="K499" s="88"/>
      <c r="L499" s="88"/>
      <c r="M499" s="88"/>
      <c r="O499" s="88"/>
      <c r="P499" s="88"/>
      <c r="Q499" s="88"/>
      <c r="S499" s="88"/>
      <c r="T499" s="88"/>
      <c r="U499" s="88"/>
    </row>
    <row r="500" spans="7:21" ht="15" customHeight="1" x14ac:dyDescent="0.2">
      <c r="G500" s="88"/>
      <c r="H500" s="88"/>
      <c r="I500" s="88"/>
      <c r="K500" s="88"/>
      <c r="L500" s="88"/>
      <c r="M500" s="88"/>
      <c r="O500" s="88"/>
      <c r="P500" s="88"/>
      <c r="Q500" s="88"/>
      <c r="S500" s="88"/>
      <c r="T500" s="88"/>
      <c r="U500" s="88"/>
    </row>
    <row r="501" spans="7:21" ht="15" customHeight="1" x14ac:dyDescent="0.2">
      <c r="G501" s="88"/>
      <c r="H501" s="88"/>
      <c r="I501" s="88"/>
      <c r="K501" s="88"/>
      <c r="L501" s="88"/>
      <c r="M501" s="88"/>
      <c r="O501" s="88"/>
      <c r="P501" s="88"/>
      <c r="Q501" s="88"/>
      <c r="S501" s="88"/>
      <c r="T501" s="88"/>
      <c r="U501" s="88"/>
    </row>
    <row r="502" spans="7:21" ht="15" customHeight="1" x14ac:dyDescent="0.2">
      <c r="G502" s="88"/>
      <c r="H502" s="88"/>
      <c r="I502" s="88"/>
      <c r="K502" s="88"/>
      <c r="L502" s="88"/>
      <c r="M502" s="88"/>
      <c r="O502" s="88"/>
      <c r="P502" s="88"/>
      <c r="Q502" s="88"/>
      <c r="S502" s="88"/>
      <c r="T502" s="88"/>
      <c r="U502" s="88"/>
    </row>
    <row r="503" spans="7:21" ht="15" customHeight="1" x14ac:dyDescent="0.2">
      <c r="G503" s="88"/>
      <c r="H503" s="88"/>
      <c r="I503" s="88"/>
      <c r="K503" s="88"/>
      <c r="L503" s="88"/>
      <c r="M503" s="88"/>
      <c r="O503" s="88"/>
      <c r="P503" s="88"/>
      <c r="Q503" s="88"/>
      <c r="S503" s="88"/>
      <c r="T503" s="88"/>
      <c r="U503" s="88"/>
    </row>
    <row r="504" spans="7:21" ht="15" customHeight="1" x14ac:dyDescent="0.2">
      <c r="G504" s="88"/>
      <c r="H504" s="88"/>
      <c r="I504" s="88"/>
      <c r="K504" s="88"/>
      <c r="L504" s="88"/>
      <c r="M504" s="88"/>
      <c r="O504" s="88"/>
      <c r="P504" s="88"/>
      <c r="Q504" s="88"/>
      <c r="S504" s="88"/>
      <c r="T504" s="88"/>
      <c r="U504" s="88"/>
    </row>
    <row r="505" spans="7:21" ht="15" customHeight="1" x14ac:dyDescent="0.2">
      <c r="G505" s="88"/>
      <c r="H505" s="88"/>
      <c r="I505" s="88"/>
      <c r="K505" s="88"/>
      <c r="L505" s="88"/>
      <c r="M505" s="88"/>
      <c r="O505" s="88"/>
      <c r="P505" s="88"/>
      <c r="Q505" s="88"/>
      <c r="S505" s="88"/>
      <c r="T505" s="88"/>
      <c r="U505" s="88"/>
    </row>
    <row r="506" spans="7:21" ht="15" customHeight="1" x14ac:dyDescent="0.2">
      <c r="G506" s="88"/>
      <c r="H506" s="88"/>
      <c r="I506" s="88"/>
      <c r="K506" s="88"/>
      <c r="L506" s="88"/>
      <c r="M506" s="88"/>
      <c r="O506" s="88"/>
      <c r="P506" s="88"/>
      <c r="Q506" s="88"/>
      <c r="S506" s="88"/>
      <c r="T506" s="88"/>
      <c r="U506" s="88"/>
    </row>
    <row r="507" spans="7:21" ht="15" customHeight="1" x14ac:dyDescent="0.2">
      <c r="G507" s="88"/>
      <c r="H507" s="88"/>
      <c r="I507" s="88"/>
      <c r="K507" s="88"/>
      <c r="L507" s="88"/>
      <c r="M507" s="88"/>
      <c r="O507" s="88"/>
      <c r="P507" s="88"/>
      <c r="Q507" s="88"/>
      <c r="S507" s="88"/>
      <c r="T507" s="88"/>
      <c r="U507" s="88"/>
    </row>
    <row r="508" spans="7:21" ht="15" customHeight="1" x14ac:dyDescent="0.2">
      <c r="G508" s="88"/>
      <c r="H508" s="88"/>
      <c r="I508" s="88"/>
      <c r="K508" s="88"/>
      <c r="L508" s="88"/>
      <c r="M508" s="88"/>
      <c r="O508" s="88"/>
      <c r="P508" s="88"/>
      <c r="Q508" s="88"/>
      <c r="S508" s="88"/>
      <c r="T508" s="88"/>
      <c r="U508" s="88"/>
    </row>
    <row r="509" spans="7:21" ht="15" customHeight="1" x14ac:dyDescent="0.2">
      <c r="G509" s="88"/>
      <c r="H509" s="88"/>
      <c r="I509" s="88"/>
      <c r="K509" s="88"/>
      <c r="L509" s="88"/>
      <c r="M509" s="88"/>
      <c r="O509" s="88"/>
      <c r="P509" s="88"/>
      <c r="Q509" s="88"/>
      <c r="S509" s="88"/>
      <c r="T509" s="88"/>
      <c r="U509" s="88"/>
    </row>
    <row r="510" spans="7:21" ht="15" customHeight="1" x14ac:dyDescent="0.2">
      <c r="G510" s="88"/>
      <c r="H510" s="88"/>
      <c r="I510" s="88"/>
      <c r="K510" s="88"/>
      <c r="L510" s="88"/>
      <c r="M510" s="88"/>
      <c r="O510" s="88"/>
      <c r="P510" s="88"/>
      <c r="Q510" s="88"/>
      <c r="S510" s="88"/>
      <c r="T510" s="88"/>
      <c r="U510" s="88"/>
    </row>
    <row r="511" spans="7:21" ht="15" customHeight="1" x14ac:dyDescent="0.2">
      <c r="G511" s="88"/>
      <c r="H511" s="88"/>
      <c r="I511" s="88"/>
      <c r="K511" s="88"/>
      <c r="L511" s="88"/>
      <c r="M511" s="88"/>
      <c r="O511" s="88"/>
      <c r="P511" s="88"/>
      <c r="Q511" s="88"/>
      <c r="S511" s="88"/>
      <c r="T511" s="88"/>
      <c r="U511" s="88"/>
    </row>
    <row r="512" spans="7:21" ht="15" customHeight="1" x14ac:dyDescent="0.2">
      <c r="G512" s="88"/>
      <c r="H512" s="88"/>
      <c r="I512" s="88"/>
      <c r="K512" s="88"/>
      <c r="L512" s="88"/>
      <c r="M512" s="88"/>
      <c r="O512" s="88"/>
      <c r="P512" s="88"/>
      <c r="Q512" s="88"/>
      <c r="S512" s="88"/>
      <c r="T512" s="88"/>
      <c r="U512" s="88"/>
    </row>
    <row r="513" spans="7:21" ht="15" customHeight="1" x14ac:dyDescent="0.2">
      <c r="G513" s="88"/>
      <c r="H513" s="88"/>
      <c r="I513" s="88"/>
      <c r="K513" s="88"/>
      <c r="L513" s="88"/>
      <c r="M513" s="88"/>
      <c r="O513" s="88"/>
      <c r="P513" s="88"/>
      <c r="Q513" s="88"/>
      <c r="S513" s="88"/>
      <c r="T513" s="88"/>
      <c r="U513" s="88"/>
    </row>
    <row r="514" spans="7:21" ht="15" customHeight="1" x14ac:dyDescent="0.2">
      <c r="G514" s="88"/>
      <c r="H514" s="88"/>
      <c r="I514" s="88"/>
      <c r="K514" s="88"/>
      <c r="L514" s="88"/>
      <c r="M514" s="88"/>
      <c r="O514" s="88"/>
      <c r="P514" s="88"/>
      <c r="Q514" s="88"/>
      <c r="S514" s="88"/>
      <c r="T514" s="88"/>
      <c r="U514" s="88"/>
    </row>
    <row r="515" spans="7:21" ht="15" customHeight="1" x14ac:dyDescent="0.2">
      <c r="G515" s="88"/>
      <c r="H515" s="88"/>
      <c r="I515" s="88"/>
      <c r="K515" s="88"/>
      <c r="L515" s="88"/>
      <c r="M515" s="88"/>
      <c r="O515" s="88"/>
      <c r="P515" s="88"/>
      <c r="Q515" s="88"/>
      <c r="S515" s="88"/>
      <c r="T515" s="88"/>
      <c r="U515" s="88"/>
    </row>
    <row r="516" spans="7:21" ht="15" customHeight="1" x14ac:dyDescent="0.2">
      <c r="G516" s="88"/>
      <c r="H516" s="88"/>
      <c r="I516" s="88"/>
      <c r="K516" s="88"/>
      <c r="L516" s="88"/>
      <c r="M516" s="88"/>
      <c r="O516" s="88"/>
      <c r="P516" s="88"/>
      <c r="Q516" s="88"/>
      <c r="S516" s="88"/>
      <c r="T516" s="88"/>
      <c r="U516" s="88"/>
    </row>
    <row r="517" spans="7:21" ht="15" customHeight="1" x14ac:dyDescent="0.2">
      <c r="G517" s="88"/>
      <c r="H517" s="88"/>
      <c r="I517" s="88"/>
      <c r="K517" s="88"/>
      <c r="L517" s="88"/>
      <c r="M517" s="88"/>
      <c r="O517" s="88"/>
      <c r="P517" s="88"/>
      <c r="Q517" s="88"/>
      <c r="S517" s="88"/>
      <c r="T517" s="88"/>
      <c r="U517" s="88"/>
    </row>
    <row r="518" spans="7:21" ht="15" customHeight="1" x14ac:dyDescent="0.2">
      <c r="G518" s="88"/>
      <c r="H518" s="88"/>
      <c r="I518" s="88"/>
      <c r="K518" s="88"/>
      <c r="L518" s="88"/>
      <c r="M518" s="88"/>
      <c r="O518" s="88"/>
      <c r="P518" s="88"/>
      <c r="Q518" s="88"/>
      <c r="S518" s="88"/>
      <c r="T518" s="88"/>
      <c r="U518" s="88"/>
    </row>
    <row r="519" spans="7:21" ht="15" customHeight="1" x14ac:dyDescent="0.2">
      <c r="G519" s="88"/>
      <c r="H519" s="88"/>
      <c r="I519" s="88"/>
      <c r="K519" s="88"/>
      <c r="L519" s="88"/>
      <c r="M519" s="88"/>
      <c r="O519" s="88"/>
      <c r="P519" s="88"/>
      <c r="Q519" s="88"/>
      <c r="S519" s="88"/>
      <c r="T519" s="88"/>
      <c r="U519" s="88"/>
    </row>
    <row r="520" spans="7:21" ht="15" customHeight="1" x14ac:dyDescent="0.2">
      <c r="G520" s="88"/>
      <c r="H520" s="88"/>
      <c r="I520" s="88"/>
      <c r="K520" s="88"/>
      <c r="L520" s="88"/>
      <c r="M520" s="88"/>
      <c r="O520" s="88"/>
      <c r="P520" s="88"/>
      <c r="Q520" s="88"/>
      <c r="S520" s="88"/>
      <c r="T520" s="88"/>
      <c r="U520" s="88"/>
    </row>
    <row r="521" spans="7:21" ht="15" customHeight="1" x14ac:dyDescent="0.2">
      <c r="G521" s="88"/>
      <c r="H521" s="88"/>
      <c r="I521" s="88"/>
      <c r="K521" s="88"/>
      <c r="L521" s="88"/>
      <c r="M521" s="88"/>
      <c r="O521" s="88"/>
      <c r="P521" s="88"/>
      <c r="Q521" s="88"/>
      <c r="S521" s="88"/>
      <c r="T521" s="88"/>
      <c r="U521" s="88"/>
    </row>
    <row r="522" spans="7:21" ht="15" customHeight="1" x14ac:dyDescent="0.2">
      <c r="G522" s="88"/>
      <c r="H522" s="88"/>
      <c r="I522" s="88"/>
      <c r="K522" s="88"/>
      <c r="L522" s="88"/>
      <c r="M522" s="88"/>
      <c r="O522" s="88"/>
      <c r="P522" s="88"/>
      <c r="Q522" s="88"/>
      <c r="S522" s="88"/>
      <c r="T522" s="88"/>
      <c r="U522" s="88"/>
    </row>
    <row r="523" spans="7:21" ht="15" customHeight="1" x14ac:dyDescent="0.2">
      <c r="G523" s="88"/>
      <c r="H523" s="88"/>
      <c r="I523" s="88"/>
      <c r="K523" s="88"/>
      <c r="L523" s="88"/>
      <c r="M523" s="88"/>
      <c r="O523" s="88"/>
      <c r="P523" s="88"/>
      <c r="Q523" s="88"/>
      <c r="S523" s="88"/>
      <c r="T523" s="88"/>
      <c r="U523" s="88"/>
    </row>
    <row r="524" spans="7:21" ht="15" customHeight="1" x14ac:dyDescent="0.2">
      <c r="G524" s="88"/>
      <c r="H524" s="88"/>
      <c r="I524" s="88"/>
      <c r="K524" s="88"/>
      <c r="L524" s="88"/>
      <c r="M524" s="88"/>
      <c r="O524" s="88"/>
      <c r="P524" s="88"/>
      <c r="Q524" s="88"/>
      <c r="S524" s="88"/>
      <c r="T524" s="88"/>
      <c r="U524" s="88"/>
    </row>
    <row r="525" spans="7:21" ht="15" customHeight="1" x14ac:dyDescent="0.2">
      <c r="G525" s="88"/>
      <c r="H525" s="88"/>
      <c r="I525" s="88"/>
      <c r="K525" s="88"/>
      <c r="L525" s="88"/>
      <c r="M525" s="88"/>
      <c r="O525" s="88"/>
      <c r="P525" s="88"/>
      <c r="Q525" s="88"/>
      <c r="S525" s="88"/>
      <c r="T525" s="88"/>
      <c r="U525" s="88"/>
    </row>
    <row r="526" spans="7:21" ht="15" customHeight="1" x14ac:dyDescent="0.2">
      <c r="G526" s="88"/>
      <c r="H526" s="88"/>
      <c r="I526" s="88"/>
      <c r="K526" s="88"/>
      <c r="L526" s="88"/>
      <c r="M526" s="88"/>
      <c r="O526" s="88"/>
      <c r="P526" s="88"/>
      <c r="Q526" s="88"/>
      <c r="S526" s="88"/>
      <c r="T526" s="88"/>
      <c r="U526" s="88"/>
    </row>
    <row r="527" spans="7:21" ht="15" customHeight="1" x14ac:dyDescent="0.2">
      <c r="G527" s="88"/>
      <c r="H527" s="88"/>
      <c r="I527" s="88"/>
      <c r="K527" s="88"/>
      <c r="L527" s="88"/>
      <c r="M527" s="88"/>
      <c r="O527" s="88"/>
      <c r="P527" s="88"/>
      <c r="Q527" s="88"/>
      <c r="S527" s="88"/>
      <c r="T527" s="88"/>
      <c r="U527" s="88"/>
    </row>
    <row r="528" spans="7:21" ht="15" customHeight="1" x14ac:dyDescent="0.2">
      <c r="G528" s="88"/>
      <c r="H528" s="88"/>
      <c r="I528" s="88"/>
      <c r="K528" s="88"/>
      <c r="L528" s="88"/>
      <c r="M528" s="88"/>
      <c r="O528" s="88"/>
      <c r="P528" s="88"/>
      <c r="Q528" s="88"/>
      <c r="S528" s="88"/>
      <c r="T528" s="88"/>
      <c r="U528" s="88"/>
    </row>
    <row r="529" spans="7:21" ht="15" customHeight="1" x14ac:dyDescent="0.2">
      <c r="G529" s="88"/>
      <c r="H529" s="88"/>
      <c r="I529" s="88"/>
      <c r="K529" s="88"/>
      <c r="L529" s="88"/>
      <c r="M529" s="88"/>
      <c r="O529" s="88"/>
      <c r="P529" s="88"/>
      <c r="Q529" s="88"/>
      <c r="S529" s="88"/>
      <c r="T529" s="88"/>
      <c r="U529" s="88"/>
    </row>
    <row r="530" spans="7:21" ht="15" customHeight="1" x14ac:dyDescent="0.2">
      <c r="G530" s="88"/>
      <c r="H530" s="88"/>
      <c r="I530" s="88"/>
      <c r="K530" s="88"/>
      <c r="L530" s="88"/>
      <c r="M530" s="88"/>
      <c r="O530" s="88"/>
      <c r="P530" s="88"/>
      <c r="Q530" s="88"/>
      <c r="S530" s="88"/>
      <c r="T530" s="88"/>
      <c r="U530" s="88"/>
    </row>
    <row r="531" spans="7:21" ht="15" customHeight="1" x14ac:dyDescent="0.2">
      <c r="G531" s="88"/>
      <c r="H531" s="88"/>
      <c r="I531" s="88"/>
      <c r="K531" s="88"/>
      <c r="L531" s="88"/>
      <c r="M531" s="88"/>
      <c r="O531" s="88"/>
      <c r="P531" s="88"/>
      <c r="Q531" s="88"/>
      <c r="S531" s="88"/>
      <c r="T531" s="88"/>
      <c r="U531" s="88"/>
    </row>
    <row r="532" spans="7:21" ht="15" customHeight="1" x14ac:dyDescent="0.2">
      <c r="G532" s="88"/>
      <c r="H532" s="88"/>
      <c r="I532" s="88"/>
      <c r="K532" s="88"/>
      <c r="L532" s="88"/>
      <c r="M532" s="88"/>
      <c r="O532" s="88"/>
      <c r="P532" s="88"/>
      <c r="Q532" s="88"/>
      <c r="S532" s="88"/>
      <c r="T532" s="88"/>
      <c r="U532" s="88"/>
    </row>
    <row r="533" spans="7:21" ht="15" customHeight="1" x14ac:dyDescent="0.2">
      <c r="G533" s="88"/>
      <c r="H533" s="88"/>
      <c r="I533" s="88"/>
      <c r="K533" s="88"/>
      <c r="L533" s="88"/>
      <c r="M533" s="88"/>
      <c r="O533" s="88"/>
      <c r="P533" s="88"/>
      <c r="Q533" s="88"/>
      <c r="S533" s="88"/>
      <c r="T533" s="88"/>
      <c r="U533" s="88"/>
    </row>
    <row r="534" spans="7:21" ht="15" customHeight="1" x14ac:dyDescent="0.2">
      <c r="G534" s="88"/>
      <c r="H534" s="88"/>
      <c r="I534" s="88"/>
      <c r="K534" s="88"/>
      <c r="L534" s="88"/>
      <c r="M534" s="88"/>
      <c r="O534" s="88"/>
      <c r="P534" s="88"/>
      <c r="Q534" s="88"/>
      <c r="S534" s="88"/>
      <c r="T534" s="88"/>
      <c r="U534" s="88"/>
    </row>
    <row r="535" spans="7:21" ht="15" customHeight="1" x14ac:dyDescent="0.2">
      <c r="G535" s="88"/>
      <c r="H535" s="88"/>
      <c r="I535" s="88"/>
      <c r="K535" s="88"/>
      <c r="L535" s="88"/>
      <c r="M535" s="88"/>
      <c r="O535" s="88"/>
      <c r="P535" s="88"/>
      <c r="Q535" s="88"/>
      <c r="S535" s="88"/>
      <c r="T535" s="88"/>
      <c r="U535" s="88"/>
    </row>
    <row r="536" spans="7:21" ht="15" customHeight="1" x14ac:dyDescent="0.2">
      <c r="G536" s="88"/>
      <c r="H536" s="88"/>
      <c r="I536" s="88"/>
      <c r="K536" s="88"/>
      <c r="L536" s="88"/>
      <c r="M536" s="88"/>
      <c r="O536" s="88"/>
      <c r="P536" s="88"/>
      <c r="Q536" s="88"/>
      <c r="S536" s="88"/>
      <c r="T536" s="88"/>
      <c r="U536" s="88"/>
    </row>
    <row r="537" spans="7:21" ht="15" customHeight="1" x14ac:dyDescent="0.2">
      <c r="G537" s="88"/>
      <c r="H537" s="88"/>
      <c r="I537" s="88"/>
      <c r="K537" s="88"/>
      <c r="L537" s="88"/>
      <c r="M537" s="88"/>
      <c r="O537" s="88"/>
      <c r="P537" s="88"/>
      <c r="Q537" s="88"/>
      <c r="S537" s="88"/>
      <c r="T537" s="88"/>
      <c r="U537" s="88"/>
    </row>
    <row r="538" spans="7:21" ht="15" customHeight="1" x14ac:dyDescent="0.2">
      <c r="G538" s="88"/>
      <c r="H538" s="88"/>
      <c r="I538" s="88"/>
      <c r="K538" s="88"/>
      <c r="L538" s="88"/>
      <c r="M538" s="88"/>
      <c r="O538" s="88"/>
      <c r="P538" s="88"/>
      <c r="Q538" s="88"/>
      <c r="S538" s="88"/>
      <c r="T538" s="88"/>
      <c r="U538" s="88"/>
    </row>
    <row r="539" spans="7:21" ht="15" customHeight="1" x14ac:dyDescent="0.2">
      <c r="G539" s="88"/>
      <c r="H539" s="88"/>
      <c r="I539" s="88"/>
      <c r="K539" s="88"/>
      <c r="L539" s="88"/>
      <c r="M539" s="88"/>
      <c r="O539" s="88"/>
      <c r="P539" s="88"/>
      <c r="Q539" s="88"/>
      <c r="S539" s="88"/>
      <c r="T539" s="88"/>
      <c r="U539" s="88"/>
    </row>
    <row r="540" spans="7:21" ht="15" customHeight="1" x14ac:dyDescent="0.2">
      <c r="G540" s="88"/>
      <c r="H540" s="88"/>
      <c r="I540" s="88"/>
      <c r="K540" s="88"/>
      <c r="L540" s="88"/>
      <c r="M540" s="88"/>
      <c r="O540" s="88"/>
      <c r="P540" s="88"/>
      <c r="Q540" s="88"/>
      <c r="S540" s="88"/>
      <c r="T540" s="88"/>
      <c r="U540" s="88"/>
    </row>
    <row r="541" spans="7:21" ht="15" customHeight="1" x14ac:dyDescent="0.2">
      <c r="G541" s="88"/>
      <c r="H541" s="88"/>
      <c r="I541" s="88"/>
      <c r="K541" s="88"/>
      <c r="L541" s="88"/>
      <c r="M541" s="88"/>
      <c r="O541" s="88"/>
      <c r="P541" s="88"/>
      <c r="Q541" s="88"/>
      <c r="S541" s="88"/>
      <c r="T541" s="88"/>
      <c r="U541" s="88"/>
    </row>
    <row r="542" spans="7:21" ht="15" customHeight="1" x14ac:dyDescent="0.2">
      <c r="G542" s="88"/>
      <c r="H542" s="88"/>
      <c r="I542" s="88"/>
      <c r="K542" s="88"/>
      <c r="L542" s="88"/>
      <c r="M542" s="88"/>
      <c r="O542" s="88"/>
      <c r="P542" s="88"/>
      <c r="Q542" s="88"/>
      <c r="S542" s="88"/>
      <c r="T542" s="88"/>
      <c r="U542" s="88"/>
    </row>
    <row r="543" spans="7:21" ht="15" customHeight="1" x14ac:dyDescent="0.2">
      <c r="G543" s="88"/>
      <c r="H543" s="88"/>
      <c r="I543" s="88"/>
      <c r="K543" s="88"/>
      <c r="L543" s="88"/>
      <c r="M543" s="88"/>
      <c r="O543" s="88"/>
      <c r="P543" s="88"/>
      <c r="Q543" s="88"/>
      <c r="S543" s="88"/>
      <c r="T543" s="88"/>
      <c r="U543" s="88"/>
    </row>
    <row r="544" spans="7:21" ht="15" customHeight="1" x14ac:dyDescent="0.2">
      <c r="G544" s="88"/>
      <c r="H544" s="88"/>
      <c r="I544" s="88"/>
      <c r="K544" s="88"/>
      <c r="L544" s="88"/>
      <c r="M544" s="88"/>
      <c r="O544" s="88"/>
      <c r="P544" s="88"/>
      <c r="Q544" s="88"/>
      <c r="S544" s="88"/>
      <c r="T544" s="88"/>
      <c r="U544" s="88"/>
    </row>
    <row r="545" spans="7:21" ht="15" customHeight="1" x14ac:dyDescent="0.2">
      <c r="G545" s="88"/>
      <c r="H545" s="88"/>
      <c r="I545" s="88"/>
      <c r="K545" s="88"/>
      <c r="L545" s="88"/>
      <c r="M545" s="88"/>
      <c r="O545" s="88"/>
      <c r="P545" s="88"/>
      <c r="Q545" s="88"/>
      <c r="S545" s="88"/>
      <c r="T545" s="88"/>
      <c r="U545" s="88"/>
    </row>
    <row r="546" spans="7:21" ht="15" customHeight="1" x14ac:dyDescent="0.2">
      <c r="G546" s="88"/>
      <c r="H546" s="88"/>
      <c r="I546" s="88"/>
      <c r="K546" s="88"/>
      <c r="L546" s="88"/>
      <c r="M546" s="88"/>
      <c r="O546" s="88"/>
      <c r="P546" s="88"/>
      <c r="Q546" s="88"/>
      <c r="S546" s="88"/>
      <c r="T546" s="88"/>
      <c r="U546" s="88"/>
    </row>
    <row r="547" spans="7:21" ht="15" customHeight="1" x14ac:dyDescent="0.2">
      <c r="G547" s="88"/>
      <c r="H547" s="88"/>
      <c r="I547" s="88"/>
      <c r="K547" s="88"/>
      <c r="L547" s="88"/>
      <c r="M547" s="88"/>
      <c r="O547" s="88"/>
      <c r="P547" s="88"/>
      <c r="Q547" s="88"/>
      <c r="S547" s="88"/>
      <c r="T547" s="88"/>
      <c r="U547" s="88"/>
    </row>
    <row r="548" spans="7:21" ht="15" customHeight="1" x14ac:dyDescent="0.2">
      <c r="G548" s="88"/>
      <c r="H548" s="88"/>
      <c r="I548" s="88"/>
      <c r="K548" s="88"/>
      <c r="L548" s="88"/>
      <c r="M548" s="88"/>
      <c r="O548" s="88"/>
      <c r="P548" s="88"/>
      <c r="Q548" s="88"/>
      <c r="S548" s="88"/>
      <c r="T548" s="88"/>
      <c r="U548" s="88"/>
    </row>
    <row r="549" spans="7:21" ht="15" customHeight="1" x14ac:dyDescent="0.2">
      <c r="G549" s="88"/>
      <c r="H549" s="88"/>
      <c r="I549" s="88"/>
      <c r="K549" s="88"/>
      <c r="L549" s="88"/>
      <c r="M549" s="88"/>
      <c r="O549" s="88"/>
      <c r="P549" s="88"/>
      <c r="Q549" s="88"/>
      <c r="S549" s="88"/>
      <c r="T549" s="88"/>
      <c r="U549" s="88"/>
    </row>
    <row r="550" spans="7:21" ht="15" customHeight="1" x14ac:dyDescent="0.2">
      <c r="G550" s="88"/>
      <c r="H550" s="88"/>
      <c r="I550" s="88"/>
      <c r="K550" s="88"/>
      <c r="L550" s="88"/>
      <c r="M550" s="88"/>
      <c r="O550" s="88"/>
      <c r="P550" s="88"/>
      <c r="Q550" s="88"/>
      <c r="S550" s="88"/>
      <c r="T550" s="88"/>
      <c r="U550" s="88"/>
    </row>
    <row r="551" spans="7:21" ht="15" customHeight="1" x14ac:dyDescent="0.2">
      <c r="G551" s="88"/>
      <c r="H551" s="88"/>
      <c r="I551" s="88"/>
      <c r="K551" s="88"/>
      <c r="L551" s="88"/>
      <c r="M551" s="88"/>
      <c r="O551" s="88"/>
      <c r="P551" s="88"/>
      <c r="Q551" s="88"/>
      <c r="S551" s="88"/>
      <c r="T551" s="88"/>
      <c r="U551" s="88"/>
    </row>
    <row r="552" spans="7:21" ht="15" customHeight="1" x14ac:dyDescent="0.2">
      <c r="G552" s="88"/>
      <c r="H552" s="88"/>
      <c r="I552" s="88"/>
      <c r="K552" s="88"/>
      <c r="L552" s="88"/>
      <c r="M552" s="88"/>
      <c r="O552" s="88"/>
      <c r="P552" s="88"/>
      <c r="Q552" s="88"/>
      <c r="S552" s="88"/>
      <c r="T552" s="88"/>
      <c r="U552" s="88"/>
    </row>
    <row r="553" spans="7:21" ht="15" customHeight="1" x14ac:dyDescent="0.2">
      <c r="G553" s="88"/>
      <c r="H553" s="88"/>
      <c r="I553" s="88"/>
      <c r="K553" s="88"/>
      <c r="L553" s="88"/>
      <c r="M553" s="88"/>
      <c r="O553" s="88"/>
      <c r="P553" s="88"/>
      <c r="Q553" s="88"/>
      <c r="S553" s="88"/>
      <c r="T553" s="88"/>
      <c r="U553" s="88"/>
    </row>
    <row r="554" spans="7:21" ht="15" customHeight="1" x14ac:dyDescent="0.2">
      <c r="G554" s="88"/>
      <c r="H554" s="88"/>
      <c r="I554" s="88"/>
      <c r="K554" s="88"/>
      <c r="L554" s="88"/>
      <c r="M554" s="88"/>
      <c r="O554" s="88"/>
      <c r="P554" s="88"/>
      <c r="Q554" s="88"/>
      <c r="S554" s="88"/>
      <c r="T554" s="88"/>
      <c r="U554" s="88"/>
    </row>
    <row r="555" spans="7:21" ht="15" customHeight="1" x14ac:dyDescent="0.2">
      <c r="G555" s="88"/>
      <c r="H555" s="88"/>
      <c r="I555" s="88"/>
      <c r="K555" s="88"/>
      <c r="L555" s="88"/>
      <c r="M555" s="88"/>
      <c r="O555" s="88"/>
      <c r="P555" s="88"/>
      <c r="Q555" s="88"/>
      <c r="S555" s="88"/>
      <c r="T555" s="88"/>
      <c r="U555" s="88"/>
    </row>
    <row r="556" spans="7:21" ht="15" customHeight="1" x14ac:dyDescent="0.2">
      <c r="G556" s="88"/>
      <c r="H556" s="88"/>
      <c r="I556" s="88"/>
      <c r="K556" s="88"/>
      <c r="L556" s="88"/>
      <c r="M556" s="88"/>
      <c r="O556" s="88"/>
      <c r="P556" s="88"/>
      <c r="Q556" s="88"/>
      <c r="S556" s="88"/>
      <c r="T556" s="88"/>
      <c r="U556" s="88"/>
    </row>
    <row r="557" spans="7:21" ht="15" customHeight="1" x14ac:dyDescent="0.2">
      <c r="G557" s="88"/>
      <c r="H557" s="88"/>
      <c r="I557" s="88"/>
      <c r="K557" s="88"/>
      <c r="L557" s="88"/>
      <c r="M557" s="88"/>
      <c r="O557" s="88"/>
      <c r="P557" s="88"/>
      <c r="Q557" s="88"/>
      <c r="S557" s="88"/>
      <c r="T557" s="88"/>
      <c r="U557" s="88"/>
    </row>
    <row r="558" spans="7:21" ht="15" customHeight="1" x14ac:dyDescent="0.2">
      <c r="G558" s="88"/>
      <c r="H558" s="88"/>
      <c r="I558" s="88"/>
      <c r="K558" s="88"/>
      <c r="L558" s="88"/>
      <c r="M558" s="88"/>
      <c r="O558" s="88"/>
      <c r="P558" s="88"/>
      <c r="Q558" s="88"/>
      <c r="S558" s="88"/>
      <c r="T558" s="88"/>
      <c r="U558" s="88"/>
    </row>
    <row r="559" spans="7:21" ht="15" customHeight="1" x14ac:dyDescent="0.2">
      <c r="G559" s="88"/>
      <c r="H559" s="88"/>
      <c r="I559" s="88"/>
      <c r="K559" s="88"/>
      <c r="L559" s="88"/>
      <c r="M559" s="88"/>
      <c r="O559" s="88"/>
      <c r="P559" s="88"/>
      <c r="Q559" s="88"/>
      <c r="S559" s="88"/>
      <c r="T559" s="88"/>
      <c r="U559" s="88"/>
    </row>
    <row r="560" spans="7:21" ht="15" customHeight="1" x14ac:dyDescent="0.2">
      <c r="G560" s="88"/>
      <c r="H560" s="88"/>
      <c r="I560" s="88"/>
      <c r="K560" s="88"/>
      <c r="L560" s="88"/>
      <c r="M560" s="88"/>
      <c r="O560" s="88"/>
      <c r="P560" s="88"/>
      <c r="Q560" s="88"/>
      <c r="S560" s="88"/>
      <c r="T560" s="88"/>
      <c r="U560" s="88"/>
    </row>
    <row r="561" spans="7:21" ht="15" customHeight="1" x14ac:dyDescent="0.2">
      <c r="G561" s="88"/>
      <c r="H561" s="88"/>
      <c r="I561" s="88"/>
      <c r="K561" s="88"/>
      <c r="L561" s="88"/>
      <c r="M561" s="88"/>
      <c r="O561" s="88"/>
      <c r="P561" s="88"/>
      <c r="Q561" s="88"/>
      <c r="S561" s="88"/>
      <c r="T561" s="88"/>
      <c r="U561" s="88"/>
    </row>
    <row r="562" spans="7:21" ht="15" customHeight="1" x14ac:dyDescent="0.2">
      <c r="G562" s="88"/>
      <c r="H562" s="88"/>
      <c r="I562" s="88"/>
      <c r="K562" s="88"/>
      <c r="L562" s="88"/>
      <c r="M562" s="88"/>
      <c r="O562" s="88"/>
      <c r="P562" s="88"/>
      <c r="Q562" s="88"/>
      <c r="S562" s="88"/>
      <c r="T562" s="88"/>
      <c r="U562" s="88"/>
    </row>
    <row r="563" spans="7:21" ht="15" customHeight="1" x14ac:dyDescent="0.2">
      <c r="G563" s="88"/>
      <c r="H563" s="88"/>
      <c r="I563" s="88"/>
      <c r="K563" s="88"/>
      <c r="L563" s="88"/>
      <c r="M563" s="88"/>
      <c r="O563" s="88"/>
      <c r="P563" s="88"/>
      <c r="Q563" s="88"/>
      <c r="S563" s="88"/>
      <c r="T563" s="88"/>
      <c r="U563" s="88"/>
    </row>
    <row r="564" spans="7:21" ht="15" customHeight="1" x14ac:dyDescent="0.2">
      <c r="G564" s="88"/>
      <c r="H564" s="88"/>
      <c r="I564" s="88"/>
      <c r="K564" s="88"/>
      <c r="L564" s="88"/>
      <c r="M564" s="88"/>
      <c r="O564" s="88"/>
      <c r="P564" s="88"/>
      <c r="Q564" s="88"/>
      <c r="S564" s="88"/>
      <c r="T564" s="88"/>
      <c r="U564" s="88"/>
    </row>
    <row r="565" spans="7:21" ht="15" customHeight="1" x14ac:dyDescent="0.2">
      <c r="G565" s="88"/>
      <c r="H565" s="88"/>
      <c r="I565" s="88"/>
      <c r="K565" s="88"/>
      <c r="L565" s="88"/>
      <c r="M565" s="88"/>
      <c r="O565" s="88"/>
      <c r="P565" s="88"/>
      <c r="Q565" s="88"/>
      <c r="S565" s="88"/>
      <c r="T565" s="88"/>
      <c r="U565" s="88"/>
    </row>
    <row r="566" spans="7:21" ht="15" customHeight="1" x14ac:dyDescent="0.2">
      <c r="G566" s="88"/>
      <c r="H566" s="88"/>
      <c r="I566" s="88"/>
      <c r="K566" s="88"/>
      <c r="L566" s="88"/>
      <c r="M566" s="88"/>
      <c r="O566" s="88"/>
      <c r="P566" s="88"/>
      <c r="Q566" s="88"/>
      <c r="S566" s="88"/>
      <c r="T566" s="88"/>
      <c r="U566" s="88"/>
    </row>
    <row r="567" spans="7:21" ht="15" customHeight="1" x14ac:dyDescent="0.2">
      <c r="G567" s="88"/>
      <c r="H567" s="88"/>
      <c r="I567" s="88"/>
      <c r="K567" s="88"/>
      <c r="L567" s="88"/>
      <c r="M567" s="88"/>
      <c r="O567" s="88"/>
      <c r="P567" s="88"/>
      <c r="Q567" s="88"/>
      <c r="S567" s="88"/>
      <c r="T567" s="88"/>
      <c r="U567" s="88"/>
    </row>
    <row r="568" spans="7:21" ht="15" customHeight="1" x14ac:dyDescent="0.2">
      <c r="G568" s="88"/>
      <c r="H568" s="88"/>
      <c r="I568" s="88"/>
      <c r="K568" s="88"/>
      <c r="L568" s="88"/>
      <c r="M568" s="88"/>
      <c r="O568" s="88"/>
      <c r="P568" s="88"/>
      <c r="Q568" s="88"/>
      <c r="S568" s="88"/>
      <c r="T568" s="88"/>
      <c r="U568" s="88"/>
    </row>
    <row r="569" spans="7:21" ht="15" customHeight="1" x14ac:dyDescent="0.2">
      <c r="G569" s="88"/>
      <c r="H569" s="88"/>
      <c r="I569" s="88"/>
      <c r="K569" s="88"/>
      <c r="L569" s="88"/>
      <c r="M569" s="88"/>
      <c r="O569" s="88"/>
      <c r="P569" s="88"/>
      <c r="Q569" s="88"/>
      <c r="S569" s="88"/>
      <c r="T569" s="88"/>
      <c r="U569" s="88"/>
    </row>
    <row r="570" spans="7:21" ht="15" customHeight="1" x14ac:dyDescent="0.2">
      <c r="G570" s="88"/>
      <c r="H570" s="88"/>
      <c r="I570" s="88"/>
      <c r="K570" s="88"/>
      <c r="L570" s="88"/>
      <c r="M570" s="88"/>
      <c r="O570" s="88"/>
      <c r="P570" s="88"/>
      <c r="Q570" s="88"/>
      <c r="S570" s="88"/>
      <c r="T570" s="88"/>
      <c r="U570" s="88"/>
    </row>
    <row r="571" spans="7:21" ht="15" customHeight="1" x14ac:dyDescent="0.2">
      <c r="G571" s="88"/>
      <c r="H571" s="88"/>
      <c r="I571" s="88"/>
      <c r="K571" s="88"/>
      <c r="L571" s="88"/>
      <c r="M571" s="88"/>
      <c r="O571" s="88"/>
      <c r="P571" s="88"/>
      <c r="Q571" s="88"/>
      <c r="S571" s="88"/>
      <c r="T571" s="88"/>
      <c r="U571" s="88"/>
    </row>
    <row r="572" spans="7:21" ht="15" customHeight="1" x14ac:dyDescent="0.2">
      <c r="G572" s="88"/>
      <c r="H572" s="88"/>
      <c r="I572" s="88"/>
      <c r="K572" s="88"/>
      <c r="L572" s="88"/>
      <c r="M572" s="88"/>
      <c r="O572" s="88"/>
      <c r="P572" s="88"/>
      <c r="Q572" s="88"/>
      <c r="S572" s="88"/>
      <c r="T572" s="88"/>
      <c r="U572" s="88"/>
    </row>
    <row r="573" spans="7:21" ht="15" customHeight="1" x14ac:dyDescent="0.2">
      <c r="G573" s="88"/>
      <c r="H573" s="88"/>
      <c r="I573" s="88"/>
      <c r="K573" s="88"/>
      <c r="L573" s="88"/>
      <c r="M573" s="88"/>
      <c r="O573" s="88"/>
      <c r="P573" s="88"/>
      <c r="Q573" s="88"/>
      <c r="S573" s="88"/>
      <c r="T573" s="88"/>
      <c r="U573" s="88"/>
    </row>
    <row r="574" spans="7:21" ht="15" customHeight="1" x14ac:dyDescent="0.2">
      <c r="G574" s="88"/>
      <c r="H574" s="88"/>
      <c r="I574" s="88"/>
      <c r="K574" s="88"/>
      <c r="L574" s="88"/>
      <c r="M574" s="88"/>
      <c r="O574" s="88"/>
      <c r="P574" s="88"/>
      <c r="Q574" s="88"/>
      <c r="S574" s="88"/>
      <c r="T574" s="88"/>
      <c r="U574" s="88"/>
    </row>
    <row r="575" spans="7:21" ht="15" customHeight="1" x14ac:dyDescent="0.2">
      <c r="G575" s="88"/>
      <c r="H575" s="88"/>
      <c r="I575" s="88"/>
      <c r="K575" s="88"/>
      <c r="L575" s="88"/>
      <c r="M575" s="88"/>
      <c r="O575" s="88"/>
      <c r="P575" s="88"/>
      <c r="Q575" s="88"/>
      <c r="S575" s="88"/>
      <c r="T575" s="88"/>
      <c r="U575" s="88"/>
    </row>
    <row r="576" spans="7:21" ht="15" customHeight="1" x14ac:dyDescent="0.2">
      <c r="G576" s="88"/>
      <c r="H576" s="88"/>
      <c r="I576" s="88"/>
      <c r="K576" s="88"/>
      <c r="L576" s="88"/>
      <c r="M576" s="88"/>
      <c r="O576" s="88"/>
      <c r="P576" s="88"/>
      <c r="Q576" s="88"/>
      <c r="S576" s="88"/>
      <c r="T576" s="88"/>
      <c r="U576" s="88"/>
    </row>
    <row r="577" spans="7:21" ht="15" customHeight="1" x14ac:dyDescent="0.2">
      <c r="G577" s="88"/>
      <c r="H577" s="88"/>
      <c r="I577" s="88"/>
      <c r="K577" s="88"/>
      <c r="L577" s="88"/>
      <c r="M577" s="88"/>
      <c r="O577" s="88"/>
      <c r="P577" s="88"/>
      <c r="Q577" s="88"/>
      <c r="S577" s="88"/>
      <c r="T577" s="88"/>
      <c r="U577" s="88"/>
    </row>
    <row r="578" spans="7:21" ht="15" customHeight="1" x14ac:dyDescent="0.2">
      <c r="G578" s="88"/>
      <c r="H578" s="88"/>
      <c r="I578" s="88"/>
      <c r="K578" s="88"/>
      <c r="L578" s="88"/>
      <c r="M578" s="88"/>
      <c r="O578" s="88"/>
      <c r="P578" s="88"/>
      <c r="Q578" s="88"/>
      <c r="S578" s="88"/>
      <c r="T578" s="88"/>
      <c r="U578" s="88"/>
    </row>
    <row r="579" spans="7:21" ht="15" customHeight="1" x14ac:dyDescent="0.2">
      <c r="G579" s="88"/>
      <c r="H579" s="88"/>
      <c r="I579" s="88"/>
      <c r="K579" s="88"/>
      <c r="L579" s="88"/>
      <c r="M579" s="88"/>
      <c r="O579" s="88"/>
      <c r="P579" s="88"/>
      <c r="Q579" s="88"/>
      <c r="S579" s="88"/>
      <c r="T579" s="88"/>
      <c r="U579" s="88"/>
    </row>
    <row r="580" spans="7:21" ht="15" customHeight="1" x14ac:dyDescent="0.2">
      <c r="G580" s="88"/>
      <c r="H580" s="88"/>
      <c r="I580" s="88"/>
      <c r="K580" s="88"/>
      <c r="L580" s="88"/>
      <c r="M580" s="88"/>
      <c r="O580" s="88"/>
      <c r="P580" s="88"/>
      <c r="Q580" s="88"/>
      <c r="S580" s="88"/>
      <c r="T580" s="88"/>
      <c r="U580" s="88"/>
    </row>
    <row r="581" spans="7:21" ht="15" customHeight="1" x14ac:dyDescent="0.2">
      <c r="G581" s="88"/>
      <c r="H581" s="88"/>
      <c r="I581" s="88"/>
      <c r="K581" s="88"/>
      <c r="L581" s="88"/>
      <c r="M581" s="88"/>
      <c r="O581" s="88"/>
      <c r="P581" s="88"/>
      <c r="Q581" s="88"/>
      <c r="S581" s="88"/>
      <c r="T581" s="88"/>
      <c r="U581" s="88"/>
    </row>
    <row r="582" spans="7:21" ht="15" customHeight="1" x14ac:dyDescent="0.2">
      <c r="G582" s="88"/>
      <c r="H582" s="88"/>
      <c r="I582" s="88"/>
      <c r="K582" s="88"/>
      <c r="L582" s="88"/>
      <c r="M582" s="88"/>
      <c r="O582" s="88"/>
      <c r="P582" s="88"/>
      <c r="Q582" s="88"/>
      <c r="S582" s="88"/>
      <c r="T582" s="88"/>
      <c r="U582" s="88"/>
    </row>
    <row r="583" spans="7:21" ht="15" customHeight="1" x14ac:dyDescent="0.2">
      <c r="G583" s="88"/>
      <c r="H583" s="88"/>
      <c r="I583" s="88"/>
      <c r="K583" s="88"/>
      <c r="L583" s="88"/>
      <c r="M583" s="88"/>
      <c r="O583" s="88"/>
      <c r="P583" s="88"/>
      <c r="Q583" s="88"/>
      <c r="S583" s="88"/>
      <c r="T583" s="88"/>
      <c r="U583" s="88"/>
    </row>
    <row r="584" spans="7:21" ht="15" customHeight="1" x14ac:dyDescent="0.2">
      <c r="G584" s="88"/>
      <c r="H584" s="88"/>
      <c r="I584" s="88"/>
      <c r="K584" s="88"/>
      <c r="L584" s="88"/>
      <c r="M584" s="88"/>
      <c r="O584" s="88"/>
      <c r="P584" s="88"/>
      <c r="Q584" s="88"/>
      <c r="S584" s="88"/>
      <c r="T584" s="88"/>
      <c r="U584" s="88"/>
    </row>
    <row r="585" spans="7:21" ht="15" customHeight="1" x14ac:dyDescent="0.2">
      <c r="G585" s="88"/>
      <c r="H585" s="88"/>
      <c r="I585" s="88"/>
      <c r="K585" s="88"/>
      <c r="L585" s="88"/>
      <c r="M585" s="88"/>
      <c r="O585" s="88"/>
      <c r="P585" s="88"/>
      <c r="Q585" s="88"/>
      <c r="S585" s="88"/>
      <c r="T585" s="88"/>
      <c r="U585" s="88"/>
    </row>
    <row r="586" spans="7:21" ht="15" customHeight="1" x14ac:dyDescent="0.2">
      <c r="G586" s="88"/>
      <c r="H586" s="88"/>
      <c r="I586" s="88"/>
      <c r="K586" s="88"/>
      <c r="L586" s="88"/>
      <c r="M586" s="88"/>
      <c r="O586" s="88"/>
      <c r="P586" s="88"/>
      <c r="Q586" s="88"/>
      <c r="S586" s="88"/>
      <c r="T586" s="88"/>
      <c r="U586" s="88"/>
    </row>
    <row r="587" spans="7:21" ht="15" customHeight="1" x14ac:dyDescent="0.2">
      <c r="G587" s="88"/>
      <c r="H587" s="88"/>
      <c r="I587" s="88"/>
      <c r="K587" s="88"/>
      <c r="L587" s="88"/>
      <c r="M587" s="88"/>
      <c r="O587" s="88"/>
      <c r="P587" s="88"/>
      <c r="Q587" s="88"/>
      <c r="S587" s="88"/>
      <c r="T587" s="88"/>
      <c r="U587" s="88"/>
    </row>
    <row r="588" spans="7:21" ht="15" customHeight="1" x14ac:dyDescent="0.2">
      <c r="G588" s="88"/>
      <c r="H588" s="88"/>
      <c r="I588" s="88"/>
      <c r="K588" s="88"/>
      <c r="L588" s="88"/>
      <c r="M588" s="88"/>
      <c r="O588" s="88"/>
      <c r="P588" s="88"/>
      <c r="Q588" s="88"/>
      <c r="S588" s="88"/>
      <c r="T588" s="88"/>
      <c r="U588" s="88"/>
    </row>
    <row r="589" spans="7:21" ht="15" customHeight="1" x14ac:dyDescent="0.2">
      <c r="G589" s="88"/>
      <c r="H589" s="88"/>
      <c r="I589" s="88"/>
      <c r="K589" s="88"/>
      <c r="L589" s="88"/>
      <c r="M589" s="88"/>
      <c r="O589" s="88"/>
      <c r="P589" s="88"/>
      <c r="Q589" s="88"/>
      <c r="S589" s="88"/>
      <c r="T589" s="88"/>
      <c r="U589" s="88"/>
    </row>
    <row r="590" spans="7:21" ht="15" customHeight="1" x14ac:dyDescent="0.2">
      <c r="G590" s="88"/>
      <c r="H590" s="88"/>
      <c r="I590" s="88"/>
      <c r="K590" s="88"/>
      <c r="L590" s="88"/>
      <c r="M590" s="88"/>
      <c r="O590" s="88"/>
      <c r="P590" s="88"/>
      <c r="Q590" s="88"/>
      <c r="S590" s="88"/>
      <c r="T590" s="88"/>
      <c r="U590" s="88"/>
    </row>
    <row r="591" spans="7:21" ht="15" customHeight="1" x14ac:dyDescent="0.2">
      <c r="G591" s="88"/>
      <c r="H591" s="88"/>
      <c r="I591" s="88"/>
      <c r="K591" s="88"/>
      <c r="L591" s="88"/>
      <c r="M591" s="88"/>
      <c r="O591" s="88"/>
      <c r="P591" s="88"/>
      <c r="Q591" s="88"/>
      <c r="S591" s="88"/>
      <c r="T591" s="88"/>
      <c r="U591" s="88"/>
    </row>
    <row r="592" spans="7:21" ht="15" customHeight="1" x14ac:dyDescent="0.2">
      <c r="G592" s="88"/>
      <c r="H592" s="88"/>
      <c r="I592" s="88"/>
      <c r="K592" s="88"/>
      <c r="L592" s="88"/>
      <c r="M592" s="88"/>
      <c r="O592" s="88"/>
      <c r="P592" s="88"/>
      <c r="Q592" s="88"/>
      <c r="S592" s="88"/>
      <c r="T592" s="88"/>
      <c r="U592" s="88"/>
    </row>
    <row r="593" spans="7:21" ht="15" customHeight="1" x14ac:dyDescent="0.2">
      <c r="G593" s="88"/>
      <c r="H593" s="88"/>
      <c r="I593" s="88"/>
      <c r="K593" s="88"/>
      <c r="L593" s="88"/>
      <c r="M593" s="88"/>
      <c r="O593" s="88"/>
      <c r="P593" s="88"/>
      <c r="Q593" s="88"/>
      <c r="S593" s="88"/>
      <c r="T593" s="88"/>
      <c r="U593" s="88"/>
    </row>
    <row r="594" spans="7:21" ht="15" customHeight="1" x14ac:dyDescent="0.2">
      <c r="G594" s="88"/>
      <c r="H594" s="88"/>
      <c r="I594" s="88"/>
      <c r="K594" s="88"/>
      <c r="L594" s="88"/>
      <c r="M594" s="88"/>
      <c r="O594" s="88"/>
      <c r="P594" s="88"/>
      <c r="Q594" s="88"/>
      <c r="S594" s="88"/>
      <c r="T594" s="88"/>
      <c r="U594" s="88"/>
    </row>
    <row r="595" spans="7:21" ht="15" customHeight="1" x14ac:dyDescent="0.2">
      <c r="G595" s="88"/>
      <c r="H595" s="88"/>
      <c r="I595" s="88"/>
      <c r="K595" s="88"/>
      <c r="L595" s="88"/>
      <c r="M595" s="88"/>
      <c r="O595" s="88"/>
      <c r="P595" s="88"/>
      <c r="Q595" s="88"/>
      <c r="S595" s="88"/>
      <c r="T595" s="88"/>
      <c r="U595" s="88"/>
    </row>
    <row r="596" spans="7:21" ht="15" customHeight="1" x14ac:dyDescent="0.2">
      <c r="G596" s="88"/>
      <c r="H596" s="88"/>
      <c r="I596" s="88"/>
      <c r="K596" s="88"/>
      <c r="L596" s="88"/>
      <c r="M596" s="88"/>
      <c r="O596" s="88"/>
      <c r="P596" s="88"/>
      <c r="Q596" s="88"/>
      <c r="S596" s="88"/>
      <c r="T596" s="88"/>
      <c r="U596" s="88"/>
    </row>
    <row r="597" spans="7:21" ht="15" customHeight="1" x14ac:dyDescent="0.2">
      <c r="G597" s="88"/>
      <c r="H597" s="88"/>
      <c r="I597" s="88"/>
      <c r="K597" s="88"/>
      <c r="L597" s="88"/>
      <c r="M597" s="88"/>
      <c r="O597" s="88"/>
      <c r="P597" s="88"/>
      <c r="Q597" s="88"/>
      <c r="S597" s="88"/>
      <c r="T597" s="88"/>
      <c r="U597" s="88"/>
    </row>
    <row r="598" spans="7:21" ht="15" customHeight="1" x14ac:dyDescent="0.2">
      <c r="G598" s="88"/>
      <c r="H598" s="88"/>
      <c r="I598" s="88"/>
      <c r="K598" s="88"/>
      <c r="L598" s="88"/>
      <c r="M598" s="88"/>
      <c r="O598" s="88"/>
      <c r="P598" s="88"/>
      <c r="Q598" s="88"/>
      <c r="S598" s="88"/>
      <c r="T598" s="88"/>
      <c r="U598" s="88"/>
    </row>
    <row r="599" spans="7:21" ht="15" customHeight="1" x14ac:dyDescent="0.2">
      <c r="G599" s="88"/>
      <c r="H599" s="88"/>
      <c r="I599" s="88"/>
      <c r="K599" s="88"/>
      <c r="L599" s="88"/>
      <c r="M599" s="88"/>
      <c r="O599" s="88"/>
      <c r="P599" s="88"/>
      <c r="Q599" s="88"/>
      <c r="S599" s="88"/>
      <c r="T599" s="88"/>
      <c r="U599" s="88"/>
    </row>
    <row r="600" spans="7:21" ht="15" customHeight="1" x14ac:dyDescent="0.2">
      <c r="G600" s="88"/>
      <c r="H600" s="88"/>
      <c r="I600" s="88"/>
      <c r="K600" s="88"/>
      <c r="L600" s="88"/>
      <c r="M600" s="88"/>
      <c r="O600" s="88"/>
      <c r="P600" s="88"/>
      <c r="Q600" s="88"/>
      <c r="S600" s="88"/>
      <c r="T600" s="88"/>
      <c r="U600" s="88"/>
    </row>
    <row r="601" spans="7:21" ht="15" customHeight="1" x14ac:dyDescent="0.2">
      <c r="G601" s="88"/>
      <c r="H601" s="88"/>
      <c r="I601" s="88"/>
      <c r="K601" s="88"/>
      <c r="L601" s="88"/>
      <c r="M601" s="88"/>
      <c r="O601" s="88"/>
      <c r="P601" s="88"/>
      <c r="Q601" s="88"/>
      <c r="S601" s="88"/>
      <c r="T601" s="88"/>
      <c r="U601" s="88"/>
    </row>
    <row r="602" spans="7:21" ht="15" customHeight="1" x14ac:dyDescent="0.2">
      <c r="G602" s="88"/>
      <c r="H602" s="88"/>
      <c r="I602" s="88"/>
      <c r="K602" s="88"/>
      <c r="L602" s="88"/>
      <c r="M602" s="88"/>
      <c r="O602" s="88"/>
      <c r="P602" s="88"/>
      <c r="Q602" s="88"/>
      <c r="S602" s="88"/>
      <c r="T602" s="88"/>
      <c r="U602" s="88"/>
    </row>
    <row r="603" spans="7:21" ht="15" customHeight="1" x14ac:dyDescent="0.2">
      <c r="G603" s="88"/>
      <c r="H603" s="88"/>
      <c r="I603" s="88"/>
      <c r="K603" s="88"/>
      <c r="L603" s="88"/>
      <c r="M603" s="88"/>
      <c r="O603" s="88"/>
      <c r="P603" s="88"/>
      <c r="Q603" s="88"/>
      <c r="S603" s="88"/>
      <c r="T603" s="88"/>
      <c r="U603" s="88"/>
    </row>
    <row r="604" spans="7:21" ht="15" customHeight="1" x14ac:dyDescent="0.2">
      <c r="G604" s="88"/>
      <c r="H604" s="88"/>
      <c r="I604" s="88"/>
      <c r="K604" s="88"/>
      <c r="L604" s="88"/>
      <c r="M604" s="88"/>
      <c r="O604" s="88"/>
      <c r="P604" s="88"/>
      <c r="Q604" s="88"/>
      <c r="S604" s="88"/>
      <c r="T604" s="88"/>
      <c r="U604" s="88"/>
    </row>
    <row r="605" spans="7:21" ht="15" customHeight="1" x14ac:dyDescent="0.2">
      <c r="G605" s="88"/>
      <c r="H605" s="88"/>
      <c r="I605" s="88"/>
      <c r="K605" s="88"/>
      <c r="L605" s="88"/>
      <c r="M605" s="88"/>
      <c r="O605" s="88"/>
      <c r="P605" s="88"/>
      <c r="Q605" s="88"/>
      <c r="S605" s="88"/>
      <c r="T605" s="88"/>
      <c r="U605" s="88"/>
    </row>
    <row r="606" spans="7:21" ht="15" customHeight="1" x14ac:dyDescent="0.2">
      <c r="G606" s="88"/>
      <c r="H606" s="88"/>
      <c r="I606" s="88"/>
      <c r="K606" s="88"/>
      <c r="L606" s="88"/>
      <c r="M606" s="88"/>
      <c r="O606" s="88"/>
      <c r="P606" s="88"/>
      <c r="Q606" s="88"/>
      <c r="S606" s="88"/>
      <c r="T606" s="88"/>
      <c r="U606" s="88"/>
    </row>
    <row r="607" spans="7:21" ht="15" customHeight="1" x14ac:dyDescent="0.2">
      <c r="G607" s="88"/>
      <c r="H607" s="88"/>
      <c r="I607" s="88"/>
      <c r="K607" s="88"/>
      <c r="L607" s="88"/>
      <c r="M607" s="88"/>
      <c r="O607" s="88"/>
      <c r="P607" s="88"/>
      <c r="Q607" s="88"/>
      <c r="S607" s="88"/>
      <c r="T607" s="88"/>
      <c r="U607" s="88"/>
    </row>
    <row r="608" spans="7:21" ht="15" customHeight="1" x14ac:dyDescent="0.2">
      <c r="G608" s="88"/>
      <c r="H608" s="88"/>
      <c r="I608" s="88"/>
      <c r="K608" s="88"/>
      <c r="L608" s="88"/>
      <c r="M608" s="88"/>
      <c r="O608" s="88"/>
      <c r="P608" s="88"/>
      <c r="Q608" s="88"/>
      <c r="S608" s="88"/>
      <c r="T608" s="88"/>
      <c r="U608" s="88"/>
    </row>
    <row r="609" spans="7:21" ht="15" customHeight="1" x14ac:dyDescent="0.2">
      <c r="G609" s="88"/>
      <c r="H609" s="88"/>
      <c r="I609" s="88"/>
      <c r="K609" s="88"/>
      <c r="L609" s="88"/>
      <c r="M609" s="88"/>
      <c r="O609" s="88"/>
      <c r="P609" s="88"/>
      <c r="Q609" s="88"/>
      <c r="S609" s="88"/>
      <c r="T609" s="88"/>
      <c r="U609" s="88"/>
    </row>
    <row r="610" spans="7:21" ht="15" customHeight="1" x14ac:dyDescent="0.2">
      <c r="G610" s="88"/>
      <c r="H610" s="88"/>
      <c r="I610" s="88"/>
      <c r="K610" s="88"/>
      <c r="L610" s="88"/>
      <c r="M610" s="88"/>
      <c r="O610" s="88"/>
      <c r="P610" s="88"/>
      <c r="Q610" s="88"/>
      <c r="S610" s="88"/>
      <c r="T610" s="88"/>
      <c r="U610" s="88"/>
    </row>
    <row r="611" spans="7:21" ht="15" customHeight="1" x14ac:dyDescent="0.2">
      <c r="G611" s="88"/>
      <c r="H611" s="88"/>
      <c r="I611" s="88"/>
      <c r="K611" s="88"/>
      <c r="L611" s="88"/>
      <c r="M611" s="88"/>
      <c r="O611" s="88"/>
      <c r="P611" s="88"/>
      <c r="Q611" s="88"/>
      <c r="S611" s="88"/>
      <c r="T611" s="88"/>
      <c r="U611" s="88"/>
    </row>
    <row r="612" spans="7:21" ht="15" customHeight="1" x14ac:dyDescent="0.2">
      <c r="G612" s="88"/>
      <c r="H612" s="88"/>
      <c r="I612" s="88"/>
      <c r="K612" s="88"/>
      <c r="L612" s="88"/>
      <c r="M612" s="88"/>
      <c r="O612" s="88"/>
      <c r="P612" s="88"/>
      <c r="Q612" s="88"/>
      <c r="S612" s="88"/>
      <c r="T612" s="88"/>
      <c r="U612" s="88"/>
    </row>
    <row r="613" spans="7:21" ht="15" customHeight="1" x14ac:dyDescent="0.2">
      <c r="G613" s="88"/>
      <c r="H613" s="88"/>
      <c r="I613" s="88"/>
      <c r="K613" s="88"/>
      <c r="L613" s="88"/>
      <c r="M613" s="88"/>
      <c r="O613" s="88"/>
      <c r="P613" s="88"/>
      <c r="Q613" s="88"/>
      <c r="S613" s="88"/>
      <c r="T613" s="88"/>
      <c r="U613" s="88"/>
    </row>
    <row r="614" spans="7:21" ht="15" customHeight="1" x14ac:dyDescent="0.2">
      <c r="G614" s="88"/>
      <c r="H614" s="88"/>
      <c r="I614" s="88"/>
      <c r="K614" s="88"/>
      <c r="L614" s="88"/>
      <c r="M614" s="88"/>
      <c r="O614" s="88"/>
      <c r="P614" s="88"/>
      <c r="Q614" s="88"/>
      <c r="S614" s="88"/>
      <c r="T614" s="88"/>
      <c r="U614" s="88"/>
    </row>
    <row r="615" spans="7:21" ht="15" customHeight="1" x14ac:dyDescent="0.2">
      <c r="G615" s="88"/>
      <c r="H615" s="88"/>
      <c r="I615" s="88"/>
      <c r="K615" s="88"/>
      <c r="L615" s="88"/>
      <c r="M615" s="88"/>
      <c r="O615" s="88"/>
      <c r="P615" s="88"/>
      <c r="Q615" s="88"/>
      <c r="S615" s="88"/>
      <c r="T615" s="88"/>
      <c r="U615" s="88"/>
    </row>
    <row r="616" spans="7:21" ht="15" customHeight="1" x14ac:dyDescent="0.2">
      <c r="G616" s="88"/>
      <c r="H616" s="88"/>
      <c r="I616" s="88"/>
      <c r="K616" s="88"/>
      <c r="L616" s="88"/>
      <c r="M616" s="88"/>
      <c r="O616" s="88"/>
      <c r="P616" s="88"/>
      <c r="Q616" s="88"/>
      <c r="S616" s="88"/>
      <c r="T616" s="88"/>
      <c r="U616" s="88"/>
    </row>
    <row r="617" spans="7:21" ht="15" customHeight="1" x14ac:dyDescent="0.2">
      <c r="G617" s="88"/>
      <c r="H617" s="88"/>
      <c r="I617" s="88"/>
      <c r="K617" s="88"/>
      <c r="L617" s="88"/>
      <c r="M617" s="88"/>
      <c r="O617" s="88"/>
      <c r="P617" s="88"/>
      <c r="Q617" s="88"/>
      <c r="S617" s="88"/>
      <c r="T617" s="88"/>
      <c r="U617" s="88"/>
    </row>
    <row r="618" spans="7:21" ht="15" customHeight="1" x14ac:dyDescent="0.2">
      <c r="G618" s="88"/>
      <c r="H618" s="88"/>
      <c r="I618" s="88"/>
      <c r="K618" s="88"/>
      <c r="L618" s="88"/>
      <c r="M618" s="88"/>
      <c r="O618" s="88"/>
      <c r="P618" s="88"/>
      <c r="Q618" s="88"/>
      <c r="S618" s="88"/>
      <c r="T618" s="88"/>
      <c r="U618" s="88"/>
    </row>
    <row r="619" spans="7:21" ht="15" customHeight="1" x14ac:dyDescent="0.2">
      <c r="G619" s="88"/>
      <c r="H619" s="88"/>
      <c r="I619" s="88"/>
      <c r="K619" s="88"/>
      <c r="L619" s="88"/>
      <c r="M619" s="88"/>
      <c r="O619" s="88"/>
      <c r="P619" s="88"/>
      <c r="Q619" s="88"/>
      <c r="S619" s="88"/>
      <c r="T619" s="88"/>
      <c r="U619" s="88"/>
    </row>
    <row r="620" spans="7:21" ht="15" customHeight="1" x14ac:dyDescent="0.2">
      <c r="G620" s="88"/>
      <c r="H620" s="88"/>
      <c r="I620" s="88"/>
      <c r="K620" s="88"/>
      <c r="L620" s="88"/>
      <c r="M620" s="88"/>
      <c r="O620" s="88"/>
      <c r="P620" s="88"/>
      <c r="Q620" s="88"/>
      <c r="S620" s="88"/>
      <c r="T620" s="88"/>
      <c r="U620" s="88"/>
    </row>
    <row r="621" spans="7:21" ht="15" customHeight="1" x14ac:dyDescent="0.2">
      <c r="G621" s="88"/>
      <c r="H621" s="88"/>
      <c r="I621" s="88"/>
      <c r="K621" s="88"/>
      <c r="L621" s="88"/>
      <c r="M621" s="88"/>
      <c r="O621" s="88"/>
      <c r="P621" s="88"/>
      <c r="Q621" s="88"/>
      <c r="S621" s="88"/>
      <c r="T621" s="88"/>
      <c r="U621" s="88"/>
    </row>
    <row r="622" spans="7:21" ht="15" customHeight="1" x14ac:dyDescent="0.2">
      <c r="G622" s="88"/>
      <c r="H622" s="88"/>
      <c r="I622" s="88"/>
      <c r="K622" s="88"/>
      <c r="L622" s="88"/>
      <c r="M622" s="88"/>
      <c r="O622" s="88"/>
      <c r="P622" s="88"/>
      <c r="Q622" s="88"/>
      <c r="S622" s="88"/>
      <c r="T622" s="88"/>
      <c r="U622" s="88"/>
    </row>
    <row r="623" spans="7:21" ht="15" customHeight="1" x14ac:dyDescent="0.2">
      <c r="G623" s="88"/>
      <c r="H623" s="88"/>
      <c r="I623" s="88"/>
      <c r="K623" s="88"/>
      <c r="L623" s="88"/>
      <c r="M623" s="88"/>
      <c r="O623" s="88"/>
      <c r="P623" s="88"/>
      <c r="Q623" s="88"/>
      <c r="S623" s="88"/>
      <c r="T623" s="88"/>
      <c r="U623" s="88"/>
    </row>
    <row r="624" spans="7:21" ht="15" customHeight="1" x14ac:dyDescent="0.2">
      <c r="G624" s="88"/>
      <c r="H624" s="88"/>
      <c r="I624" s="88"/>
      <c r="K624" s="88"/>
      <c r="L624" s="88"/>
      <c r="M624" s="88"/>
      <c r="O624" s="88"/>
      <c r="P624" s="88"/>
      <c r="Q624" s="88"/>
      <c r="S624" s="88"/>
      <c r="T624" s="88"/>
      <c r="U624" s="88"/>
    </row>
    <row r="625" spans="7:21" ht="15" customHeight="1" x14ac:dyDescent="0.2">
      <c r="G625" s="88"/>
      <c r="H625" s="88"/>
      <c r="I625" s="88"/>
      <c r="K625" s="88"/>
      <c r="L625" s="88"/>
      <c r="M625" s="88"/>
      <c r="O625" s="88"/>
      <c r="P625" s="88"/>
      <c r="Q625" s="88"/>
      <c r="S625" s="88"/>
      <c r="T625" s="88"/>
      <c r="U625" s="88"/>
    </row>
    <row r="626" spans="7:21" ht="15" customHeight="1" x14ac:dyDescent="0.2">
      <c r="G626" s="88"/>
      <c r="H626" s="88"/>
      <c r="I626" s="88"/>
      <c r="K626" s="88"/>
      <c r="L626" s="88"/>
      <c r="M626" s="88"/>
      <c r="O626" s="88"/>
      <c r="P626" s="88"/>
      <c r="Q626" s="88"/>
      <c r="S626" s="88"/>
      <c r="T626" s="88"/>
      <c r="U626" s="88"/>
    </row>
    <row r="627" spans="7:21" ht="15" customHeight="1" x14ac:dyDescent="0.2">
      <c r="G627" s="88"/>
      <c r="H627" s="88"/>
      <c r="I627" s="88"/>
      <c r="K627" s="88"/>
      <c r="L627" s="88"/>
      <c r="M627" s="88"/>
      <c r="O627" s="88"/>
      <c r="P627" s="88"/>
      <c r="Q627" s="88"/>
      <c r="S627" s="88"/>
      <c r="T627" s="88"/>
      <c r="U627" s="88"/>
    </row>
    <row r="628" spans="7:21" ht="15" customHeight="1" x14ac:dyDescent="0.2">
      <c r="G628" s="88"/>
      <c r="H628" s="88"/>
      <c r="I628" s="88"/>
      <c r="K628" s="88"/>
      <c r="L628" s="88"/>
      <c r="M628" s="88"/>
      <c r="O628" s="88"/>
      <c r="P628" s="88"/>
      <c r="Q628" s="88"/>
      <c r="S628" s="88"/>
      <c r="T628" s="88"/>
      <c r="U628" s="88"/>
    </row>
    <row r="629" spans="7:21" ht="15" customHeight="1" x14ac:dyDescent="0.2">
      <c r="G629" s="88"/>
      <c r="H629" s="88"/>
      <c r="I629" s="88"/>
      <c r="K629" s="88"/>
      <c r="L629" s="88"/>
      <c r="M629" s="88"/>
      <c r="O629" s="88"/>
      <c r="P629" s="88"/>
      <c r="Q629" s="88"/>
      <c r="S629" s="88"/>
      <c r="T629" s="88"/>
      <c r="U629" s="88"/>
    </row>
    <row r="630" spans="7:21" ht="15" customHeight="1" x14ac:dyDescent="0.2">
      <c r="G630" s="88"/>
      <c r="H630" s="88"/>
      <c r="I630" s="88"/>
      <c r="K630" s="88"/>
      <c r="L630" s="88"/>
      <c r="M630" s="88"/>
      <c r="O630" s="88"/>
      <c r="P630" s="88"/>
      <c r="Q630" s="88"/>
      <c r="S630" s="88"/>
      <c r="T630" s="88"/>
      <c r="U630" s="88"/>
    </row>
    <row r="631" spans="7:21" ht="15" customHeight="1" x14ac:dyDescent="0.2">
      <c r="G631" s="88"/>
      <c r="H631" s="88"/>
      <c r="I631" s="88"/>
      <c r="K631" s="88"/>
      <c r="L631" s="88"/>
      <c r="M631" s="88"/>
      <c r="O631" s="88"/>
      <c r="P631" s="88"/>
      <c r="Q631" s="88"/>
      <c r="S631" s="88"/>
      <c r="T631" s="88"/>
      <c r="U631" s="88"/>
    </row>
    <row r="632" spans="7:21" ht="15" customHeight="1" x14ac:dyDescent="0.2">
      <c r="G632" s="88"/>
      <c r="H632" s="88"/>
      <c r="I632" s="88"/>
      <c r="K632" s="88"/>
      <c r="L632" s="88"/>
      <c r="M632" s="88"/>
      <c r="O632" s="88"/>
      <c r="P632" s="88"/>
      <c r="Q632" s="88"/>
      <c r="S632" s="88"/>
      <c r="T632" s="88"/>
      <c r="U632" s="88"/>
    </row>
    <row r="633" spans="7:21" ht="15" customHeight="1" x14ac:dyDescent="0.2">
      <c r="G633" s="88"/>
      <c r="H633" s="88"/>
      <c r="I633" s="88"/>
      <c r="K633" s="88"/>
      <c r="L633" s="88"/>
      <c r="M633" s="88"/>
      <c r="O633" s="88"/>
      <c r="P633" s="88"/>
      <c r="Q633" s="88"/>
      <c r="S633" s="88"/>
      <c r="T633" s="88"/>
      <c r="U633" s="88"/>
    </row>
    <row r="634" spans="7:21" ht="15" customHeight="1" x14ac:dyDescent="0.2">
      <c r="G634" s="88"/>
      <c r="H634" s="88"/>
      <c r="I634" s="88"/>
      <c r="K634" s="88"/>
      <c r="L634" s="88"/>
      <c r="M634" s="88"/>
      <c r="O634" s="88"/>
      <c r="P634" s="88"/>
      <c r="Q634" s="88"/>
      <c r="S634" s="88"/>
      <c r="T634" s="88"/>
      <c r="U634" s="88"/>
    </row>
    <row r="635" spans="7:21" ht="15" customHeight="1" x14ac:dyDescent="0.2">
      <c r="G635" s="88"/>
      <c r="H635" s="88"/>
      <c r="I635" s="88"/>
      <c r="K635" s="88"/>
      <c r="L635" s="88"/>
      <c r="M635" s="88"/>
      <c r="O635" s="88"/>
      <c r="P635" s="88"/>
      <c r="Q635" s="88"/>
      <c r="S635" s="88"/>
      <c r="T635" s="88"/>
      <c r="U635" s="88"/>
    </row>
    <row r="636" spans="7:21" ht="15" customHeight="1" x14ac:dyDescent="0.2">
      <c r="G636" s="88"/>
      <c r="H636" s="88"/>
      <c r="I636" s="88"/>
      <c r="K636" s="88"/>
      <c r="L636" s="88"/>
      <c r="M636" s="88"/>
      <c r="O636" s="88"/>
      <c r="P636" s="88"/>
      <c r="Q636" s="88"/>
      <c r="S636" s="88"/>
      <c r="T636" s="88"/>
      <c r="U636" s="88"/>
    </row>
    <row r="637" spans="7:21" ht="15" customHeight="1" x14ac:dyDescent="0.2">
      <c r="G637" s="88"/>
      <c r="H637" s="88"/>
      <c r="I637" s="88"/>
      <c r="K637" s="88"/>
      <c r="L637" s="88"/>
      <c r="M637" s="88"/>
      <c r="O637" s="88"/>
      <c r="P637" s="88"/>
      <c r="Q637" s="88"/>
      <c r="S637" s="88"/>
      <c r="T637" s="88"/>
      <c r="U637" s="88"/>
    </row>
    <row r="638" spans="7:21" ht="15" customHeight="1" x14ac:dyDescent="0.2">
      <c r="G638" s="88"/>
      <c r="H638" s="88"/>
      <c r="I638" s="88"/>
      <c r="K638" s="88"/>
      <c r="L638" s="88"/>
      <c r="M638" s="88"/>
      <c r="O638" s="88"/>
      <c r="P638" s="88"/>
      <c r="Q638" s="88"/>
      <c r="S638" s="88"/>
      <c r="T638" s="88"/>
      <c r="U638" s="88"/>
    </row>
    <row r="639" spans="7:21" ht="15" customHeight="1" x14ac:dyDescent="0.2">
      <c r="G639" s="88"/>
      <c r="H639" s="88"/>
      <c r="I639" s="88"/>
      <c r="K639" s="88"/>
      <c r="L639" s="88"/>
      <c r="M639" s="88"/>
      <c r="O639" s="88"/>
      <c r="P639" s="88"/>
      <c r="Q639" s="88"/>
      <c r="S639" s="88"/>
      <c r="T639" s="88"/>
      <c r="U639" s="88"/>
    </row>
    <row r="640" spans="7:21" ht="15" customHeight="1" x14ac:dyDescent="0.2">
      <c r="G640" s="88"/>
      <c r="H640" s="88"/>
      <c r="I640" s="88"/>
      <c r="K640" s="88"/>
      <c r="L640" s="88"/>
      <c r="M640" s="88"/>
      <c r="O640" s="88"/>
      <c r="P640" s="88"/>
      <c r="Q640" s="88"/>
      <c r="S640" s="88"/>
      <c r="T640" s="88"/>
      <c r="U640" s="88"/>
    </row>
    <row r="641" spans="7:21" ht="15" customHeight="1" x14ac:dyDescent="0.2">
      <c r="G641" s="88"/>
      <c r="H641" s="88"/>
      <c r="I641" s="88"/>
      <c r="K641" s="88"/>
      <c r="L641" s="88"/>
      <c r="M641" s="88"/>
      <c r="O641" s="88"/>
      <c r="P641" s="88"/>
      <c r="Q641" s="88"/>
      <c r="S641" s="88"/>
      <c r="T641" s="88"/>
      <c r="U641" s="88"/>
    </row>
    <row r="642" spans="7:21" ht="15" customHeight="1" x14ac:dyDescent="0.2">
      <c r="G642" s="88"/>
      <c r="H642" s="88"/>
      <c r="I642" s="88"/>
      <c r="K642" s="88"/>
      <c r="L642" s="88"/>
      <c r="M642" s="88"/>
      <c r="O642" s="88"/>
      <c r="P642" s="88"/>
      <c r="Q642" s="88"/>
      <c r="S642" s="88"/>
      <c r="T642" s="88"/>
      <c r="U642" s="88"/>
    </row>
    <row r="643" spans="7:21" ht="15" customHeight="1" x14ac:dyDescent="0.2">
      <c r="G643" s="88"/>
      <c r="H643" s="88"/>
      <c r="I643" s="88"/>
      <c r="K643" s="88"/>
      <c r="L643" s="88"/>
      <c r="M643" s="88"/>
      <c r="O643" s="88"/>
      <c r="P643" s="88"/>
      <c r="Q643" s="88"/>
      <c r="S643" s="88"/>
      <c r="T643" s="88"/>
      <c r="U643" s="88"/>
    </row>
    <row r="644" spans="7:21" ht="15" customHeight="1" x14ac:dyDescent="0.2">
      <c r="G644" s="88"/>
      <c r="H644" s="88"/>
      <c r="I644" s="88"/>
      <c r="K644" s="88"/>
      <c r="L644" s="88"/>
      <c r="M644" s="88"/>
      <c r="O644" s="88"/>
      <c r="P644" s="88"/>
      <c r="Q644" s="88"/>
      <c r="S644" s="88"/>
      <c r="T644" s="88"/>
      <c r="U644" s="88"/>
    </row>
    <row r="645" spans="7:21" ht="15" customHeight="1" x14ac:dyDescent="0.2">
      <c r="G645" s="88"/>
      <c r="H645" s="88"/>
      <c r="I645" s="88"/>
      <c r="K645" s="88"/>
      <c r="L645" s="88"/>
      <c r="M645" s="88"/>
      <c r="O645" s="88"/>
      <c r="P645" s="88"/>
      <c r="Q645" s="88"/>
      <c r="S645" s="88"/>
      <c r="T645" s="88"/>
      <c r="U645" s="88"/>
    </row>
    <row r="646" spans="7:21" ht="15" customHeight="1" x14ac:dyDescent="0.2">
      <c r="G646" s="88"/>
      <c r="H646" s="88"/>
      <c r="I646" s="88"/>
      <c r="K646" s="88"/>
      <c r="L646" s="88"/>
      <c r="M646" s="88"/>
      <c r="O646" s="88"/>
      <c r="P646" s="88"/>
      <c r="Q646" s="88"/>
      <c r="S646" s="88"/>
      <c r="T646" s="88"/>
      <c r="U646" s="88"/>
    </row>
    <row r="647" spans="7:21" ht="15" customHeight="1" x14ac:dyDescent="0.2">
      <c r="G647" s="88"/>
      <c r="H647" s="88"/>
      <c r="I647" s="88"/>
      <c r="K647" s="88"/>
      <c r="L647" s="88"/>
      <c r="M647" s="88"/>
      <c r="O647" s="88"/>
      <c r="P647" s="88"/>
      <c r="Q647" s="88"/>
      <c r="S647" s="88"/>
      <c r="T647" s="88"/>
      <c r="U647" s="88"/>
    </row>
    <row r="648" spans="7:21" ht="15" customHeight="1" x14ac:dyDescent="0.2">
      <c r="G648" s="88"/>
      <c r="H648" s="88"/>
      <c r="I648" s="88"/>
      <c r="K648" s="88"/>
      <c r="L648" s="88"/>
      <c r="M648" s="88"/>
      <c r="O648" s="88"/>
      <c r="P648" s="88"/>
      <c r="Q648" s="88"/>
      <c r="S648" s="88"/>
      <c r="T648" s="88"/>
      <c r="U648" s="88"/>
    </row>
    <row r="649" spans="7:21" ht="15" customHeight="1" x14ac:dyDescent="0.2">
      <c r="G649" s="88"/>
      <c r="H649" s="88"/>
      <c r="I649" s="88"/>
      <c r="K649" s="88"/>
      <c r="L649" s="88"/>
      <c r="M649" s="88"/>
      <c r="O649" s="88"/>
      <c r="P649" s="88"/>
      <c r="Q649" s="88"/>
      <c r="S649" s="88"/>
      <c r="T649" s="88"/>
      <c r="U649" s="88"/>
    </row>
    <row r="650" spans="7:21" ht="15" customHeight="1" x14ac:dyDescent="0.2">
      <c r="G650" s="88"/>
      <c r="H650" s="88"/>
      <c r="I650" s="88"/>
      <c r="K650" s="88"/>
      <c r="L650" s="88"/>
      <c r="M650" s="88"/>
      <c r="O650" s="88"/>
      <c r="P650" s="88"/>
      <c r="Q650" s="88"/>
      <c r="S650" s="88"/>
      <c r="T650" s="88"/>
      <c r="U650" s="88"/>
    </row>
    <row r="651" spans="7:21" ht="15" customHeight="1" x14ac:dyDescent="0.2">
      <c r="G651" s="88"/>
      <c r="H651" s="88"/>
      <c r="I651" s="88"/>
      <c r="K651" s="88"/>
      <c r="L651" s="88"/>
      <c r="M651" s="88"/>
      <c r="O651" s="88"/>
      <c r="P651" s="88"/>
      <c r="Q651" s="88"/>
      <c r="S651" s="88"/>
      <c r="T651" s="88"/>
      <c r="U651" s="88"/>
    </row>
    <row r="652" spans="7:21" ht="15" customHeight="1" x14ac:dyDescent="0.2">
      <c r="G652" s="88"/>
      <c r="H652" s="88"/>
      <c r="I652" s="88"/>
      <c r="K652" s="88"/>
      <c r="L652" s="88"/>
      <c r="M652" s="88"/>
      <c r="O652" s="88"/>
      <c r="P652" s="88"/>
      <c r="Q652" s="88"/>
      <c r="S652" s="88"/>
      <c r="T652" s="88"/>
      <c r="U652" s="88"/>
    </row>
    <row r="653" spans="7:21" ht="15" customHeight="1" x14ac:dyDescent="0.2">
      <c r="G653" s="88"/>
      <c r="H653" s="88"/>
      <c r="I653" s="88"/>
      <c r="K653" s="88"/>
      <c r="L653" s="88"/>
      <c r="M653" s="88"/>
      <c r="O653" s="88"/>
      <c r="P653" s="88"/>
      <c r="Q653" s="88"/>
      <c r="S653" s="88"/>
      <c r="T653" s="88"/>
      <c r="U653" s="88"/>
    </row>
    <row r="654" spans="7:21" ht="15" customHeight="1" x14ac:dyDescent="0.2">
      <c r="G654" s="88"/>
      <c r="H654" s="88"/>
      <c r="I654" s="88"/>
      <c r="K654" s="88"/>
      <c r="L654" s="88"/>
      <c r="M654" s="88"/>
      <c r="O654" s="88"/>
      <c r="P654" s="88"/>
      <c r="Q654" s="88"/>
      <c r="S654" s="88"/>
      <c r="T654" s="88"/>
      <c r="U654" s="88"/>
    </row>
    <row r="655" spans="7:21" ht="15" customHeight="1" x14ac:dyDescent="0.2">
      <c r="G655" s="88"/>
      <c r="H655" s="88"/>
      <c r="I655" s="88"/>
      <c r="K655" s="88"/>
      <c r="L655" s="88"/>
      <c r="M655" s="88"/>
      <c r="O655" s="88"/>
      <c r="P655" s="88"/>
      <c r="Q655" s="88"/>
      <c r="S655" s="88"/>
      <c r="T655" s="88"/>
      <c r="U655" s="88"/>
    </row>
    <row r="656" spans="7:21" ht="15" customHeight="1" x14ac:dyDescent="0.2">
      <c r="G656" s="88"/>
      <c r="H656" s="88"/>
      <c r="I656" s="88"/>
      <c r="K656" s="88"/>
      <c r="L656" s="88"/>
      <c r="M656" s="88"/>
      <c r="O656" s="88"/>
      <c r="P656" s="88"/>
      <c r="Q656" s="88"/>
      <c r="S656" s="88"/>
      <c r="T656" s="88"/>
      <c r="U656" s="88"/>
    </row>
    <row r="657" spans="7:21" ht="15" customHeight="1" x14ac:dyDescent="0.2">
      <c r="G657" s="88"/>
      <c r="H657" s="88"/>
      <c r="I657" s="88"/>
      <c r="K657" s="88"/>
      <c r="L657" s="88"/>
      <c r="M657" s="88"/>
      <c r="O657" s="88"/>
      <c r="P657" s="88"/>
      <c r="Q657" s="88"/>
      <c r="S657" s="88"/>
      <c r="T657" s="88"/>
      <c r="U657" s="88"/>
    </row>
    <row r="658" spans="7:21" ht="15" customHeight="1" x14ac:dyDescent="0.2">
      <c r="G658" s="88"/>
      <c r="H658" s="88"/>
      <c r="I658" s="88"/>
      <c r="K658" s="88"/>
      <c r="L658" s="88"/>
      <c r="M658" s="88"/>
      <c r="O658" s="88"/>
      <c r="P658" s="88"/>
      <c r="Q658" s="88"/>
      <c r="S658" s="88"/>
      <c r="T658" s="88"/>
      <c r="U658" s="88"/>
    </row>
    <row r="659" spans="7:21" ht="15" customHeight="1" x14ac:dyDescent="0.2">
      <c r="G659" s="88"/>
      <c r="H659" s="88"/>
      <c r="I659" s="88"/>
      <c r="K659" s="88"/>
      <c r="L659" s="88"/>
      <c r="M659" s="88"/>
      <c r="O659" s="88"/>
      <c r="P659" s="88"/>
      <c r="Q659" s="88"/>
      <c r="S659" s="88"/>
      <c r="T659" s="88"/>
      <c r="U659" s="88"/>
    </row>
    <row r="660" spans="7:21" ht="15" customHeight="1" x14ac:dyDescent="0.2">
      <c r="G660" s="88"/>
      <c r="H660" s="88"/>
      <c r="I660" s="88"/>
      <c r="K660" s="88"/>
      <c r="L660" s="88"/>
      <c r="M660" s="88"/>
      <c r="O660" s="88"/>
      <c r="P660" s="88"/>
      <c r="Q660" s="88"/>
      <c r="S660" s="88"/>
      <c r="T660" s="88"/>
      <c r="U660" s="88"/>
    </row>
    <row r="661" spans="7:21" ht="15" customHeight="1" x14ac:dyDescent="0.2">
      <c r="G661" s="88"/>
      <c r="H661" s="88"/>
      <c r="I661" s="88"/>
      <c r="K661" s="88"/>
      <c r="L661" s="88"/>
      <c r="M661" s="88"/>
      <c r="O661" s="88"/>
      <c r="P661" s="88"/>
      <c r="Q661" s="88"/>
      <c r="S661" s="88"/>
      <c r="T661" s="88"/>
      <c r="U661" s="88"/>
    </row>
    <row r="662" spans="7:21" ht="15" customHeight="1" x14ac:dyDescent="0.2">
      <c r="G662" s="88"/>
      <c r="H662" s="88"/>
      <c r="I662" s="88"/>
      <c r="K662" s="88"/>
      <c r="L662" s="88"/>
      <c r="M662" s="88"/>
      <c r="O662" s="88"/>
      <c r="P662" s="88"/>
      <c r="Q662" s="88"/>
      <c r="S662" s="88"/>
      <c r="T662" s="88"/>
      <c r="U662" s="88"/>
    </row>
    <row r="663" spans="7:21" ht="15" customHeight="1" x14ac:dyDescent="0.2">
      <c r="G663" s="88"/>
      <c r="H663" s="88"/>
      <c r="I663" s="88"/>
      <c r="K663" s="88"/>
      <c r="L663" s="88"/>
      <c r="M663" s="88"/>
      <c r="O663" s="88"/>
      <c r="P663" s="88"/>
      <c r="Q663" s="88"/>
      <c r="S663" s="88"/>
      <c r="T663" s="88"/>
      <c r="U663" s="88"/>
    </row>
    <row r="664" spans="7:21" ht="15" customHeight="1" x14ac:dyDescent="0.2">
      <c r="G664" s="88"/>
      <c r="H664" s="88"/>
      <c r="I664" s="88"/>
      <c r="K664" s="88"/>
      <c r="L664" s="88"/>
      <c r="M664" s="88"/>
      <c r="O664" s="88"/>
      <c r="P664" s="88"/>
      <c r="Q664" s="88"/>
      <c r="S664" s="88"/>
      <c r="T664" s="88"/>
      <c r="U664" s="88"/>
    </row>
    <row r="665" spans="7:21" ht="15" customHeight="1" x14ac:dyDescent="0.2">
      <c r="G665" s="88"/>
      <c r="H665" s="88"/>
      <c r="I665" s="88"/>
      <c r="K665" s="88"/>
      <c r="L665" s="88"/>
      <c r="M665" s="88"/>
      <c r="O665" s="88"/>
      <c r="P665" s="88"/>
      <c r="Q665" s="88"/>
      <c r="S665" s="88"/>
      <c r="T665" s="88"/>
      <c r="U665" s="88"/>
    </row>
    <row r="666" spans="7:21" ht="15" customHeight="1" x14ac:dyDescent="0.2">
      <c r="G666" s="88"/>
      <c r="H666" s="88"/>
      <c r="I666" s="88"/>
      <c r="K666" s="88"/>
      <c r="L666" s="88"/>
      <c r="M666" s="88"/>
      <c r="O666" s="88"/>
      <c r="P666" s="88"/>
      <c r="Q666" s="88"/>
      <c r="S666" s="88"/>
      <c r="T666" s="88"/>
      <c r="U666" s="88"/>
    </row>
    <row r="667" spans="7:21" ht="15" customHeight="1" x14ac:dyDescent="0.2">
      <c r="G667" s="88"/>
      <c r="H667" s="88"/>
      <c r="I667" s="88"/>
      <c r="K667" s="88"/>
      <c r="L667" s="88"/>
      <c r="M667" s="88"/>
      <c r="O667" s="88"/>
      <c r="P667" s="88"/>
      <c r="Q667" s="88"/>
      <c r="S667" s="88"/>
      <c r="T667" s="88"/>
      <c r="U667" s="88"/>
    </row>
    <row r="668" spans="7:21" ht="15" customHeight="1" x14ac:dyDescent="0.2">
      <c r="G668" s="88"/>
      <c r="H668" s="88"/>
      <c r="I668" s="88"/>
      <c r="K668" s="88"/>
      <c r="L668" s="88"/>
      <c r="M668" s="88"/>
      <c r="O668" s="88"/>
      <c r="P668" s="88"/>
      <c r="Q668" s="88"/>
      <c r="S668" s="88"/>
      <c r="T668" s="88"/>
      <c r="U668" s="88"/>
    </row>
    <row r="669" spans="7:21" ht="15" customHeight="1" x14ac:dyDescent="0.2">
      <c r="G669" s="88"/>
      <c r="H669" s="88"/>
      <c r="I669" s="88"/>
      <c r="K669" s="88"/>
      <c r="L669" s="88"/>
      <c r="M669" s="88"/>
      <c r="O669" s="88"/>
      <c r="P669" s="88"/>
      <c r="Q669" s="88"/>
      <c r="S669" s="88"/>
      <c r="T669" s="88"/>
      <c r="U669" s="88"/>
    </row>
    <row r="670" spans="7:21" ht="15" customHeight="1" x14ac:dyDescent="0.2">
      <c r="G670" s="88"/>
      <c r="H670" s="88"/>
      <c r="I670" s="88"/>
      <c r="K670" s="88"/>
      <c r="L670" s="88"/>
      <c r="M670" s="88"/>
      <c r="O670" s="88"/>
      <c r="P670" s="88"/>
      <c r="Q670" s="88"/>
      <c r="S670" s="88"/>
      <c r="T670" s="88"/>
      <c r="U670" s="88"/>
    </row>
    <row r="671" spans="7:21" ht="15" customHeight="1" x14ac:dyDescent="0.2">
      <c r="G671" s="88"/>
      <c r="H671" s="88"/>
      <c r="I671" s="88"/>
      <c r="K671" s="88"/>
      <c r="L671" s="88"/>
      <c r="M671" s="88"/>
      <c r="O671" s="88"/>
      <c r="P671" s="88"/>
      <c r="Q671" s="88"/>
      <c r="S671" s="88"/>
      <c r="T671" s="88"/>
      <c r="U671" s="88"/>
    </row>
    <row r="672" spans="7:21" ht="15" customHeight="1" x14ac:dyDescent="0.2">
      <c r="G672" s="88"/>
      <c r="H672" s="88"/>
      <c r="I672" s="88"/>
      <c r="K672" s="88"/>
      <c r="L672" s="88"/>
      <c r="M672" s="88"/>
      <c r="O672" s="88"/>
      <c r="P672" s="88"/>
      <c r="Q672" s="88"/>
      <c r="S672" s="88"/>
      <c r="T672" s="88"/>
      <c r="U672" s="88"/>
    </row>
    <row r="673" spans="7:21" ht="15" customHeight="1" x14ac:dyDescent="0.2">
      <c r="G673" s="88"/>
      <c r="H673" s="88"/>
      <c r="I673" s="88"/>
      <c r="K673" s="88"/>
      <c r="L673" s="88"/>
      <c r="M673" s="88"/>
      <c r="O673" s="88"/>
      <c r="P673" s="88"/>
      <c r="Q673" s="88"/>
      <c r="S673" s="88"/>
      <c r="T673" s="88"/>
      <c r="U673" s="88"/>
    </row>
    <row r="674" spans="7:21" ht="15" customHeight="1" x14ac:dyDescent="0.2">
      <c r="G674" s="88"/>
      <c r="H674" s="88"/>
      <c r="I674" s="88"/>
      <c r="K674" s="88"/>
      <c r="L674" s="88"/>
      <c r="M674" s="88"/>
      <c r="O674" s="88"/>
      <c r="P674" s="88"/>
      <c r="Q674" s="88"/>
      <c r="S674" s="88"/>
      <c r="T674" s="88"/>
      <c r="U674" s="88"/>
    </row>
    <row r="675" spans="7:21" ht="15" customHeight="1" x14ac:dyDescent="0.2">
      <c r="G675" s="88"/>
      <c r="H675" s="88"/>
      <c r="I675" s="88"/>
      <c r="K675" s="88"/>
      <c r="L675" s="88"/>
      <c r="M675" s="88"/>
      <c r="O675" s="88"/>
      <c r="P675" s="88"/>
      <c r="Q675" s="88"/>
      <c r="S675" s="88"/>
      <c r="T675" s="88"/>
      <c r="U675" s="88"/>
    </row>
    <row r="676" spans="7:21" ht="15" customHeight="1" x14ac:dyDescent="0.2">
      <c r="G676" s="88"/>
      <c r="H676" s="88"/>
      <c r="I676" s="88"/>
      <c r="K676" s="88"/>
      <c r="L676" s="88"/>
      <c r="M676" s="88"/>
      <c r="O676" s="88"/>
      <c r="P676" s="88"/>
      <c r="Q676" s="88"/>
      <c r="S676" s="88"/>
      <c r="T676" s="88"/>
      <c r="U676" s="88"/>
    </row>
    <row r="677" spans="7:21" ht="15" customHeight="1" x14ac:dyDescent="0.2">
      <c r="G677" s="88"/>
      <c r="H677" s="88"/>
      <c r="I677" s="88"/>
      <c r="K677" s="88"/>
      <c r="L677" s="88"/>
      <c r="M677" s="88"/>
      <c r="O677" s="88"/>
      <c r="P677" s="88"/>
      <c r="Q677" s="88"/>
      <c r="S677" s="88"/>
      <c r="T677" s="88"/>
      <c r="U677" s="88"/>
    </row>
    <row r="678" spans="7:21" ht="15" customHeight="1" x14ac:dyDescent="0.2">
      <c r="G678" s="88"/>
      <c r="H678" s="88"/>
      <c r="I678" s="88"/>
      <c r="K678" s="88"/>
      <c r="L678" s="88"/>
      <c r="M678" s="88"/>
      <c r="O678" s="88"/>
      <c r="P678" s="88"/>
      <c r="Q678" s="88"/>
      <c r="S678" s="88"/>
      <c r="T678" s="88"/>
      <c r="U678" s="88"/>
    </row>
    <row r="679" spans="7:21" ht="15" customHeight="1" x14ac:dyDescent="0.2">
      <c r="G679" s="88"/>
      <c r="H679" s="88"/>
      <c r="I679" s="88"/>
      <c r="K679" s="88"/>
      <c r="L679" s="88"/>
      <c r="M679" s="88"/>
      <c r="O679" s="88"/>
      <c r="P679" s="88"/>
      <c r="Q679" s="88"/>
      <c r="S679" s="88"/>
      <c r="T679" s="88"/>
      <c r="U679" s="88"/>
    </row>
    <row r="680" spans="7:21" ht="15" customHeight="1" x14ac:dyDescent="0.2">
      <c r="G680" s="88"/>
      <c r="H680" s="88"/>
      <c r="I680" s="88"/>
      <c r="K680" s="88"/>
      <c r="L680" s="88"/>
      <c r="M680" s="88"/>
      <c r="O680" s="88"/>
      <c r="P680" s="88"/>
      <c r="Q680" s="88"/>
      <c r="S680" s="88"/>
      <c r="T680" s="88"/>
      <c r="U680" s="88"/>
    </row>
    <row r="681" spans="7:21" ht="15" customHeight="1" x14ac:dyDescent="0.2">
      <c r="G681" s="88"/>
      <c r="H681" s="88"/>
      <c r="I681" s="88"/>
      <c r="K681" s="88"/>
      <c r="L681" s="88"/>
      <c r="M681" s="88"/>
      <c r="O681" s="88"/>
      <c r="P681" s="88"/>
      <c r="Q681" s="88"/>
      <c r="S681" s="88"/>
      <c r="T681" s="88"/>
      <c r="U681" s="88"/>
    </row>
    <row r="682" spans="7:21" ht="15" customHeight="1" x14ac:dyDescent="0.2">
      <c r="G682" s="88"/>
      <c r="H682" s="88"/>
      <c r="I682" s="88"/>
      <c r="K682" s="88"/>
      <c r="L682" s="88"/>
      <c r="M682" s="88"/>
      <c r="O682" s="88"/>
      <c r="P682" s="88"/>
      <c r="Q682" s="88"/>
      <c r="S682" s="88"/>
      <c r="T682" s="88"/>
      <c r="U682" s="88"/>
    </row>
    <row r="683" spans="7:21" ht="15" customHeight="1" x14ac:dyDescent="0.2">
      <c r="G683" s="88"/>
      <c r="H683" s="88"/>
      <c r="I683" s="88"/>
      <c r="K683" s="88"/>
      <c r="L683" s="88"/>
      <c r="M683" s="88"/>
      <c r="O683" s="88"/>
      <c r="P683" s="88"/>
      <c r="Q683" s="88"/>
      <c r="S683" s="88"/>
      <c r="T683" s="88"/>
      <c r="U683" s="88"/>
    </row>
    <row r="684" spans="7:21" ht="15" customHeight="1" x14ac:dyDescent="0.2">
      <c r="G684" s="88"/>
      <c r="H684" s="88"/>
      <c r="I684" s="88"/>
      <c r="K684" s="88"/>
      <c r="L684" s="88"/>
      <c r="M684" s="88"/>
      <c r="O684" s="88"/>
      <c r="P684" s="88"/>
      <c r="Q684" s="88"/>
      <c r="S684" s="88"/>
      <c r="T684" s="88"/>
      <c r="U684" s="88"/>
    </row>
    <row r="685" spans="7:21" ht="15" customHeight="1" x14ac:dyDescent="0.2">
      <c r="G685" s="88"/>
      <c r="H685" s="88"/>
      <c r="I685" s="88"/>
      <c r="K685" s="88"/>
      <c r="L685" s="88"/>
      <c r="M685" s="88"/>
      <c r="O685" s="88"/>
      <c r="P685" s="88"/>
      <c r="Q685" s="88"/>
      <c r="S685" s="88"/>
      <c r="T685" s="88"/>
      <c r="U685" s="88"/>
    </row>
    <row r="686" spans="7:21" ht="15" customHeight="1" x14ac:dyDescent="0.2">
      <c r="G686" s="88"/>
      <c r="H686" s="88"/>
      <c r="I686" s="88"/>
      <c r="K686" s="88"/>
      <c r="L686" s="88"/>
      <c r="M686" s="88"/>
      <c r="O686" s="88"/>
      <c r="P686" s="88"/>
      <c r="Q686" s="88"/>
      <c r="S686" s="88"/>
      <c r="T686" s="88"/>
      <c r="U686" s="88"/>
    </row>
    <row r="687" spans="7:21" ht="15" customHeight="1" x14ac:dyDescent="0.2">
      <c r="G687" s="88"/>
      <c r="H687" s="88"/>
      <c r="I687" s="88"/>
      <c r="K687" s="88"/>
      <c r="L687" s="88"/>
      <c r="M687" s="88"/>
      <c r="O687" s="88"/>
      <c r="P687" s="88"/>
      <c r="Q687" s="88"/>
      <c r="S687" s="88"/>
      <c r="T687" s="88"/>
      <c r="U687" s="88"/>
    </row>
    <row r="688" spans="7:21" ht="15" customHeight="1" x14ac:dyDescent="0.2">
      <c r="G688" s="88"/>
      <c r="H688" s="88"/>
      <c r="I688" s="88"/>
      <c r="K688" s="88"/>
      <c r="L688" s="88"/>
      <c r="M688" s="88"/>
      <c r="O688" s="88"/>
      <c r="P688" s="88"/>
      <c r="Q688" s="88"/>
      <c r="S688" s="88"/>
      <c r="T688" s="88"/>
      <c r="U688" s="88"/>
    </row>
    <row r="689" spans="7:21" ht="15" customHeight="1" x14ac:dyDescent="0.2">
      <c r="G689" s="88"/>
      <c r="H689" s="88"/>
      <c r="I689" s="88"/>
      <c r="K689" s="88"/>
      <c r="L689" s="88"/>
      <c r="M689" s="88"/>
      <c r="O689" s="88"/>
      <c r="P689" s="88"/>
      <c r="Q689" s="88"/>
      <c r="S689" s="88"/>
      <c r="T689" s="88"/>
      <c r="U689" s="88"/>
    </row>
    <row r="690" spans="7:21" ht="15" customHeight="1" x14ac:dyDescent="0.2">
      <c r="G690" s="88"/>
      <c r="H690" s="88"/>
      <c r="I690" s="88"/>
      <c r="K690" s="88"/>
      <c r="L690" s="88"/>
      <c r="M690" s="88"/>
      <c r="O690" s="88"/>
      <c r="P690" s="88"/>
      <c r="Q690" s="88"/>
      <c r="S690" s="88"/>
      <c r="T690" s="88"/>
      <c r="U690" s="88"/>
    </row>
    <row r="691" spans="7:21" ht="15" customHeight="1" x14ac:dyDescent="0.2">
      <c r="G691" s="88"/>
      <c r="H691" s="88"/>
      <c r="I691" s="88"/>
      <c r="K691" s="88"/>
      <c r="L691" s="88"/>
      <c r="M691" s="88"/>
      <c r="O691" s="88"/>
      <c r="P691" s="88"/>
      <c r="Q691" s="88"/>
      <c r="S691" s="88"/>
      <c r="T691" s="88"/>
      <c r="U691" s="88"/>
    </row>
    <row r="692" spans="7:21" ht="15" customHeight="1" x14ac:dyDescent="0.2">
      <c r="G692" s="88"/>
      <c r="H692" s="88"/>
      <c r="I692" s="88"/>
      <c r="K692" s="88"/>
      <c r="L692" s="88"/>
      <c r="M692" s="88"/>
      <c r="O692" s="88"/>
      <c r="P692" s="88"/>
      <c r="Q692" s="88"/>
      <c r="S692" s="88"/>
      <c r="T692" s="88"/>
      <c r="U692" s="88"/>
    </row>
  </sheetData>
  <mergeCells count="22">
    <mergeCell ref="A7:X7"/>
    <mergeCell ref="D13:E13"/>
    <mergeCell ref="G10:H10"/>
    <mergeCell ref="B26:W26"/>
    <mergeCell ref="G13:H13"/>
    <mergeCell ref="B13:C13"/>
    <mergeCell ref="B16:W16"/>
    <mergeCell ref="B10:C10"/>
    <mergeCell ref="G11:H12"/>
    <mergeCell ref="I11:J12"/>
    <mergeCell ref="G14:H14"/>
    <mergeCell ref="I14:J14"/>
    <mergeCell ref="B9:C9"/>
    <mergeCell ref="D9:E9"/>
    <mergeCell ref="I10:J10"/>
    <mergeCell ref="B11:C12"/>
    <mergeCell ref="D11:E12"/>
    <mergeCell ref="D14:E14"/>
    <mergeCell ref="I13:J13"/>
    <mergeCell ref="G9:H9"/>
    <mergeCell ref="I9:J9"/>
    <mergeCell ref="D10:E10"/>
  </mergeCells>
  <conditionalFormatting sqref="G46:V95">
    <cfRule type="expression" dxfId="133" priority="10">
      <formula>AND(ISNUMBER(G46),ISNUMBER($F46),OR(AND($D46="P",G46&gt;=$F46),AND($D46="N",G46&lt;=$F46)))</formula>
    </cfRule>
    <cfRule type="expression" dxfId="132" priority="11">
      <formula>AND(ISNUMBER(G46),ISNUMBER($F46),OR(AND($D46="P",G46&lt;$F46),AND($D46="N",G46&gt;$F46)))</formula>
    </cfRule>
  </conditionalFormatting>
  <conditionalFormatting sqref="W46:W95">
    <cfRule type="expression" dxfId="131" priority="2">
      <formula>$X46="✓ On Target"</formula>
    </cfRule>
    <cfRule type="expression" dxfId="130" priority="3">
      <formula>$X46="✗ Off Target"</formula>
    </cfRule>
    <cfRule type="expression" dxfId="129" priority="4">
      <formula>$X46="— No Data"</formula>
    </cfRule>
    <cfRule type="expression" dxfId="128" priority="5">
      <formula>$X46="⊘ Non Target"</formula>
    </cfRule>
  </conditionalFormatting>
  <conditionalFormatting sqref="X46:X95">
    <cfRule type="expression" dxfId="127" priority="6">
      <formula>X46="✓ On Target"</formula>
    </cfRule>
    <cfRule type="expression" dxfId="126" priority="7">
      <formula>X46="✗ Off Target"</formula>
    </cfRule>
    <cfRule type="expression" dxfId="125" priority="8">
      <formula>X46="— No Data"</formula>
    </cfRule>
    <cfRule type="expression" dxfId="124" priority="9">
      <formula>X46="⊘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709"/>
  <sheetViews>
    <sheetView showGridLines="0" topLeftCell="B1" zoomScaleNormal="100" workbookViewId="0">
      <selection activeCell="F97" sqref="F97"/>
    </sheetView>
  </sheetViews>
  <sheetFormatPr defaultColWidth="8.7421875" defaultRowHeight="15" x14ac:dyDescent="0.2"/>
  <cols>
    <col min="1" max="1" width="9.953125" style="1" customWidth="1"/>
    <col min="2" max="2" width="48.0234375" style="1" customWidth="1"/>
    <col min="3" max="3" width="14.9296875" style="1" customWidth="1"/>
    <col min="4" max="4" width="2.95703125" style="1" hidden="1" customWidth="1"/>
    <col min="5" max="5" width="11.97265625" style="1" customWidth="1"/>
    <col min="6" max="11" width="9.953125" style="1" customWidth="1"/>
    <col min="12" max="13" width="13.98828125" style="1" customWidth="1"/>
  </cols>
  <sheetData>
    <row r="1" spans="1:12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12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spans="1:12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ht="21.75" customHeight="1" x14ac:dyDescent="0.2">
      <c r="A7" s="163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</row>
    <row r="9" spans="1:12" ht="7.5" customHeight="1" x14ac:dyDescent="0.2">
      <c r="B9" s="167"/>
      <c r="C9" s="157"/>
      <c r="D9" s="168"/>
      <c r="E9" s="157"/>
      <c r="G9" s="161"/>
      <c r="H9" s="157"/>
      <c r="I9" s="162"/>
      <c r="J9" s="157"/>
    </row>
    <row r="10" spans="1:12" ht="21.75" customHeight="1" x14ac:dyDescent="0.2">
      <c r="B10" s="164" t="s">
        <v>1</v>
      </c>
      <c r="C10" s="157"/>
      <c r="D10" s="164" t="s">
        <v>2</v>
      </c>
      <c r="E10" s="157"/>
      <c r="G10" s="164" t="s">
        <v>3</v>
      </c>
      <c r="H10" s="157"/>
      <c r="I10" s="164" t="s">
        <v>4</v>
      </c>
      <c r="J10" s="157"/>
    </row>
    <row r="11" spans="1:12" ht="27.75" customHeight="1" x14ac:dyDescent="0.2">
      <c r="B11" s="169">
        <v>67</v>
      </c>
      <c r="C11" s="157"/>
      <c r="D11" s="156">
        <v>28</v>
      </c>
      <c r="E11" s="157"/>
      <c r="G11" s="165">
        <v>18</v>
      </c>
      <c r="H11" s="157"/>
      <c r="I11" s="166">
        <v>21</v>
      </c>
      <c r="J11" s="157"/>
    </row>
    <row r="12" spans="1:12" ht="27.75" customHeight="1" x14ac:dyDescent="0.2">
      <c r="B12" s="157"/>
      <c r="C12" s="157"/>
      <c r="D12" s="157"/>
      <c r="E12" s="157"/>
      <c r="G12" s="157"/>
      <c r="H12" s="157"/>
      <c r="I12" s="157"/>
      <c r="J12" s="157"/>
    </row>
    <row r="13" spans="1:12" ht="21.75" customHeight="1" x14ac:dyDescent="0.2">
      <c r="B13" s="160" t="s">
        <v>5</v>
      </c>
      <c r="C13" s="157"/>
      <c r="D13" s="160" t="s">
        <v>6</v>
      </c>
      <c r="E13" s="157"/>
      <c r="G13" s="160" t="s">
        <v>7</v>
      </c>
      <c r="H13" s="157"/>
      <c r="I13" s="160" t="s">
        <v>8</v>
      </c>
      <c r="J13" s="157"/>
    </row>
    <row r="14" spans="1:12" ht="31.5" customHeight="1" x14ac:dyDescent="0.2">
      <c r="B14" s="6" t="s">
        <v>9</v>
      </c>
      <c r="C14" s="7" t="s">
        <v>10</v>
      </c>
      <c r="D14" s="158"/>
      <c r="E14" s="157"/>
      <c r="G14" s="158"/>
      <c r="H14" s="157"/>
      <c r="I14" s="158"/>
      <c r="J14" s="157"/>
    </row>
    <row r="16" spans="1:12" ht="24" customHeight="1" x14ac:dyDescent="0.2">
      <c r="B16" s="159" t="s">
        <v>11</v>
      </c>
      <c r="C16" s="157"/>
      <c r="D16" s="157"/>
      <c r="E16" s="157"/>
      <c r="F16" s="157"/>
      <c r="G16" s="157"/>
      <c r="H16" s="157"/>
      <c r="I16" s="157"/>
      <c r="J16" s="157"/>
      <c r="K16" s="157"/>
    </row>
    <row r="17" spans="2:11" ht="24" customHeight="1" x14ac:dyDescent="0.2">
      <c r="B17" s="23" t="s">
        <v>12</v>
      </c>
      <c r="C17" s="23" t="s">
        <v>13</v>
      </c>
      <c r="D17" s="23" t="s">
        <v>14</v>
      </c>
      <c r="E17" s="23" t="s">
        <v>15</v>
      </c>
      <c r="F17" s="23" t="s">
        <v>16</v>
      </c>
      <c r="G17" s="23" t="s">
        <v>17</v>
      </c>
    </row>
    <row r="18" spans="2:11" ht="21.75" customHeight="1" x14ac:dyDescent="0.2">
      <c r="B18" s="30" t="s">
        <v>18</v>
      </c>
      <c r="C18" s="31">
        <v>3</v>
      </c>
      <c r="D18" s="32">
        <v>2</v>
      </c>
      <c r="E18" s="33">
        <v>0</v>
      </c>
      <c r="F18" s="34">
        <v>1</v>
      </c>
      <c r="G18" s="35">
        <v>1</v>
      </c>
    </row>
    <row r="19" spans="2:11" ht="21.75" customHeight="1" x14ac:dyDescent="0.2">
      <c r="B19" s="24" t="s">
        <v>19</v>
      </c>
      <c r="C19" s="25">
        <v>26</v>
      </c>
      <c r="D19" s="26">
        <v>17</v>
      </c>
      <c r="E19" s="27">
        <v>4</v>
      </c>
      <c r="F19" s="28">
        <v>5</v>
      </c>
      <c r="G19" s="29">
        <v>0.80952380952380998</v>
      </c>
    </row>
    <row r="20" spans="2:11" ht="21.75" customHeight="1" x14ac:dyDescent="0.2">
      <c r="B20" s="30" t="s">
        <v>20</v>
      </c>
      <c r="C20" s="31">
        <v>17</v>
      </c>
      <c r="D20" s="32">
        <v>10</v>
      </c>
      <c r="E20" s="33">
        <v>2</v>
      </c>
      <c r="F20" s="34">
        <v>5</v>
      </c>
      <c r="G20" s="35">
        <v>0.83333333333333304</v>
      </c>
    </row>
    <row r="21" spans="2:11" ht="21.75" customHeight="1" x14ac:dyDescent="0.2">
      <c r="B21" s="30" t="s">
        <v>21</v>
      </c>
      <c r="C21" s="31">
        <v>11</v>
      </c>
      <c r="D21" s="32">
        <v>6</v>
      </c>
      <c r="E21" s="33">
        <v>2</v>
      </c>
      <c r="F21" s="34">
        <v>3</v>
      </c>
      <c r="G21" s="35">
        <v>0.75</v>
      </c>
    </row>
    <row r="22" spans="2:11" ht="21.75" customHeight="1" x14ac:dyDescent="0.2">
      <c r="B22" s="24" t="s">
        <v>22</v>
      </c>
      <c r="C22" s="25">
        <v>5</v>
      </c>
      <c r="D22" s="26">
        <v>1</v>
      </c>
      <c r="E22" s="27">
        <v>1</v>
      </c>
      <c r="F22" s="28">
        <v>3</v>
      </c>
      <c r="G22" s="29">
        <v>0.5</v>
      </c>
    </row>
    <row r="23" spans="2:11" ht="21.75" customHeight="1" x14ac:dyDescent="0.2">
      <c r="B23" s="24" t="s">
        <v>23</v>
      </c>
      <c r="C23" s="25">
        <v>2</v>
      </c>
      <c r="D23" s="26">
        <v>0</v>
      </c>
      <c r="E23" s="27">
        <v>0</v>
      </c>
      <c r="F23" s="28">
        <v>2</v>
      </c>
      <c r="G23" s="29" t="s">
        <v>24</v>
      </c>
    </row>
    <row r="24" spans="2:11" ht="21.75" customHeight="1" x14ac:dyDescent="0.2">
      <c r="B24" s="30" t="s">
        <v>25</v>
      </c>
      <c r="C24" s="31">
        <v>1</v>
      </c>
      <c r="D24" s="32">
        <v>0</v>
      </c>
      <c r="E24" s="33">
        <v>0</v>
      </c>
      <c r="F24" s="34">
        <v>1</v>
      </c>
      <c r="G24" s="35" t="s">
        <v>24</v>
      </c>
    </row>
    <row r="25" spans="2:11" ht="21.75" customHeight="1" x14ac:dyDescent="0.2">
      <c r="B25" s="24" t="s">
        <v>26</v>
      </c>
      <c r="C25" s="25">
        <v>0</v>
      </c>
      <c r="D25" s="26">
        <v>0</v>
      </c>
      <c r="E25" s="27">
        <v>0</v>
      </c>
      <c r="F25" s="28">
        <v>0</v>
      </c>
      <c r="G25" s="29" t="s">
        <v>24</v>
      </c>
    </row>
    <row r="26" spans="2:11" ht="21.75" customHeight="1" x14ac:dyDescent="0.2">
      <c r="B26" s="30" t="s">
        <v>27</v>
      </c>
      <c r="C26" s="31">
        <v>1</v>
      </c>
      <c r="D26" s="32">
        <v>0</v>
      </c>
      <c r="E26" s="33">
        <v>0</v>
      </c>
      <c r="F26" s="34">
        <v>1</v>
      </c>
      <c r="G26" s="35" t="s">
        <v>24</v>
      </c>
    </row>
    <row r="27" spans="2:11" ht="25.5" customHeight="1" x14ac:dyDescent="0.2">
      <c r="B27" s="36" t="s">
        <v>28</v>
      </c>
      <c r="C27" s="37">
        <v>67</v>
      </c>
      <c r="D27" s="38">
        <v>36</v>
      </c>
      <c r="E27" s="38">
        <v>9</v>
      </c>
      <c r="F27" s="38">
        <v>22</v>
      </c>
      <c r="G27" s="39">
        <v>0.8</v>
      </c>
    </row>
    <row r="29" spans="2:11" ht="24" customHeight="1" x14ac:dyDescent="0.2">
      <c r="B29" s="159" t="s">
        <v>29</v>
      </c>
      <c r="C29" s="157"/>
      <c r="D29" s="157"/>
      <c r="E29" s="157"/>
      <c r="F29" s="157"/>
      <c r="G29" s="157"/>
      <c r="H29" s="157"/>
      <c r="I29" s="157"/>
      <c r="J29" s="157"/>
      <c r="K29" s="157"/>
    </row>
    <row r="30" spans="2:11" ht="24" customHeight="1" x14ac:dyDescent="0.2">
      <c r="B30" s="23" t="s">
        <v>30</v>
      </c>
      <c r="C30" s="23" t="s">
        <v>13</v>
      </c>
      <c r="D30" s="23" t="s">
        <v>14</v>
      </c>
      <c r="E30" s="23" t="s">
        <v>15</v>
      </c>
      <c r="F30" s="23" t="s">
        <v>16</v>
      </c>
      <c r="G30" s="23" t="s">
        <v>17</v>
      </c>
    </row>
    <row r="31" spans="2:11" ht="21.75" customHeight="1" x14ac:dyDescent="0.2">
      <c r="B31" s="24" t="s">
        <v>31</v>
      </c>
      <c r="C31" s="41">
        <v>8</v>
      </c>
      <c r="D31" s="26">
        <v>3</v>
      </c>
      <c r="E31" s="27">
        <v>1</v>
      </c>
      <c r="F31" s="28">
        <v>0</v>
      </c>
      <c r="G31" s="29">
        <v>0.75</v>
      </c>
    </row>
    <row r="32" spans="2:11" ht="21.75" customHeight="1" x14ac:dyDescent="0.2">
      <c r="B32" s="30" t="s">
        <v>32</v>
      </c>
      <c r="C32" s="40">
        <v>14</v>
      </c>
      <c r="D32" s="32">
        <v>9</v>
      </c>
      <c r="E32" s="33">
        <v>2</v>
      </c>
      <c r="F32" s="34">
        <v>0</v>
      </c>
      <c r="G32" s="35">
        <v>0.81818181818181801</v>
      </c>
    </row>
    <row r="33" spans="1:14" ht="21.75" customHeight="1" x14ac:dyDescent="0.2">
      <c r="B33" s="24" t="s">
        <v>33</v>
      </c>
      <c r="C33" s="41">
        <v>7</v>
      </c>
      <c r="D33" s="26">
        <v>2</v>
      </c>
      <c r="E33" s="27">
        <v>1</v>
      </c>
      <c r="F33" s="28">
        <v>0</v>
      </c>
      <c r="G33" s="29">
        <v>0.66666666666666696</v>
      </c>
    </row>
    <row r="34" spans="1:14" ht="21.75" customHeight="1" x14ac:dyDescent="0.2">
      <c r="B34" s="24" t="s">
        <v>34</v>
      </c>
      <c r="C34" s="41">
        <v>45</v>
      </c>
      <c r="D34" s="26">
        <v>28</v>
      </c>
      <c r="E34" s="27">
        <v>4</v>
      </c>
      <c r="F34" s="28">
        <v>9</v>
      </c>
      <c r="G34" s="29">
        <v>0.875</v>
      </c>
    </row>
    <row r="35" spans="1:14" ht="21.75" customHeight="1" x14ac:dyDescent="0.2">
      <c r="B35" s="24" t="s">
        <v>35</v>
      </c>
      <c r="C35" s="41">
        <v>44</v>
      </c>
      <c r="D35" s="26">
        <v>27</v>
      </c>
      <c r="E35" s="27">
        <v>6</v>
      </c>
      <c r="F35" s="28">
        <v>6</v>
      </c>
      <c r="G35" s="29">
        <v>0.81818181818181801</v>
      </c>
    </row>
    <row r="36" spans="1:14" ht="21.75" customHeight="1" x14ac:dyDescent="0.2">
      <c r="B36" s="30" t="s">
        <v>36</v>
      </c>
      <c r="C36" s="40">
        <v>7</v>
      </c>
      <c r="D36" s="32">
        <v>1</v>
      </c>
      <c r="E36" s="33">
        <v>2</v>
      </c>
      <c r="F36" s="34">
        <v>0</v>
      </c>
      <c r="G36" s="35">
        <v>0.33333333333333298</v>
      </c>
    </row>
    <row r="37" spans="1:14" ht="21.75" customHeight="1" x14ac:dyDescent="0.2">
      <c r="B37" s="30" t="s">
        <v>37</v>
      </c>
      <c r="C37" s="40">
        <v>7</v>
      </c>
      <c r="D37" s="32">
        <v>2</v>
      </c>
      <c r="E37" s="33">
        <v>1</v>
      </c>
      <c r="F37" s="34">
        <v>0</v>
      </c>
      <c r="G37" s="35">
        <v>0.66666666666666696</v>
      </c>
    </row>
    <row r="38" spans="1:14" ht="21.75" customHeight="1" x14ac:dyDescent="0.2">
      <c r="B38" s="30" t="s">
        <v>38</v>
      </c>
      <c r="C38" s="40">
        <v>5</v>
      </c>
      <c r="D38" s="32">
        <v>1</v>
      </c>
      <c r="E38" s="33">
        <v>1</v>
      </c>
      <c r="F38" s="34">
        <v>0</v>
      </c>
      <c r="G38" s="35">
        <v>0.5</v>
      </c>
    </row>
    <row r="39" spans="1:14" ht="21.75" customHeight="1" x14ac:dyDescent="0.2">
      <c r="B39" s="30" t="s">
        <v>39</v>
      </c>
      <c r="C39" s="40">
        <v>43</v>
      </c>
      <c r="D39" s="32">
        <v>24</v>
      </c>
      <c r="E39" s="33">
        <v>10</v>
      </c>
      <c r="F39" s="34">
        <v>6</v>
      </c>
      <c r="G39" s="35">
        <v>0.70588235294117696</v>
      </c>
    </row>
    <row r="40" spans="1:14" ht="21.75" customHeight="1" x14ac:dyDescent="0.2">
      <c r="B40" s="24" t="s">
        <v>40</v>
      </c>
      <c r="C40" s="41">
        <v>48</v>
      </c>
      <c r="D40" s="26">
        <v>30</v>
      </c>
      <c r="E40" s="27">
        <v>10</v>
      </c>
      <c r="F40" s="28">
        <v>3</v>
      </c>
      <c r="G40" s="29">
        <v>0.75</v>
      </c>
    </row>
    <row r="41" spans="1:14" ht="21.75" customHeight="1" x14ac:dyDescent="0.2">
      <c r="B41" s="30" t="s">
        <v>41</v>
      </c>
      <c r="C41" s="40">
        <v>43</v>
      </c>
      <c r="D41" s="32">
        <v>27</v>
      </c>
      <c r="E41" s="33">
        <v>10</v>
      </c>
      <c r="F41" s="34">
        <v>3</v>
      </c>
      <c r="G41" s="35">
        <v>0.72972972972973005</v>
      </c>
    </row>
    <row r="43" spans="1:14" ht="15.75" customHeight="1" x14ac:dyDescent="0.2"/>
    <row r="45" spans="1:14" ht="25.5" customHeight="1" x14ac:dyDescent="0.2">
      <c r="A45" s="42" t="s">
        <v>42</v>
      </c>
      <c r="B45" s="42" t="s">
        <v>43</v>
      </c>
      <c r="C45" s="42" t="s">
        <v>44</v>
      </c>
      <c r="D45" s="42" t="s">
        <v>45</v>
      </c>
      <c r="E45" s="42" t="s">
        <v>46</v>
      </c>
      <c r="F45" s="42" t="s">
        <v>47</v>
      </c>
      <c r="G45" s="42" t="s">
        <v>48</v>
      </c>
      <c r="H45" s="42" t="s">
        <v>49</v>
      </c>
      <c r="I45" s="42" t="s">
        <v>50</v>
      </c>
      <c r="J45" s="42" t="s">
        <v>51</v>
      </c>
      <c r="K45" s="42" t="s">
        <v>52</v>
      </c>
      <c r="L45" s="42" t="s">
        <v>53</v>
      </c>
      <c r="M45" s="43" t="s">
        <v>54</v>
      </c>
      <c r="N45" s="43" t="s">
        <v>55</v>
      </c>
    </row>
    <row r="46" spans="1:14" ht="25.5" customHeight="1" x14ac:dyDescent="0.2">
      <c r="A46" s="44" t="s">
        <v>56</v>
      </c>
      <c r="B46" s="45" t="s">
        <v>57</v>
      </c>
      <c r="C46" s="46" t="s">
        <v>21</v>
      </c>
      <c r="D46" s="46" t="s">
        <v>58</v>
      </c>
      <c r="E46" s="62">
        <v>0.33</v>
      </c>
      <c r="F46" s="63">
        <v>0.34</v>
      </c>
      <c r="G46" s="64">
        <v>0.66700000000000004</v>
      </c>
      <c r="H46" s="65">
        <v>0.88</v>
      </c>
      <c r="I46" s="65"/>
      <c r="J46" s="65"/>
      <c r="K46" s="67">
        <v>0.66700000000000004</v>
      </c>
      <c r="L46" s="89" t="s">
        <v>59</v>
      </c>
      <c r="M46" s="53" t="s">
        <v>60</v>
      </c>
      <c r="N46" s="1" t="s">
        <v>61</v>
      </c>
    </row>
    <row r="47" spans="1:14" ht="25.5" customHeight="1" x14ac:dyDescent="0.2">
      <c r="A47" s="44" t="s">
        <v>62</v>
      </c>
      <c r="B47" s="45" t="s">
        <v>63</v>
      </c>
      <c r="C47" s="46" t="s">
        <v>21</v>
      </c>
      <c r="D47" s="46" t="s">
        <v>64</v>
      </c>
      <c r="E47" s="90">
        <v>20.7</v>
      </c>
      <c r="F47" s="91">
        <v>17.594999999999999</v>
      </c>
      <c r="G47" s="92">
        <v>14.6</v>
      </c>
      <c r="H47" s="92">
        <v>10</v>
      </c>
      <c r="I47" s="92"/>
      <c r="J47" s="92"/>
      <c r="K47" s="93">
        <v>14.6</v>
      </c>
      <c r="L47" s="89" t="s">
        <v>59</v>
      </c>
      <c r="M47" s="53" t="s">
        <v>60</v>
      </c>
      <c r="N47" s="1" t="s">
        <v>61</v>
      </c>
    </row>
    <row r="48" spans="1:14" ht="25.5" customHeight="1" x14ac:dyDescent="0.2">
      <c r="A48" s="44" t="s">
        <v>65</v>
      </c>
      <c r="B48" s="45" t="s">
        <v>66</v>
      </c>
      <c r="C48" s="46" t="s">
        <v>21</v>
      </c>
      <c r="D48" s="46" t="s">
        <v>58</v>
      </c>
      <c r="E48" s="47">
        <v>2.5</v>
      </c>
      <c r="F48" s="82">
        <v>3</v>
      </c>
      <c r="G48" s="81">
        <v>2.1</v>
      </c>
      <c r="H48" s="49">
        <v>2.75</v>
      </c>
      <c r="I48" s="49"/>
      <c r="J48" s="49"/>
      <c r="K48" s="51">
        <v>2.1</v>
      </c>
      <c r="L48" s="89" t="s">
        <v>67</v>
      </c>
      <c r="M48" s="53" t="s">
        <v>68</v>
      </c>
      <c r="N48" s="1" t="s">
        <v>61</v>
      </c>
    </row>
    <row r="49" spans="1:14" ht="25.5" customHeight="1" x14ac:dyDescent="0.2">
      <c r="A49" s="44" t="s">
        <v>69</v>
      </c>
      <c r="B49" s="45" t="s">
        <v>70</v>
      </c>
      <c r="C49" s="46" t="s">
        <v>21</v>
      </c>
      <c r="D49" s="46" t="s">
        <v>58</v>
      </c>
      <c r="E49" s="62">
        <v>0.98</v>
      </c>
      <c r="F49" s="66">
        <v>0.98</v>
      </c>
      <c r="G49" s="64">
        <v>0.98181818181818203</v>
      </c>
      <c r="H49" s="65">
        <v>0.98180000000000001</v>
      </c>
      <c r="I49" s="65"/>
      <c r="J49" s="65"/>
      <c r="K49" s="67">
        <v>0.98181818181818203</v>
      </c>
      <c r="L49" s="89" t="s">
        <v>71</v>
      </c>
      <c r="M49" s="53" t="s">
        <v>72</v>
      </c>
      <c r="N49" s="1" t="s">
        <v>61</v>
      </c>
    </row>
    <row r="50" spans="1:14" ht="25.5" customHeight="1" x14ac:dyDescent="0.2">
      <c r="A50" s="44" t="s">
        <v>73</v>
      </c>
      <c r="B50" s="45" t="s">
        <v>74</v>
      </c>
      <c r="C50" s="46" t="s">
        <v>21</v>
      </c>
      <c r="D50" s="46" t="s">
        <v>64</v>
      </c>
      <c r="E50" s="62">
        <v>0.52</v>
      </c>
      <c r="F50" s="63" t="s">
        <v>75</v>
      </c>
      <c r="G50" s="64">
        <v>0.55900000000000005</v>
      </c>
      <c r="H50" s="65">
        <v>0.74352063031308302</v>
      </c>
      <c r="I50" s="65"/>
      <c r="J50" s="65"/>
      <c r="K50" s="67">
        <v>0.55900000000000005</v>
      </c>
      <c r="L50" s="89" t="s">
        <v>67</v>
      </c>
      <c r="M50" s="53" t="s">
        <v>60</v>
      </c>
      <c r="N50" s="1" t="s">
        <v>61</v>
      </c>
    </row>
    <row r="51" spans="1:14" ht="25.5" customHeight="1" x14ac:dyDescent="0.2">
      <c r="A51" s="44" t="s">
        <v>76</v>
      </c>
      <c r="B51" s="45" t="s">
        <v>77</v>
      </c>
      <c r="C51" s="46" t="s">
        <v>21</v>
      </c>
      <c r="D51" s="46" t="s">
        <v>58</v>
      </c>
      <c r="E51" s="77">
        <v>16.5</v>
      </c>
      <c r="F51" s="57">
        <v>16.5</v>
      </c>
      <c r="G51" s="56">
        <v>24.5</v>
      </c>
      <c r="H51" s="78">
        <v>24.497</v>
      </c>
      <c r="I51" s="78"/>
      <c r="J51" s="78"/>
      <c r="K51" s="79">
        <v>24.5</v>
      </c>
      <c r="L51" s="89" t="s">
        <v>59</v>
      </c>
      <c r="M51" s="53" t="s">
        <v>68</v>
      </c>
      <c r="N51" s="1" t="s">
        <v>61</v>
      </c>
    </row>
    <row r="52" spans="1:14" ht="25.5" customHeight="1" x14ac:dyDescent="0.2">
      <c r="A52" s="44" t="s">
        <v>78</v>
      </c>
      <c r="B52" s="45" t="s">
        <v>79</v>
      </c>
      <c r="C52" s="46" t="s">
        <v>21</v>
      </c>
      <c r="D52" s="46" t="s">
        <v>64</v>
      </c>
      <c r="E52" s="71">
        <v>4.7</v>
      </c>
      <c r="F52" s="94">
        <v>3.99</v>
      </c>
      <c r="G52" s="95">
        <v>4.0999999999999996</v>
      </c>
      <c r="H52" s="73">
        <v>5.087895716946</v>
      </c>
      <c r="I52" s="73"/>
      <c r="J52" s="73"/>
      <c r="K52" s="75">
        <v>4.0999999999999996</v>
      </c>
      <c r="L52" s="89" t="s">
        <v>67</v>
      </c>
      <c r="M52" s="53" t="s">
        <v>60</v>
      </c>
      <c r="N52" s="1" t="s">
        <v>61</v>
      </c>
    </row>
    <row r="53" spans="1:14" ht="25.5" customHeight="1" x14ac:dyDescent="0.2">
      <c r="A53" s="44" t="s">
        <v>80</v>
      </c>
      <c r="B53" s="45" t="s">
        <v>81</v>
      </c>
      <c r="C53" s="46" t="s">
        <v>21</v>
      </c>
      <c r="D53" s="46" t="s">
        <v>64</v>
      </c>
      <c r="E53" s="62">
        <v>2.5000000000000001E-2</v>
      </c>
      <c r="F53" s="63">
        <v>2.1299999999999999E-2</v>
      </c>
      <c r="G53" s="64">
        <v>2.1999999999999999E-2</v>
      </c>
      <c r="H53" s="65">
        <v>1.4891270091396199E-2</v>
      </c>
      <c r="I53" s="65"/>
      <c r="J53" s="65"/>
      <c r="K53" s="67">
        <v>2.1999999999999999E-2</v>
      </c>
      <c r="L53" s="89" t="s">
        <v>67</v>
      </c>
      <c r="M53" s="53" t="s">
        <v>60</v>
      </c>
      <c r="N53" s="1" t="s">
        <v>61</v>
      </c>
    </row>
    <row r="54" spans="1:14" ht="25.5" customHeight="1" x14ac:dyDescent="0.2">
      <c r="A54" s="44" t="s">
        <v>82</v>
      </c>
      <c r="B54" s="45" t="s">
        <v>83</v>
      </c>
      <c r="C54" s="46" t="s">
        <v>21</v>
      </c>
      <c r="D54" s="46" t="s">
        <v>58</v>
      </c>
      <c r="E54" s="77">
        <v>0.3</v>
      </c>
      <c r="F54" s="57">
        <v>0.3</v>
      </c>
      <c r="G54" s="56">
        <v>0.5</v>
      </c>
      <c r="H54" s="78" t="s">
        <v>84</v>
      </c>
      <c r="I54" s="78"/>
      <c r="J54" s="78"/>
      <c r="K54" s="79">
        <v>0.5</v>
      </c>
      <c r="L54" s="89" t="s">
        <v>59</v>
      </c>
      <c r="M54" s="53" t="s">
        <v>60</v>
      </c>
      <c r="N54" s="1" t="s">
        <v>61</v>
      </c>
    </row>
    <row r="55" spans="1:14" ht="25.5" customHeight="1" x14ac:dyDescent="0.2">
      <c r="A55" s="44" t="s">
        <v>85</v>
      </c>
      <c r="B55" s="45" t="s">
        <v>86</v>
      </c>
      <c r="C55" s="46" t="s">
        <v>21</v>
      </c>
      <c r="D55" s="46" t="s">
        <v>58</v>
      </c>
      <c r="E55" s="62">
        <v>0.58789999999999998</v>
      </c>
      <c r="F55" s="66">
        <v>0.71599999999999997</v>
      </c>
      <c r="G55" s="64">
        <v>0.62339999999999995</v>
      </c>
      <c r="H55" s="65">
        <v>0.85519999999999996</v>
      </c>
      <c r="I55" s="65"/>
      <c r="J55" s="65"/>
      <c r="K55" s="67">
        <v>0.62339999999999995</v>
      </c>
      <c r="L55" s="89" t="s">
        <v>71</v>
      </c>
      <c r="M55" s="53" t="s">
        <v>68</v>
      </c>
      <c r="N55" s="1" t="s">
        <v>61</v>
      </c>
    </row>
    <row r="56" spans="1:14" ht="25.5" customHeight="1" x14ac:dyDescent="0.2">
      <c r="A56" s="44" t="s">
        <v>87</v>
      </c>
      <c r="B56" s="45" t="s">
        <v>88</v>
      </c>
      <c r="C56" s="46" t="s">
        <v>21</v>
      </c>
      <c r="D56" s="46" t="s">
        <v>58</v>
      </c>
      <c r="E56" s="62" t="s">
        <v>89</v>
      </c>
      <c r="F56" s="66" t="s">
        <v>89</v>
      </c>
      <c r="G56" s="65"/>
      <c r="H56" s="65" t="s">
        <v>90</v>
      </c>
      <c r="I56" s="65"/>
      <c r="J56" s="65"/>
      <c r="K56" s="67"/>
      <c r="L56" s="89" t="s">
        <v>91</v>
      </c>
      <c r="M56" s="53" t="s">
        <v>68</v>
      </c>
      <c r="N56" s="1" t="s">
        <v>61</v>
      </c>
    </row>
    <row r="57" spans="1:14" ht="25.5" customHeight="1" x14ac:dyDescent="0.2">
      <c r="A57" s="44" t="s">
        <v>92</v>
      </c>
      <c r="B57" s="45" t="s">
        <v>93</v>
      </c>
      <c r="C57" s="46" t="s">
        <v>19</v>
      </c>
      <c r="D57" s="46" t="s">
        <v>58</v>
      </c>
      <c r="E57" s="62">
        <v>0.97399999999999998</v>
      </c>
      <c r="F57" s="66">
        <v>0.97789999999999999</v>
      </c>
      <c r="G57" s="64">
        <v>0.99983874917134996</v>
      </c>
      <c r="H57" s="65">
        <v>0.99980000000000002</v>
      </c>
      <c r="I57" s="65"/>
      <c r="J57" s="65"/>
      <c r="K57" s="67">
        <v>0.99983874917134996</v>
      </c>
      <c r="L57" s="89" t="s">
        <v>71</v>
      </c>
      <c r="M57" s="53" t="s">
        <v>68</v>
      </c>
      <c r="N57" s="1" t="s">
        <v>61</v>
      </c>
    </row>
    <row r="58" spans="1:14" ht="25.5" customHeight="1" x14ac:dyDescent="0.2">
      <c r="A58" s="44" t="s">
        <v>94</v>
      </c>
      <c r="B58" s="45" t="s">
        <v>95</v>
      </c>
      <c r="C58" s="46" t="s">
        <v>19</v>
      </c>
      <c r="D58" s="46" t="s">
        <v>58</v>
      </c>
      <c r="E58" s="62">
        <v>0.76700000000000002</v>
      </c>
      <c r="F58" s="63">
        <v>0.9</v>
      </c>
      <c r="G58" s="64">
        <v>0.98099999999999998</v>
      </c>
      <c r="H58" s="65"/>
      <c r="I58" s="65"/>
      <c r="J58" s="65"/>
      <c r="K58" s="67">
        <v>0.98099999999999998</v>
      </c>
      <c r="L58" s="89" t="s">
        <v>59</v>
      </c>
      <c r="M58" s="53" t="s">
        <v>60</v>
      </c>
      <c r="N58" s="1" t="s">
        <v>61</v>
      </c>
    </row>
    <row r="59" spans="1:14" ht="25.5" customHeight="1" x14ac:dyDescent="0.2">
      <c r="A59" s="44" t="s">
        <v>96</v>
      </c>
      <c r="B59" s="45" t="s">
        <v>97</v>
      </c>
      <c r="C59" s="46" t="s">
        <v>19</v>
      </c>
      <c r="D59" s="46" t="s">
        <v>58</v>
      </c>
      <c r="E59" s="62">
        <v>0.77600000000000002</v>
      </c>
      <c r="F59" s="63">
        <v>0.9</v>
      </c>
      <c r="G59" s="64">
        <v>0.85199999999999998</v>
      </c>
      <c r="H59" s="65"/>
      <c r="I59" s="65"/>
      <c r="J59" s="65"/>
      <c r="K59" s="67">
        <v>0.85199999999999998</v>
      </c>
      <c r="L59" s="89" t="s">
        <v>67</v>
      </c>
      <c r="M59" s="53" t="s">
        <v>60</v>
      </c>
      <c r="N59" s="1" t="s">
        <v>61</v>
      </c>
    </row>
    <row r="60" spans="1:14" ht="25.5" customHeight="1" x14ac:dyDescent="0.2">
      <c r="A60" s="44" t="s">
        <v>98</v>
      </c>
      <c r="B60" s="45" t="s">
        <v>99</v>
      </c>
      <c r="C60" s="46" t="s">
        <v>19</v>
      </c>
      <c r="D60" s="46" t="s">
        <v>58</v>
      </c>
      <c r="E60" s="62">
        <v>0.45400000000000001</v>
      </c>
      <c r="F60" s="63">
        <v>0.9</v>
      </c>
      <c r="G60" s="64">
        <v>0.98799999999999999</v>
      </c>
      <c r="H60" s="65"/>
      <c r="I60" s="65"/>
      <c r="J60" s="65"/>
      <c r="K60" s="67">
        <v>0.98799999999999999</v>
      </c>
      <c r="L60" s="89" t="s">
        <v>59</v>
      </c>
      <c r="M60" s="53" t="s">
        <v>60</v>
      </c>
      <c r="N60" s="1" t="s">
        <v>61</v>
      </c>
    </row>
    <row r="61" spans="1:14" ht="25.5" customHeight="1" x14ac:dyDescent="0.2">
      <c r="A61" s="44" t="s">
        <v>100</v>
      </c>
      <c r="B61" s="45" t="s">
        <v>101</v>
      </c>
      <c r="C61" s="46" t="s">
        <v>19</v>
      </c>
      <c r="D61" s="46" t="s">
        <v>58</v>
      </c>
      <c r="E61" s="62">
        <v>0.63700000000000001</v>
      </c>
      <c r="F61" s="63">
        <v>0.9</v>
      </c>
      <c r="G61" s="64">
        <v>0.99199999999999999</v>
      </c>
      <c r="H61" s="65"/>
      <c r="I61" s="65"/>
      <c r="J61" s="65"/>
      <c r="K61" s="67">
        <v>0.99199999999999999</v>
      </c>
      <c r="L61" s="89" t="s">
        <v>59</v>
      </c>
      <c r="M61" s="53" t="s">
        <v>60</v>
      </c>
      <c r="N61" s="1" t="s">
        <v>61</v>
      </c>
    </row>
    <row r="62" spans="1:14" ht="25.5" customHeight="1" x14ac:dyDescent="0.2">
      <c r="A62" s="44" t="s">
        <v>102</v>
      </c>
      <c r="B62" s="45" t="s">
        <v>103</v>
      </c>
      <c r="C62" s="46" t="s">
        <v>19</v>
      </c>
      <c r="D62" s="46" t="s">
        <v>58</v>
      </c>
      <c r="E62" s="62">
        <v>0.92</v>
      </c>
      <c r="F62" s="63">
        <v>0.93</v>
      </c>
      <c r="G62" s="64">
        <v>1.272</v>
      </c>
      <c r="H62" s="65"/>
      <c r="I62" s="65"/>
      <c r="J62" s="65"/>
      <c r="K62" s="67">
        <v>1.272</v>
      </c>
      <c r="L62" s="89" t="s">
        <v>59</v>
      </c>
      <c r="M62" s="53" t="s">
        <v>60</v>
      </c>
      <c r="N62" s="1" t="s">
        <v>61</v>
      </c>
    </row>
    <row r="63" spans="1:14" ht="25.5" customHeight="1" x14ac:dyDescent="0.2">
      <c r="A63" s="44" t="s">
        <v>104</v>
      </c>
      <c r="B63" s="45" t="s">
        <v>105</v>
      </c>
      <c r="C63" s="46" t="s">
        <v>19</v>
      </c>
      <c r="D63" s="46" t="s">
        <v>58</v>
      </c>
      <c r="E63" s="62">
        <v>0.88</v>
      </c>
      <c r="F63" s="63">
        <v>0.9</v>
      </c>
      <c r="G63" s="64">
        <v>1.0389999999999999</v>
      </c>
      <c r="H63" s="65"/>
      <c r="I63" s="65"/>
      <c r="J63" s="65"/>
      <c r="K63" s="67">
        <v>1.0389999999999999</v>
      </c>
      <c r="L63" s="89" t="s">
        <v>59</v>
      </c>
      <c r="M63" s="53" t="s">
        <v>60</v>
      </c>
      <c r="N63" s="1" t="s">
        <v>61</v>
      </c>
    </row>
    <row r="64" spans="1:14" ht="25.5" customHeight="1" x14ac:dyDescent="0.2">
      <c r="A64" s="44" t="s">
        <v>106</v>
      </c>
      <c r="B64" s="45" t="s">
        <v>107</v>
      </c>
      <c r="C64" s="46" t="s">
        <v>19</v>
      </c>
      <c r="D64" s="46" t="s">
        <v>58</v>
      </c>
      <c r="E64" s="62">
        <v>0.84099999999999997</v>
      </c>
      <c r="F64" s="63">
        <v>0.8649</v>
      </c>
      <c r="G64" s="64">
        <v>0.91400000000000003</v>
      </c>
      <c r="H64" s="65"/>
      <c r="I64" s="65"/>
      <c r="J64" s="65"/>
      <c r="K64" s="67">
        <v>0.91400000000000003</v>
      </c>
      <c r="L64" s="89" t="s">
        <v>59</v>
      </c>
      <c r="M64" s="53" t="s">
        <v>60</v>
      </c>
      <c r="N64" s="1" t="s">
        <v>61</v>
      </c>
    </row>
    <row r="65" spans="1:14" ht="25.5" customHeight="1" x14ac:dyDescent="0.2">
      <c r="A65" s="44" t="s">
        <v>108</v>
      </c>
      <c r="B65" s="45" t="s">
        <v>109</v>
      </c>
      <c r="C65" s="46" t="s">
        <v>19</v>
      </c>
      <c r="D65" s="46" t="s">
        <v>58</v>
      </c>
      <c r="E65" s="62">
        <v>1</v>
      </c>
      <c r="F65" s="63">
        <v>1</v>
      </c>
      <c r="G65" s="64">
        <v>0.89900000000000002</v>
      </c>
      <c r="H65" s="65"/>
      <c r="I65" s="65"/>
      <c r="J65" s="65"/>
      <c r="K65" s="67">
        <v>0.89900000000000002</v>
      </c>
      <c r="L65" s="89" t="s">
        <v>67</v>
      </c>
      <c r="M65" s="53" t="s">
        <v>60</v>
      </c>
      <c r="N65" s="1" t="s">
        <v>61</v>
      </c>
    </row>
    <row r="66" spans="1:14" ht="25.5" customHeight="1" x14ac:dyDescent="0.2">
      <c r="A66" s="44" t="s">
        <v>110</v>
      </c>
      <c r="B66" s="45" t="s">
        <v>111</v>
      </c>
      <c r="C66" s="46" t="s">
        <v>19</v>
      </c>
      <c r="D66" s="46" t="s">
        <v>58</v>
      </c>
      <c r="E66" s="62">
        <v>0.93799999999999994</v>
      </c>
      <c r="F66" s="63">
        <v>0.94730000000000003</v>
      </c>
      <c r="G66" s="64">
        <v>1.028</v>
      </c>
      <c r="H66" s="65"/>
      <c r="I66" s="65"/>
      <c r="J66" s="65"/>
      <c r="K66" s="67">
        <v>1.028</v>
      </c>
      <c r="L66" s="89" t="s">
        <v>59</v>
      </c>
      <c r="M66" s="53" t="s">
        <v>60</v>
      </c>
      <c r="N66" s="1" t="s">
        <v>61</v>
      </c>
    </row>
    <row r="67" spans="1:14" ht="25.5" customHeight="1" x14ac:dyDescent="0.2">
      <c r="A67" s="44" t="s">
        <v>112</v>
      </c>
      <c r="B67" s="45" t="s">
        <v>113</v>
      </c>
      <c r="C67" s="46" t="s">
        <v>19</v>
      </c>
      <c r="D67" s="46" t="s">
        <v>58</v>
      </c>
      <c r="E67" s="62">
        <v>0.995</v>
      </c>
      <c r="F67" s="66">
        <v>0.83</v>
      </c>
      <c r="G67" s="64">
        <v>0.98427715500580004</v>
      </c>
      <c r="H67" s="65">
        <v>1</v>
      </c>
      <c r="I67" s="65"/>
      <c r="J67" s="65"/>
      <c r="K67" s="67">
        <v>0.98427715500580004</v>
      </c>
      <c r="L67" s="89" t="s">
        <v>59</v>
      </c>
      <c r="M67" s="53" t="s">
        <v>60</v>
      </c>
      <c r="N67" s="1" t="s">
        <v>61</v>
      </c>
    </row>
    <row r="68" spans="1:14" ht="25.5" customHeight="1" x14ac:dyDescent="0.2">
      <c r="A68" s="44" t="s">
        <v>114</v>
      </c>
      <c r="B68" s="45" t="s">
        <v>115</v>
      </c>
      <c r="C68" s="46" t="s">
        <v>19</v>
      </c>
      <c r="D68" s="46" t="s">
        <v>58</v>
      </c>
      <c r="E68" s="62" t="s">
        <v>89</v>
      </c>
      <c r="F68" s="66">
        <v>0.9</v>
      </c>
      <c r="G68" s="65"/>
      <c r="H68" s="65" t="s">
        <v>90</v>
      </c>
      <c r="I68" s="65"/>
      <c r="J68" s="65"/>
      <c r="K68" s="67"/>
      <c r="L68" s="89" t="s">
        <v>91</v>
      </c>
      <c r="M68" s="53" t="s">
        <v>68</v>
      </c>
      <c r="N68" s="1" t="s">
        <v>61</v>
      </c>
    </row>
    <row r="69" spans="1:14" ht="25.5" customHeight="1" x14ac:dyDescent="0.2">
      <c r="A69" s="44" t="s">
        <v>116</v>
      </c>
      <c r="B69" s="45" t="s">
        <v>117</v>
      </c>
      <c r="C69" s="46" t="s">
        <v>19</v>
      </c>
      <c r="D69" s="46" t="s">
        <v>64</v>
      </c>
      <c r="E69" s="62" t="s">
        <v>24</v>
      </c>
      <c r="F69" s="66" t="s">
        <v>24</v>
      </c>
      <c r="G69" s="64">
        <v>0.346169945583926</v>
      </c>
      <c r="H69" s="65">
        <v>0.36</v>
      </c>
      <c r="I69" s="65"/>
      <c r="J69" s="65"/>
      <c r="K69" s="67">
        <v>0.346169945583926</v>
      </c>
      <c r="L69" s="89" t="s">
        <v>71</v>
      </c>
      <c r="M69" s="53" t="s">
        <v>118</v>
      </c>
      <c r="N69" s="1" t="s">
        <v>61</v>
      </c>
    </row>
    <row r="70" spans="1:14" ht="25.5" customHeight="1" x14ac:dyDescent="0.2">
      <c r="A70" s="44" t="s">
        <v>119</v>
      </c>
      <c r="B70" s="45" t="s">
        <v>120</v>
      </c>
      <c r="C70" s="46" t="s">
        <v>19</v>
      </c>
      <c r="D70" s="46" t="s">
        <v>64</v>
      </c>
      <c r="E70" s="77">
        <v>0</v>
      </c>
      <c r="F70" s="96" t="s">
        <v>121</v>
      </c>
      <c r="G70" s="56">
        <v>0.4</v>
      </c>
      <c r="H70" s="78">
        <v>0.47</v>
      </c>
      <c r="I70" s="78"/>
      <c r="J70" s="78"/>
      <c r="K70" s="79">
        <v>0.4</v>
      </c>
      <c r="L70" s="89" t="s">
        <v>59</v>
      </c>
      <c r="M70" s="53" t="s">
        <v>60</v>
      </c>
      <c r="N70" s="1" t="s">
        <v>61</v>
      </c>
    </row>
    <row r="71" spans="1:14" ht="25.5" customHeight="1" x14ac:dyDescent="0.2">
      <c r="A71" s="44" t="s">
        <v>122</v>
      </c>
      <c r="B71" s="45" t="s">
        <v>123</v>
      </c>
      <c r="C71" s="46" t="s">
        <v>19</v>
      </c>
      <c r="D71" s="46" t="s">
        <v>64</v>
      </c>
      <c r="E71" s="77">
        <v>0.4</v>
      </c>
      <c r="F71" s="50">
        <v>0.34</v>
      </c>
      <c r="G71" s="56">
        <v>0.2</v>
      </c>
      <c r="H71" s="78">
        <v>0.22</v>
      </c>
      <c r="I71" s="78"/>
      <c r="J71" s="78"/>
      <c r="K71" s="79">
        <v>0.2</v>
      </c>
      <c r="L71" s="89" t="s">
        <v>59</v>
      </c>
      <c r="M71" s="53" t="s">
        <v>60</v>
      </c>
      <c r="N71" s="1" t="s">
        <v>61</v>
      </c>
    </row>
    <row r="72" spans="1:14" ht="25.5" customHeight="1" x14ac:dyDescent="0.2">
      <c r="A72" s="44" t="s">
        <v>124</v>
      </c>
      <c r="B72" s="45" t="s">
        <v>125</v>
      </c>
      <c r="C72" s="46" t="s">
        <v>19</v>
      </c>
      <c r="D72" s="46" t="s">
        <v>64</v>
      </c>
      <c r="E72" s="77">
        <v>0.13</v>
      </c>
      <c r="F72" s="97">
        <v>1.5</v>
      </c>
      <c r="G72" s="56">
        <v>0.6</v>
      </c>
      <c r="H72" s="78">
        <v>0</v>
      </c>
      <c r="I72" s="78"/>
      <c r="J72" s="78"/>
      <c r="K72" s="79">
        <v>0.6</v>
      </c>
      <c r="L72" s="89" t="s">
        <v>59</v>
      </c>
      <c r="M72" s="53" t="s">
        <v>60</v>
      </c>
      <c r="N72" s="1" t="s">
        <v>61</v>
      </c>
    </row>
    <row r="73" spans="1:14" ht="25.5" customHeight="1" x14ac:dyDescent="0.2">
      <c r="A73" s="44" t="s">
        <v>126</v>
      </c>
      <c r="B73" s="45" t="s">
        <v>127</v>
      </c>
      <c r="C73" s="46" t="s">
        <v>19</v>
      </c>
      <c r="D73" s="46" t="s">
        <v>64</v>
      </c>
      <c r="E73" s="77">
        <v>0.47</v>
      </c>
      <c r="F73" s="57">
        <v>0.4</v>
      </c>
      <c r="G73" s="56">
        <v>0.30070666065253399</v>
      </c>
      <c r="H73" s="78">
        <v>0.15</v>
      </c>
      <c r="I73" s="78"/>
      <c r="J73" s="78"/>
      <c r="K73" s="79">
        <v>0.30070666065253399</v>
      </c>
      <c r="L73" s="89" t="s">
        <v>59</v>
      </c>
      <c r="M73" s="53" t="s">
        <v>128</v>
      </c>
      <c r="N73" s="1" t="s">
        <v>61</v>
      </c>
    </row>
    <row r="74" spans="1:14" ht="25.5" customHeight="1" x14ac:dyDescent="0.2">
      <c r="A74" s="44" t="s">
        <v>129</v>
      </c>
      <c r="B74" s="45" t="s">
        <v>130</v>
      </c>
      <c r="C74" s="46" t="s">
        <v>19</v>
      </c>
      <c r="D74" s="46" t="s">
        <v>64</v>
      </c>
      <c r="E74" s="77">
        <v>0.36</v>
      </c>
      <c r="F74" s="57">
        <v>0.3</v>
      </c>
      <c r="G74" s="56">
        <v>0</v>
      </c>
      <c r="H74" s="78">
        <v>0.52</v>
      </c>
      <c r="I74" s="78"/>
      <c r="J74" s="78"/>
      <c r="K74" s="79">
        <v>0</v>
      </c>
      <c r="L74" s="89" t="s">
        <v>59</v>
      </c>
      <c r="M74" s="53" t="s">
        <v>131</v>
      </c>
      <c r="N74" s="1" t="s">
        <v>61</v>
      </c>
    </row>
    <row r="75" spans="1:14" ht="25.5" customHeight="1" x14ac:dyDescent="0.2">
      <c r="A75" s="44" t="s">
        <v>132</v>
      </c>
      <c r="B75" s="45" t="s">
        <v>133</v>
      </c>
      <c r="C75" s="46" t="s">
        <v>19</v>
      </c>
      <c r="D75" s="46" t="s">
        <v>64</v>
      </c>
      <c r="E75" s="77">
        <v>4.5</v>
      </c>
      <c r="F75" s="50">
        <v>1.85</v>
      </c>
      <c r="G75" s="56">
        <v>1.6</v>
      </c>
      <c r="H75" s="78">
        <v>7.11</v>
      </c>
      <c r="I75" s="78"/>
      <c r="J75" s="78"/>
      <c r="K75" s="79">
        <v>1.6</v>
      </c>
      <c r="L75" s="89" t="s">
        <v>71</v>
      </c>
      <c r="M75" s="53" t="s">
        <v>128</v>
      </c>
      <c r="N75" s="1" t="s">
        <v>61</v>
      </c>
    </row>
    <row r="76" spans="1:14" ht="25.5" customHeight="1" x14ac:dyDescent="0.2">
      <c r="A76" s="44" t="s">
        <v>134</v>
      </c>
      <c r="B76" s="45" t="s">
        <v>135</v>
      </c>
      <c r="C76" s="46" t="s">
        <v>19</v>
      </c>
      <c r="D76" s="46" t="s">
        <v>64</v>
      </c>
      <c r="E76" s="77">
        <v>3.1</v>
      </c>
      <c r="F76" s="57">
        <v>2.64</v>
      </c>
      <c r="G76" s="56">
        <v>3.1708283789139902</v>
      </c>
      <c r="H76" s="78">
        <v>2.44</v>
      </c>
      <c r="I76" s="78"/>
      <c r="J76" s="78"/>
      <c r="K76" s="79">
        <v>3.1708283789139902</v>
      </c>
      <c r="L76" s="89" t="s">
        <v>67</v>
      </c>
      <c r="M76" s="53" t="s">
        <v>128</v>
      </c>
      <c r="N76" s="1" t="s">
        <v>61</v>
      </c>
    </row>
    <row r="77" spans="1:14" ht="25.5" customHeight="1" x14ac:dyDescent="0.2">
      <c r="A77" s="44" t="s">
        <v>136</v>
      </c>
      <c r="B77" s="45" t="s">
        <v>137</v>
      </c>
      <c r="C77" s="46" t="s">
        <v>19</v>
      </c>
      <c r="D77" s="46" t="s">
        <v>64</v>
      </c>
      <c r="E77" s="77">
        <v>0.9</v>
      </c>
      <c r="F77" s="97">
        <v>0.76</v>
      </c>
      <c r="G77" s="56">
        <v>0.2</v>
      </c>
      <c r="H77" s="78">
        <v>0.52</v>
      </c>
      <c r="I77" s="78"/>
      <c r="J77" s="78"/>
      <c r="K77" s="79">
        <v>0.2</v>
      </c>
      <c r="L77" s="89" t="s">
        <v>59</v>
      </c>
      <c r="M77" s="53" t="s">
        <v>60</v>
      </c>
      <c r="N77" s="1" t="s">
        <v>61</v>
      </c>
    </row>
    <row r="78" spans="1:14" ht="25.5" customHeight="1" x14ac:dyDescent="0.2">
      <c r="A78" s="44" t="s">
        <v>138</v>
      </c>
      <c r="B78" s="45" t="s">
        <v>139</v>
      </c>
      <c r="C78" s="46" t="s">
        <v>19</v>
      </c>
      <c r="D78" s="46" t="s">
        <v>58</v>
      </c>
      <c r="E78" s="77">
        <v>0.9</v>
      </c>
      <c r="F78" s="57">
        <v>0.9</v>
      </c>
      <c r="G78" s="56">
        <v>0.6</v>
      </c>
      <c r="H78" s="78">
        <v>0.68</v>
      </c>
      <c r="I78" s="78"/>
      <c r="J78" s="78"/>
      <c r="K78" s="79">
        <v>0.6</v>
      </c>
      <c r="L78" s="89" t="s">
        <v>67</v>
      </c>
      <c r="M78" s="53" t="s">
        <v>60</v>
      </c>
      <c r="N78" s="1" t="s">
        <v>61</v>
      </c>
    </row>
    <row r="79" spans="1:14" ht="25.5" customHeight="1" x14ac:dyDescent="0.2">
      <c r="A79" s="44" t="s">
        <v>140</v>
      </c>
      <c r="B79" s="45" t="s">
        <v>141</v>
      </c>
      <c r="C79" s="46" t="s">
        <v>19</v>
      </c>
      <c r="D79" s="46" t="s">
        <v>58</v>
      </c>
      <c r="E79" s="62">
        <v>0.77700000000000002</v>
      </c>
      <c r="F79" s="63">
        <v>0.81</v>
      </c>
      <c r="G79" s="64">
        <v>0.7</v>
      </c>
      <c r="H79" s="65">
        <v>0.72219999999999995</v>
      </c>
      <c r="I79" s="65"/>
      <c r="J79" s="65"/>
      <c r="K79" s="67">
        <v>0.7</v>
      </c>
      <c r="L79" s="89" t="s">
        <v>67</v>
      </c>
      <c r="M79" s="53" t="s">
        <v>60</v>
      </c>
      <c r="N79" s="1" t="s">
        <v>61</v>
      </c>
    </row>
    <row r="80" spans="1:14" ht="25.5" customHeight="1" x14ac:dyDescent="0.2">
      <c r="A80" s="44" t="s">
        <v>142</v>
      </c>
      <c r="B80" s="45" t="s">
        <v>143</v>
      </c>
      <c r="C80" s="46" t="s">
        <v>19</v>
      </c>
      <c r="D80" s="46" t="s">
        <v>64</v>
      </c>
      <c r="E80" s="77">
        <v>28.6</v>
      </c>
      <c r="F80" s="97">
        <v>14.3</v>
      </c>
      <c r="G80" s="56">
        <v>80</v>
      </c>
      <c r="H80" s="78">
        <v>4.5999999999999999E-2</v>
      </c>
      <c r="I80" s="78"/>
      <c r="J80" s="78"/>
      <c r="K80" s="79">
        <v>80</v>
      </c>
      <c r="L80" s="89" t="s">
        <v>67</v>
      </c>
      <c r="M80" s="53" t="s">
        <v>60</v>
      </c>
      <c r="N80" s="1" t="s">
        <v>61</v>
      </c>
    </row>
    <row r="81" spans="1:14" ht="25.5" customHeight="1" x14ac:dyDescent="0.2">
      <c r="A81" s="44" t="s">
        <v>144</v>
      </c>
      <c r="B81" s="45" t="s">
        <v>145</v>
      </c>
      <c r="C81" s="46" t="s">
        <v>146</v>
      </c>
      <c r="D81" s="46" t="s">
        <v>58</v>
      </c>
      <c r="E81" s="62">
        <v>0.88270000000000004</v>
      </c>
      <c r="F81" s="66">
        <v>0.89019999999999999</v>
      </c>
      <c r="G81" s="65">
        <v>0.86470000000000002</v>
      </c>
      <c r="H81" s="65"/>
      <c r="I81" s="65"/>
      <c r="J81" s="65"/>
      <c r="K81" s="67">
        <v>0.86470000000000002</v>
      </c>
      <c r="L81" s="89" t="s">
        <v>67</v>
      </c>
      <c r="M81" s="53" t="s">
        <v>68</v>
      </c>
      <c r="N81" s="1" t="s">
        <v>61</v>
      </c>
    </row>
    <row r="82" spans="1:14" ht="25.5" customHeight="1" x14ac:dyDescent="0.2">
      <c r="A82" s="44" t="s">
        <v>147</v>
      </c>
      <c r="B82" s="45" t="s">
        <v>148</v>
      </c>
      <c r="C82" s="46" t="s">
        <v>146</v>
      </c>
      <c r="D82" s="46" t="s">
        <v>58</v>
      </c>
      <c r="E82" s="62">
        <v>0.624</v>
      </c>
      <c r="F82" s="66">
        <v>0.65</v>
      </c>
      <c r="G82" s="65">
        <v>0.65400000000000003</v>
      </c>
      <c r="H82" s="65"/>
      <c r="I82" s="65"/>
      <c r="J82" s="65"/>
      <c r="K82" s="67">
        <v>0.65400000000000003</v>
      </c>
      <c r="L82" s="89" t="s">
        <v>59</v>
      </c>
      <c r="M82" s="53" t="s">
        <v>60</v>
      </c>
      <c r="N82" s="1" t="s">
        <v>61</v>
      </c>
    </row>
    <row r="83" spans="1:14" ht="25.5" customHeight="1" x14ac:dyDescent="0.2">
      <c r="A83" s="44" t="s">
        <v>149</v>
      </c>
      <c r="B83" s="45" t="s">
        <v>150</v>
      </c>
      <c r="C83" s="46" t="s">
        <v>146</v>
      </c>
      <c r="D83" s="46" t="s">
        <v>58</v>
      </c>
      <c r="E83" s="62">
        <v>0.76</v>
      </c>
      <c r="F83" s="66">
        <v>0.79600000000000004</v>
      </c>
      <c r="G83" s="65"/>
      <c r="H83" s="65"/>
      <c r="I83" s="65"/>
      <c r="J83" s="65"/>
      <c r="K83" s="67"/>
      <c r="L83" s="89" t="s">
        <v>91</v>
      </c>
      <c r="M83" s="53" t="s">
        <v>60</v>
      </c>
      <c r="N83" s="1" t="s">
        <v>61</v>
      </c>
    </row>
    <row r="84" spans="1:14" ht="25.5" customHeight="1" x14ac:dyDescent="0.2">
      <c r="A84" s="44" t="s">
        <v>151</v>
      </c>
      <c r="B84" s="45" t="s">
        <v>152</v>
      </c>
      <c r="C84" s="46" t="s">
        <v>146</v>
      </c>
      <c r="D84" s="46" t="s">
        <v>58</v>
      </c>
      <c r="E84" s="62" t="s">
        <v>89</v>
      </c>
      <c r="F84" s="66">
        <v>0.85</v>
      </c>
      <c r="G84" s="65"/>
      <c r="H84" s="65"/>
      <c r="I84" s="65"/>
      <c r="J84" s="65"/>
      <c r="K84" s="67"/>
      <c r="L84" s="89" t="s">
        <v>91</v>
      </c>
      <c r="M84" s="53" t="s">
        <v>60</v>
      </c>
      <c r="N84" s="1" t="s">
        <v>61</v>
      </c>
    </row>
    <row r="85" spans="1:14" ht="25.5" customHeight="1" x14ac:dyDescent="0.2">
      <c r="A85" s="44" t="s">
        <v>153</v>
      </c>
      <c r="B85" s="45" t="s">
        <v>154</v>
      </c>
      <c r="C85" s="46" t="s">
        <v>146</v>
      </c>
      <c r="D85" s="46" t="s">
        <v>58</v>
      </c>
      <c r="E85" s="62">
        <v>0.91</v>
      </c>
      <c r="F85" s="63">
        <v>0.92</v>
      </c>
      <c r="G85" s="64">
        <v>0.91011235955056202</v>
      </c>
      <c r="H85" s="65">
        <v>0.91011235955056202</v>
      </c>
      <c r="I85" s="65"/>
      <c r="J85" s="65"/>
      <c r="K85" s="67">
        <v>0.91011235955056202</v>
      </c>
      <c r="L85" s="89" t="s">
        <v>67</v>
      </c>
      <c r="M85" s="53" t="s">
        <v>155</v>
      </c>
      <c r="N85" s="1" t="s">
        <v>61</v>
      </c>
    </row>
    <row r="86" spans="1:14" ht="25.5" customHeight="1" x14ac:dyDescent="0.2">
      <c r="A86" s="44" t="s">
        <v>156</v>
      </c>
      <c r="B86" s="45" t="s">
        <v>157</v>
      </c>
      <c r="C86" s="46" t="s">
        <v>146</v>
      </c>
      <c r="D86" s="46" t="s">
        <v>58</v>
      </c>
      <c r="E86" s="62">
        <v>0.78</v>
      </c>
      <c r="F86" s="66">
        <v>0.9</v>
      </c>
      <c r="G86" s="64">
        <v>0.90909090909090895</v>
      </c>
      <c r="H86" s="65">
        <v>11</v>
      </c>
      <c r="I86" s="65"/>
      <c r="J86" s="65"/>
      <c r="K86" s="67">
        <v>0.90909090909090895</v>
      </c>
      <c r="L86" s="89" t="s">
        <v>59</v>
      </c>
      <c r="M86" s="53" t="s">
        <v>158</v>
      </c>
      <c r="N86" s="1" t="s">
        <v>61</v>
      </c>
    </row>
    <row r="87" spans="1:14" ht="25.5" customHeight="1" x14ac:dyDescent="0.2">
      <c r="A87" s="44" t="s">
        <v>159</v>
      </c>
      <c r="B87" s="45" t="s">
        <v>160</v>
      </c>
      <c r="C87" s="46" t="s">
        <v>146</v>
      </c>
      <c r="D87" s="46" t="s">
        <v>58</v>
      </c>
      <c r="E87" s="62">
        <v>0.78600000000000003</v>
      </c>
      <c r="F87" s="63">
        <v>0.81810000000000005</v>
      </c>
      <c r="G87" s="64">
        <v>0.96599999999999997</v>
      </c>
      <c r="H87" s="65">
        <v>0.97995387617527097</v>
      </c>
      <c r="I87" s="65"/>
      <c r="J87" s="65"/>
      <c r="K87" s="67">
        <v>0.96599999999999997</v>
      </c>
      <c r="L87" s="89" t="s">
        <v>59</v>
      </c>
      <c r="M87" s="53" t="s">
        <v>60</v>
      </c>
      <c r="N87" s="1" t="s">
        <v>61</v>
      </c>
    </row>
    <row r="88" spans="1:14" ht="25.5" customHeight="1" x14ac:dyDescent="0.2">
      <c r="A88" s="44" t="s">
        <v>161</v>
      </c>
      <c r="B88" s="45" t="s">
        <v>162</v>
      </c>
      <c r="C88" s="46" t="s">
        <v>146</v>
      </c>
      <c r="D88" s="46" t="s">
        <v>58</v>
      </c>
      <c r="E88" s="62">
        <v>0.98</v>
      </c>
      <c r="F88" s="63">
        <v>0.98</v>
      </c>
      <c r="G88" s="64">
        <v>0.98699999999999999</v>
      </c>
      <c r="H88" s="65">
        <v>0.99349381912817203</v>
      </c>
      <c r="I88" s="65"/>
      <c r="J88" s="65"/>
      <c r="K88" s="67">
        <v>0.98699999999999999</v>
      </c>
      <c r="L88" s="89" t="s">
        <v>59</v>
      </c>
      <c r="M88" s="53" t="s">
        <v>60</v>
      </c>
      <c r="N88" s="1" t="s">
        <v>61</v>
      </c>
    </row>
    <row r="89" spans="1:14" ht="25.5" customHeight="1" x14ac:dyDescent="0.2">
      <c r="A89" s="44" t="s">
        <v>163</v>
      </c>
      <c r="B89" s="45" t="s">
        <v>164</v>
      </c>
      <c r="C89" s="46" t="s">
        <v>146</v>
      </c>
      <c r="D89" s="46" t="s">
        <v>64</v>
      </c>
      <c r="E89" s="69">
        <v>13.3</v>
      </c>
      <c r="F89" s="84">
        <v>11.305</v>
      </c>
      <c r="G89" s="98">
        <v>16.5</v>
      </c>
      <c r="H89" s="99">
        <v>0</v>
      </c>
      <c r="I89" s="99"/>
      <c r="J89" s="99"/>
      <c r="K89" s="100">
        <v>16.5</v>
      </c>
      <c r="L89" s="89" t="s">
        <v>67</v>
      </c>
      <c r="M89" s="53" t="s">
        <v>60</v>
      </c>
      <c r="N89" s="1" t="s">
        <v>61</v>
      </c>
    </row>
    <row r="90" spans="1:14" ht="25.5" customHeight="1" x14ac:dyDescent="0.2">
      <c r="A90" s="44" t="s">
        <v>165</v>
      </c>
      <c r="B90" s="45" t="s">
        <v>166</v>
      </c>
      <c r="C90" s="46" t="s">
        <v>146</v>
      </c>
      <c r="D90" s="46" t="s">
        <v>64</v>
      </c>
      <c r="E90" s="77">
        <v>31.9</v>
      </c>
      <c r="F90" s="97">
        <v>15.95</v>
      </c>
      <c r="G90" s="56">
        <v>63.2</v>
      </c>
      <c r="H90" s="78">
        <v>45.454545454545503</v>
      </c>
      <c r="I90" s="78"/>
      <c r="J90" s="78"/>
      <c r="K90" s="79">
        <v>63.2</v>
      </c>
      <c r="L90" s="89" t="s">
        <v>67</v>
      </c>
      <c r="M90" s="53" t="s">
        <v>60</v>
      </c>
      <c r="N90" s="1" t="s">
        <v>61</v>
      </c>
    </row>
    <row r="91" spans="1:14" ht="25.5" customHeight="1" x14ac:dyDescent="0.2">
      <c r="A91" s="44" t="s">
        <v>167</v>
      </c>
      <c r="B91" s="45" t="s">
        <v>168</v>
      </c>
      <c r="C91" s="46" t="s">
        <v>146</v>
      </c>
      <c r="D91" s="46" t="s">
        <v>64</v>
      </c>
      <c r="E91" s="77">
        <v>56.1</v>
      </c>
      <c r="F91" s="97">
        <v>28.05</v>
      </c>
      <c r="G91" s="56">
        <v>76.900000000000006</v>
      </c>
      <c r="H91" s="78">
        <v>76.923076923076906</v>
      </c>
      <c r="I91" s="78"/>
      <c r="J91" s="78"/>
      <c r="K91" s="79">
        <v>76.900000000000006</v>
      </c>
      <c r="L91" s="89" t="s">
        <v>67</v>
      </c>
      <c r="M91" s="53" t="s">
        <v>60</v>
      </c>
      <c r="N91" s="1" t="s">
        <v>61</v>
      </c>
    </row>
    <row r="92" spans="1:14" ht="25.5" customHeight="1" x14ac:dyDescent="0.2">
      <c r="A92" s="44" t="s">
        <v>169</v>
      </c>
      <c r="B92" s="45" t="s">
        <v>170</v>
      </c>
      <c r="C92" s="46" t="s">
        <v>146</v>
      </c>
      <c r="D92" s="46" t="s">
        <v>64</v>
      </c>
      <c r="E92" s="77">
        <v>39.799999999999997</v>
      </c>
      <c r="F92" s="97">
        <v>10</v>
      </c>
      <c r="G92" s="56">
        <v>0</v>
      </c>
      <c r="H92" s="78">
        <v>0</v>
      </c>
      <c r="I92" s="78"/>
      <c r="J92" s="78"/>
      <c r="K92" s="79">
        <v>0</v>
      </c>
      <c r="L92" s="89" t="s">
        <v>59</v>
      </c>
      <c r="M92" s="53" t="s">
        <v>60</v>
      </c>
      <c r="N92" s="1" t="s">
        <v>61</v>
      </c>
    </row>
    <row r="93" spans="1:14" ht="25.5" customHeight="1" x14ac:dyDescent="0.2">
      <c r="A93" s="44" t="s">
        <v>171</v>
      </c>
      <c r="B93" s="45" t="s">
        <v>172</v>
      </c>
      <c r="C93" s="46" t="s">
        <v>146</v>
      </c>
      <c r="D93" s="46" t="s">
        <v>64</v>
      </c>
      <c r="E93" s="77">
        <v>15.7</v>
      </c>
      <c r="F93" s="97">
        <v>7.85</v>
      </c>
      <c r="G93" s="56">
        <v>0</v>
      </c>
      <c r="H93" s="78">
        <v>17.979144192736399</v>
      </c>
      <c r="I93" s="78"/>
      <c r="J93" s="78"/>
      <c r="K93" s="79">
        <v>0</v>
      </c>
      <c r="L93" s="89" t="s">
        <v>59</v>
      </c>
      <c r="M93" s="53" t="s">
        <v>128</v>
      </c>
      <c r="N93" s="1" t="s">
        <v>61</v>
      </c>
    </row>
    <row r="94" spans="1:14" ht="25.5" customHeight="1" x14ac:dyDescent="0.2">
      <c r="A94" s="44" t="s">
        <v>173</v>
      </c>
      <c r="B94" s="45" t="s">
        <v>174</v>
      </c>
      <c r="C94" s="46" t="s">
        <v>146</v>
      </c>
      <c r="D94" s="46" t="s">
        <v>64</v>
      </c>
      <c r="E94" s="77">
        <v>11.7</v>
      </c>
      <c r="F94" s="57">
        <v>5.85</v>
      </c>
      <c r="G94" s="56">
        <v>10.8</v>
      </c>
      <c r="H94" s="78">
        <v>6.2451209992193597</v>
      </c>
      <c r="I94" s="78"/>
      <c r="J94" s="78"/>
      <c r="K94" s="79">
        <v>10.8</v>
      </c>
      <c r="L94" s="89" t="s">
        <v>67</v>
      </c>
      <c r="M94" s="53" t="s">
        <v>60</v>
      </c>
      <c r="N94" s="1" t="s">
        <v>61</v>
      </c>
    </row>
    <row r="95" spans="1:14" ht="25.5" customHeight="1" x14ac:dyDescent="0.2">
      <c r="A95" s="44" t="s">
        <v>175</v>
      </c>
      <c r="B95" s="45" t="s">
        <v>176</v>
      </c>
      <c r="C95" s="46" t="s">
        <v>146</v>
      </c>
      <c r="D95" s="46" t="s">
        <v>64</v>
      </c>
      <c r="E95" s="77">
        <v>137</v>
      </c>
      <c r="F95" s="57">
        <v>68.5</v>
      </c>
      <c r="G95" s="56">
        <v>3.8518189829965301</v>
      </c>
      <c r="H95" s="78">
        <v>5.55</v>
      </c>
      <c r="I95" s="78"/>
      <c r="J95" s="78"/>
      <c r="K95" s="79">
        <v>3.8518189829965301</v>
      </c>
      <c r="L95" s="89" t="s">
        <v>59</v>
      </c>
      <c r="M95" s="53" t="s">
        <v>68</v>
      </c>
      <c r="N95" s="1" t="s">
        <v>61</v>
      </c>
    </row>
    <row r="96" spans="1:14" ht="25.5" customHeight="1" x14ac:dyDescent="0.2">
      <c r="A96" s="44" t="s">
        <v>177</v>
      </c>
      <c r="B96" s="45" t="s">
        <v>178</v>
      </c>
      <c r="C96" s="46" t="s">
        <v>146</v>
      </c>
      <c r="D96" s="46" t="s">
        <v>64</v>
      </c>
      <c r="E96" s="62" t="s">
        <v>89</v>
      </c>
      <c r="F96" s="66" t="s">
        <v>89</v>
      </c>
      <c r="G96" s="64">
        <v>0.42105263157894701</v>
      </c>
      <c r="H96" s="65">
        <v>0.41299999999999998</v>
      </c>
      <c r="I96" s="65"/>
      <c r="J96" s="65"/>
      <c r="K96" s="67">
        <v>0.42105263157894701</v>
      </c>
      <c r="L96" s="89" t="s">
        <v>71</v>
      </c>
      <c r="M96" s="53" t="s">
        <v>179</v>
      </c>
      <c r="N96" s="1" t="s">
        <v>61</v>
      </c>
    </row>
    <row r="97" spans="1:14" ht="25.5" customHeight="1" x14ac:dyDescent="0.2">
      <c r="A97" s="44" t="s">
        <v>180</v>
      </c>
      <c r="B97" s="45" t="s">
        <v>181</v>
      </c>
      <c r="C97" s="46" t="s">
        <v>146</v>
      </c>
      <c r="D97" s="46" t="s">
        <v>58</v>
      </c>
      <c r="E97" s="62">
        <v>0.68</v>
      </c>
      <c r="F97" s="66">
        <v>0.73</v>
      </c>
      <c r="G97" s="65"/>
      <c r="H97" s="65">
        <v>0</v>
      </c>
      <c r="I97" s="65"/>
      <c r="J97" s="65"/>
      <c r="K97" s="67"/>
      <c r="L97" s="89" t="s">
        <v>91</v>
      </c>
      <c r="M97" s="53" t="s">
        <v>68</v>
      </c>
      <c r="N97" s="1" t="s">
        <v>61</v>
      </c>
    </row>
    <row r="98" spans="1:14" ht="25.5" customHeight="1" x14ac:dyDescent="0.2">
      <c r="A98" s="44" t="s">
        <v>182</v>
      </c>
      <c r="B98" s="45" t="s">
        <v>183</v>
      </c>
      <c r="C98" s="46" t="s">
        <v>184</v>
      </c>
      <c r="D98" s="46" t="s">
        <v>58</v>
      </c>
      <c r="E98" s="62">
        <v>1</v>
      </c>
      <c r="F98" s="66">
        <v>1</v>
      </c>
      <c r="G98" s="65" t="s">
        <v>185</v>
      </c>
      <c r="H98" s="65"/>
      <c r="I98" s="65"/>
      <c r="J98" s="65"/>
      <c r="K98" s="67"/>
      <c r="L98" s="89" t="s">
        <v>91</v>
      </c>
      <c r="M98" s="53" t="s">
        <v>186</v>
      </c>
      <c r="N98" s="1" t="s">
        <v>61</v>
      </c>
    </row>
    <row r="99" spans="1:14" ht="25.5" customHeight="1" x14ac:dyDescent="0.2">
      <c r="A99" s="44" t="s">
        <v>187</v>
      </c>
      <c r="B99" s="45" t="s">
        <v>188</v>
      </c>
      <c r="C99" s="46" t="s">
        <v>189</v>
      </c>
      <c r="D99" s="46" t="s">
        <v>58</v>
      </c>
      <c r="E99" s="62">
        <v>0.89</v>
      </c>
      <c r="F99" s="66">
        <v>1</v>
      </c>
      <c r="G99" s="65"/>
      <c r="H99" s="65">
        <v>0.46</v>
      </c>
      <c r="I99" s="65"/>
      <c r="J99" s="65"/>
      <c r="K99" s="67"/>
      <c r="L99" s="89" t="s">
        <v>91</v>
      </c>
      <c r="M99" s="53" t="s">
        <v>68</v>
      </c>
      <c r="N99" s="1" t="s">
        <v>61</v>
      </c>
    </row>
    <row r="100" spans="1:14" ht="25.5" customHeight="1" x14ac:dyDescent="0.2">
      <c r="A100" s="44" t="s">
        <v>190</v>
      </c>
      <c r="B100" s="45" t="s">
        <v>191</v>
      </c>
      <c r="C100" s="46" t="s">
        <v>23</v>
      </c>
      <c r="D100" s="46" t="s">
        <v>58</v>
      </c>
      <c r="E100" s="62" t="s">
        <v>24</v>
      </c>
      <c r="F100" s="66" t="s">
        <v>24</v>
      </c>
      <c r="G100" s="65"/>
      <c r="H100" s="65"/>
      <c r="I100" s="65"/>
      <c r="J100" s="65"/>
      <c r="K100" s="67"/>
      <c r="L100" s="89" t="s">
        <v>91</v>
      </c>
      <c r="M100" s="53" t="s">
        <v>68</v>
      </c>
      <c r="N100" s="1" t="s">
        <v>61</v>
      </c>
    </row>
    <row r="101" spans="1:14" ht="25.5" customHeight="1" x14ac:dyDescent="0.2">
      <c r="A101" s="44" t="s">
        <v>192</v>
      </c>
      <c r="B101" s="45" t="s">
        <v>193</v>
      </c>
      <c r="C101" s="46" t="s">
        <v>23</v>
      </c>
      <c r="D101" s="46" t="s">
        <v>58</v>
      </c>
      <c r="E101" s="62" t="s">
        <v>24</v>
      </c>
      <c r="F101" s="66" t="s">
        <v>24</v>
      </c>
      <c r="G101" s="65"/>
      <c r="H101" s="65"/>
      <c r="I101" s="65"/>
      <c r="J101" s="65"/>
      <c r="K101" s="67"/>
      <c r="L101" s="89" t="s">
        <v>91</v>
      </c>
      <c r="M101" s="53" t="s">
        <v>68</v>
      </c>
      <c r="N101" s="1" t="s">
        <v>61</v>
      </c>
    </row>
    <row r="102" spans="1:14" ht="25.5" customHeight="1" x14ac:dyDescent="0.2">
      <c r="A102" s="44" t="s">
        <v>194</v>
      </c>
      <c r="B102" s="45" t="s">
        <v>195</v>
      </c>
      <c r="C102" s="46" t="s">
        <v>196</v>
      </c>
      <c r="D102" s="46" t="s">
        <v>58</v>
      </c>
      <c r="E102" s="62">
        <v>0.48299999999999998</v>
      </c>
      <c r="F102" s="63">
        <v>0.48299999999999998</v>
      </c>
      <c r="G102" s="64">
        <v>0.49387886597938102</v>
      </c>
      <c r="H102" s="65">
        <v>0.49040026033192302</v>
      </c>
      <c r="I102" s="65"/>
      <c r="J102" s="65"/>
      <c r="K102" s="67">
        <v>0.49387886597938102</v>
      </c>
      <c r="L102" s="89" t="s">
        <v>59</v>
      </c>
      <c r="M102" s="53" t="s">
        <v>68</v>
      </c>
      <c r="N102" s="1" t="s">
        <v>61</v>
      </c>
    </row>
    <row r="103" spans="1:14" ht="25.5" customHeight="1" x14ac:dyDescent="0.2">
      <c r="A103" s="44" t="s">
        <v>197</v>
      </c>
      <c r="B103" s="45" t="s">
        <v>198</v>
      </c>
      <c r="C103" s="46" t="s">
        <v>196</v>
      </c>
      <c r="D103" s="46" t="s">
        <v>64</v>
      </c>
      <c r="E103" s="62" t="s">
        <v>89</v>
      </c>
      <c r="F103" s="66" t="s">
        <v>199</v>
      </c>
      <c r="G103" s="64">
        <v>0.13395942234429001</v>
      </c>
      <c r="H103" s="65"/>
      <c r="I103" s="65"/>
      <c r="J103" s="65"/>
      <c r="K103" s="67">
        <v>0.13395942234429001</v>
      </c>
      <c r="L103" s="89" t="s">
        <v>71</v>
      </c>
      <c r="M103" s="53" t="s">
        <v>186</v>
      </c>
      <c r="N103" s="1" t="s">
        <v>61</v>
      </c>
    </row>
    <row r="104" spans="1:14" ht="25.5" customHeight="1" x14ac:dyDescent="0.2">
      <c r="A104" s="44" t="s">
        <v>200</v>
      </c>
      <c r="B104" s="45" t="s">
        <v>201</v>
      </c>
      <c r="C104" s="46" t="s">
        <v>196</v>
      </c>
      <c r="D104" s="46" t="s">
        <v>64</v>
      </c>
      <c r="E104" s="62">
        <v>7.0000000000000007E-2</v>
      </c>
      <c r="F104" s="63">
        <v>0.06</v>
      </c>
      <c r="G104" s="64">
        <v>9.9000000000000005E-2</v>
      </c>
      <c r="H104" s="65">
        <v>0.10274210343630701</v>
      </c>
      <c r="I104" s="65"/>
      <c r="J104" s="65"/>
      <c r="K104" s="67">
        <v>9.9000000000000005E-2</v>
      </c>
      <c r="L104" s="89" t="s">
        <v>67</v>
      </c>
      <c r="M104" s="53" t="s">
        <v>60</v>
      </c>
      <c r="N104" s="1" t="s">
        <v>61</v>
      </c>
    </row>
    <row r="105" spans="1:14" ht="25.5" customHeight="1" x14ac:dyDescent="0.2">
      <c r="A105" s="44" t="s">
        <v>202</v>
      </c>
      <c r="B105" s="45" t="s">
        <v>203</v>
      </c>
      <c r="C105" s="46" t="s">
        <v>196</v>
      </c>
      <c r="D105" s="46" t="s">
        <v>64</v>
      </c>
      <c r="E105" s="62">
        <v>0</v>
      </c>
      <c r="F105" s="66">
        <v>0</v>
      </c>
      <c r="G105" s="65">
        <v>0.125</v>
      </c>
      <c r="H105" s="65">
        <v>0</v>
      </c>
      <c r="I105" s="65"/>
      <c r="J105" s="65"/>
      <c r="K105" s="67"/>
      <c r="L105" s="89" t="s">
        <v>91</v>
      </c>
      <c r="M105" s="53" t="s">
        <v>128</v>
      </c>
      <c r="N105" s="1" t="s">
        <v>61</v>
      </c>
    </row>
    <row r="106" spans="1:14" ht="25.5" customHeight="1" x14ac:dyDescent="0.2">
      <c r="A106" s="44" t="s">
        <v>204</v>
      </c>
      <c r="B106" s="45" t="s">
        <v>205</v>
      </c>
      <c r="C106" s="46" t="s">
        <v>196</v>
      </c>
      <c r="D106" s="46" t="s">
        <v>64</v>
      </c>
      <c r="E106" s="62">
        <v>4.0000000000000001E-3</v>
      </c>
      <c r="F106" s="63">
        <v>3.3999999999999998E-3</v>
      </c>
      <c r="G106" s="65">
        <v>4.0200000000000001E-3</v>
      </c>
      <c r="H106" s="65">
        <v>4.5591130452802796E-3</v>
      </c>
      <c r="I106" s="65"/>
      <c r="J106" s="65"/>
      <c r="K106" s="67"/>
      <c r="L106" s="89" t="s">
        <v>91</v>
      </c>
      <c r="M106" s="53" t="s">
        <v>186</v>
      </c>
      <c r="N106" s="1" t="s">
        <v>61</v>
      </c>
    </row>
    <row r="107" spans="1:14" ht="25.5" customHeight="1" x14ac:dyDescent="0.2">
      <c r="A107" s="44" t="s">
        <v>206</v>
      </c>
      <c r="B107" s="45" t="s">
        <v>207</v>
      </c>
      <c r="C107" s="46" t="s">
        <v>18</v>
      </c>
      <c r="D107" s="46" t="s">
        <v>64</v>
      </c>
      <c r="E107" s="62" t="s">
        <v>89</v>
      </c>
      <c r="F107" s="66">
        <v>0</v>
      </c>
      <c r="G107" s="64">
        <v>0.42663636363033303</v>
      </c>
      <c r="H107" s="65">
        <v>0.43031412063427499</v>
      </c>
      <c r="I107" s="65"/>
      <c r="J107" s="65"/>
      <c r="K107" s="67">
        <v>0.42663636363033303</v>
      </c>
      <c r="L107" s="89" t="s">
        <v>71</v>
      </c>
      <c r="M107" s="53" t="s">
        <v>68</v>
      </c>
      <c r="N107" s="1" t="s">
        <v>61</v>
      </c>
    </row>
    <row r="108" spans="1:14" ht="25.5" customHeight="1" x14ac:dyDescent="0.2">
      <c r="A108" s="44" t="s">
        <v>208</v>
      </c>
      <c r="B108" s="45" t="s">
        <v>209</v>
      </c>
      <c r="C108" s="46" t="s">
        <v>18</v>
      </c>
      <c r="D108" s="46" t="s">
        <v>58</v>
      </c>
      <c r="E108" s="62" t="s">
        <v>89</v>
      </c>
      <c r="F108" s="63">
        <v>0.8</v>
      </c>
      <c r="G108" s="64">
        <v>0.63600000000000001</v>
      </c>
      <c r="H108" s="65">
        <v>0.72699999999999998</v>
      </c>
      <c r="I108" s="65"/>
      <c r="J108" s="65"/>
      <c r="K108" s="67">
        <v>0.63600000000000001</v>
      </c>
      <c r="L108" s="89" t="s">
        <v>59</v>
      </c>
      <c r="M108" s="53" t="s">
        <v>68</v>
      </c>
      <c r="N108" s="1" t="s">
        <v>61</v>
      </c>
    </row>
    <row r="109" spans="1:14" ht="25.5" customHeight="1" x14ac:dyDescent="0.2">
      <c r="A109" s="44" t="s">
        <v>210</v>
      </c>
      <c r="B109" s="45" t="s">
        <v>211</v>
      </c>
      <c r="C109" s="46" t="s">
        <v>18</v>
      </c>
      <c r="D109" s="46" t="s">
        <v>64</v>
      </c>
      <c r="E109" s="62">
        <v>0.4</v>
      </c>
      <c r="F109" s="63">
        <v>0.05</v>
      </c>
      <c r="G109" s="64">
        <v>0.4</v>
      </c>
      <c r="H109" s="65">
        <v>0.3</v>
      </c>
      <c r="I109" s="65"/>
      <c r="J109" s="65"/>
      <c r="K109" s="67">
        <v>0.4</v>
      </c>
      <c r="L109" s="89" t="s">
        <v>59</v>
      </c>
      <c r="M109" s="53" t="s">
        <v>68</v>
      </c>
      <c r="N109" s="1" t="s">
        <v>61</v>
      </c>
    </row>
    <row r="110" spans="1:14" ht="25.5" customHeight="1" x14ac:dyDescent="0.2">
      <c r="A110" s="44" t="s">
        <v>212</v>
      </c>
      <c r="B110" s="45" t="s">
        <v>213</v>
      </c>
      <c r="C110" s="46" t="s">
        <v>27</v>
      </c>
      <c r="D110" s="46" t="s">
        <v>58</v>
      </c>
      <c r="E110" s="62" t="s">
        <v>89</v>
      </c>
      <c r="F110" s="66" t="s">
        <v>89</v>
      </c>
      <c r="G110" s="65">
        <v>5.0099999999999999E-2</v>
      </c>
      <c r="H110" s="65">
        <v>0.82520000000000004</v>
      </c>
      <c r="I110" s="65"/>
      <c r="J110" s="65"/>
      <c r="K110" s="67">
        <v>5.0099999999999999E-2</v>
      </c>
      <c r="L110" s="89" t="s">
        <v>71</v>
      </c>
      <c r="M110" s="53" t="s">
        <v>214</v>
      </c>
      <c r="N110" s="1" t="s">
        <v>61</v>
      </c>
    </row>
    <row r="111" spans="1:14" ht="25.5" customHeight="1" x14ac:dyDescent="0.2">
      <c r="A111" s="44" t="s">
        <v>215</v>
      </c>
      <c r="B111" s="45" t="s">
        <v>216</v>
      </c>
      <c r="C111" s="46" t="s">
        <v>21</v>
      </c>
      <c r="D111" s="46" t="s">
        <v>64</v>
      </c>
      <c r="E111" s="90">
        <v>20.7</v>
      </c>
      <c r="F111" s="91">
        <v>21</v>
      </c>
      <c r="G111" s="92"/>
      <c r="H111" s="92"/>
      <c r="I111" s="92"/>
      <c r="J111" s="92"/>
      <c r="K111" s="93"/>
      <c r="L111" s="89" t="s">
        <v>91</v>
      </c>
      <c r="M111" s="53" t="s">
        <v>60</v>
      </c>
      <c r="N111" s="1" t="s">
        <v>61</v>
      </c>
    </row>
    <row r="112" spans="1:14" ht="25.5" customHeight="1" x14ac:dyDescent="0.2">
      <c r="A112" s="44" t="s">
        <v>217</v>
      </c>
      <c r="B112" s="45" t="s">
        <v>218</v>
      </c>
      <c r="C112" s="46" t="s">
        <v>18</v>
      </c>
      <c r="D112" s="46" t="s">
        <v>58</v>
      </c>
      <c r="E112" s="90" t="s">
        <v>89</v>
      </c>
      <c r="F112" s="91">
        <v>2</v>
      </c>
      <c r="G112" s="92"/>
      <c r="H112" s="92"/>
      <c r="I112" s="92"/>
      <c r="J112" s="92"/>
      <c r="K112" s="93"/>
      <c r="L112" s="89"/>
      <c r="M112" s="53" t="s">
        <v>219</v>
      </c>
      <c r="N112" s="1" t="s">
        <v>220</v>
      </c>
    </row>
    <row r="113" spans="1:14" ht="25.5" customHeight="1" x14ac:dyDescent="0.2">
      <c r="A113" s="44" t="s">
        <v>221</v>
      </c>
      <c r="B113" s="45" t="s">
        <v>222</v>
      </c>
      <c r="C113" s="46" t="s">
        <v>18</v>
      </c>
      <c r="D113" s="46" t="s">
        <v>64</v>
      </c>
      <c r="E113" s="62">
        <v>0.189</v>
      </c>
      <c r="F113" s="66">
        <v>0.16070000000000001</v>
      </c>
      <c r="G113" s="92"/>
      <c r="H113" s="92"/>
      <c r="I113" s="92"/>
      <c r="J113" s="92"/>
      <c r="K113" s="93"/>
      <c r="L113" s="89"/>
      <c r="M113" s="53" t="s">
        <v>68</v>
      </c>
      <c r="N113" s="1" t="s">
        <v>220</v>
      </c>
    </row>
    <row r="114" spans="1:14" ht="15" customHeight="1" x14ac:dyDescent="0.2">
      <c r="A114" s="44" t="s">
        <v>223</v>
      </c>
      <c r="B114" s="45" t="s">
        <v>224</v>
      </c>
      <c r="C114" s="46" t="s">
        <v>21</v>
      </c>
      <c r="D114" s="46" t="s">
        <v>225</v>
      </c>
      <c r="E114" s="62"/>
      <c r="F114" s="63"/>
      <c r="G114" s="64"/>
      <c r="H114" s="65"/>
      <c r="I114" s="65"/>
      <c r="J114" s="65"/>
      <c r="K114" s="67"/>
      <c r="L114" s="89" t="s">
        <v>91</v>
      </c>
      <c r="M114" s="53" t="s">
        <v>186</v>
      </c>
      <c r="N114" s="1" t="s">
        <v>220</v>
      </c>
    </row>
    <row r="115" spans="1:14" ht="15" customHeight="1" x14ac:dyDescent="0.2">
      <c r="A115" s="44" t="s">
        <v>226</v>
      </c>
      <c r="B115" s="45" t="s">
        <v>227</v>
      </c>
      <c r="C115" s="46" t="s">
        <v>19</v>
      </c>
      <c r="D115" s="46" t="s">
        <v>58</v>
      </c>
      <c r="E115" s="62"/>
      <c r="F115" s="63"/>
      <c r="G115" s="64"/>
      <c r="H115" s="65"/>
      <c r="I115" s="65"/>
      <c r="J115" s="65"/>
      <c r="K115" s="67"/>
      <c r="L115" s="89" t="s">
        <v>91</v>
      </c>
      <c r="M115" s="53" t="s">
        <v>228</v>
      </c>
      <c r="N115" s="1" t="s">
        <v>220</v>
      </c>
    </row>
    <row r="116" spans="1:14" ht="15" customHeight="1" x14ac:dyDescent="0.2">
      <c r="A116" s="44" t="s">
        <v>229</v>
      </c>
      <c r="B116" s="45" t="s">
        <v>230</v>
      </c>
      <c r="C116" s="46" t="s">
        <v>184</v>
      </c>
      <c r="D116" s="46" t="s">
        <v>58</v>
      </c>
      <c r="E116" s="62"/>
      <c r="F116" s="66">
        <v>1</v>
      </c>
      <c r="G116" s="64"/>
      <c r="H116" s="65"/>
      <c r="I116" s="65"/>
      <c r="J116" s="65"/>
      <c r="K116" s="67"/>
      <c r="L116" s="89" t="s">
        <v>91</v>
      </c>
      <c r="M116" s="53" t="s">
        <v>231</v>
      </c>
      <c r="N116" s="1" t="s">
        <v>220</v>
      </c>
    </row>
    <row r="117" spans="1:14" ht="15" customHeight="1" x14ac:dyDescent="0.2">
      <c r="A117" s="44" t="s">
        <v>232</v>
      </c>
      <c r="B117" s="45" t="s">
        <v>233</v>
      </c>
      <c r="C117" s="46" t="s">
        <v>184</v>
      </c>
      <c r="D117" s="46" t="s">
        <v>225</v>
      </c>
      <c r="E117" s="62"/>
      <c r="F117" s="63"/>
      <c r="G117" s="64"/>
      <c r="H117" s="65"/>
      <c r="I117" s="65"/>
      <c r="J117" s="65"/>
      <c r="K117" s="67"/>
      <c r="L117" s="89" t="s">
        <v>91</v>
      </c>
      <c r="M117" s="53" t="s">
        <v>228</v>
      </c>
      <c r="N117" s="1" t="s">
        <v>220</v>
      </c>
    </row>
    <row r="118" spans="1:14" ht="24" customHeight="1" x14ac:dyDescent="0.2">
      <c r="A118" s="44" t="s">
        <v>234</v>
      </c>
      <c r="B118" s="45" t="s">
        <v>235</v>
      </c>
      <c r="C118" s="46" t="s">
        <v>19</v>
      </c>
      <c r="D118" s="46" t="s">
        <v>225</v>
      </c>
      <c r="E118" s="62"/>
      <c r="F118" s="63"/>
      <c r="G118" s="64"/>
      <c r="H118" s="65"/>
      <c r="I118" s="65"/>
      <c r="J118" s="65"/>
      <c r="K118" s="67"/>
      <c r="L118" s="89" t="s">
        <v>91</v>
      </c>
      <c r="M118" s="53" t="s">
        <v>228</v>
      </c>
      <c r="N118" s="1" t="s">
        <v>220</v>
      </c>
    </row>
    <row r="119" spans="1:14" ht="24" customHeight="1" x14ac:dyDescent="0.2">
      <c r="A119" s="44" t="s">
        <v>236</v>
      </c>
      <c r="B119" s="45" t="s">
        <v>237</v>
      </c>
      <c r="C119" s="46" t="s">
        <v>238</v>
      </c>
      <c r="D119" s="46" t="s">
        <v>225</v>
      </c>
      <c r="E119" s="62"/>
      <c r="F119" s="63"/>
      <c r="G119" s="64"/>
      <c r="H119" s="65"/>
      <c r="I119" s="65"/>
      <c r="J119" s="65"/>
      <c r="K119" s="67"/>
      <c r="L119" s="89" t="s">
        <v>91</v>
      </c>
      <c r="M119" s="53" t="s">
        <v>228</v>
      </c>
      <c r="N119" s="1" t="s">
        <v>220</v>
      </c>
    </row>
    <row r="120" spans="1:14" ht="15" customHeight="1" x14ac:dyDescent="0.2">
      <c r="A120" s="44" t="s">
        <v>239</v>
      </c>
      <c r="B120" s="45" t="s">
        <v>240</v>
      </c>
      <c r="C120" s="46" t="s">
        <v>196</v>
      </c>
      <c r="D120" s="46" t="s">
        <v>225</v>
      </c>
      <c r="E120" s="62"/>
      <c r="F120" s="63"/>
      <c r="G120" s="64"/>
      <c r="H120" s="65"/>
      <c r="I120" s="65"/>
      <c r="J120" s="65"/>
      <c r="K120" s="67"/>
      <c r="L120" s="89" t="s">
        <v>91</v>
      </c>
      <c r="M120" s="53" t="s">
        <v>228</v>
      </c>
      <c r="N120" s="1" t="s">
        <v>220</v>
      </c>
    </row>
    <row r="121" spans="1:14" ht="15" customHeight="1" x14ac:dyDescent="0.2">
      <c r="A121" s="44" t="s">
        <v>241</v>
      </c>
      <c r="B121" s="45" t="s">
        <v>242</v>
      </c>
      <c r="C121" s="46" t="s">
        <v>196</v>
      </c>
      <c r="D121" s="46" t="s">
        <v>225</v>
      </c>
      <c r="E121" s="62"/>
      <c r="F121" s="63"/>
      <c r="G121" s="64"/>
      <c r="H121" s="65"/>
      <c r="I121" s="65"/>
      <c r="J121" s="65"/>
      <c r="K121" s="67"/>
      <c r="L121" s="89" t="s">
        <v>91</v>
      </c>
      <c r="M121" s="53" t="s">
        <v>228</v>
      </c>
      <c r="N121" s="1" t="s">
        <v>220</v>
      </c>
    </row>
    <row r="122" spans="1:14" ht="24" customHeight="1" x14ac:dyDescent="0.2">
      <c r="A122" s="44" t="s">
        <v>243</v>
      </c>
      <c r="B122" s="45" t="s">
        <v>244</v>
      </c>
      <c r="C122" s="46" t="s">
        <v>18</v>
      </c>
      <c r="D122" s="46" t="s">
        <v>225</v>
      </c>
      <c r="E122" s="62"/>
      <c r="F122" s="63"/>
      <c r="G122" s="64"/>
      <c r="H122" s="65"/>
      <c r="I122" s="65"/>
      <c r="J122" s="65"/>
      <c r="K122" s="67"/>
      <c r="L122" s="89" t="s">
        <v>91</v>
      </c>
      <c r="M122" s="53" t="s">
        <v>186</v>
      </c>
      <c r="N122" s="1" t="s">
        <v>220</v>
      </c>
    </row>
    <row r="123" spans="1:14" ht="15" customHeight="1" x14ac:dyDescent="0.2">
      <c r="A123" s="44" t="s">
        <v>245</v>
      </c>
      <c r="B123" s="45" t="s">
        <v>246</v>
      </c>
      <c r="C123" s="46" t="s">
        <v>18</v>
      </c>
      <c r="D123" s="46" t="s">
        <v>225</v>
      </c>
      <c r="E123" s="62"/>
      <c r="F123" s="63"/>
      <c r="G123" s="64"/>
      <c r="H123" s="65"/>
      <c r="I123" s="65"/>
      <c r="J123" s="65"/>
      <c r="K123" s="67"/>
      <c r="L123" s="89" t="s">
        <v>91</v>
      </c>
      <c r="M123" s="53" t="s">
        <v>247</v>
      </c>
      <c r="N123" s="1" t="s">
        <v>220</v>
      </c>
    </row>
    <row r="124" spans="1:14" ht="15" customHeight="1" x14ac:dyDescent="0.2">
      <c r="A124" s="44" t="s">
        <v>248</v>
      </c>
      <c r="B124" s="45" t="s">
        <v>249</v>
      </c>
      <c r="C124" s="46" t="s">
        <v>18</v>
      </c>
      <c r="D124" s="46" t="s">
        <v>225</v>
      </c>
      <c r="E124" s="62"/>
      <c r="F124" s="63"/>
      <c r="G124" s="64"/>
      <c r="H124" s="65"/>
      <c r="I124" s="65"/>
      <c r="J124" s="65"/>
      <c r="K124" s="67"/>
      <c r="L124" s="89" t="s">
        <v>91</v>
      </c>
      <c r="M124" s="53" t="s">
        <v>247</v>
      </c>
      <c r="N124" s="1" t="s">
        <v>220</v>
      </c>
    </row>
    <row r="125" spans="1:14" ht="15" customHeight="1" x14ac:dyDescent="0.2">
      <c r="A125" s="44" t="s">
        <v>250</v>
      </c>
      <c r="B125" s="45" t="s">
        <v>251</v>
      </c>
      <c r="C125" s="46" t="s">
        <v>18</v>
      </c>
      <c r="D125" s="46" t="s">
        <v>225</v>
      </c>
      <c r="E125" s="62"/>
      <c r="F125" s="63"/>
      <c r="G125" s="64"/>
      <c r="H125" s="65"/>
      <c r="I125" s="65"/>
      <c r="J125" s="65"/>
      <c r="K125" s="67"/>
      <c r="L125" s="89" t="s">
        <v>91</v>
      </c>
      <c r="M125" s="53" t="s">
        <v>247</v>
      </c>
      <c r="N125" s="1" t="s">
        <v>220</v>
      </c>
    </row>
    <row r="126" spans="1:14" ht="24" customHeight="1" x14ac:dyDescent="0.2">
      <c r="A126" s="44" t="s">
        <v>252</v>
      </c>
      <c r="B126" s="45" t="s">
        <v>253</v>
      </c>
      <c r="C126" s="46" t="s">
        <v>23</v>
      </c>
      <c r="D126" s="46" t="s">
        <v>225</v>
      </c>
      <c r="E126" s="62"/>
      <c r="F126" s="63"/>
      <c r="G126" s="64"/>
      <c r="H126" s="65"/>
      <c r="I126" s="65"/>
      <c r="J126" s="65"/>
      <c r="K126" s="67"/>
      <c r="L126" s="89" t="s">
        <v>91</v>
      </c>
      <c r="M126" s="53" t="s">
        <v>68</v>
      </c>
      <c r="N126" s="1" t="s">
        <v>220</v>
      </c>
    </row>
    <row r="127" spans="1:14" ht="15" customHeight="1" x14ac:dyDescent="0.2">
      <c r="A127" s="44" t="s">
        <v>254</v>
      </c>
      <c r="B127" s="45" t="s">
        <v>255</v>
      </c>
      <c r="C127" s="46" t="s">
        <v>18</v>
      </c>
      <c r="D127" s="46" t="s">
        <v>225</v>
      </c>
      <c r="E127" s="62"/>
      <c r="F127" s="63"/>
      <c r="G127" s="64"/>
      <c r="H127" s="65"/>
      <c r="I127" s="65"/>
      <c r="J127" s="65"/>
      <c r="K127" s="67"/>
      <c r="L127" s="89" t="s">
        <v>91</v>
      </c>
      <c r="M127" s="53" t="s">
        <v>247</v>
      </c>
      <c r="N127" s="1" t="s">
        <v>220</v>
      </c>
    </row>
    <row r="128" spans="1:14" ht="15" customHeight="1" x14ac:dyDescent="0.2">
      <c r="A128" s="44" t="s">
        <v>256</v>
      </c>
      <c r="B128" s="45" t="s">
        <v>257</v>
      </c>
      <c r="C128" s="46" t="s">
        <v>23</v>
      </c>
      <c r="D128" s="46" t="s">
        <v>225</v>
      </c>
      <c r="E128" s="62"/>
      <c r="F128" s="63"/>
      <c r="G128" s="64"/>
      <c r="H128" s="65"/>
      <c r="I128" s="65"/>
      <c r="J128" s="65"/>
      <c r="K128" s="67"/>
      <c r="L128" s="89" t="s">
        <v>91</v>
      </c>
      <c r="M128" s="53" t="s">
        <v>68</v>
      </c>
      <c r="N128" s="1" t="s">
        <v>220</v>
      </c>
    </row>
    <row r="129" spans="1:14" ht="15" customHeight="1" x14ac:dyDescent="0.2">
      <c r="A129" s="44" t="s">
        <v>258</v>
      </c>
      <c r="B129" s="45" t="s">
        <v>259</v>
      </c>
      <c r="C129" s="46" t="s">
        <v>23</v>
      </c>
      <c r="D129" s="46" t="s">
        <v>225</v>
      </c>
      <c r="E129" s="62"/>
      <c r="F129" s="63"/>
      <c r="G129" s="64"/>
      <c r="H129" s="65"/>
      <c r="I129" s="65"/>
      <c r="J129" s="65"/>
      <c r="K129" s="67"/>
      <c r="L129" s="89" t="s">
        <v>91</v>
      </c>
      <c r="M129" s="53" t="s">
        <v>186</v>
      </c>
      <c r="N129" s="1" t="s">
        <v>220</v>
      </c>
    </row>
    <row r="130" spans="1:14" ht="15" customHeight="1" x14ac:dyDescent="0.2">
      <c r="A130" s="44" t="s">
        <v>260</v>
      </c>
      <c r="B130" s="45" t="s">
        <v>261</v>
      </c>
      <c r="C130" s="46" t="s">
        <v>23</v>
      </c>
      <c r="D130" s="46" t="s">
        <v>225</v>
      </c>
      <c r="E130" s="62"/>
      <c r="F130" s="63"/>
      <c r="G130" s="64"/>
      <c r="H130" s="65">
        <v>0.82520000000000004</v>
      </c>
      <c r="I130" s="65"/>
      <c r="J130" s="65"/>
      <c r="K130" s="67"/>
      <c r="L130" s="89" t="s">
        <v>91</v>
      </c>
      <c r="M130" s="53" t="s">
        <v>247</v>
      </c>
      <c r="N130" s="1" t="s">
        <v>220</v>
      </c>
    </row>
    <row r="131" spans="1:14" ht="15" customHeight="1" x14ac:dyDescent="0.2">
      <c r="A131" s="44" t="s">
        <v>262</v>
      </c>
      <c r="B131" s="45" t="s">
        <v>263</v>
      </c>
      <c r="C131" s="46" t="s">
        <v>23</v>
      </c>
      <c r="D131" s="46" t="s">
        <v>225</v>
      </c>
      <c r="E131" s="62"/>
      <c r="F131" s="63"/>
      <c r="G131" s="64"/>
      <c r="H131" s="65"/>
      <c r="I131" s="65"/>
      <c r="J131" s="65"/>
      <c r="K131" s="67"/>
      <c r="L131" s="89" t="s">
        <v>91</v>
      </c>
      <c r="M131" s="53" t="s">
        <v>228</v>
      </c>
      <c r="N131" s="1" t="s">
        <v>220</v>
      </c>
    </row>
    <row r="132" spans="1:14" ht="24" customHeight="1" x14ac:dyDescent="0.2">
      <c r="A132" s="44" t="s">
        <v>264</v>
      </c>
      <c r="B132" s="45" t="s">
        <v>265</v>
      </c>
      <c r="C132" s="46" t="s">
        <v>23</v>
      </c>
      <c r="D132" s="46" t="s">
        <v>225</v>
      </c>
      <c r="E132" s="62"/>
      <c r="F132" s="63"/>
      <c r="G132" s="64"/>
      <c r="H132" s="65"/>
      <c r="I132" s="65"/>
      <c r="J132" s="65"/>
      <c r="K132" s="67"/>
      <c r="L132" s="89" t="s">
        <v>91</v>
      </c>
      <c r="M132" s="53" t="s">
        <v>228</v>
      </c>
      <c r="N132" s="1" t="s">
        <v>220</v>
      </c>
    </row>
    <row r="133" spans="1:14" ht="24" customHeight="1" x14ac:dyDescent="0.2">
      <c r="A133" s="1" t="s">
        <v>266</v>
      </c>
      <c r="B133" s="1" t="s">
        <v>267</v>
      </c>
      <c r="C133" s="1" t="s">
        <v>19</v>
      </c>
      <c r="G133" s="88"/>
      <c r="H133" s="88">
        <v>1.02</v>
      </c>
      <c r="I133" s="88"/>
      <c r="J133" s="88"/>
      <c r="M133" s="1" t="s">
        <v>268</v>
      </c>
      <c r="N133" s="1" t="s">
        <v>61</v>
      </c>
    </row>
    <row r="134" spans="1:14" ht="15" customHeight="1" x14ac:dyDescent="0.2">
      <c r="G134" s="88"/>
      <c r="H134" s="88"/>
      <c r="I134" s="88"/>
      <c r="J134" s="88"/>
    </row>
    <row r="135" spans="1:14" ht="15" customHeight="1" x14ac:dyDescent="0.2">
      <c r="G135" s="88"/>
      <c r="H135" s="88"/>
      <c r="I135" s="88"/>
      <c r="J135" s="88"/>
    </row>
    <row r="136" spans="1:14" ht="15" customHeight="1" x14ac:dyDescent="0.2">
      <c r="G136" s="88"/>
      <c r="H136" s="88"/>
      <c r="I136" s="88"/>
      <c r="J136" s="88"/>
    </row>
    <row r="137" spans="1:14" ht="15" customHeight="1" x14ac:dyDescent="0.2">
      <c r="G137" s="88"/>
      <c r="H137" s="88"/>
      <c r="I137" s="88"/>
      <c r="J137" s="88"/>
    </row>
    <row r="138" spans="1:14" ht="15" customHeight="1" x14ac:dyDescent="0.2">
      <c r="G138" s="88"/>
      <c r="H138" s="88"/>
      <c r="I138" s="88"/>
      <c r="J138" s="88"/>
    </row>
    <row r="139" spans="1:14" ht="15" customHeight="1" x14ac:dyDescent="0.2">
      <c r="G139" s="88"/>
      <c r="H139" s="88"/>
      <c r="I139" s="88"/>
      <c r="J139" s="88"/>
    </row>
    <row r="140" spans="1:14" ht="15" customHeight="1" x14ac:dyDescent="0.2">
      <c r="G140" s="88"/>
      <c r="H140" s="88"/>
      <c r="I140" s="88"/>
      <c r="J140" s="88"/>
    </row>
    <row r="141" spans="1:14" ht="15" customHeight="1" x14ac:dyDescent="0.2">
      <c r="G141" s="88"/>
      <c r="H141" s="88"/>
      <c r="I141" s="88"/>
      <c r="J141" s="88"/>
    </row>
    <row r="142" spans="1:14" ht="15" customHeight="1" x14ac:dyDescent="0.2">
      <c r="G142" s="88"/>
      <c r="H142" s="88"/>
      <c r="I142" s="88"/>
      <c r="J142" s="88"/>
    </row>
    <row r="143" spans="1:14" ht="15" customHeight="1" x14ac:dyDescent="0.2">
      <c r="G143" s="88"/>
      <c r="H143" s="88"/>
      <c r="I143" s="88"/>
      <c r="J143" s="88"/>
    </row>
    <row r="144" spans="1:14" ht="15" customHeight="1" x14ac:dyDescent="0.2">
      <c r="G144" s="88"/>
      <c r="H144" s="88"/>
      <c r="I144" s="88"/>
      <c r="J144" s="88"/>
    </row>
    <row r="145" spans="7:10" ht="15" customHeight="1" x14ac:dyDescent="0.2">
      <c r="G145" s="88"/>
      <c r="H145" s="88"/>
      <c r="I145" s="88"/>
      <c r="J145" s="88"/>
    </row>
    <row r="146" spans="7:10" ht="15" customHeight="1" x14ac:dyDescent="0.2">
      <c r="G146" s="88"/>
      <c r="H146" s="88"/>
      <c r="I146" s="88"/>
      <c r="J146" s="88"/>
    </row>
    <row r="147" spans="7:10" ht="15" customHeight="1" x14ac:dyDescent="0.2">
      <c r="G147" s="88"/>
      <c r="H147" s="88"/>
      <c r="I147" s="88"/>
      <c r="J147" s="88"/>
    </row>
    <row r="148" spans="7:10" ht="15" customHeight="1" x14ac:dyDescent="0.2">
      <c r="G148" s="88"/>
      <c r="H148" s="88"/>
      <c r="I148" s="88"/>
      <c r="J148" s="88"/>
    </row>
    <row r="149" spans="7:10" ht="15" customHeight="1" x14ac:dyDescent="0.2">
      <c r="G149" s="88"/>
      <c r="H149" s="88"/>
      <c r="I149" s="88"/>
      <c r="J149" s="88"/>
    </row>
    <row r="150" spans="7:10" ht="15" customHeight="1" x14ac:dyDescent="0.2">
      <c r="G150" s="88"/>
      <c r="H150" s="88"/>
      <c r="I150" s="88"/>
      <c r="J150" s="88"/>
    </row>
    <row r="151" spans="7:10" ht="15" customHeight="1" x14ac:dyDescent="0.2">
      <c r="G151" s="88"/>
      <c r="H151" s="88"/>
      <c r="I151" s="88"/>
      <c r="J151" s="88"/>
    </row>
    <row r="152" spans="7:10" ht="15" customHeight="1" x14ac:dyDescent="0.2">
      <c r="G152" s="88"/>
      <c r="H152" s="88"/>
      <c r="I152" s="88"/>
      <c r="J152" s="88"/>
    </row>
    <row r="153" spans="7:10" ht="15" customHeight="1" x14ac:dyDescent="0.2">
      <c r="G153" s="88"/>
      <c r="H153" s="88"/>
      <c r="I153" s="88"/>
      <c r="J153" s="88"/>
    </row>
    <row r="154" spans="7:10" ht="15" customHeight="1" x14ac:dyDescent="0.2">
      <c r="G154" s="88"/>
      <c r="H154" s="88"/>
      <c r="I154" s="88"/>
      <c r="J154" s="88"/>
    </row>
    <row r="155" spans="7:10" ht="15" customHeight="1" x14ac:dyDescent="0.2">
      <c r="G155" s="88"/>
      <c r="H155" s="88"/>
      <c r="I155" s="88"/>
      <c r="J155" s="88"/>
    </row>
    <row r="156" spans="7:10" ht="15" customHeight="1" x14ac:dyDescent="0.2">
      <c r="G156" s="88"/>
      <c r="H156" s="88"/>
      <c r="I156" s="88"/>
      <c r="J156" s="88"/>
    </row>
    <row r="157" spans="7:10" ht="15" customHeight="1" x14ac:dyDescent="0.2">
      <c r="G157" s="88"/>
      <c r="H157" s="88"/>
      <c r="I157" s="88"/>
      <c r="J157" s="88"/>
    </row>
    <row r="158" spans="7:10" ht="15" customHeight="1" x14ac:dyDescent="0.2">
      <c r="G158" s="88"/>
      <c r="H158" s="88"/>
      <c r="I158" s="88"/>
      <c r="J158" s="88"/>
    </row>
    <row r="159" spans="7:10" ht="15" customHeight="1" x14ac:dyDescent="0.2">
      <c r="G159" s="88"/>
      <c r="H159" s="88"/>
      <c r="I159" s="88"/>
      <c r="J159" s="88"/>
    </row>
    <row r="160" spans="7:10" ht="15" customHeight="1" x14ac:dyDescent="0.2">
      <c r="G160" s="88"/>
      <c r="H160" s="88"/>
      <c r="I160" s="88"/>
      <c r="J160" s="88"/>
    </row>
    <row r="161" spans="7:10" ht="15" customHeight="1" x14ac:dyDescent="0.2">
      <c r="G161" s="88"/>
      <c r="H161" s="88"/>
      <c r="I161" s="88"/>
      <c r="J161" s="88"/>
    </row>
    <row r="162" spans="7:10" ht="15" customHeight="1" x14ac:dyDescent="0.2">
      <c r="G162" s="88"/>
      <c r="H162" s="88"/>
      <c r="I162" s="88"/>
      <c r="J162" s="88"/>
    </row>
    <row r="163" spans="7:10" ht="15" customHeight="1" x14ac:dyDescent="0.2">
      <c r="G163" s="88"/>
      <c r="H163" s="88"/>
      <c r="I163" s="88"/>
      <c r="J163" s="88"/>
    </row>
    <row r="164" spans="7:10" ht="15" customHeight="1" x14ac:dyDescent="0.2">
      <c r="G164" s="88"/>
      <c r="H164" s="88"/>
      <c r="I164" s="88"/>
      <c r="J164" s="88"/>
    </row>
    <row r="165" spans="7:10" ht="15" customHeight="1" x14ac:dyDescent="0.2">
      <c r="G165" s="88"/>
      <c r="H165" s="88"/>
      <c r="I165" s="88"/>
      <c r="J165" s="88"/>
    </row>
    <row r="166" spans="7:10" ht="15" customHeight="1" x14ac:dyDescent="0.2">
      <c r="G166" s="88"/>
      <c r="H166" s="88"/>
      <c r="I166" s="88"/>
      <c r="J166" s="88"/>
    </row>
    <row r="167" spans="7:10" ht="15" customHeight="1" x14ac:dyDescent="0.2">
      <c r="G167" s="88"/>
      <c r="H167" s="88"/>
      <c r="I167" s="88"/>
      <c r="J167" s="88"/>
    </row>
    <row r="168" spans="7:10" ht="15" customHeight="1" x14ac:dyDescent="0.2">
      <c r="G168" s="88"/>
      <c r="H168" s="88"/>
      <c r="I168" s="88"/>
      <c r="J168" s="88"/>
    </row>
    <row r="169" spans="7:10" ht="15" customHeight="1" x14ac:dyDescent="0.2">
      <c r="G169" s="88"/>
      <c r="H169" s="88"/>
      <c r="I169" s="88"/>
      <c r="J169" s="88"/>
    </row>
    <row r="170" spans="7:10" ht="15" customHeight="1" x14ac:dyDescent="0.2">
      <c r="G170" s="88"/>
      <c r="H170" s="88"/>
      <c r="I170" s="88"/>
      <c r="J170" s="88"/>
    </row>
    <row r="171" spans="7:10" ht="15" customHeight="1" x14ac:dyDescent="0.2">
      <c r="G171" s="88"/>
      <c r="H171" s="88"/>
      <c r="I171" s="88"/>
      <c r="J171" s="88"/>
    </row>
    <row r="172" spans="7:10" ht="15" customHeight="1" x14ac:dyDescent="0.2">
      <c r="G172" s="88"/>
      <c r="H172" s="88"/>
      <c r="I172" s="88"/>
      <c r="J172" s="88"/>
    </row>
    <row r="173" spans="7:10" ht="15" customHeight="1" x14ac:dyDescent="0.2">
      <c r="G173" s="88"/>
      <c r="H173" s="88"/>
      <c r="I173" s="88"/>
      <c r="J173" s="88"/>
    </row>
    <row r="174" spans="7:10" ht="15" customHeight="1" x14ac:dyDescent="0.2">
      <c r="G174" s="88"/>
      <c r="H174" s="88"/>
      <c r="I174" s="88"/>
      <c r="J174" s="88"/>
    </row>
    <row r="175" spans="7:10" ht="15" customHeight="1" x14ac:dyDescent="0.2">
      <c r="G175" s="88"/>
      <c r="H175" s="88"/>
      <c r="I175" s="88"/>
      <c r="J175" s="88"/>
    </row>
    <row r="176" spans="7:10" ht="15" customHeight="1" x14ac:dyDescent="0.2">
      <c r="G176" s="88"/>
      <c r="H176" s="88"/>
      <c r="I176" s="88"/>
      <c r="J176" s="88"/>
    </row>
    <row r="177" spans="7:10" ht="15" customHeight="1" x14ac:dyDescent="0.2">
      <c r="G177" s="88"/>
      <c r="H177" s="88"/>
      <c r="I177" s="88"/>
      <c r="J177" s="88"/>
    </row>
    <row r="178" spans="7:10" ht="15" customHeight="1" x14ac:dyDescent="0.2">
      <c r="G178" s="88"/>
      <c r="H178" s="88"/>
      <c r="I178" s="88"/>
      <c r="J178" s="88"/>
    </row>
    <row r="179" spans="7:10" ht="15" customHeight="1" x14ac:dyDescent="0.2">
      <c r="G179" s="88"/>
      <c r="H179" s="88"/>
      <c r="I179" s="88"/>
      <c r="J179" s="88"/>
    </row>
    <row r="180" spans="7:10" ht="15" customHeight="1" x14ac:dyDescent="0.2">
      <c r="G180" s="88"/>
      <c r="H180" s="88"/>
      <c r="I180" s="88"/>
      <c r="J180" s="88"/>
    </row>
    <row r="181" spans="7:10" ht="15" customHeight="1" x14ac:dyDescent="0.2">
      <c r="G181" s="88"/>
      <c r="H181" s="88"/>
      <c r="I181" s="88"/>
      <c r="J181" s="88"/>
    </row>
    <row r="182" spans="7:10" ht="15" customHeight="1" x14ac:dyDescent="0.2">
      <c r="G182" s="88"/>
      <c r="H182" s="88"/>
      <c r="I182" s="88"/>
      <c r="J182" s="88"/>
    </row>
    <row r="183" spans="7:10" ht="15" customHeight="1" x14ac:dyDescent="0.2">
      <c r="G183" s="88"/>
      <c r="H183" s="88"/>
      <c r="I183" s="88"/>
      <c r="J183" s="88"/>
    </row>
    <row r="184" spans="7:10" ht="15" customHeight="1" x14ac:dyDescent="0.2">
      <c r="G184" s="88"/>
      <c r="H184" s="88"/>
      <c r="I184" s="88"/>
      <c r="J184" s="88"/>
    </row>
    <row r="185" spans="7:10" ht="15" customHeight="1" x14ac:dyDescent="0.2">
      <c r="G185" s="88"/>
      <c r="H185" s="88"/>
      <c r="I185" s="88"/>
      <c r="J185" s="88"/>
    </row>
    <row r="186" spans="7:10" ht="15" customHeight="1" x14ac:dyDescent="0.2">
      <c r="G186" s="88"/>
      <c r="H186" s="88"/>
      <c r="I186" s="88"/>
      <c r="J186" s="88"/>
    </row>
    <row r="187" spans="7:10" ht="15" customHeight="1" x14ac:dyDescent="0.2">
      <c r="G187" s="88"/>
      <c r="H187" s="88"/>
      <c r="I187" s="88"/>
      <c r="J187" s="88"/>
    </row>
    <row r="188" spans="7:10" ht="15" customHeight="1" x14ac:dyDescent="0.2">
      <c r="G188" s="88"/>
      <c r="H188" s="88"/>
      <c r="I188" s="88"/>
      <c r="J188" s="88"/>
    </row>
    <row r="189" spans="7:10" ht="15" customHeight="1" x14ac:dyDescent="0.2">
      <c r="G189" s="88"/>
      <c r="H189" s="88"/>
      <c r="I189" s="88"/>
      <c r="J189" s="88"/>
    </row>
    <row r="190" spans="7:10" ht="15" customHeight="1" x14ac:dyDescent="0.2">
      <c r="G190" s="88"/>
      <c r="H190" s="88"/>
      <c r="I190" s="88"/>
      <c r="J190" s="88"/>
    </row>
    <row r="191" spans="7:10" ht="15" customHeight="1" x14ac:dyDescent="0.2">
      <c r="G191" s="88"/>
      <c r="H191" s="88"/>
      <c r="I191" s="88"/>
      <c r="J191" s="88"/>
    </row>
    <row r="192" spans="7:10" ht="15" customHeight="1" x14ac:dyDescent="0.2">
      <c r="G192" s="88"/>
      <c r="H192" s="88"/>
      <c r="I192" s="88"/>
      <c r="J192" s="88"/>
    </row>
    <row r="193" spans="7:10" ht="15" customHeight="1" x14ac:dyDescent="0.2">
      <c r="G193" s="88"/>
      <c r="H193" s="88"/>
      <c r="I193" s="88"/>
      <c r="J193" s="88"/>
    </row>
    <row r="194" spans="7:10" ht="15" customHeight="1" x14ac:dyDescent="0.2">
      <c r="G194" s="88"/>
      <c r="H194" s="88"/>
      <c r="I194" s="88"/>
      <c r="J194" s="88"/>
    </row>
    <row r="195" spans="7:10" ht="15" customHeight="1" x14ac:dyDescent="0.2">
      <c r="G195" s="88"/>
      <c r="H195" s="88"/>
      <c r="I195" s="88"/>
      <c r="J195" s="88"/>
    </row>
    <row r="196" spans="7:10" ht="15" customHeight="1" x14ac:dyDescent="0.2">
      <c r="G196" s="88"/>
      <c r="H196" s="88"/>
      <c r="I196" s="88"/>
      <c r="J196" s="88"/>
    </row>
    <row r="197" spans="7:10" ht="15" customHeight="1" x14ac:dyDescent="0.2">
      <c r="G197" s="88"/>
      <c r="H197" s="88"/>
      <c r="I197" s="88"/>
      <c r="J197" s="88"/>
    </row>
    <row r="198" spans="7:10" ht="15" customHeight="1" x14ac:dyDescent="0.2">
      <c r="G198" s="88"/>
      <c r="H198" s="88"/>
      <c r="I198" s="88"/>
      <c r="J198" s="88"/>
    </row>
    <row r="199" spans="7:10" ht="15" customHeight="1" x14ac:dyDescent="0.2">
      <c r="G199" s="88"/>
      <c r="H199" s="88"/>
      <c r="I199" s="88"/>
      <c r="J199" s="88"/>
    </row>
    <row r="200" spans="7:10" ht="15" customHeight="1" x14ac:dyDescent="0.2">
      <c r="G200" s="88"/>
      <c r="H200" s="88"/>
      <c r="I200" s="88"/>
      <c r="J200" s="88"/>
    </row>
    <row r="201" spans="7:10" ht="15" customHeight="1" x14ac:dyDescent="0.2">
      <c r="G201" s="88"/>
      <c r="H201" s="88"/>
      <c r="I201" s="88"/>
      <c r="J201" s="88"/>
    </row>
    <row r="202" spans="7:10" ht="15" customHeight="1" x14ac:dyDescent="0.2">
      <c r="G202" s="88"/>
      <c r="H202" s="88"/>
      <c r="I202" s="88"/>
      <c r="J202" s="88"/>
    </row>
    <row r="203" spans="7:10" ht="15" customHeight="1" x14ac:dyDescent="0.2">
      <c r="G203" s="88"/>
      <c r="H203" s="88"/>
      <c r="I203" s="88"/>
      <c r="J203" s="88"/>
    </row>
    <row r="204" spans="7:10" ht="15" customHeight="1" x14ac:dyDescent="0.2">
      <c r="G204" s="88"/>
      <c r="H204" s="88"/>
      <c r="I204" s="88"/>
      <c r="J204" s="88"/>
    </row>
    <row r="205" spans="7:10" ht="15" customHeight="1" x14ac:dyDescent="0.2">
      <c r="G205" s="88"/>
      <c r="H205" s="88"/>
      <c r="I205" s="88"/>
      <c r="J205" s="88"/>
    </row>
    <row r="206" spans="7:10" ht="15" customHeight="1" x14ac:dyDescent="0.2">
      <c r="G206" s="88"/>
      <c r="H206" s="88"/>
      <c r="I206" s="88"/>
      <c r="J206" s="88"/>
    </row>
    <row r="207" spans="7:10" ht="15" customHeight="1" x14ac:dyDescent="0.2">
      <c r="G207" s="88"/>
      <c r="H207" s="88"/>
      <c r="I207" s="88"/>
      <c r="J207" s="88"/>
    </row>
    <row r="208" spans="7:10" ht="15" customHeight="1" x14ac:dyDescent="0.2">
      <c r="G208" s="88"/>
      <c r="H208" s="88"/>
      <c r="I208" s="88"/>
      <c r="J208" s="88"/>
    </row>
    <row r="209" spans="7:10" ht="15" customHeight="1" x14ac:dyDescent="0.2">
      <c r="G209" s="88"/>
      <c r="H209" s="88"/>
      <c r="I209" s="88"/>
      <c r="J209" s="88"/>
    </row>
    <row r="210" spans="7:10" ht="15" customHeight="1" x14ac:dyDescent="0.2">
      <c r="G210" s="88"/>
      <c r="H210" s="88"/>
      <c r="I210" s="88"/>
      <c r="J210" s="88"/>
    </row>
    <row r="211" spans="7:10" ht="15" customHeight="1" x14ac:dyDescent="0.2">
      <c r="G211" s="88"/>
      <c r="H211" s="88"/>
      <c r="I211" s="88"/>
      <c r="J211" s="88"/>
    </row>
    <row r="212" spans="7:10" ht="15" customHeight="1" x14ac:dyDescent="0.2">
      <c r="G212" s="88"/>
      <c r="H212" s="88"/>
      <c r="I212" s="88"/>
      <c r="J212" s="88"/>
    </row>
    <row r="213" spans="7:10" ht="15" customHeight="1" x14ac:dyDescent="0.2">
      <c r="G213" s="88"/>
      <c r="H213" s="88"/>
      <c r="I213" s="88"/>
      <c r="J213" s="88"/>
    </row>
    <row r="214" spans="7:10" ht="15" customHeight="1" x14ac:dyDescent="0.2">
      <c r="G214" s="88"/>
      <c r="H214" s="88"/>
      <c r="I214" s="88"/>
      <c r="J214" s="88"/>
    </row>
    <row r="215" spans="7:10" ht="15" customHeight="1" x14ac:dyDescent="0.2">
      <c r="G215" s="88"/>
      <c r="H215" s="88"/>
      <c r="I215" s="88"/>
      <c r="J215" s="88"/>
    </row>
    <row r="216" spans="7:10" ht="15" customHeight="1" x14ac:dyDescent="0.2">
      <c r="G216" s="88"/>
      <c r="H216" s="88"/>
      <c r="I216" s="88"/>
      <c r="J216" s="88"/>
    </row>
    <row r="217" spans="7:10" ht="15" customHeight="1" x14ac:dyDescent="0.2">
      <c r="G217" s="88"/>
      <c r="H217" s="88"/>
      <c r="I217" s="88"/>
      <c r="J217" s="88"/>
    </row>
    <row r="218" spans="7:10" ht="15" customHeight="1" x14ac:dyDescent="0.2">
      <c r="G218" s="88"/>
      <c r="H218" s="88"/>
      <c r="I218" s="88"/>
      <c r="J218" s="88"/>
    </row>
    <row r="219" spans="7:10" ht="15" customHeight="1" x14ac:dyDescent="0.2">
      <c r="G219" s="88"/>
      <c r="H219" s="88"/>
      <c r="I219" s="88"/>
      <c r="J219" s="88"/>
    </row>
    <row r="220" spans="7:10" ht="15" customHeight="1" x14ac:dyDescent="0.2">
      <c r="G220" s="88"/>
      <c r="H220" s="88"/>
      <c r="I220" s="88"/>
      <c r="J220" s="88"/>
    </row>
    <row r="221" spans="7:10" ht="15" customHeight="1" x14ac:dyDescent="0.2">
      <c r="G221" s="88"/>
      <c r="H221" s="88"/>
      <c r="I221" s="88"/>
      <c r="J221" s="88"/>
    </row>
    <row r="222" spans="7:10" ht="15" customHeight="1" x14ac:dyDescent="0.2">
      <c r="G222" s="88"/>
      <c r="H222" s="88"/>
      <c r="I222" s="88"/>
      <c r="J222" s="88"/>
    </row>
    <row r="223" spans="7:10" ht="15" customHeight="1" x14ac:dyDescent="0.2">
      <c r="G223" s="88"/>
      <c r="H223" s="88"/>
      <c r="I223" s="88"/>
      <c r="J223" s="88"/>
    </row>
    <row r="224" spans="7:10" ht="15" customHeight="1" x14ac:dyDescent="0.2">
      <c r="G224" s="88"/>
      <c r="H224" s="88"/>
      <c r="I224" s="88"/>
      <c r="J224" s="88"/>
    </row>
    <row r="225" spans="7:10" ht="15" customHeight="1" x14ac:dyDescent="0.2">
      <c r="G225" s="88"/>
      <c r="H225" s="88"/>
      <c r="I225" s="88"/>
      <c r="J225" s="88"/>
    </row>
    <row r="226" spans="7:10" ht="15" customHeight="1" x14ac:dyDescent="0.2">
      <c r="G226" s="88"/>
      <c r="H226" s="88"/>
      <c r="I226" s="88"/>
      <c r="J226" s="88"/>
    </row>
    <row r="227" spans="7:10" ht="15" customHeight="1" x14ac:dyDescent="0.2">
      <c r="G227" s="88"/>
      <c r="H227" s="88"/>
      <c r="I227" s="88"/>
      <c r="J227" s="88"/>
    </row>
    <row r="228" spans="7:10" ht="15" customHeight="1" x14ac:dyDescent="0.2">
      <c r="G228" s="88"/>
      <c r="H228" s="88"/>
      <c r="I228" s="88"/>
      <c r="J228" s="88"/>
    </row>
    <row r="229" spans="7:10" ht="15" customHeight="1" x14ac:dyDescent="0.2">
      <c r="G229" s="88"/>
      <c r="H229" s="88"/>
      <c r="I229" s="88"/>
      <c r="J229" s="88"/>
    </row>
    <row r="230" spans="7:10" ht="15" customHeight="1" x14ac:dyDescent="0.2">
      <c r="G230" s="88"/>
      <c r="H230" s="88"/>
      <c r="I230" s="88"/>
      <c r="J230" s="88"/>
    </row>
    <row r="231" spans="7:10" ht="15" customHeight="1" x14ac:dyDescent="0.2">
      <c r="G231" s="88"/>
      <c r="H231" s="88"/>
      <c r="I231" s="88"/>
      <c r="J231" s="88"/>
    </row>
    <row r="232" spans="7:10" ht="15" customHeight="1" x14ac:dyDescent="0.2">
      <c r="G232" s="88"/>
      <c r="H232" s="88"/>
      <c r="I232" s="88"/>
      <c r="J232" s="88"/>
    </row>
    <row r="233" spans="7:10" ht="15" customHeight="1" x14ac:dyDescent="0.2">
      <c r="G233" s="88"/>
      <c r="H233" s="88"/>
      <c r="I233" s="88"/>
      <c r="J233" s="88"/>
    </row>
    <row r="234" spans="7:10" ht="15" customHeight="1" x14ac:dyDescent="0.2">
      <c r="G234" s="88"/>
      <c r="H234" s="88"/>
      <c r="I234" s="88"/>
      <c r="J234" s="88"/>
    </row>
    <row r="235" spans="7:10" ht="15" customHeight="1" x14ac:dyDescent="0.2">
      <c r="G235" s="88"/>
      <c r="H235" s="88"/>
      <c r="I235" s="88"/>
      <c r="J235" s="88"/>
    </row>
    <row r="236" spans="7:10" ht="15" customHeight="1" x14ac:dyDescent="0.2">
      <c r="G236" s="88"/>
      <c r="H236" s="88"/>
      <c r="I236" s="88"/>
      <c r="J236" s="88"/>
    </row>
    <row r="237" spans="7:10" ht="15" customHeight="1" x14ac:dyDescent="0.2">
      <c r="G237" s="88"/>
      <c r="H237" s="88"/>
      <c r="I237" s="88"/>
      <c r="J237" s="88"/>
    </row>
    <row r="238" spans="7:10" ht="15" customHeight="1" x14ac:dyDescent="0.2">
      <c r="G238" s="88"/>
      <c r="H238" s="88"/>
      <c r="I238" s="88"/>
      <c r="J238" s="88"/>
    </row>
    <row r="239" spans="7:10" ht="15" customHeight="1" x14ac:dyDescent="0.2">
      <c r="G239" s="88"/>
      <c r="H239" s="88"/>
      <c r="I239" s="88"/>
      <c r="J239" s="88"/>
    </row>
    <row r="240" spans="7:10" ht="15" customHeight="1" x14ac:dyDescent="0.2">
      <c r="G240" s="88"/>
      <c r="H240" s="88"/>
      <c r="I240" s="88"/>
      <c r="J240" s="88"/>
    </row>
    <row r="241" spans="7:10" ht="15" customHeight="1" x14ac:dyDescent="0.2">
      <c r="G241" s="88"/>
      <c r="H241" s="88"/>
      <c r="I241" s="88"/>
      <c r="J241" s="88"/>
    </row>
    <row r="242" spans="7:10" ht="15" customHeight="1" x14ac:dyDescent="0.2">
      <c r="G242" s="88"/>
      <c r="H242" s="88"/>
      <c r="I242" s="88"/>
      <c r="J242" s="88"/>
    </row>
    <row r="243" spans="7:10" ht="15" customHeight="1" x14ac:dyDescent="0.2">
      <c r="G243" s="88"/>
      <c r="H243" s="88"/>
      <c r="I243" s="88"/>
      <c r="J243" s="88"/>
    </row>
    <row r="244" spans="7:10" ht="15" customHeight="1" x14ac:dyDescent="0.2">
      <c r="G244" s="88"/>
      <c r="H244" s="88"/>
      <c r="I244" s="88"/>
      <c r="J244" s="88"/>
    </row>
    <row r="245" spans="7:10" ht="15" customHeight="1" x14ac:dyDescent="0.2">
      <c r="G245" s="88"/>
      <c r="H245" s="88"/>
      <c r="I245" s="88"/>
      <c r="J245" s="88"/>
    </row>
    <row r="246" spans="7:10" ht="15" customHeight="1" x14ac:dyDescent="0.2">
      <c r="G246" s="88"/>
      <c r="H246" s="88"/>
      <c r="I246" s="88"/>
      <c r="J246" s="88"/>
    </row>
    <row r="247" spans="7:10" ht="15" customHeight="1" x14ac:dyDescent="0.2">
      <c r="G247" s="88"/>
      <c r="H247" s="88"/>
      <c r="I247" s="88"/>
      <c r="J247" s="88"/>
    </row>
    <row r="248" spans="7:10" ht="15" customHeight="1" x14ac:dyDescent="0.2">
      <c r="G248" s="88"/>
      <c r="H248" s="88"/>
      <c r="I248" s="88"/>
      <c r="J248" s="88"/>
    </row>
    <row r="249" spans="7:10" ht="15" customHeight="1" x14ac:dyDescent="0.2">
      <c r="G249" s="88"/>
      <c r="H249" s="88"/>
      <c r="I249" s="88"/>
      <c r="J249" s="88"/>
    </row>
    <row r="250" spans="7:10" ht="15" customHeight="1" x14ac:dyDescent="0.2">
      <c r="G250" s="88"/>
      <c r="H250" s="88"/>
      <c r="I250" s="88"/>
      <c r="J250" s="88"/>
    </row>
    <row r="251" spans="7:10" ht="15" customHeight="1" x14ac:dyDescent="0.2">
      <c r="G251" s="88"/>
      <c r="H251" s="88"/>
      <c r="I251" s="88"/>
      <c r="J251" s="88"/>
    </row>
    <row r="252" spans="7:10" ht="15" customHeight="1" x14ac:dyDescent="0.2">
      <c r="G252" s="88"/>
      <c r="H252" s="88"/>
      <c r="I252" s="88"/>
      <c r="J252" s="88"/>
    </row>
    <row r="253" spans="7:10" ht="15" customHeight="1" x14ac:dyDescent="0.2">
      <c r="G253" s="88"/>
      <c r="H253" s="88"/>
      <c r="I253" s="88"/>
      <c r="J253" s="88"/>
    </row>
    <row r="254" spans="7:10" ht="15" customHeight="1" x14ac:dyDescent="0.2">
      <c r="G254" s="88"/>
      <c r="H254" s="88"/>
      <c r="I254" s="88"/>
      <c r="J254" s="88"/>
    </row>
    <row r="255" spans="7:10" ht="15" customHeight="1" x14ac:dyDescent="0.2">
      <c r="G255" s="88"/>
      <c r="H255" s="88"/>
      <c r="I255" s="88"/>
      <c r="J255" s="88"/>
    </row>
    <row r="256" spans="7:10" ht="15" customHeight="1" x14ac:dyDescent="0.2">
      <c r="G256" s="88"/>
      <c r="H256" s="88"/>
      <c r="I256" s="88"/>
      <c r="J256" s="88"/>
    </row>
    <row r="257" spans="7:10" ht="15" customHeight="1" x14ac:dyDescent="0.2">
      <c r="G257" s="88"/>
      <c r="H257" s="88"/>
      <c r="I257" s="88"/>
      <c r="J257" s="88"/>
    </row>
    <row r="258" spans="7:10" ht="15" customHeight="1" x14ac:dyDescent="0.2">
      <c r="G258" s="88"/>
      <c r="H258" s="88"/>
      <c r="I258" s="88"/>
      <c r="J258" s="88"/>
    </row>
    <row r="259" spans="7:10" ht="15" customHeight="1" x14ac:dyDescent="0.2">
      <c r="G259" s="88"/>
      <c r="H259" s="88"/>
      <c r="I259" s="88"/>
      <c r="J259" s="88"/>
    </row>
    <row r="260" spans="7:10" ht="15" customHeight="1" x14ac:dyDescent="0.2">
      <c r="G260" s="88"/>
      <c r="H260" s="88"/>
      <c r="I260" s="88"/>
      <c r="J260" s="88"/>
    </row>
    <row r="261" spans="7:10" ht="15" customHeight="1" x14ac:dyDescent="0.2">
      <c r="G261" s="88"/>
      <c r="H261" s="88"/>
      <c r="I261" s="88"/>
      <c r="J261" s="88"/>
    </row>
    <row r="262" spans="7:10" ht="15" customHeight="1" x14ac:dyDescent="0.2">
      <c r="G262" s="88"/>
      <c r="H262" s="88"/>
      <c r="I262" s="88"/>
      <c r="J262" s="88"/>
    </row>
    <row r="263" spans="7:10" ht="15" customHeight="1" x14ac:dyDescent="0.2">
      <c r="G263" s="88"/>
      <c r="H263" s="88"/>
      <c r="I263" s="88"/>
      <c r="J263" s="88"/>
    </row>
    <row r="264" spans="7:10" ht="15" customHeight="1" x14ac:dyDescent="0.2">
      <c r="G264" s="88"/>
      <c r="H264" s="88"/>
      <c r="I264" s="88"/>
      <c r="J264" s="88"/>
    </row>
    <row r="265" spans="7:10" ht="15" customHeight="1" x14ac:dyDescent="0.2">
      <c r="G265" s="88"/>
      <c r="H265" s="88"/>
      <c r="I265" s="88"/>
      <c r="J265" s="88"/>
    </row>
    <row r="266" spans="7:10" ht="15" customHeight="1" x14ac:dyDescent="0.2">
      <c r="G266" s="88"/>
      <c r="H266" s="88"/>
      <c r="I266" s="88"/>
      <c r="J266" s="88"/>
    </row>
    <row r="267" spans="7:10" ht="15" customHeight="1" x14ac:dyDescent="0.2">
      <c r="G267" s="88"/>
      <c r="H267" s="88"/>
      <c r="I267" s="88"/>
      <c r="J267" s="88"/>
    </row>
    <row r="268" spans="7:10" ht="15" customHeight="1" x14ac:dyDescent="0.2">
      <c r="G268" s="88"/>
      <c r="H268" s="88"/>
      <c r="I268" s="88"/>
      <c r="J268" s="88"/>
    </row>
    <row r="269" spans="7:10" ht="15" customHeight="1" x14ac:dyDescent="0.2">
      <c r="G269" s="88"/>
      <c r="H269" s="88"/>
      <c r="I269" s="88"/>
      <c r="J269" s="88"/>
    </row>
    <row r="270" spans="7:10" ht="15" customHeight="1" x14ac:dyDescent="0.2">
      <c r="G270" s="88"/>
      <c r="H270" s="88"/>
      <c r="I270" s="88"/>
      <c r="J270" s="88"/>
    </row>
    <row r="271" spans="7:10" ht="15" customHeight="1" x14ac:dyDescent="0.2">
      <c r="G271" s="88"/>
      <c r="H271" s="88"/>
      <c r="I271" s="88"/>
      <c r="J271" s="88"/>
    </row>
    <row r="272" spans="7:10" ht="15" customHeight="1" x14ac:dyDescent="0.2">
      <c r="G272" s="88"/>
      <c r="H272" s="88"/>
      <c r="I272" s="88"/>
      <c r="J272" s="88"/>
    </row>
    <row r="273" spans="7:10" ht="15" customHeight="1" x14ac:dyDescent="0.2">
      <c r="G273" s="88"/>
      <c r="H273" s="88"/>
      <c r="I273" s="88"/>
      <c r="J273" s="88"/>
    </row>
    <row r="274" spans="7:10" ht="15" customHeight="1" x14ac:dyDescent="0.2">
      <c r="G274" s="88"/>
      <c r="H274" s="88"/>
      <c r="I274" s="88"/>
      <c r="J274" s="88"/>
    </row>
    <row r="275" spans="7:10" ht="15" customHeight="1" x14ac:dyDescent="0.2">
      <c r="G275" s="88"/>
      <c r="H275" s="88"/>
      <c r="I275" s="88"/>
      <c r="J275" s="88"/>
    </row>
    <row r="276" spans="7:10" ht="15" customHeight="1" x14ac:dyDescent="0.2">
      <c r="G276" s="88"/>
      <c r="H276" s="88"/>
      <c r="I276" s="88"/>
      <c r="J276" s="88"/>
    </row>
    <row r="277" spans="7:10" ht="15" customHeight="1" x14ac:dyDescent="0.2">
      <c r="G277" s="88"/>
      <c r="H277" s="88"/>
      <c r="I277" s="88"/>
      <c r="J277" s="88"/>
    </row>
    <row r="278" spans="7:10" ht="15" customHeight="1" x14ac:dyDescent="0.2">
      <c r="G278" s="88"/>
      <c r="H278" s="88"/>
      <c r="I278" s="88"/>
      <c r="J278" s="88"/>
    </row>
    <row r="279" spans="7:10" ht="15" customHeight="1" x14ac:dyDescent="0.2">
      <c r="G279" s="88"/>
      <c r="H279" s="88"/>
      <c r="I279" s="88"/>
      <c r="J279" s="88"/>
    </row>
    <row r="280" spans="7:10" ht="15" customHeight="1" x14ac:dyDescent="0.2">
      <c r="G280" s="88"/>
      <c r="H280" s="88"/>
      <c r="I280" s="88"/>
      <c r="J280" s="88"/>
    </row>
    <row r="281" spans="7:10" ht="15" customHeight="1" x14ac:dyDescent="0.2">
      <c r="G281" s="88"/>
      <c r="H281" s="88"/>
      <c r="I281" s="88"/>
      <c r="J281" s="88"/>
    </row>
    <row r="282" spans="7:10" ht="15" customHeight="1" x14ac:dyDescent="0.2">
      <c r="G282" s="88"/>
      <c r="H282" s="88"/>
      <c r="I282" s="88"/>
      <c r="J282" s="88"/>
    </row>
    <row r="283" spans="7:10" ht="15" customHeight="1" x14ac:dyDescent="0.2">
      <c r="G283" s="88"/>
      <c r="H283" s="88"/>
      <c r="I283" s="88"/>
      <c r="J283" s="88"/>
    </row>
    <row r="284" spans="7:10" ht="15" customHeight="1" x14ac:dyDescent="0.2">
      <c r="G284" s="88"/>
      <c r="H284" s="88"/>
      <c r="I284" s="88"/>
      <c r="J284" s="88"/>
    </row>
    <row r="285" spans="7:10" ht="15" customHeight="1" x14ac:dyDescent="0.2">
      <c r="G285" s="88"/>
      <c r="H285" s="88"/>
      <c r="I285" s="88"/>
      <c r="J285" s="88"/>
    </row>
    <row r="286" spans="7:10" ht="15" customHeight="1" x14ac:dyDescent="0.2">
      <c r="G286" s="88"/>
      <c r="H286" s="88"/>
      <c r="I286" s="88"/>
      <c r="J286" s="88"/>
    </row>
    <row r="287" spans="7:10" ht="15" customHeight="1" x14ac:dyDescent="0.2">
      <c r="G287" s="88"/>
      <c r="H287" s="88"/>
      <c r="I287" s="88"/>
      <c r="J287" s="88"/>
    </row>
    <row r="288" spans="7:10" ht="15" customHeight="1" x14ac:dyDescent="0.2">
      <c r="G288" s="88"/>
      <c r="H288" s="88"/>
      <c r="I288" s="88"/>
      <c r="J288" s="88"/>
    </row>
    <row r="289" spans="7:10" ht="15" customHeight="1" x14ac:dyDescent="0.2">
      <c r="G289" s="88"/>
      <c r="H289" s="88"/>
      <c r="I289" s="88"/>
      <c r="J289" s="88"/>
    </row>
    <row r="290" spans="7:10" ht="15" customHeight="1" x14ac:dyDescent="0.2">
      <c r="G290" s="88"/>
      <c r="H290" s="88"/>
      <c r="I290" s="88"/>
      <c r="J290" s="88"/>
    </row>
    <row r="291" spans="7:10" ht="15" customHeight="1" x14ac:dyDescent="0.2">
      <c r="G291" s="88"/>
      <c r="H291" s="88"/>
      <c r="I291" s="88"/>
      <c r="J291" s="88"/>
    </row>
    <row r="292" spans="7:10" ht="15" customHeight="1" x14ac:dyDescent="0.2">
      <c r="G292" s="88"/>
      <c r="H292" s="88"/>
      <c r="I292" s="88"/>
      <c r="J292" s="88"/>
    </row>
    <row r="293" spans="7:10" ht="15" customHeight="1" x14ac:dyDescent="0.2">
      <c r="G293" s="88"/>
      <c r="H293" s="88"/>
      <c r="I293" s="88"/>
      <c r="J293" s="88"/>
    </row>
    <row r="294" spans="7:10" ht="15" customHeight="1" x14ac:dyDescent="0.2">
      <c r="G294" s="88"/>
      <c r="H294" s="88"/>
      <c r="I294" s="88"/>
      <c r="J294" s="88"/>
    </row>
    <row r="295" spans="7:10" ht="15" customHeight="1" x14ac:dyDescent="0.2">
      <c r="G295" s="88"/>
      <c r="H295" s="88"/>
      <c r="I295" s="88"/>
      <c r="J295" s="88"/>
    </row>
    <row r="296" spans="7:10" ht="15" customHeight="1" x14ac:dyDescent="0.2">
      <c r="G296" s="88"/>
      <c r="H296" s="88"/>
      <c r="I296" s="88"/>
      <c r="J296" s="88"/>
    </row>
    <row r="297" spans="7:10" ht="15" customHeight="1" x14ac:dyDescent="0.2">
      <c r="G297" s="88"/>
      <c r="H297" s="88"/>
      <c r="I297" s="88"/>
      <c r="J297" s="88"/>
    </row>
    <row r="298" spans="7:10" ht="15" customHeight="1" x14ac:dyDescent="0.2">
      <c r="G298" s="88"/>
      <c r="H298" s="88"/>
      <c r="I298" s="88"/>
      <c r="J298" s="88"/>
    </row>
    <row r="299" spans="7:10" ht="15" customHeight="1" x14ac:dyDescent="0.2">
      <c r="G299" s="88"/>
      <c r="H299" s="88"/>
      <c r="I299" s="88"/>
      <c r="J299" s="88"/>
    </row>
    <row r="300" spans="7:10" ht="15" customHeight="1" x14ac:dyDescent="0.2">
      <c r="G300" s="88"/>
      <c r="H300" s="88"/>
      <c r="I300" s="88"/>
      <c r="J300" s="88"/>
    </row>
    <row r="301" spans="7:10" ht="15" customHeight="1" x14ac:dyDescent="0.2">
      <c r="G301" s="88"/>
      <c r="H301" s="88"/>
      <c r="I301" s="88"/>
      <c r="J301" s="88"/>
    </row>
    <row r="302" spans="7:10" ht="15" customHeight="1" x14ac:dyDescent="0.2">
      <c r="G302" s="88"/>
      <c r="H302" s="88"/>
      <c r="I302" s="88"/>
      <c r="J302" s="88"/>
    </row>
    <row r="303" spans="7:10" ht="15" customHeight="1" x14ac:dyDescent="0.2">
      <c r="G303" s="88"/>
      <c r="H303" s="88"/>
      <c r="I303" s="88"/>
      <c r="J303" s="88"/>
    </row>
    <row r="304" spans="7:10" ht="15" customHeight="1" x14ac:dyDescent="0.2">
      <c r="G304" s="88"/>
      <c r="H304" s="88"/>
      <c r="I304" s="88"/>
      <c r="J304" s="88"/>
    </row>
    <row r="305" spans="7:10" ht="15" customHeight="1" x14ac:dyDescent="0.2">
      <c r="G305" s="88"/>
      <c r="H305" s="88"/>
      <c r="I305" s="88"/>
      <c r="J305" s="88"/>
    </row>
    <row r="306" spans="7:10" ht="15" customHeight="1" x14ac:dyDescent="0.2">
      <c r="G306" s="88"/>
      <c r="H306" s="88"/>
      <c r="I306" s="88"/>
      <c r="J306" s="88"/>
    </row>
    <row r="307" spans="7:10" ht="15" customHeight="1" x14ac:dyDescent="0.2">
      <c r="G307" s="88"/>
      <c r="H307" s="88"/>
      <c r="I307" s="88"/>
      <c r="J307" s="88"/>
    </row>
    <row r="308" spans="7:10" ht="15" customHeight="1" x14ac:dyDescent="0.2">
      <c r="G308" s="88"/>
      <c r="H308" s="88"/>
      <c r="I308" s="88"/>
      <c r="J308" s="88"/>
    </row>
    <row r="309" spans="7:10" ht="15" customHeight="1" x14ac:dyDescent="0.2">
      <c r="G309" s="88"/>
      <c r="H309" s="88"/>
      <c r="I309" s="88"/>
      <c r="J309" s="88"/>
    </row>
    <row r="310" spans="7:10" ht="15" customHeight="1" x14ac:dyDescent="0.2">
      <c r="G310" s="88"/>
      <c r="H310" s="88"/>
      <c r="I310" s="88"/>
      <c r="J310" s="88"/>
    </row>
    <row r="311" spans="7:10" ht="15" customHeight="1" x14ac:dyDescent="0.2">
      <c r="G311" s="88"/>
      <c r="H311" s="88"/>
      <c r="I311" s="88"/>
      <c r="J311" s="88"/>
    </row>
    <row r="312" spans="7:10" ht="15" customHeight="1" x14ac:dyDescent="0.2">
      <c r="G312" s="88"/>
      <c r="H312" s="88"/>
      <c r="I312" s="88"/>
      <c r="J312" s="88"/>
    </row>
    <row r="313" spans="7:10" ht="15" customHeight="1" x14ac:dyDescent="0.2">
      <c r="G313" s="88"/>
      <c r="H313" s="88"/>
      <c r="I313" s="88"/>
      <c r="J313" s="88"/>
    </row>
    <row r="314" spans="7:10" ht="15" customHeight="1" x14ac:dyDescent="0.2">
      <c r="G314" s="88"/>
      <c r="H314" s="88"/>
      <c r="I314" s="88"/>
      <c r="J314" s="88"/>
    </row>
    <row r="315" spans="7:10" ht="15" customHeight="1" x14ac:dyDescent="0.2">
      <c r="G315" s="88"/>
      <c r="H315" s="88"/>
      <c r="I315" s="88"/>
      <c r="J315" s="88"/>
    </row>
    <row r="316" spans="7:10" ht="15" customHeight="1" x14ac:dyDescent="0.2">
      <c r="G316" s="88"/>
      <c r="H316" s="88"/>
      <c r="I316" s="88"/>
      <c r="J316" s="88"/>
    </row>
    <row r="317" spans="7:10" ht="15" customHeight="1" x14ac:dyDescent="0.2">
      <c r="G317" s="88"/>
      <c r="H317" s="88"/>
      <c r="I317" s="88"/>
      <c r="J317" s="88"/>
    </row>
    <row r="318" spans="7:10" ht="15" customHeight="1" x14ac:dyDescent="0.2">
      <c r="G318" s="88"/>
      <c r="H318" s="88"/>
      <c r="I318" s="88"/>
      <c r="J318" s="88"/>
    </row>
    <row r="319" spans="7:10" ht="15" customHeight="1" x14ac:dyDescent="0.2">
      <c r="G319" s="88"/>
      <c r="H319" s="88"/>
      <c r="I319" s="88"/>
      <c r="J319" s="88"/>
    </row>
    <row r="320" spans="7:10" ht="15" customHeight="1" x14ac:dyDescent="0.2">
      <c r="G320" s="88"/>
      <c r="H320" s="88"/>
      <c r="I320" s="88"/>
      <c r="J320" s="88"/>
    </row>
    <row r="321" spans="7:10" ht="15" customHeight="1" x14ac:dyDescent="0.2">
      <c r="G321" s="88"/>
      <c r="H321" s="88"/>
      <c r="I321" s="88"/>
      <c r="J321" s="88"/>
    </row>
    <row r="322" spans="7:10" ht="15" customHeight="1" x14ac:dyDescent="0.2">
      <c r="G322" s="88"/>
      <c r="H322" s="88"/>
      <c r="I322" s="88"/>
      <c r="J322" s="88"/>
    </row>
    <row r="323" spans="7:10" ht="15" customHeight="1" x14ac:dyDescent="0.2">
      <c r="G323" s="88"/>
      <c r="H323" s="88"/>
      <c r="I323" s="88"/>
      <c r="J323" s="88"/>
    </row>
    <row r="324" spans="7:10" ht="15" customHeight="1" x14ac:dyDescent="0.2">
      <c r="G324" s="88"/>
      <c r="H324" s="88"/>
      <c r="I324" s="88"/>
      <c r="J324" s="88"/>
    </row>
    <row r="325" spans="7:10" ht="15" customHeight="1" x14ac:dyDescent="0.2">
      <c r="G325" s="88"/>
      <c r="H325" s="88"/>
      <c r="I325" s="88"/>
      <c r="J325" s="88"/>
    </row>
    <row r="326" spans="7:10" ht="15" customHeight="1" x14ac:dyDescent="0.2">
      <c r="G326" s="88"/>
      <c r="H326" s="88"/>
      <c r="I326" s="88"/>
      <c r="J326" s="88"/>
    </row>
    <row r="327" spans="7:10" ht="15" customHeight="1" x14ac:dyDescent="0.2">
      <c r="G327" s="88"/>
      <c r="H327" s="88"/>
      <c r="I327" s="88"/>
      <c r="J327" s="88"/>
    </row>
    <row r="328" spans="7:10" ht="15" customHeight="1" x14ac:dyDescent="0.2">
      <c r="G328" s="88"/>
      <c r="H328" s="88"/>
      <c r="I328" s="88"/>
      <c r="J328" s="88"/>
    </row>
    <row r="329" spans="7:10" ht="15" customHeight="1" x14ac:dyDescent="0.2">
      <c r="G329" s="88"/>
      <c r="H329" s="88"/>
      <c r="I329" s="88"/>
      <c r="J329" s="88"/>
    </row>
    <row r="330" spans="7:10" ht="15" customHeight="1" x14ac:dyDescent="0.2">
      <c r="G330" s="88"/>
      <c r="H330" s="88"/>
      <c r="I330" s="88"/>
      <c r="J330" s="88"/>
    </row>
    <row r="331" spans="7:10" ht="15" customHeight="1" x14ac:dyDescent="0.2">
      <c r="G331" s="88"/>
      <c r="H331" s="88"/>
      <c r="I331" s="88"/>
      <c r="J331" s="88"/>
    </row>
    <row r="332" spans="7:10" ht="15" customHeight="1" x14ac:dyDescent="0.2">
      <c r="G332" s="88"/>
      <c r="H332" s="88"/>
      <c r="I332" s="88"/>
      <c r="J332" s="88"/>
    </row>
    <row r="333" spans="7:10" ht="15" customHeight="1" x14ac:dyDescent="0.2">
      <c r="G333" s="88"/>
      <c r="H333" s="88"/>
      <c r="I333" s="88"/>
      <c r="J333" s="88"/>
    </row>
    <row r="334" spans="7:10" ht="15" customHeight="1" x14ac:dyDescent="0.2">
      <c r="G334" s="88"/>
      <c r="H334" s="88"/>
      <c r="I334" s="88"/>
      <c r="J334" s="88"/>
    </row>
    <row r="335" spans="7:10" ht="15" customHeight="1" x14ac:dyDescent="0.2">
      <c r="G335" s="88"/>
      <c r="H335" s="88"/>
      <c r="I335" s="88"/>
      <c r="J335" s="88"/>
    </row>
    <row r="336" spans="7:10" ht="15" customHeight="1" x14ac:dyDescent="0.2">
      <c r="G336" s="88"/>
      <c r="H336" s="88"/>
      <c r="I336" s="88"/>
      <c r="J336" s="88"/>
    </row>
    <row r="337" spans="7:10" ht="15" customHeight="1" x14ac:dyDescent="0.2">
      <c r="G337" s="88"/>
      <c r="H337" s="88"/>
      <c r="I337" s="88"/>
      <c r="J337" s="88"/>
    </row>
    <row r="338" spans="7:10" ht="15" customHeight="1" x14ac:dyDescent="0.2">
      <c r="G338" s="88"/>
      <c r="H338" s="88"/>
      <c r="I338" s="88"/>
      <c r="J338" s="88"/>
    </row>
    <row r="339" spans="7:10" ht="15" customHeight="1" x14ac:dyDescent="0.2">
      <c r="G339" s="88"/>
      <c r="H339" s="88"/>
      <c r="I339" s="88"/>
      <c r="J339" s="88"/>
    </row>
    <row r="340" spans="7:10" ht="15" customHeight="1" x14ac:dyDescent="0.2">
      <c r="G340" s="88"/>
      <c r="H340" s="88"/>
      <c r="I340" s="88"/>
      <c r="J340" s="88"/>
    </row>
    <row r="341" spans="7:10" ht="15" customHeight="1" x14ac:dyDescent="0.2">
      <c r="G341" s="88"/>
      <c r="H341" s="88"/>
      <c r="I341" s="88"/>
      <c r="J341" s="88"/>
    </row>
    <row r="342" spans="7:10" ht="15" customHeight="1" x14ac:dyDescent="0.2">
      <c r="G342" s="88"/>
      <c r="H342" s="88"/>
      <c r="I342" s="88"/>
      <c r="J342" s="88"/>
    </row>
    <row r="343" spans="7:10" ht="15" customHeight="1" x14ac:dyDescent="0.2">
      <c r="G343" s="88"/>
      <c r="H343" s="88"/>
      <c r="I343" s="88"/>
      <c r="J343" s="88"/>
    </row>
    <row r="344" spans="7:10" ht="15" customHeight="1" x14ac:dyDescent="0.2">
      <c r="G344" s="88"/>
      <c r="H344" s="88"/>
      <c r="I344" s="88"/>
      <c r="J344" s="88"/>
    </row>
    <row r="345" spans="7:10" ht="15" customHeight="1" x14ac:dyDescent="0.2">
      <c r="G345" s="88"/>
      <c r="H345" s="88"/>
      <c r="I345" s="88"/>
      <c r="J345" s="88"/>
    </row>
    <row r="346" spans="7:10" ht="15" customHeight="1" x14ac:dyDescent="0.2">
      <c r="G346" s="88"/>
      <c r="H346" s="88"/>
      <c r="I346" s="88"/>
      <c r="J346" s="88"/>
    </row>
    <row r="347" spans="7:10" ht="15" customHeight="1" x14ac:dyDescent="0.2">
      <c r="G347" s="88"/>
      <c r="H347" s="88"/>
      <c r="I347" s="88"/>
      <c r="J347" s="88"/>
    </row>
    <row r="348" spans="7:10" ht="15" customHeight="1" x14ac:dyDescent="0.2">
      <c r="G348" s="88"/>
      <c r="H348" s="88"/>
      <c r="I348" s="88"/>
      <c r="J348" s="88"/>
    </row>
    <row r="349" spans="7:10" ht="15" customHeight="1" x14ac:dyDescent="0.2">
      <c r="G349" s="88"/>
      <c r="H349" s="88"/>
      <c r="I349" s="88"/>
      <c r="J349" s="88"/>
    </row>
    <row r="350" spans="7:10" ht="15" customHeight="1" x14ac:dyDescent="0.2">
      <c r="G350" s="88"/>
      <c r="H350" s="88"/>
      <c r="I350" s="88"/>
      <c r="J350" s="88"/>
    </row>
    <row r="351" spans="7:10" ht="15" customHeight="1" x14ac:dyDescent="0.2">
      <c r="G351" s="88"/>
      <c r="H351" s="88"/>
      <c r="I351" s="88"/>
      <c r="J351" s="88"/>
    </row>
    <row r="352" spans="7:10" ht="15" customHeight="1" x14ac:dyDescent="0.2">
      <c r="G352" s="88"/>
      <c r="H352" s="88"/>
      <c r="I352" s="88"/>
      <c r="J352" s="88"/>
    </row>
    <row r="353" spans="7:10" ht="15" customHeight="1" x14ac:dyDescent="0.2">
      <c r="G353" s="88"/>
      <c r="H353" s="88"/>
      <c r="I353" s="88"/>
      <c r="J353" s="88"/>
    </row>
    <row r="354" spans="7:10" ht="15" customHeight="1" x14ac:dyDescent="0.2">
      <c r="G354" s="88"/>
      <c r="H354" s="88"/>
      <c r="I354" s="88"/>
      <c r="J354" s="88"/>
    </row>
    <row r="355" spans="7:10" ht="15" customHeight="1" x14ac:dyDescent="0.2">
      <c r="G355" s="88"/>
      <c r="H355" s="88"/>
      <c r="I355" s="88"/>
      <c r="J355" s="88"/>
    </row>
    <row r="356" spans="7:10" ht="15" customHeight="1" x14ac:dyDescent="0.2">
      <c r="G356" s="88"/>
      <c r="H356" s="88"/>
      <c r="I356" s="88"/>
      <c r="J356" s="88"/>
    </row>
    <row r="357" spans="7:10" ht="15" customHeight="1" x14ac:dyDescent="0.2">
      <c r="G357" s="88"/>
      <c r="H357" s="88"/>
      <c r="I357" s="88"/>
      <c r="J357" s="88"/>
    </row>
    <row r="358" spans="7:10" ht="15" customHeight="1" x14ac:dyDescent="0.2">
      <c r="G358" s="88"/>
      <c r="H358" s="88"/>
      <c r="I358" s="88"/>
      <c r="J358" s="88"/>
    </row>
    <row r="359" spans="7:10" ht="15" customHeight="1" x14ac:dyDescent="0.2">
      <c r="G359" s="88"/>
      <c r="H359" s="88"/>
      <c r="I359" s="88"/>
      <c r="J359" s="88"/>
    </row>
    <row r="360" spans="7:10" ht="15" customHeight="1" x14ac:dyDescent="0.2">
      <c r="G360" s="88"/>
      <c r="H360" s="88"/>
      <c r="I360" s="88"/>
      <c r="J360" s="88"/>
    </row>
    <row r="361" spans="7:10" ht="15" customHeight="1" x14ac:dyDescent="0.2">
      <c r="G361" s="88"/>
      <c r="H361" s="88"/>
      <c r="I361" s="88"/>
      <c r="J361" s="88"/>
    </row>
    <row r="362" spans="7:10" ht="15" customHeight="1" x14ac:dyDescent="0.2">
      <c r="G362" s="88"/>
      <c r="H362" s="88"/>
      <c r="I362" s="88"/>
      <c r="J362" s="88"/>
    </row>
    <row r="363" spans="7:10" ht="15" customHeight="1" x14ac:dyDescent="0.2">
      <c r="G363" s="88"/>
      <c r="H363" s="88"/>
      <c r="I363" s="88"/>
      <c r="J363" s="88"/>
    </row>
    <row r="364" spans="7:10" ht="15" customHeight="1" x14ac:dyDescent="0.2">
      <c r="G364" s="88"/>
      <c r="H364" s="88"/>
      <c r="I364" s="88"/>
      <c r="J364" s="88"/>
    </row>
    <row r="365" spans="7:10" ht="15" customHeight="1" x14ac:dyDescent="0.2">
      <c r="G365" s="88"/>
      <c r="H365" s="88"/>
      <c r="I365" s="88"/>
      <c r="J365" s="88"/>
    </row>
    <row r="366" spans="7:10" ht="15" customHeight="1" x14ac:dyDescent="0.2">
      <c r="G366" s="88"/>
      <c r="H366" s="88"/>
      <c r="I366" s="88"/>
      <c r="J366" s="88"/>
    </row>
    <row r="367" spans="7:10" ht="15" customHeight="1" x14ac:dyDescent="0.2">
      <c r="G367" s="88"/>
      <c r="H367" s="88"/>
      <c r="I367" s="88"/>
      <c r="J367" s="88"/>
    </row>
    <row r="368" spans="7:10" ht="15" customHeight="1" x14ac:dyDescent="0.2">
      <c r="G368" s="88"/>
      <c r="H368" s="88"/>
      <c r="I368" s="88"/>
      <c r="J368" s="88"/>
    </row>
    <row r="369" spans="7:10" ht="15" customHeight="1" x14ac:dyDescent="0.2">
      <c r="G369" s="88"/>
      <c r="H369" s="88"/>
      <c r="I369" s="88"/>
      <c r="J369" s="88"/>
    </row>
    <row r="370" spans="7:10" ht="15" customHeight="1" x14ac:dyDescent="0.2">
      <c r="G370" s="88"/>
      <c r="H370" s="88"/>
      <c r="I370" s="88"/>
      <c r="J370" s="88"/>
    </row>
    <row r="371" spans="7:10" ht="15" customHeight="1" x14ac:dyDescent="0.2">
      <c r="G371" s="88"/>
      <c r="H371" s="88"/>
      <c r="I371" s="88"/>
      <c r="J371" s="88"/>
    </row>
    <row r="372" spans="7:10" ht="15" customHeight="1" x14ac:dyDescent="0.2">
      <c r="G372" s="88"/>
      <c r="H372" s="88"/>
      <c r="I372" s="88"/>
      <c r="J372" s="88"/>
    </row>
    <row r="373" spans="7:10" ht="15" customHeight="1" x14ac:dyDescent="0.2">
      <c r="G373" s="88"/>
      <c r="H373" s="88"/>
      <c r="I373" s="88"/>
      <c r="J373" s="88"/>
    </row>
    <row r="374" spans="7:10" ht="15" customHeight="1" x14ac:dyDescent="0.2">
      <c r="G374" s="88"/>
      <c r="H374" s="88"/>
      <c r="I374" s="88"/>
      <c r="J374" s="88"/>
    </row>
    <row r="375" spans="7:10" ht="15" customHeight="1" x14ac:dyDescent="0.2">
      <c r="G375" s="88"/>
      <c r="H375" s="88"/>
      <c r="I375" s="88"/>
      <c r="J375" s="88"/>
    </row>
    <row r="376" spans="7:10" ht="15" customHeight="1" x14ac:dyDescent="0.2">
      <c r="G376" s="88"/>
      <c r="H376" s="88"/>
      <c r="I376" s="88"/>
      <c r="J376" s="88"/>
    </row>
    <row r="377" spans="7:10" ht="15" customHeight="1" x14ac:dyDescent="0.2">
      <c r="G377" s="88"/>
      <c r="H377" s="88"/>
      <c r="I377" s="88"/>
      <c r="J377" s="88"/>
    </row>
    <row r="378" spans="7:10" ht="15" customHeight="1" x14ac:dyDescent="0.2">
      <c r="G378" s="88"/>
      <c r="H378" s="88"/>
      <c r="I378" s="88"/>
      <c r="J378" s="88"/>
    </row>
    <row r="379" spans="7:10" ht="15" customHeight="1" x14ac:dyDescent="0.2">
      <c r="G379" s="88"/>
      <c r="H379" s="88"/>
      <c r="I379" s="88"/>
      <c r="J379" s="88"/>
    </row>
    <row r="380" spans="7:10" ht="15" customHeight="1" x14ac:dyDescent="0.2">
      <c r="G380" s="88"/>
      <c r="H380" s="88"/>
      <c r="I380" s="88"/>
      <c r="J380" s="88"/>
    </row>
    <row r="381" spans="7:10" ht="15" customHeight="1" x14ac:dyDescent="0.2">
      <c r="G381" s="88"/>
      <c r="H381" s="88"/>
      <c r="I381" s="88"/>
      <c r="J381" s="88"/>
    </row>
    <row r="382" spans="7:10" ht="15" customHeight="1" x14ac:dyDescent="0.2">
      <c r="G382" s="88"/>
      <c r="H382" s="88"/>
      <c r="I382" s="88"/>
      <c r="J382" s="88"/>
    </row>
    <row r="383" spans="7:10" ht="15" customHeight="1" x14ac:dyDescent="0.2">
      <c r="G383" s="88"/>
      <c r="H383" s="88"/>
      <c r="I383" s="88"/>
      <c r="J383" s="88"/>
    </row>
    <row r="384" spans="7:10" ht="15" customHeight="1" x14ac:dyDescent="0.2">
      <c r="G384" s="88"/>
      <c r="H384" s="88"/>
      <c r="I384" s="88"/>
      <c r="J384" s="88"/>
    </row>
    <row r="385" spans="7:10" ht="15" customHeight="1" x14ac:dyDescent="0.2">
      <c r="G385" s="88"/>
      <c r="H385" s="88"/>
      <c r="I385" s="88"/>
      <c r="J385" s="88"/>
    </row>
    <row r="386" spans="7:10" ht="15" customHeight="1" x14ac:dyDescent="0.2">
      <c r="G386" s="88"/>
      <c r="H386" s="88"/>
      <c r="I386" s="88"/>
      <c r="J386" s="88"/>
    </row>
    <row r="387" spans="7:10" ht="15" customHeight="1" x14ac:dyDescent="0.2">
      <c r="G387" s="88"/>
      <c r="H387" s="88"/>
      <c r="I387" s="88"/>
      <c r="J387" s="88"/>
    </row>
    <row r="388" spans="7:10" ht="15" customHeight="1" x14ac:dyDescent="0.2">
      <c r="G388" s="88"/>
      <c r="H388" s="88"/>
      <c r="I388" s="88"/>
      <c r="J388" s="88"/>
    </row>
    <row r="389" spans="7:10" ht="15" customHeight="1" x14ac:dyDescent="0.2">
      <c r="G389" s="88"/>
      <c r="H389" s="88"/>
      <c r="I389" s="88"/>
      <c r="J389" s="88"/>
    </row>
    <row r="390" spans="7:10" ht="15" customHeight="1" x14ac:dyDescent="0.2">
      <c r="G390" s="88"/>
      <c r="H390" s="88"/>
      <c r="I390" s="88"/>
      <c r="J390" s="88"/>
    </row>
    <row r="391" spans="7:10" ht="15" customHeight="1" x14ac:dyDescent="0.2">
      <c r="G391" s="88"/>
      <c r="H391" s="88"/>
      <c r="I391" s="88"/>
      <c r="J391" s="88"/>
    </row>
    <row r="392" spans="7:10" ht="15" customHeight="1" x14ac:dyDescent="0.2">
      <c r="G392" s="88"/>
      <c r="H392" s="88"/>
      <c r="I392" s="88"/>
      <c r="J392" s="88"/>
    </row>
    <row r="393" spans="7:10" ht="15" customHeight="1" x14ac:dyDescent="0.2">
      <c r="G393" s="88"/>
      <c r="H393" s="88"/>
      <c r="I393" s="88"/>
      <c r="J393" s="88"/>
    </row>
    <row r="394" spans="7:10" ht="15" customHeight="1" x14ac:dyDescent="0.2">
      <c r="G394" s="88"/>
      <c r="H394" s="88"/>
      <c r="I394" s="88"/>
      <c r="J394" s="88"/>
    </row>
    <row r="395" spans="7:10" ht="15" customHeight="1" x14ac:dyDescent="0.2">
      <c r="G395" s="88"/>
      <c r="H395" s="88"/>
      <c r="I395" s="88"/>
      <c r="J395" s="88"/>
    </row>
    <row r="396" spans="7:10" ht="15" customHeight="1" x14ac:dyDescent="0.2">
      <c r="G396" s="88"/>
      <c r="H396" s="88"/>
      <c r="I396" s="88"/>
      <c r="J396" s="88"/>
    </row>
    <row r="397" spans="7:10" ht="15" customHeight="1" x14ac:dyDescent="0.2">
      <c r="G397" s="88"/>
      <c r="H397" s="88"/>
      <c r="I397" s="88"/>
      <c r="J397" s="88"/>
    </row>
    <row r="398" spans="7:10" ht="15" customHeight="1" x14ac:dyDescent="0.2">
      <c r="G398" s="88"/>
      <c r="H398" s="88"/>
      <c r="I398" s="88"/>
      <c r="J398" s="88"/>
    </row>
    <row r="399" spans="7:10" ht="15" customHeight="1" x14ac:dyDescent="0.2">
      <c r="G399" s="88"/>
      <c r="H399" s="88"/>
      <c r="I399" s="88"/>
      <c r="J399" s="88"/>
    </row>
    <row r="400" spans="7:10" ht="15" customHeight="1" x14ac:dyDescent="0.2">
      <c r="G400" s="88"/>
      <c r="H400" s="88"/>
      <c r="I400" s="88"/>
      <c r="J400" s="88"/>
    </row>
    <row r="401" spans="7:10" ht="15" customHeight="1" x14ac:dyDescent="0.2">
      <c r="G401" s="88"/>
      <c r="H401" s="88"/>
      <c r="I401" s="88"/>
      <c r="J401" s="88"/>
    </row>
    <row r="402" spans="7:10" ht="15" customHeight="1" x14ac:dyDescent="0.2">
      <c r="G402" s="88"/>
      <c r="H402" s="88"/>
      <c r="I402" s="88"/>
      <c r="J402" s="88"/>
    </row>
    <row r="403" spans="7:10" ht="15" customHeight="1" x14ac:dyDescent="0.2">
      <c r="G403" s="88"/>
      <c r="H403" s="88"/>
      <c r="I403" s="88"/>
      <c r="J403" s="88"/>
    </row>
    <row r="404" spans="7:10" ht="15" customHeight="1" x14ac:dyDescent="0.2">
      <c r="G404" s="88"/>
      <c r="H404" s="88"/>
      <c r="I404" s="88"/>
      <c r="J404" s="88"/>
    </row>
    <row r="405" spans="7:10" ht="15" customHeight="1" x14ac:dyDescent="0.2">
      <c r="G405" s="88"/>
      <c r="H405" s="88"/>
      <c r="I405" s="88"/>
      <c r="J405" s="88"/>
    </row>
    <row r="406" spans="7:10" ht="15" customHeight="1" x14ac:dyDescent="0.2">
      <c r="G406" s="88"/>
      <c r="H406" s="88"/>
      <c r="I406" s="88"/>
      <c r="J406" s="88"/>
    </row>
    <row r="407" spans="7:10" ht="15" customHeight="1" x14ac:dyDescent="0.2">
      <c r="G407" s="88"/>
      <c r="H407" s="88"/>
      <c r="I407" s="88"/>
      <c r="J407" s="88"/>
    </row>
    <row r="408" spans="7:10" ht="15" customHeight="1" x14ac:dyDescent="0.2">
      <c r="G408" s="88"/>
      <c r="H408" s="88"/>
      <c r="I408" s="88"/>
      <c r="J408" s="88"/>
    </row>
    <row r="409" spans="7:10" ht="15" customHeight="1" x14ac:dyDescent="0.2">
      <c r="G409" s="88"/>
      <c r="H409" s="88"/>
      <c r="I409" s="88"/>
      <c r="J409" s="88"/>
    </row>
    <row r="410" spans="7:10" ht="15" customHeight="1" x14ac:dyDescent="0.2">
      <c r="G410" s="88"/>
      <c r="H410" s="88"/>
      <c r="I410" s="88"/>
      <c r="J410" s="88"/>
    </row>
    <row r="411" spans="7:10" ht="15" customHeight="1" x14ac:dyDescent="0.2">
      <c r="G411" s="88"/>
      <c r="H411" s="88"/>
      <c r="I411" s="88"/>
      <c r="J411" s="88"/>
    </row>
    <row r="412" spans="7:10" ht="15" customHeight="1" x14ac:dyDescent="0.2">
      <c r="G412" s="88"/>
      <c r="H412" s="88"/>
      <c r="I412" s="88"/>
      <c r="J412" s="88"/>
    </row>
    <row r="413" spans="7:10" ht="15" customHeight="1" x14ac:dyDescent="0.2">
      <c r="G413" s="88"/>
      <c r="H413" s="88"/>
      <c r="I413" s="88"/>
      <c r="J413" s="88"/>
    </row>
    <row r="414" spans="7:10" ht="15" customHeight="1" x14ac:dyDescent="0.2">
      <c r="G414" s="88"/>
      <c r="H414" s="88"/>
      <c r="I414" s="88"/>
      <c r="J414" s="88"/>
    </row>
    <row r="415" spans="7:10" ht="15" customHeight="1" x14ac:dyDescent="0.2">
      <c r="G415" s="88"/>
      <c r="H415" s="88"/>
      <c r="I415" s="88"/>
      <c r="J415" s="88"/>
    </row>
    <row r="416" spans="7:10" ht="15" customHeight="1" x14ac:dyDescent="0.2">
      <c r="G416" s="88"/>
      <c r="H416" s="88"/>
      <c r="I416" s="88"/>
      <c r="J416" s="88"/>
    </row>
    <row r="417" spans="7:10" ht="15" customHeight="1" x14ac:dyDescent="0.2">
      <c r="G417" s="88"/>
      <c r="H417" s="88"/>
      <c r="I417" s="88"/>
      <c r="J417" s="88"/>
    </row>
    <row r="418" spans="7:10" ht="15" customHeight="1" x14ac:dyDescent="0.2">
      <c r="G418" s="88"/>
      <c r="H418" s="88"/>
      <c r="I418" s="88"/>
      <c r="J418" s="88"/>
    </row>
    <row r="419" spans="7:10" ht="15" customHeight="1" x14ac:dyDescent="0.2">
      <c r="G419" s="88"/>
      <c r="H419" s="88"/>
      <c r="I419" s="88"/>
      <c r="J419" s="88"/>
    </row>
    <row r="420" spans="7:10" ht="15" customHeight="1" x14ac:dyDescent="0.2">
      <c r="G420" s="88"/>
      <c r="H420" s="88"/>
      <c r="I420" s="88"/>
      <c r="J420" s="88"/>
    </row>
    <row r="421" spans="7:10" ht="15" customHeight="1" x14ac:dyDescent="0.2">
      <c r="G421" s="88"/>
      <c r="H421" s="88"/>
      <c r="I421" s="88"/>
      <c r="J421" s="88"/>
    </row>
    <row r="422" spans="7:10" ht="15" customHeight="1" x14ac:dyDescent="0.2">
      <c r="G422" s="88"/>
      <c r="H422" s="88"/>
      <c r="I422" s="88"/>
      <c r="J422" s="88"/>
    </row>
    <row r="423" spans="7:10" ht="15" customHeight="1" x14ac:dyDescent="0.2">
      <c r="G423" s="88"/>
      <c r="H423" s="88"/>
      <c r="I423" s="88"/>
      <c r="J423" s="88"/>
    </row>
    <row r="424" spans="7:10" ht="15" customHeight="1" x14ac:dyDescent="0.2">
      <c r="G424" s="88"/>
      <c r="H424" s="88"/>
      <c r="I424" s="88"/>
      <c r="J424" s="88"/>
    </row>
    <row r="425" spans="7:10" ht="15" customHeight="1" x14ac:dyDescent="0.2">
      <c r="G425" s="88"/>
      <c r="H425" s="88"/>
      <c r="I425" s="88"/>
      <c r="J425" s="88"/>
    </row>
    <row r="426" spans="7:10" ht="15" customHeight="1" x14ac:dyDescent="0.2">
      <c r="G426" s="88"/>
      <c r="H426" s="88"/>
      <c r="I426" s="88"/>
      <c r="J426" s="88"/>
    </row>
    <row r="427" spans="7:10" ht="15" customHeight="1" x14ac:dyDescent="0.2">
      <c r="G427" s="88"/>
      <c r="H427" s="88"/>
      <c r="I427" s="88"/>
      <c r="J427" s="88"/>
    </row>
    <row r="428" spans="7:10" ht="15" customHeight="1" x14ac:dyDescent="0.2">
      <c r="G428" s="88"/>
      <c r="H428" s="88"/>
      <c r="I428" s="88"/>
      <c r="J428" s="88"/>
    </row>
    <row r="429" spans="7:10" ht="15" customHeight="1" x14ac:dyDescent="0.2">
      <c r="G429" s="88"/>
      <c r="H429" s="88"/>
      <c r="I429" s="88"/>
      <c r="J429" s="88"/>
    </row>
    <row r="430" spans="7:10" ht="15" customHeight="1" x14ac:dyDescent="0.2">
      <c r="G430" s="88"/>
      <c r="H430" s="88"/>
      <c r="I430" s="88"/>
      <c r="J430" s="88"/>
    </row>
    <row r="431" spans="7:10" ht="15" customHeight="1" x14ac:dyDescent="0.2">
      <c r="G431" s="88"/>
      <c r="H431" s="88"/>
      <c r="I431" s="88"/>
      <c r="J431" s="88"/>
    </row>
    <row r="432" spans="7:10" ht="15" customHeight="1" x14ac:dyDescent="0.2">
      <c r="G432" s="88"/>
      <c r="H432" s="88"/>
      <c r="I432" s="88"/>
      <c r="J432" s="88"/>
    </row>
    <row r="433" spans="7:10" ht="15" customHeight="1" x14ac:dyDescent="0.2">
      <c r="G433" s="88"/>
      <c r="H433" s="88"/>
      <c r="I433" s="88"/>
      <c r="J433" s="88"/>
    </row>
    <row r="434" spans="7:10" ht="15" customHeight="1" x14ac:dyDescent="0.2">
      <c r="G434" s="88"/>
      <c r="H434" s="88"/>
      <c r="I434" s="88"/>
      <c r="J434" s="88"/>
    </row>
    <row r="435" spans="7:10" ht="15" customHeight="1" x14ac:dyDescent="0.2">
      <c r="G435" s="88"/>
      <c r="H435" s="88"/>
      <c r="I435" s="88"/>
      <c r="J435" s="88"/>
    </row>
    <row r="436" spans="7:10" ht="15" customHeight="1" x14ac:dyDescent="0.2">
      <c r="G436" s="88"/>
      <c r="H436" s="88"/>
      <c r="I436" s="88"/>
      <c r="J436" s="88"/>
    </row>
    <row r="437" spans="7:10" ht="15" customHeight="1" x14ac:dyDescent="0.2">
      <c r="G437" s="88"/>
      <c r="H437" s="88"/>
      <c r="I437" s="88"/>
      <c r="J437" s="88"/>
    </row>
    <row r="438" spans="7:10" ht="15" customHeight="1" x14ac:dyDescent="0.2">
      <c r="G438" s="88"/>
      <c r="H438" s="88"/>
      <c r="I438" s="88"/>
      <c r="J438" s="88"/>
    </row>
    <row r="439" spans="7:10" ht="15" customHeight="1" x14ac:dyDescent="0.2">
      <c r="G439" s="88"/>
      <c r="H439" s="88"/>
      <c r="I439" s="88"/>
      <c r="J439" s="88"/>
    </row>
    <row r="440" spans="7:10" ht="15" customHeight="1" x14ac:dyDescent="0.2">
      <c r="G440" s="88"/>
      <c r="H440" s="88"/>
      <c r="I440" s="88"/>
      <c r="J440" s="88"/>
    </row>
    <row r="441" spans="7:10" ht="15" customHeight="1" x14ac:dyDescent="0.2">
      <c r="G441" s="88"/>
      <c r="H441" s="88"/>
      <c r="I441" s="88"/>
      <c r="J441" s="88"/>
    </row>
    <row r="442" spans="7:10" ht="15" customHeight="1" x14ac:dyDescent="0.2">
      <c r="G442" s="88"/>
      <c r="H442" s="88"/>
      <c r="I442" s="88"/>
      <c r="J442" s="88"/>
    </row>
    <row r="443" spans="7:10" ht="15" customHeight="1" x14ac:dyDescent="0.2">
      <c r="G443" s="88"/>
      <c r="H443" s="88"/>
      <c r="I443" s="88"/>
      <c r="J443" s="88"/>
    </row>
    <row r="444" spans="7:10" ht="15" customHeight="1" x14ac:dyDescent="0.2">
      <c r="G444" s="88"/>
      <c r="H444" s="88"/>
      <c r="I444" s="88"/>
      <c r="J444" s="88"/>
    </row>
    <row r="445" spans="7:10" ht="15" customHeight="1" x14ac:dyDescent="0.2">
      <c r="G445" s="88"/>
      <c r="H445" s="88"/>
      <c r="I445" s="88"/>
      <c r="J445" s="88"/>
    </row>
    <row r="446" spans="7:10" ht="15" customHeight="1" x14ac:dyDescent="0.2">
      <c r="G446" s="88"/>
      <c r="H446" s="88"/>
      <c r="I446" s="88"/>
      <c r="J446" s="88"/>
    </row>
    <row r="447" spans="7:10" ht="15" customHeight="1" x14ac:dyDescent="0.2">
      <c r="G447" s="88"/>
      <c r="H447" s="88"/>
      <c r="I447" s="88"/>
      <c r="J447" s="88"/>
    </row>
    <row r="448" spans="7:10" ht="15" customHeight="1" x14ac:dyDescent="0.2">
      <c r="G448" s="88"/>
      <c r="H448" s="88"/>
      <c r="I448" s="88"/>
      <c r="J448" s="88"/>
    </row>
    <row r="449" spans="7:10" ht="15" customHeight="1" x14ac:dyDescent="0.2">
      <c r="G449" s="88"/>
      <c r="H449" s="88"/>
      <c r="I449" s="88"/>
      <c r="J449" s="88"/>
    </row>
    <row r="450" spans="7:10" ht="15" customHeight="1" x14ac:dyDescent="0.2">
      <c r="G450" s="88"/>
      <c r="H450" s="88"/>
      <c r="I450" s="88"/>
      <c r="J450" s="88"/>
    </row>
    <row r="451" spans="7:10" ht="15" customHeight="1" x14ac:dyDescent="0.2">
      <c r="G451" s="88"/>
      <c r="H451" s="88"/>
      <c r="I451" s="88"/>
      <c r="J451" s="88"/>
    </row>
    <row r="452" spans="7:10" ht="15" customHeight="1" x14ac:dyDescent="0.2">
      <c r="G452" s="88"/>
      <c r="H452" s="88"/>
      <c r="I452" s="88"/>
      <c r="J452" s="88"/>
    </row>
    <row r="453" spans="7:10" ht="15" customHeight="1" x14ac:dyDescent="0.2">
      <c r="G453" s="88"/>
      <c r="H453" s="88"/>
      <c r="I453" s="88"/>
      <c r="J453" s="88"/>
    </row>
    <row r="454" spans="7:10" ht="15" customHeight="1" x14ac:dyDescent="0.2">
      <c r="G454" s="88"/>
      <c r="H454" s="88"/>
      <c r="I454" s="88"/>
      <c r="J454" s="88"/>
    </row>
    <row r="455" spans="7:10" ht="15" customHeight="1" x14ac:dyDescent="0.2">
      <c r="G455" s="88"/>
      <c r="H455" s="88"/>
      <c r="I455" s="88"/>
      <c r="J455" s="88"/>
    </row>
    <row r="456" spans="7:10" ht="15" customHeight="1" x14ac:dyDescent="0.2">
      <c r="G456" s="88"/>
      <c r="H456" s="88"/>
      <c r="I456" s="88"/>
      <c r="J456" s="88"/>
    </row>
    <row r="457" spans="7:10" ht="15" customHeight="1" x14ac:dyDescent="0.2">
      <c r="G457" s="88"/>
      <c r="H457" s="88"/>
      <c r="I457" s="88"/>
      <c r="J457" s="88"/>
    </row>
    <row r="458" spans="7:10" ht="15" customHeight="1" x14ac:dyDescent="0.2">
      <c r="G458" s="88"/>
      <c r="H458" s="88"/>
      <c r="I458" s="88"/>
      <c r="J458" s="88"/>
    </row>
    <row r="459" spans="7:10" ht="15" customHeight="1" x14ac:dyDescent="0.2">
      <c r="G459" s="88"/>
      <c r="H459" s="88"/>
      <c r="I459" s="88"/>
      <c r="J459" s="88"/>
    </row>
    <row r="460" spans="7:10" ht="15" customHeight="1" x14ac:dyDescent="0.2">
      <c r="G460" s="88"/>
      <c r="H460" s="88"/>
      <c r="I460" s="88"/>
      <c r="J460" s="88"/>
    </row>
    <row r="461" spans="7:10" ht="15" customHeight="1" x14ac:dyDescent="0.2">
      <c r="G461" s="88"/>
      <c r="H461" s="88"/>
      <c r="I461" s="88"/>
      <c r="J461" s="88"/>
    </row>
    <row r="462" spans="7:10" ht="15" customHeight="1" x14ac:dyDescent="0.2">
      <c r="G462" s="88"/>
      <c r="H462" s="88"/>
      <c r="I462" s="88"/>
      <c r="J462" s="88"/>
    </row>
    <row r="463" spans="7:10" ht="15" customHeight="1" x14ac:dyDescent="0.2">
      <c r="G463" s="88"/>
      <c r="H463" s="88"/>
      <c r="I463" s="88"/>
      <c r="J463" s="88"/>
    </row>
    <row r="464" spans="7:10" ht="15" customHeight="1" x14ac:dyDescent="0.2">
      <c r="G464" s="88"/>
      <c r="H464" s="88"/>
      <c r="I464" s="88"/>
      <c r="J464" s="88"/>
    </row>
    <row r="465" spans="7:10" ht="15" customHeight="1" x14ac:dyDescent="0.2">
      <c r="G465" s="88"/>
      <c r="H465" s="88"/>
      <c r="I465" s="88"/>
      <c r="J465" s="88"/>
    </row>
    <row r="466" spans="7:10" ht="15" customHeight="1" x14ac:dyDescent="0.2">
      <c r="G466" s="88"/>
      <c r="H466" s="88"/>
      <c r="I466" s="88"/>
      <c r="J466" s="88"/>
    </row>
    <row r="467" spans="7:10" ht="15" customHeight="1" x14ac:dyDescent="0.2">
      <c r="G467" s="88"/>
      <c r="H467" s="88"/>
      <c r="I467" s="88"/>
      <c r="J467" s="88"/>
    </row>
    <row r="468" spans="7:10" ht="15" customHeight="1" x14ac:dyDescent="0.2">
      <c r="G468" s="88"/>
      <c r="H468" s="88"/>
      <c r="I468" s="88"/>
      <c r="J468" s="88"/>
    </row>
    <row r="469" spans="7:10" ht="15" customHeight="1" x14ac:dyDescent="0.2">
      <c r="G469" s="88"/>
      <c r="H469" s="88"/>
      <c r="I469" s="88"/>
      <c r="J469" s="88"/>
    </row>
    <row r="470" spans="7:10" ht="15" customHeight="1" x14ac:dyDescent="0.2">
      <c r="G470" s="88"/>
      <c r="H470" s="88"/>
      <c r="I470" s="88"/>
      <c r="J470" s="88"/>
    </row>
    <row r="471" spans="7:10" ht="15" customHeight="1" x14ac:dyDescent="0.2">
      <c r="G471" s="88"/>
      <c r="H471" s="88"/>
      <c r="I471" s="88"/>
      <c r="J471" s="88"/>
    </row>
    <row r="472" spans="7:10" ht="15" customHeight="1" x14ac:dyDescent="0.2">
      <c r="G472" s="88"/>
      <c r="H472" s="88"/>
      <c r="I472" s="88"/>
      <c r="J472" s="88"/>
    </row>
    <row r="473" spans="7:10" ht="15" customHeight="1" x14ac:dyDescent="0.2">
      <c r="G473" s="88"/>
      <c r="H473" s="88"/>
      <c r="I473" s="88"/>
      <c r="J473" s="88"/>
    </row>
    <row r="474" spans="7:10" ht="15" customHeight="1" x14ac:dyDescent="0.2">
      <c r="G474" s="88"/>
      <c r="H474" s="88"/>
      <c r="I474" s="88"/>
      <c r="J474" s="88"/>
    </row>
    <row r="475" spans="7:10" ht="15" customHeight="1" x14ac:dyDescent="0.2">
      <c r="G475" s="88"/>
      <c r="H475" s="88"/>
      <c r="I475" s="88"/>
      <c r="J475" s="88"/>
    </row>
    <row r="476" spans="7:10" ht="15" customHeight="1" x14ac:dyDescent="0.2">
      <c r="G476" s="88"/>
      <c r="H476" s="88"/>
      <c r="I476" s="88"/>
      <c r="J476" s="88"/>
    </row>
    <row r="477" spans="7:10" ht="15" customHeight="1" x14ac:dyDescent="0.2">
      <c r="G477" s="88"/>
      <c r="H477" s="88"/>
      <c r="I477" s="88"/>
      <c r="J477" s="88"/>
    </row>
    <row r="478" spans="7:10" ht="15" customHeight="1" x14ac:dyDescent="0.2">
      <c r="G478" s="88"/>
      <c r="H478" s="88"/>
      <c r="I478" s="88"/>
      <c r="J478" s="88"/>
    </row>
    <row r="479" spans="7:10" ht="15" customHeight="1" x14ac:dyDescent="0.2">
      <c r="G479" s="88"/>
      <c r="H479" s="88"/>
      <c r="I479" s="88"/>
      <c r="J479" s="88"/>
    </row>
    <row r="480" spans="7:10" ht="15" customHeight="1" x14ac:dyDescent="0.2">
      <c r="G480" s="88"/>
      <c r="H480" s="88"/>
      <c r="I480" s="88"/>
      <c r="J480" s="88"/>
    </row>
    <row r="481" spans="7:10" ht="15" customHeight="1" x14ac:dyDescent="0.2">
      <c r="G481" s="88"/>
      <c r="H481" s="88"/>
      <c r="I481" s="88"/>
      <c r="J481" s="88"/>
    </row>
    <row r="482" spans="7:10" ht="15" customHeight="1" x14ac:dyDescent="0.2">
      <c r="G482" s="88"/>
      <c r="H482" s="88"/>
      <c r="I482" s="88"/>
      <c r="J482" s="88"/>
    </row>
    <row r="483" spans="7:10" ht="15" customHeight="1" x14ac:dyDescent="0.2">
      <c r="G483" s="88"/>
      <c r="H483" s="88"/>
      <c r="I483" s="88"/>
      <c r="J483" s="88"/>
    </row>
    <row r="484" spans="7:10" ht="15" customHeight="1" x14ac:dyDescent="0.2">
      <c r="G484" s="88"/>
      <c r="H484" s="88"/>
      <c r="I484" s="88"/>
      <c r="J484" s="88"/>
    </row>
    <row r="485" spans="7:10" ht="15" customHeight="1" x14ac:dyDescent="0.2">
      <c r="G485" s="88"/>
      <c r="H485" s="88"/>
      <c r="I485" s="88"/>
      <c r="J485" s="88"/>
    </row>
    <row r="486" spans="7:10" ht="15" customHeight="1" x14ac:dyDescent="0.2">
      <c r="G486" s="88"/>
      <c r="H486" s="88"/>
      <c r="I486" s="88"/>
      <c r="J486" s="88"/>
    </row>
    <row r="487" spans="7:10" ht="15" customHeight="1" x14ac:dyDescent="0.2">
      <c r="G487" s="88"/>
      <c r="H487" s="88"/>
      <c r="I487" s="88"/>
      <c r="J487" s="88"/>
    </row>
    <row r="488" spans="7:10" ht="15" customHeight="1" x14ac:dyDescent="0.2">
      <c r="G488" s="88"/>
      <c r="H488" s="88"/>
      <c r="I488" s="88"/>
      <c r="J488" s="88"/>
    </row>
    <row r="489" spans="7:10" ht="15" customHeight="1" x14ac:dyDescent="0.2">
      <c r="G489" s="88"/>
      <c r="H489" s="88"/>
      <c r="I489" s="88"/>
      <c r="J489" s="88"/>
    </row>
    <row r="490" spans="7:10" ht="15" customHeight="1" x14ac:dyDescent="0.2">
      <c r="G490" s="88"/>
      <c r="H490" s="88"/>
      <c r="I490" s="88"/>
      <c r="J490" s="88"/>
    </row>
    <row r="491" spans="7:10" ht="15" customHeight="1" x14ac:dyDescent="0.2">
      <c r="G491" s="88"/>
      <c r="H491" s="88"/>
      <c r="I491" s="88"/>
      <c r="J491" s="88"/>
    </row>
    <row r="492" spans="7:10" ht="15" customHeight="1" x14ac:dyDescent="0.2">
      <c r="G492" s="88"/>
      <c r="H492" s="88"/>
      <c r="I492" s="88"/>
      <c r="J492" s="88"/>
    </row>
    <row r="493" spans="7:10" ht="15" customHeight="1" x14ac:dyDescent="0.2">
      <c r="G493" s="88"/>
      <c r="H493" s="88"/>
      <c r="I493" s="88"/>
      <c r="J493" s="88"/>
    </row>
    <row r="494" spans="7:10" ht="15" customHeight="1" x14ac:dyDescent="0.2">
      <c r="G494" s="88"/>
      <c r="H494" s="88"/>
      <c r="I494" s="88"/>
      <c r="J494" s="88"/>
    </row>
    <row r="495" spans="7:10" ht="15" customHeight="1" x14ac:dyDescent="0.2">
      <c r="G495" s="88"/>
      <c r="H495" s="88"/>
      <c r="I495" s="88"/>
      <c r="J495" s="88"/>
    </row>
    <row r="496" spans="7:10" ht="15" customHeight="1" x14ac:dyDescent="0.2">
      <c r="G496" s="88"/>
      <c r="H496" s="88"/>
      <c r="I496" s="88"/>
      <c r="J496" s="88"/>
    </row>
    <row r="497" spans="7:10" ht="15" customHeight="1" x14ac:dyDescent="0.2">
      <c r="G497" s="88"/>
      <c r="H497" s="88"/>
      <c r="I497" s="88"/>
      <c r="J497" s="88"/>
    </row>
    <row r="498" spans="7:10" ht="15" customHeight="1" x14ac:dyDescent="0.2">
      <c r="G498" s="88"/>
      <c r="H498" s="88"/>
      <c r="I498" s="88"/>
      <c r="J498" s="88"/>
    </row>
    <row r="499" spans="7:10" ht="15" customHeight="1" x14ac:dyDescent="0.2">
      <c r="G499" s="88"/>
      <c r="H499" s="88"/>
      <c r="I499" s="88"/>
      <c r="J499" s="88"/>
    </row>
    <row r="500" spans="7:10" ht="15" customHeight="1" x14ac:dyDescent="0.2">
      <c r="G500" s="88"/>
      <c r="H500" s="88"/>
      <c r="I500" s="88"/>
      <c r="J500" s="88"/>
    </row>
    <row r="501" spans="7:10" ht="15" customHeight="1" x14ac:dyDescent="0.2">
      <c r="G501" s="88"/>
      <c r="H501" s="88"/>
      <c r="I501" s="88"/>
      <c r="J501" s="88"/>
    </row>
    <row r="502" spans="7:10" ht="15" customHeight="1" x14ac:dyDescent="0.2">
      <c r="G502" s="88"/>
      <c r="H502" s="88"/>
      <c r="I502" s="88"/>
      <c r="J502" s="88"/>
    </row>
    <row r="503" spans="7:10" ht="15" customHeight="1" x14ac:dyDescent="0.2">
      <c r="G503" s="88"/>
      <c r="H503" s="88"/>
      <c r="I503" s="88"/>
      <c r="J503" s="88"/>
    </row>
    <row r="504" spans="7:10" ht="15" customHeight="1" x14ac:dyDescent="0.2">
      <c r="G504" s="88"/>
      <c r="H504" s="88"/>
      <c r="I504" s="88"/>
      <c r="J504" s="88"/>
    </row>
    <row r="505" spans="7:10" ht="15" customHeight="1" x14ac:dyDescent="0.2">
      <c r="G505" s="88"/>
      <c r="H505" s="88"/>
      <c r="I505" s="88"/>
      <c r="J505" s="88"/>
    </row>
    <row r="506" spans="7:10" ht="15" customHeight="1" x14ac:dyDescent="0.2">
      <c r="G506" s="88"/>
      <c r="H506" s="88"/>
      <c r="I506" s="88"/>
      <c r="J506" s="88"/>
    </row>
    <row r="507" spans="7:10" ht="15" customHeight="1" x14ac:dyDescent="0.2">
      <c r="G507" s="88"/>
      <c r="H507" s="88"/>
      <c r="I507" s="88"/>
      <c r="J507" s="88"/>
    </row>
    <row r="508" spans="7:10" ht="15" customHeight="1" x14ac:dyDescent="0.2">
      <c r="G508" s="88"/>
      <c r="H508" s="88"/>
      <c r="I508" s="88"/>
      <c r="J508" s="88"/>
    </row>
    <row r="509" spans="7:10" ht="15" customHeight="1" x14ac:dyDescent="0.2">
      <c r="G509" s="88"/>
      <c r="H509" s="88"/>
      <c r="I509" s="88"/>
      <c r="J509" s="88"/>
    </row>
    <row r="510" spans="7:10" ht="15" customHeight="1" x14ac:dyDescent="0.2">
      <c r="G510" s="88"/>
      <c r="H510" s="88"/>
      <c r="I510" s="88"/>
      <c r="J510" s="88"/>
    </row>
    <row r="511" spans="7:10" ht="15" customHeight="1" x14ac:dyDescent="0.2">
      <c r="G511" s="88"/>
      <c r="H511" s="88"/>
      <c r="I511" s="88"/>
      <c r="J511" s="88"/>
    </row>
    <row r="512" spans="7:10" ht="15" customHeight="1" x14ac:dyDescent="0.2">
      <c r="G512" s="88"/>
      <c r="H512" s="88"/>
      <c r="I512" s="88"/>
      <c r="J512" s="88"/>
    </row>
    <row r="513" spans="7:10" ht="15" customHeight="1" x14ac:dyDescent="0.2">
      <c r="G513" s="88"/>
      <c r="H513" s="88"/>
      <c r="I513" s="88"/>
      <c r="J513" s="88"/>
    </row>
    <row r="514" spans="7:10" ht="15" customHeight="1" x14ac:dyDescent="0.2">
      <c r="G514" s="88"/>
      <c r="H514" s="88"/>
      <c r="I514" s="88"/>
      <c r="J514" s="88"/>
    </row>
    <row r="515" spans="7:10" ht="15" customHeight="1" x14ac:dyDescent="0.2">
      <c r="G515" s="88"/>
      <c r="H515" s="88"/>
      <c r="I515" s="88"/>
      <c r="J515" s="88"/>
    </row>
    <row r="516" spans="7:10" ht="15" customHeight="1" x14ac:dyDescent="0.2">
      <c r="G516" s="88"/>
      <c r="H516" s="88"/>
      <c r="I516" s="88"/>
      <c r="J516" s="88"/>
    </row>
    <row r="517" spans="7:10" ht="15" customHeight="1" x14ac:dyDescent="0.2">
      <c r="G517" s="88"/>
      <c r="H517" s="88"/>
      <c r="I517" s="88"/>
      <c r="J517" s="88"/>
    </row>
    <row r="518" spans="7:10" ht="15" customHeight="1" x14ac:dyDescent="0.2">
      <c r="G518" s="88"/>
      <c r="H518" s="88"/>
      <c r="I518" s="88"/>
      <c r="J518" s="88"/>
    </row>
    <row r="519" spans="7:10" ht="15" customHeight="1" x14ac:dyDescent="0.2">
      <c r="G519" s="88"/>
      <c r="H519" s="88"/>
      <c r="I519" s="88"/>
      <c r="J519" s="88"/>
    </row>
    <row r="520" spans="7:10" ht="15" customHeight="1" x14ac:dyDescent="0.2">
      <c r="G520" s="88"/>
      <c r="H520" s="88"/>
      <c r="I520" s="88"/>
      <c r="J520" s="88"/>
    </row>
    <row r="521" spans="7:10" ht="15" customHeight="1" x14ac:dyDescent="0.2">
      <c r="G521" s="88"/>
      <c r="H521" s="88"/>
      <c r="I521" s="88"/>
      <c r="J521" s="88"/>
    </row>
    <row r="522" spans="7:10" ht="15" customHeight="1" x14ac:dyDescent="0.2">
      <c r="G522" s="88"/>
      <c r="H522" s="88"/>
      <c r="I522" s="88"/>
      <c r="J522" s="88"/>
    </row>
    <row r="523" spans="7:10" ht="15" customHeight="1" x14ac:dyDescent="0.2">
      <c r="G523" s="88"/>
      <c r="H523" s="88"/>
      <c r="I523" s="88"/>
      <c r="J523" s="88"/>
    </row>
    <row r="524" spans="7:10" ht="15" customHeight="1" x14ac:dyDescent="0.2">
      <c r="G524" s="88"/>
      <c r="H524" s="88"/>
      <c r="I524" s="88"/>
      <c r="J524" s="88"/>
    </row>
    <row r="525" spans="7:10" ht="15" customHeight="1" x14ac:dyDescent="0.2">
      <c r="G525" s="88"/>
      <c r="H525" s="88"/>
      <c r="I525" s="88"/>
      <c r="J525" s="88"/>
    </row>
    <row r="526" spans="7:10" ht="15" customHeight="1" x14ac:dyDescent="0.2">
      <c r="G526" s="88"/>
      <c r="H526" s="88"/>
      <c r="I526" s="88"/>
      <c r="J526" s="88"/>
    </row>
    <row r="527" spans="7:10" ht="15" customHeight="1" x14ac:dyDescent="0.2">
      <c r="G527" s="88"/>
      <c r="H527" s="88"/>
      <c r="I527" s="88"/>
      <c r="J527" s="88"/>
    </row>
    <row r="528" spans="7:10" ht="15" customHeight="1" x14ac:dyDescent="0.2">
      <c r="G528" s="88"/>
      <c r="H528" s="88"/>
      <c r="I528" s="88"/>
      <c r="J528" s="88"/>
    </row>
    <row r="529" spans="7:10" ht="15" customHeight="1" x14ac:dyDescent="0.2">
      <c r="G529" s="88"/>
      <c r="H529" s="88"/>
      <c r="I529" s="88"/>
      <c r="J529" s="88"/>
    </row>
    <row r="530" spans="7:10" ht="15" customHeight="1" x14ac:dyDescent="0.2">
      <c r="G530" s="88"/>
      <c r="H530" s="88"/>
      <c r="I530" s="88"/>
      <c r="J530" s="88"/>
    </row>
    <row r="531" spans="7:10" ht="15" customHeight="1" x14ac:dyDescent="0.2">
      <c r="G531" s="88"/>
      <c r="H531" s="88"/>
      <c r="I531" s="88"/>
      <c r="J531" s="88"/>
    </row>
    <row r="532" spans="7:10" ht="15" customHeight="1" x14ac:dyDescent="0.2">
      <c r="G532" s="88"/>
      <c r="H532" s="88"/>
      <c r="I532" s="88"/>
      <c r="J532" s="88"/>
    </row>
    <row r="533" spans="7:10" ht="15" customHeight="1" x14ac:dyDescent="0.2">
      <c r="G533" s="88"/>
      <c r="H533" s="88"/>
      <c r="I533" s="88"/>
      <c r="J533" s="88"/>
    </row>
    <row r="534" spans="7:10" ht="15" customHeight="1" x14ac:dyDescent="0.2">
      <c r="G534" s="88"/>
      <c r="H534" s="88"/>
      <c r="I534" s="88"/>
      <c r="J534" s="88"/>
    </row>
    <row r="535" spans="7:10" ht="15" customHeight="1" x14ac:dyDescent="0.2">
      <c r="G535" s="88"/>
      <c r="H535" s="88"/>
      <c r="I535" s="88"/>
      <c r="J535" s="88"/>
    </row>
    <row r="536" spans="7:10" ht="15" customHeight="1" x14ac:dyDescent="0.2">
      <c r="G536" s="88"/>
      <c r="H536" s="88"/>
      <c r="I536" s="88"/>
      <c r="J536" s="88"/>
    </row>
    <row r="537" spans="7:10" ht="15" customHeight="1" x14ac:dyDescent="0.2">
      <c r="G537" s="88"/>
      <c r="H537" s="88"/>
      <c r="I537" s="88"/>
      <c r="J537" s="88"/>
    </row>
    <row r="538" spans="7:10" ht="15" customHeight="1" x14ac:dyDescent="0.2">
      <c r="G538" s="88"/>
      <c r="H538" s="88"/>
      <c r="I538" s="88"/>
      <c r="J538" s="88"/>
    </row>
    <row r="539" spans="7:10" ht="15" customHeight="1" x14ac:dyDescent="0.2">
      <c r="G539" s="88"/>
      <c r="H539" s="88"/>
      <c r="I539" s="88"/>
      <c r="J539" s="88"/>
    </row>
    <row r="540" spans="7:10" ht="15" customHeight="1" x14ac:dyDescent="0.2">
      <c r="G540" s="88"/>
      <c r="H540" s="88"/>
      <c r="I540" s="88"/>
      <c r="J540" s="88"/>
    </row>
    <row r="541" spans="7:10" ht="15" customHeight="1" x14ac:dyDescent="0.2">
      <c r="G541" s="88"/>
      <c r="H541" s="88"/>
      <c r="I541" s="88"/>
      <c r="J541" s="88"/>
    </row>
    <row r="542" spans="7:10" ht="15" customHeight="1" x14ac:dyDescent="0.2">
      <c r="G542" s="88"/>
      <c r="H542" s="88"/>
      <c r="I542" s="88"/>
      <c r="J542" s="88"/>
    </row>
    <row r="543" spans="7:10" ht="15" customHeight="1" x14ac:dyDescent="0.2">
      <c r="G543" s="88"/>
      <c r="H543" s="88"/>
      <c r="I543" s="88"/>
      <c r="J543" s="88"/>
    </row>
    <row r="544" spans="7:10" ht="15" customHeight="1" x14ac:dyDescent="0.2">
      <c r="G544" s="88"/>
      <c r="H544" s="88"/>
      <c r="I544" s="88"/>
      <c r="J544" s="88"/>
    </row>
    <row r="545" spans="7:10" ht="15" customHeight="1" x14ac:dyDescent="0.2">
      <c r="G545" s="88"/>
      <c r="H545" s="88"/>
      <c r="I545" s="88"/>
      <c r="J545" s="88"/>
    </row>
    <row r="546" spans="7:10" ht="15" customHeight="1" x14ac:dyDescent="0.2">
      <c r="G546" s="88"/>
      <c r="H546" s="88"/>
      <c r="I546" s="88"/>
      <c r="J546" s="88"/>
    </row>
    <row r="547" spans="7:10" ht="15" customHeight="1" x14ac:dyDescent="0.2">
      <c r="G547" s="88"/>
      <c r="H547" s="88"/>
      <c r="I547" s="88"/>
      <c r="J547" s="88"/>
    </row>
    <row r="548" spans="7:10" ht="15" customHeight="1" x14ac:dyDescent="0.2">
      <c r="G548" s="88"/>
      <c r="H548" s="88"/>
      <c r="I548" s="88"/>
      <c r="J548" s="88"/>
    </row>
    <row r="549" spans="7:10" ht="15" customHeight="1" x14ac:dyDescent="0.2">
      <c r="G549" s="88"/>
      <c r="H549" s="88"/>
      <c r="I549" s="88"/>
      <c r="J549" s="88"/>
    </row>
    <row r="550" spans="7:10" ht="15" customHeight="1" x14ac:dyDescent="0.2">
      <c r="G550" s="88"/>
      <c r="H550" s="88"/>
      <c r="I550" s="88"/>
      <c r="J550" s="88"/>
    </row>
    <row r="551" spans="7:10" ht="15" customHeight="1" x14ac:dyDescent="0.2">
      <c r="G551" s="88"/>
      <c r="H551" s="88"/>
      <c r="I551" s="88"/>
      <c r="J551" s="88"/>
    </row>
    <row r="552" spans="7:10" ht="15" customHeight="1" x14ac:dyDescent="0.2">
      <c r="G552" s="88"/>
      <c r="H552" s="88"/>
      <c r="I552" s="88"/>
      <c r="J552" s="88"/>
    </row>
    <row r="553" spans="7:10" ht="15" customHeight="1" x14ac:dyDescent="0.2">
      <c r="G553" s="88"/>
      <c r="H553" s="88"/>
      <c r="I553" s="88"/>
      <c r="J553" s="88"/>
    </row>
    <row r="554" spans="7:10" ht="15" customHeight="1" x14ac:dyDescent="0.2">
      <c r="G554" s="88"/>
      <c r="H554" s="88"/>
      <c r="I554" s="88"/>
      <c r="J554" s="88"/>
    </row>
    <row r="555" spans="7:10" ht="15" customHeight="1" x14ac:dyDescent="0.2">
      <c r="G555" s="88"/>
      <c r="H555" s="88"/>
      <c r="I555" s="88"/>
      <c r="J555" s="88"/>
    </row>
    <row r="556" spans="7:10" ht="15" customHeight="1" x14ac:dyDescent="0.2">
      <c r="G556" s="88"/>
      <c r="H556" s="88"/>
      <c r="I556" s="88"/>
      <c r="J556" s="88"/>
    </row>
    <row r="557" spans="7:10" ht="15" customHeight="1" x14ac:dyDescent="0.2">
      <c r="G557" s="88"/>
      <c r="H557" s="88"/>
      <c r="I557" s="88"/>
      <c r="J557" s="88"/>
    </row>
    <row r="558" spans="7:10" ht="15" customHeight="1" x14ac:dyDescent="0.2">
      <c r="G558" s="88"/>
      <c r="H558" s="88"/>
      <c r="I558" s="88"/>
      <c r="J558" s="88"/>
    </row>
    <row r="559" spans="7:10" ht="15" customHeight="1" x14ac:dyDescent="0.2">
      <c r="G559" s="88"/>
      <c r="H559" s="88"/>
      <c r="I559" s="88"/>
      <c r="J559" s="88"/>
    </row>
    <row r="560" spans="7:10" ht="15" customHeight="1" x14ac:dyDescent="0.2">
      <c r="G560" s="88"/>
      <c r="H560" s="88"/>
      <c r="I560" s="88"/>
      <c r="J560" s="88"/>
    </row>
    <row r="561" spans="7:10" ht="15" customHeight="1" x14ac:dyDescent="0.2">
      <c r="G561" s="88"/>
      <c r="H561" s="88"/>
      <c r="I561" s="88"/>
      <c r="J561" s="88"/>
    </row>
    <row r="562" spans="7:10" ht="15" customHeight="1" x14ac:dyDescent="0.2">
      <c r="G562" s="88"/>
      <c r="H562" s="88"/>
      <c r="I562" s="88"/>
      <c r="J562" s="88"/>
    </row>
    <row r="563" spans="7:10" ht="15" customHeight="1" x14ac:dyDescent="0.2">
      <c r="G563" s="88"/>
      <c r="H563" s="88"/>
      <c r="I563" s="88"/>
      <c r="J563" s="88"/>
    </row>
    <row r="564" spans="7:10" ht="15" customHeight="1" x14ac:dyDescent="0.2">
      <c r="G564" s="88"/>
      <c r="H564" s="88"/>
      <c r="I564" s="88"/>
      <c r="J564" s="88"/>
    </row>
    <row r="565" spans="7:10" ht="15" customHeight="1" x14ac:dyDescent="0.2">
      <c r="G565" s="88"/>
      <c r="H565" s="88"/>
      <c r="I565" s="88"/>
      <c r="J565" s="88"/>
    </row>
    <row r="566" spans="7:10" ht="15" customHeight="1" x14ac:dyDescent="0.2">
      <c r="G566" s="88"/>
      <c r="H566" s="88"/>
      <c r="I566" s="88"/>
      <c r="J566" s="88"/>
    </row>
    <row r="567" spans="7:10" ht="15" customHeight="1" x14ac:dyDescent="0.2">
      <c r="G567" s="88"/>
      <c r="H567" s="88"/>
      <c r="I567" s="88"/>
      <c r="J567" s="88"/>
    </row>
    <row r="568" spans="7:10" ht="15" customHeight="1" x14ac:dyDescent="0.2">
      <c r="G568" s="88"/>
      <c r="H568" s="88"/>
      <c r="I568" s="88"/>
      <c r="J568" s="88"/>
    </row>
    <row r="569" spans="7:10" ht="15" customHeight="1" x14ac:dyDescent="0.2">
      <c r="G569" s="88"/>
      <c r="H569" s="88"/>
      <c r="I569" s="88"/>
      <c r="J569" s="88"/>
    </row>
    <row r="570" spans="7:10" ht="15" customHeight="1" x14ac:dyDescent="0.2">
      <c r="G570" s="88"/>
      <c r="H570" s="88"/>
      <c r="I570" s="88"/>
      <c r="J570" s="88"/>
    </row>
    <row r="571" spans="7:10" ht="15" customHeight="1" x14ac:dyDescent="0.2">
      <c r="G571" s="88"/>
      <c r="H571" s="88"/>
      <c r="I571" s="88"/>
      <c r="J571" s="88"/>
    </row>
    <row r="572" spans="7:10" ht="15" customHeight="1" x14ac:dyDescent="0.2">
      <c r="G572" s="88"/>
      <c r="H572" s="88"/>
      <c r="I572" s="88"/>
      <c r="J572" s="88"/>
    </row>
    <row r="573" spans="7:10" ht="15" customHeight="1" x14ac:dyDescent="0.2">
      <c r="G573" s="88"/>
      <c r="H573" s="88"/>
      <c r="I573" s="88"/>
      <c r="J573" s="88"/>
    </row>
    <row r="574" spans="7:10" ht="15" customHeight="1" x14ac:dyDescent="0.2">
      <c r="G574" s="88"/>
      <c r="H574" s="88"/>
      <c r="I574" s="88"/>
      <c r="J574" s="88"/>
    </row>
    <row r="575" spans="7:10" ht="15" customHeight="1" x14ac:dyDescent="0.2">
      <c r="G575" s="88"/>
      <c r="H575" s="88"/>
      <c r="I575" s="88"/>
      <c r="J575" s="88"/>
    </row>
    <row r="576" spans="7:10" ht="15" customHeight="1" x14ac:dyDescent="0.2">
      <c r="G576" s="88"/>
      <c r="H576" s="88"/>
      <c r="I576" s="88"/>
      <c r="J576" s="88"/>
    </row>
    <row r="577" spans="7:10" ht="15" customHeight="1" x14ac:dyDescent="0.2">
      <c r="G577" s="88"/>
      <c r="H577" s="88"/>
      <c r="I577" s="88"/>
      <c r="J577" s="88"/>
    </row>
    <row r="578" spans="7:10" ht="15" customHeight="1" x14ac:dyDescent="0.2">
      <c r="G578" s="88"/>
      <c r="H578" s="88"/>
      <c r="I578" s="88"/>
      <c r="J578" s="88"/>
    </row>
    <row r="579" spans="7:10" ht="15" customHeight="1" x14ac:dyDescent="0.2">
      <c r="G579" s="88"/>
      <c r="H579" s="88"/>
      <c r="I579" s="88"/>
      <c r="J579" s="88"/>
    </row>
    <row r="580" spans="7:10" ht="15" customHeight="1" x14ac:dyDescent="0.2">
      <c r="G580" s="88"/>
      <c r="H580" s="88"/>
      <c r="I580" s="88"/>
      <c r="J580" s="88"/>
    </row>
    <row r="581" spans="7:10" ht="15" customHeight="1" x14ac:dyDescent="0.2">
      <c r="G581" s="88"/>
      <c r="H581" s="88"/>
      <c r="I581" s="88"/>
      <c r="J581" s="88"/>
    </row>
    <row r="582" spans="7:10" ht="15" customHeight="1" x14ac:dyDescent="0.2">
      <c r="G582" s="88"/>
      <c r="H582" s="88"/>
      <c r="I582" s="88"/>
      <c r="J582" s="88"/>
    </row>
    <row r="583" spans="7:10" ht="15" customHeight="1" x14ac:dyDescent="0.2">
      <c r="G583" s="88"/>
      <c r="H583" s="88"/>
      <c r="I583" s="88"/>
      <c r="J583" s="88"/>
    </row>
    <row r="584" spans="7:10" ht="15" customHeight="1" x14ac:dyDescent="0.2">
      <c r="G584" s="88"/>
      <c r="H584" s="88"/>
      <c r="I584" s="88"/>
      <c r="J584" s="88"/>
    </row>
    <row r="585" spans="7:10" ht="15" customHeight="1" x14ac:dyDescent="0.2">
      <c r="G585" s="88"/>
      <c r="H585" s="88"/>
      <c r="I585" s="88"/>
      <c r="J585" s="88"/>
    </row>
    <row r="586" spans="7:10" ht="15" customHeight="1" x14ac:dyDescent="0.2">
      <c r="G586" s="88"/>
      <c r="H586" s="88"/>
      <c r="I586" s="88"/>
      <c r="J586" s="88"/>
    </row>
    <row r="587" spans="7:10" ht="15" customHeight="1" x14ac:dyDescent="0.2">
      <c r="G587" s="88"/>
      <c r="H587" s="88"/>
      <c r="I587" s="88"/>
      <c r="J587" s="88"/>
    </row>
    <row r="588" spans="7:10" ht="15" customHeight="1" x14ac:dyDescent="0.2">
      <c r="G588" s="88"/>
      <c r="H588" s="88"/>
      <c r="I588" s="88"/>
      <c r="J588" s="88"/>
    </row>
    <row r="589" spans="7:10" ht="15" customHeight="1" x14ac:dyDescent="0.2">
      <c r="G589" s="88"/>
      <c r="H589" s="88"/>
      <c r="I589" s="88"/>
      <c r="J589" s="88"/>
    </row>
    <row r="590" spans="7:10" ht="15" customHeight="1" x14ac:dyDescent="0.2">
      <c r="G590" s="88"/>
      <c r="H590" s="88"/>
      <c r="I590" s="88"/>
      <c r="J590" s="88"/>
    </row>
    <row r="591" spans="7:10" ht="15" customHeight="1" x14ac:dyDescent="0.2">
      <c r="G591" s="88"/>
      <c r="H591" s="88"/>
      <c r="I591" s="88"/>
      <c r="J591" s="88"/>
    </row>
    <row r="592" spans="7:10" ht="15" customHeight="1" x14ac:dyDescent="0.2">
      <c r="G592" s="88"/>
      <c r="H592" s="88"/>
      <c r="I592" s="88"/>
      <c r="J592" s="88"/>
    </row>
    <row r="593" spans="7:10" ht="15" customHeight="1" x14ac:dyDescent="0.2">
      <c r="G593" s="88"/>
      <c r="H593" s="88"/>
      <c r="I593" s="88"/>
      <c r="J593" s="88"/>
    </row>
    <row r="594" spans="7:10" ht="15" customHeight="1" x14ac:dyDescent="0.2">
      <c r="G594" s="88"/>
      <c r="H594" s="88"/>
      <c r="I594" s="88"/>
      <c r="J594" s="88"/>
    </row>
    <row r="595" spans="7:10" ht="15" customHeight="1" x14ac:dyDescent="0.2">
      <c r="G595" s="88"/>
      <c r="H595" s="88"/>
      <c r="I595" s="88"/>
      <c r="J595" s="88"/>
    </row>
    <row r="596" spans="7:10" ht="15" customHeight="1" x14ac:dyDescent="0.2">
      <c r="G596" s="88"/>
      <c r="H596" s="88"/>
      <c r="I596" s="88"/>
      <c r="J596" s="88"/>
    </row>
    <row r="597" spans="7:10" ht="15" customHeight="1" x14ac:dyDescent="0.2">
      <c r="G597" s="88"/>
      <c r="H597" s="88"/>
      <c r="I597" s="88"/>
      <c r="J597" s="88"/>
    </row>
    <row r="598" spans="7:10" ht="15" customHeight="1" x14ac:dyDescent="0.2">
      <c r="G598" s="88"/>
      <c r="H598" s="88"/>
      <c r="I598" s="88"/>
      <c r="J598" s="88"/>
    </row>
    <row r="599" spans="7:10" ht="15" customHeight="1" x14ac:dyDescent="0.2">
      <c r="G599" s="88"/>
      <c r="H599" s="88"/>
      <c r="I599" s="88"/>
      <c r="J599" s="88"/>
    </row>
    <row r="600" spans="7:10" ht="15" customHeight="1" x14ac:dyDescent="0.2">
      <c r="G600" s="88"/>
      <c r="H600" s="88"/>
      <c r="I600" s="88"/>
      <c r="J600" s="88"/>
    </row>
    <row r="601" spans="7:10" ht="15" customHeight="1" x14ac:dyDescent="0.2">
      <c r="G601" s="88"/>
      <c r="H601" s="88"/>
      <c r="I601" s="88"/>
      <c r="J601" s="88"/>
    </row>
    <row r="602" spans="7:10" ht="15" customHeight="1" x14ac:dyDescent="0.2">
      <c r="G602" s="88"/>
      <c r="H602" s="88"/>
      <c r="I602" s="88"/>
      <c r="J602" s="88"/>
    </row>
    <row r="603" spans="7:10" ht="15" customHeight="1" x14ac:dyDescent="0.2">
      <c r="G603" s="88"/>
      <c r="H603" s="88"/>
      <c r="I603" s="88"/>
      <c r="J603" s="88"/>
    </row>
    <row r="604" spans="7:10" ht="15" customHeight="1" x14ac:dyDescent="0.2">
      <c r="G604" s="88"/>
      <c r="H604" s="88"/>
      <c r="I604" s="88"/>
      <c r="J604" s="88"/>
    </row>
    <row r="605" spans="7:10" ht="15" customHeight="1" x14ac:dyDescent="0.2">
      <c r="G605" s="88"/>
      <c r="H605" s="88"/>
      <c r="I605" s="88"/>
      <c r="J605" s="88"/>
    </row>
    <row r="606" spans="7:10" ht="15" customHeight="1" x14ac:dyDescent="0.2">
      <c r="G606" s="88"/>
      <c r="H606" s="88"/>
      <c r="I606" s="88"/>
      <c r="J606" s="88"/>
    </row>
    <row r="607" spans="7:10" ht="15" customHeight="1" x14ac:dyDescent="0.2">
      <c r="G607" s="88"/>
      <c r="H607" s="88"/>
      <c r="I607" s="88"/>
      <c r="J607" s="88"/>
    </row>
    <row r="608" spans="7:10" ht="15" customHeight="1" x14ac:dyDescent="0.2">
      <c r="G608" s="88"/>
      <c r="H608" s="88"/>
      <c r="I608" s="88"/>
      <c r="J608" s="88"/>
    </row>
    <row r="609" spans="7:10" ht="15" customHeight="1" x14ac:dyDescent="0.2">
      <c r="G609" s="88"/>
      <c r="H609" s="88"/>
      <c r="I609" s="88"/>
      <c r="J609" s="88"/>
    </row>
    <row r="610" spans="7:10" ht="15" customHeight="1" x14ac:dyDescent="0.2">
      <c r="G610" s="88"/>
      <c r="H610" s="88"/>
      <c r="I610" s="88"/>
      <c r="J610" s="88"/>
    </row>
    <row r="611" spans="7:10" ht="15" customHeight="1" x14ac:dyDescent="0.2">
      <c r="G611" s="88"/>
      <c r="H611" s="88"/>
      <c r="I611" s="88"/>
      <c r="J611" s="88"/>
    </row>
    <row r="612" spans="7:10" ht="15" customHeight="1" x14ac:dyDescent="0.2">
      <c r="G612" s="88"/>
      <c r="H612" s="88"/>
      <c r="I612" s="88"/>
      <c r="J612" s="88"/>
    </row>
    <row r="613" spans="7:10" ht="15" customHeight="1" x14ac:dyDescent="0.2">
      <c r="G613" s="88"/>
      <c r="H613" s="88"/>
      <c r="I613" s="88"/>
      <c r="J613" s="88"/>
    </row>
    <row r="614" spans="7:10" ht="15" customHeight="1" x14ac:dyDescent="0.2">
      <c r="G614" s="88"/>
      <c r="H614" s="88"/>
      <c r="I614" s="88"/>
      <c r="J614" s="88"/>
    </row>
    <row r="615" spans="7:10" ht="15" customHeight="1" x14ac:dyDescent="0.2">
      <c r="G615" s="88"/>
      <c r="H615" s="88"/>
      <c r="I615" s="88"/>
      <c r="J615" s="88"/>
    </row>
    <row r="616" spans="7:10" ht="15" customHeight="1" x14ac:dyDescent="0.2">
      <c r="G616" s="88"/>
      <c r="H616" s="88"/>
      <c r="I616" s="88"/>
      <c r="J616" s="88"/>
    </row>
    <row r="617" spans="7:10" ht="15" customHeight="1" x14ac:dyDescent="0.2">
      <c r="G617" s="88"/>
      <c r="H617" s="88"/>
      <c r="I617" s="88"/>
      <c r="J617" s="88"/>
    </row>
    <row r="618" spans="7:10" ht="15" customHeight="1" x14ac:dyDescent="0.2">
      <c r="G618" s="88"/>
      <c r="H618" s="88"/>
      <c r="I618" s="88"/>
      <c r="J618" s="88"/>
    </row>
    <row r="619" spans="7:10" ht="15" customHeight="1" x14ac:dyDescent="0.2">
      <c r="G619" s="88"/>
      <c r="H619" s="88"/>
      <c r="I619" s="88"/>
      <c r="J619" s="88"/>
    </row>
    <row r="620" spans="7:10" ht="15" customHeight="1" x14ac:dyDescent="0.2">
      <c r="G620" s="88"/>
      <c r="H620" s="88"/>
      <c r="I620" s="88"/>
      <c r="J620" s="88"/>
    </row>
    <row r="621" spans="7:10" ht="15" customHeight="1" x14ac:dyDescent="0.2">
      <c r="G621" s="88"/>
      <c r="H621" s="88"/>
      <c r="I621" s="88"/>
      <c r="J621" s="88"/>
    </row>
    <row r="622" spans="7:10" ht="15" customHeight="1" x14ac:dyDescent="0.2">
      <c r="G622" s="88"/>
      <c r="H622" s="88"/>
      <c r="I622" s="88"/>
      <c r="J622" s="88"/>
    </row>
    <row r="623" spans="7:10" ht="15" customHeight="1" x14ac:dyDescent="0.2">
      <c r="G623" s="88"/>
      <c r="H623" s="88"/>
      <c r="I623" s="88"/>
      <c r="J623" s="88"/>
    </row>
    <row r="624" spans="7:10" ht="15" customHeight="1" x14ac:dyDescent="0.2">
      <c r="G624" s="88"/>
      <c r="H624" s="88"/>
      <c r="I624" s="88"/>
      <c r="J624" s="88"/>
    </row>
    <row r="625" spans="7:10" ht="15" customHeight="1" x14ac:dyDescent="0.2">
      <c r="G625" s="88"/>
      <c r="H625" s="88"/>
      <c r="I625" s="88"/>
      <c r="J625" s="88"/>
    </row>
    <row r="626" spans="7:10" ht="15" customHeight="1" x14ac:dyDescent="0.2">
      <c r="G626" s="88"/>
      <c r="H626" s="88"/>
      <c r="I626" s="88"/>
      <c r="J626" s="88"/>
    </row>
    <row r="627" spans="7:10" ht="15" customHeight="1" x14ac:dyDescent="0.2">
      <c r="G627" s="88"/>
      <c r="H627" s="88"/>
      <c r="I627" s="88"/>
      <c r="J627" s="88"/>
    </row>
    <row r="628" spans="7:10" ht="15" customHeight="1" x14ac:dyDescent="0.2">
      <c r="G628" s="88"/>
      <c r="H628" s="88"/>
      <c r="I628" s="88"/>
      <c r="J628" s="88"/>
    </row>
    <row r="629" spans="7:10" ht="15" customHeight="1" x14ac:dyDescent="0.2">
      <c r="G629" s="88"/>
      <c r="H629" s="88"/>
      <c r="I629" s="88"/>
      <c r="J629" s="88"/>
    </row>
    <row r="630" spans="7:10" ht="15" customHeight="1" x14ac:dyDescent="0.2">
      <c r="G630" s="88"/>
      <c r="H630" s="88"/>
      <c r="I630" s="88"/>
      <c r="J630" s="88"/>
    </row>
    <row r="631" spans="7:10" ht="15" customHeight="1" x14ac:dyDescent="0.2">
      <c r="G631" s="88"/>
      <c r="H631" s="88"/>
      <c r="I631" s="88"/>
      <c r="J631" s="88"/>
    </row>
    <row r="632" spans="7:10" ht="15" customHeight="1" x14ac:dyDescent="0.2">
      <c r="G632" s="88"/>
      <c r="H632" s="88"/>
      <c r="I632" s="88"/>
      <c r="J632" s="88"/>
    </row>
    <row r="633" spans="7:10" ht="15" customHeight="1" x14ac:dyDescent="0.2">
      <c r="G633" s="88"/>
      <c r="H633" s="88"/>
      <c r="I633" s="88"/>
      <c r="J633" s="88"/>
    </row>
    <row r="634" spans="7:10" ht="15" customHeight="1" x14ac:dyDescent="0.2">
      <c r="G634" s="88"/>
      <c r="H634" s="88"/>
      <c r="I634" s="88"/>
      <c r="J634" s="88"/>
    </row>
    <row r="635" spans="7:10" ht="15" customHeight="1" x14ac:dyDescent="0.2">
      <c r="G635" s="88"/>
      <c r="H635" s="88"/>
      <c r="I635" s="88"/>
      <c r="J635" s="88"/>
    </row>
    <row r="636" spans="7:10" ht="15" customHeight="1" x14ac:dyDescent="0.2">
      <c r="G636" s="88"/>
      <c r="H636" s="88"/>
      <c r="I636" s="88"/>
      <c r="J636" s="88"/>
    </row>
    <row r="637" spans="7:10" ht="15" customHeight="1" x14ac:dyDescent="0.2">
      <c r="G637" s="88"/>
      <c r="H637" s="88"/>
      <c r="I637" s="88"/>
      <c r="J637" s="88"/>
    </row>
    <row r="638" spans="7:10" ht="15" customHeight="1" x14ac:dyDescent="0.2">
      <c r="G638" s="88"/>
      <c r="H638" s="88"/>
      <c r="I638" s="88"/>
      <c r="J638" s="88"/>
    </row>
    <row r="639" spans="7:10" ht="15" customHeight="1" x14ac:dyDescent="0.2">
      <c r="G639" s="88"/>
      <c r="H639" s="88"/>
      <c r="I639" s="88"/>
      <c r="J639" s="88"/>
    </row>
    <row r="640" spans="7:10" ht="15" customHeight="1" x14ac:dyDescent="0.2">
      <c r="G640" s="88"/>
      <c r="H640" s="88"/>
      <c r="I640" s="88"/>
      <c r="J640" s="88"/>
    </row>
    <row r="641" spans="7:10" ht="15" customHeight="1" x14ac:dyDescent="0.2">
      <c r="G641" s="88"/>
      <c r="H641" s="88"/>
      <c r="I641" s="88"/>
      <c r="J641" s="88"/>
    </row>
    <row r="642" spans="7:10" ht="15" customHeight="1" x14ac:dyDescent="0.2">
      <c r="G642" s="88"/>
      <c r="H642" s="88"/>
      <c r="I642" s="88"/>
      <c r="J642" s="88"/>
    </row>
    <row r="643" spans="7:10" ht="15" customHeight="1" x14ac:dyDescent="0.2">
      <c r="G643" s="88"/>
      <c r="H643" s="88"/>
      <c r="I643" s="88"/>
      <c r="J643" s="88"/>
    </row>
    <row r="644" spans="7:10" ht="15" customHeight="1" x14ac:dyDescent="0.2">
      <c r="G644" s="88"/>
      <c r="H644" s="88"/>
      <c r="I644" s="88"/>
      <c r="J644" s="88"/>
    </row>
    <row r="645" spans="7:10" ht="15" customHeight="1" x14ac:dyDescent="0.2">
      <c r="G645" s="88"/>
      <c r="H645" s="88"/>
      <c r="I645" s="88"/>
      <c r="J645" s="88"/>
    </row>
    <row r="646" spans="7:10" ht="15" customHeight="1" x14ac:dyDescent="0.2">
      <c r="G646" s="88"/>
      <c r="H646" s="88"/>
      <c r="I646" s="88"/>
      <c r="J646" s="88"/>
    </row>
    <row r="647" spans="7:10" ht="15" customHeight="1" x14ac:dyDescent="0.2">
      <c r="G647" s="88"/>
      <c r="H647" s="88"/>
      <c r="I647" s="88"/>
      <c r="J647" s="88"/>
    </row>
    <row r="648" spans="7:10" ht="15" customHeight="1" x14ac:dyDescent="0.2">
      <c r="G648" s="88"/>
      <c r="H648" s="88"/>
      <c r="I648" s="88"/>
      <c r="J648" s="88"/>
    </row>
    <row r="649" spans="7:10" ht="15" customHeight="1" x14ac:dyDescent="0.2">
      <c r="G649" s="88"/>
      <c r="H649" s="88"/>
      <c r="I649" s="88"/>
      <c r="J649" s="88"/>
    </row>
    <row r="650" spans="7:10" ht="15" customHeight="1" x14ac:dyDescent="0.2">
      <c r="G650" s="88"/>
      <c r="H650" s="88"/>
      <c r="I650" s="88"/>
      <c r="J650" s="88"/>
    </row>
    <row r="651" spans="7:10" ht="15" customHeight="1" x14ac:dyDescent="0.2">
      <c r="G651" s="88"/>
      <c r="H651" s="88"/>
      <c r="I651" s="88"/>
      <c r="J651" s="88"/>
    </row>
    <row r="652" spans="7:10" ht="15" customHeight="1" x14ac:dyDescent="0.2">
      <c r="G652" s="88"/>
      <c r="H652" s="88"/>
      <c r="I652" s="88"/>
      <c r="J652" s="88"/>
    </row>
    <row r="653" spans="7:10" ht="15" customHeight="1" x14ac:dyDescent="0.2">
      <c r="G653" s="88"/>
      <c r="H653" s="88"/>
      <c r="I653" s="88"/>
      <c r="J653" s="88"/>
    </row>
    <row r="654" spans="7:10" ht="15" customHeight="1" x14ac:dyDescent="0.2">
      <c r="G654" s="88"/>
      <c r="H654" s="88"/>
      <c r="I654" s="88"/>
      <c r="J654" s="88"/>
    </row>
    <row r="655" spans="7:10" ht="15" customHeight="1" x14ac:dyDescent="0.2">
      <c r="G655" s="88"/>
      <c r="H655" s="88"/>
      <c r="I655" s="88"/>
      <c r="J655" s="88"/>
    </row>
    <row r="656" spans="7:10" ht="15" customHeight="1" x14ac:dyDescent="0.2">
      <c r="G656" s="88"/>
      <c r="H656" s="88"/>
      <c r="I656" s="88"/>
      <c r="J656" s="88"/>
    </row>
    <row r="657" spans="7:10" ht="15" customHeight="1" x14ac:dyDescent="0.2">
      <c r="G657" s="88"/>
      <c r="H657" s="88"/>
      <c r="I657" s="88"/>
      <c r="J657" s="88"/>
    </row>
    <row r="658" spans="7:10" ht="15" customHeight="1" x14ac:dyDescent="0.2">
      <c r="G658" s="88"/>
      <c r="H658" s="88"/>
      <c r="I658" s="88"/>
      <c r="J658" s="88"/>
    </row>
    <row r="659" spans="7:10" ht="15" customHeight="1" x14ac:dyDescent="0.2">
      <c r="G659" s="88"/>
      <c r="H659" s="88"/>
      <c r="I659" s="88"/>
      <c r="J659" s="88"/>
    </row>
    <row r="660" spans="7:10" ht="15" customHeight="1" x14ac:dyDescent="0.2">
      <c r="G660" s="88"/>
      <c r="H660" s="88"/>
      <c r="I660" s="88"/>
      <c r="J660" s="88"/>
    </row>
    <row r="661" spans="7:10" ht="15" customHeight="1" x14ac:dyDescent="0.2">
      <c r="G661" s="88"/>
      <c r="H661" s="88"/>
      <c r="I661" s="88"/>
      <c r="J661" s="88"/>
    </row>
    <row r="662" spans="7:10" ht="15" customHeight="1" x14ac:dyDescent="0.2">
      <c r="G662" s="88"/>
      <c r="H662" s="88"/>
      <c r="I662" s="88"/>
      <c r="J662" s="88"/>
    </row>
    <row r="663" spans="7:10" ht="15" customHeight="1" x14ac:dyDescent="0.2">
      <c r="G663" s="88"/>
      <c r="H663" s="88"/>
      <c r="I663" s="88"/>
      <c r="J663" s="88"/>
    </row>
    <row r="664" spans="7:10" ht="15" customHeight="1" x14ac:dyDescent="0.2">
      <c r="G664" s="88"/>
      <c r="H664" s="88"/>
      <c r="I664" s="88"/>
      <c r="J664" s="88"/>
    </row>
    <row r="665" spans="7:10" ht="15" customHeight="1" x14ac:dyDescent="0.2">
      <c r="G665" s="88"/>
      <c r="H665" s="88"/>
      <c r="I665" s="88"/>
      <c r="J665" s="88"/>
    </row>
    <row r="666" spans="7:10" ht="15" customHeight="1" x14ac:dyDescent="0.2">
      <c r="G666" s="88"/>
      <c r="H666" s="88"/>
      <c r="I666" s="88"/>
      <c r="J666" s="88"/>
    </row>
    <row r="667" spans="7:10" ht="15" customHeight="1" x14ac:dyDescent="0.2">
      <c r="G667" s="88"/>
      <c r="H667" s="88"/>
      <c r="I667" s="88"/>
      <c r="J667" s="88"/>
    </row>
    <row r="668" spans="7:10" ht="15" customHeight="1" x14ac:dyDescent="0.2">
      <c r="G668" s="88"/>
      <c r="H668" s="88"/>
      <c r="I668" s="88"/>
      <c r="J668" s="88"/>
    </row>
    <row r="669" spans="7:10" ht="15" customHeight="1" x14ac:dyDescent="0.2">
      <c r="G669" s="88"/>
      <c r="H669" s="88"/>
      <c r="I669" s="88"/>
      <c r="J669" s="88"/>
    </row>
    <row r="670" spans="7:10" ht="15" customHeight="1" x14ac:dyDescent="0.2">
      <c r="G670" s="88"/>
      <c r="H670" s="88"/>
      <c r="I670" s="88"/>
      <c r="J670" s="88"/>
    </row>
    <row r="671" spans="7:10" ht="15" customHeight="1" x14ac:dyDescent="0.2">
      <c r="G671" s="88"/>
      <c r="H671" s="88"/>
      <c r="I671" s="88"/>
      <c r="J671" s="88"/>
    </row>
    <row r="672" spans="7:10" ht="15" customHeight="1" x14ac:dyDescent="0.2">
      <c r="G672" s="88"/>
      <c r="H672" s="88"/>
      <c r="I672" s="88"/>
      <c r="J672" s="88"/>
    </row>
    <row r="673" spans="7:10" ht="15" customHeight="1" x14ac:dyDescent="0.2">
      <c r="G673" s="88"/>
      <c r="H673" s="88"/>
      <c r="I673" s="88"/>
      <c r="J673" s="88"/>
    </row>
    <row r="674" spans="7:10" ht="15" customHeight="1" x14ac:dyDescent="0.2">
      <c r="G674" s="88"/>
      <c r="H674" s="88"/>
      <c r="I674" s="88"/>
      <c r="J674" s="88"/>
    </row>
    <row r="675" spans="7:10" ht="15" customHeight="1" x14ac:dyDescent="0.2">
      <c r="G675" s="88"/>
      <c r="H675" s="88"/>
      <c r="I675" s="88"/>
      <c r="J675" s="88"/>
    </row>
    <row r="676" spans="7:10" ht="15" customHeight="1" x14ac:dyDescent="0.2">
      <c r="G676" s="88"/>
      <c r="H676" s="88"/>
      <c r="I676" s="88"/>
      <c r="J676" s="88"/>
    </row>
    <row r="677" spans="7:10" ht="15" customHeight="1" x14ac:dyDescent="0.2">
      <c r="G677" s="88"/>
      <c r="H677" s="88"/>
      <c r="I677" s="88"/>
      <c r="J677" s="88"/>
    </row>
    <row r="678" spans="7:10" ht="15" customHeight="1" x14ac:dyDescent="0.2">
      <c r="G678" s="88"/>
      <c r="H678" s="88"/>
      <c r="I678" s="88"/>
      <c r="J678" s="88"/>
    </row>
    <row r="679" spans="7:10" ht="15" customHeight="1" x14ac:dyDescent="0.2">
      <c r="G679" s="88"/>
      <c r="H679" s="88"/>
      <c r="I679" s="88"/>
      <c r="J679" s="88"/>
    </row>
    <row r="680" spans="7:10" ht="15" customHeight="1" x14ac:dyDescent="0.2">
      <c r="G680" s="88"/>
      <c r="H680" s="88"/>
      <c r="I680" s="88"/>
      <c r="J680" s="88"/>
    </row>
    <row r="681" spans="7:10" ht="15" customHeight="1" x14ac:dyDescent="0.2">
      <c r="G681" s="88"/>
      <c r="H681" s="88"/>
      <c r="I681" s="88"/>
      <c r="J681" s="88"/>
    </row>
    <row r="682" spans="7:10" ht="15" customHeight="1" x14ac:dyDescent="0.2">
      <c r="G682" s="88"/>
      <c r="H682" s="88"/>
      <c r="I682" s="88"/>
      <c r="J682" s="88"/>
    </row>
    <row r="683" spans="7:10" ht="15" customHeight="1" x14ac:dyDescent="0.2">
      <c r="G683" s="88"/>
      <c r="H683" s="88"/>
      <c r="I683" s="88"/>
      <c r="J683" s="88"/>
    </row>
    <row r="684" spans="7:10" ht="15" customHeight="1" x14ac:dyDescent="0.2">
      <c r="G684" s="88"/>
      <c r="H684" s="88"/>
      <c r="I684" s="88"/>
      <c r="J684" s="88"/>
    </row>
    <row r="685" spans="7:10" ht="15" customHeight="1" x14ac:dyDescent="0.2">
      <c r="G685" s="88"/>
      <c r="H685" s="88"/>
      <c r="I685" s="88"/>
      <c r="J685" s="88"/>
    </row>
    <row r="686" spans="7:10" ht="15" customHeight="1" x14ac:dyDescent="0.2">
      <c r="G686" s="88"/>
      <c r="H686" s="88"/>
      <c r="I686" s="88"/>
      <c r="J686" s="88"/>
    </row>
    <row r="687" spans="7:10" ht="15" customHeight="1" x14ac:dyDescent="0.2">
      <c r="G687" s="88"/>
      <c r="H687" s="88"/>
      <c r="I687" s="88"/>
      <c r="J687" s="88"/>
    </row>
    <row r="688" spans="7:10" ht="15" customHeight="1" x14ac:dyDescent="0.2">
      <c r="G688" s="88"/>
      <c r="H688" s="88"/>
      <c r="I688" s="88"/>
      <c r="J688" s="88"/>
    </row>
    <row r="689" spans="7:10" ht="15" customHeight="1" x14ac:dyDescent="0.2">
      <c r="G689" s="88"/>
      <c r="H689" s="88"/>
      <c r="I689" s="88"/>
      <c r="J689" s="88"/>
    </row>
    <row r="690" spans="7:10" ht="15" customHeight="1" x14ac:dyDescent="0.2">
      <c r="G690" s="88"/>
      <c r="H690" s="88"/>
      <c r="I690" s="88"/>
      <c r="J690" s="88"/>
    </row>
    <row r="691" spans="7:10" ht="15" customHeight="1" x14ac:dyDescent="0.2">
      <c r="G691" s="88"/>
      <c r="H691" s="88"/>
      <c r="I691" s="88"/>
      <c r="J691" s="88"/>
    </row>
    <row r="692" spans="7:10" ht="15" customHeight="1" x14ac:dyDescent="0.2">
      <c r="G692" s="88"/>
      <c r="H692" s="88"/>
      <c r="I692" s="88"/>
      <c r="J692" s="88"/>
    </row>
    <row r="693" spans="7:10" ht="15" customHeight="1" x14ac:dyDescent="0.2">
      <c r="G693" s="88"/>
      <c r="H693" s="88"/>
      <c r="I693" s="88"/>
      <c r="J693" s="88"/>
    </row>
    <row r="694" spans="7:10" ht="15" customHeight="1" x14ac:dyDescent="0.2">
      <c r="G694" s="88"/>
      <c r="H694" s="88"/>
      <c r="I694" s="88"/>
      <c r="J694" s="88"/>
    </row>
    <row r="695" spans="7:10" ht="15" customHeight="1" x14ac:dyDescent="0.2">
      <c r="G695" s="88"/>
      <c r="H695" s="88"/>
      <c r="I695" s="88"/>
      <c r="J695" s="88"/>
    </row>
    <row r="696" spans="7:10" ht="15" customHeight="1" x14ac:dyDescent="0.2">
      <c r="G696" s="88"/>
      <c r="H696" s="88"/>
      <c r="I696" s="88"/>
      <c r="J696" s="88"/>
    </row>
    <row r="697" spans="7:10" ht="15" customHeight="1" x14ac:dyDescent="0.2">
      <c r="G697" s="88"/>
      <c r="H697" s="88"/>
      <c r="I697" s="88"/>
      <c r="J697" s="88"/>
    </row>
    <row r="698" spans="7:10" ht="15" customHeight="1" x14ac:dyDescent="0.2">
      <c r="G698" s="88"/>
      <c r="H698" s="88"/>
      <c r="I698" s="88"/>
      <c r="J698" s="88"/>
    </row>
    <row r="699" spans="7:10" ht="15" customHeight="1" x14ac:dyDescent="0.2">
      <c r="G699" s="88"/>
      <c r="H699" s="88"/>
      <c r="I699" s="88"/>
      <c r="J699" s="88"/>
    </row>
    <row r="700" spans="7:10" ht="15" customHeight="1" x14ac:dyDescent="0.2">
      <c r="G700" s="88"/>
      <c r="H700" s="88"/>
      <c r="I700" s="88"/>
      <c r="J700" s="88"/>
    </row>
    <row r="701" spans="7:10" ht="15" customHeight="1" x14ac:dyDescent="0.2">
      <c r="G701" s="88"/>
      <c r="H701" s="88"/>
      <c r="I701" s="88"/>
      <c r="J701" s="88"/>
    </row>
    <row r="702" spans="7:10" ht="15" customHeight="1" x14ac:dyDescent="0.2">
      <c r="G702" s="88"/>
      <c r="H702" s="88"/>
      <c r="I702" s="88"/>
      <c r="J702" s="88"/>
    </row>
    <row r="703" spans="7:10" ht="15" customHeight="1" x14ac:dyDescent="0.2">
      <c r="G703" s="88"/>
      <c r="H703" s="88"/>
      <c r="I703" s="88"/>
      <c r="J703" s="88"/>
    </row>
    <row r="704" spans="7:10" ht="15" customHeight="1" x14ac:dyDescent="0.2">
      <c r="G704" s="88"/>
      <c r="H704" s="88"/>
      <c r="I704" s="88"/>
      <c r="J704" s="88"/>
    </row>
    <row r="705" spans="7:10" ht="15" customHeight="1" x14ac:dyDescent="0.2">
      <c r="G705" s="88"/>
      <c r="H705" s="88"/>
      <c r="I705" s="88"/>
      <c r="J705" s="88"/>
    </row>
    <row r="706" spans="7:10" ht="15" customHeight="1" x14ac:dyDescent="0.2">
      <c r="G706" s="88"/>
      <c r="H706" s="88"/>
      <c r="I706" s="88"/>
      <c r="J706" s="88"/>
    </row>
    <row r="707" spans="7:10" ht="15" customHeight="1" x14ac:dyDescent="0.2">
      <c r="G707" s="88"/>
      <c r="H707" s="88"/>
      <c r="I707" s="88"/>
      <c r="J707" s="88"/>
    </row>
    <row r="708" spans="7:10" ht="15" customHeight="1" x14ac:dyDescent="0.2">
      <c r="G708" s="88"/>
      <c r="H708" s="88"/>
      <c r="I708" s="88"/>
      <c r="J708" s="88"/>
    </row>
    <row r="709" spans="7:10" ht="15" customHeight="1" x14ac:dyDescent="0.2"/>
  </sheetData>
  <mergeCells count="22">
    <mergeCell ref="A7:L7"/>
    <mergeCell ref="D10:E10"/>
    <mergeCell ref="D13:E13"/>
    <mergeCell ref="G10:H10"/>
    <mergeCell ref="B16:K16"/>
    <mergeCell ref="G13:H13"/>
    <mergeCell ref="B13:C13"/>
    <mergeCell ref="B10:C10"/>
    <mergeCell ref="G11:H12"/>
    <mergeCell ref="I11:J12"/>
    <mergeCell ref="G14:H14"/>
    <mergeCell ref="I14:J14"/>
    <mergeCell ref="B9:C9"/>
    <mergeCell ref="D9:E9"/>
    <mergeCell ref="I10:J10"/>
    <mergeCell ref="B11:C12"/>
    <mergeCell ref="D11:E12"/>
    <mergeCell ref="D14:E14"/>
    <mergeCell ref="B29:K29"/>
    <mergeCell ref="I13:J13"/>
    <mergeCell ref="G9:H9"/>
    <mergeCell ref="I9:J9"/>
  </mergeCells>
  <conditionalFormatting sqref="G46:J113">
    <cfRule type="expression" dxfId="123" priority="10">
      <formula>AND(ISNUMBER(G46),ISNUMBER($F46),OR(AND($D46="P",G46&gt;=$F46),AND($D46="N",G46&lt;=$F46)))</formula>
    </cfRule>
    <cfRule type="expression" dxfId="122" priority="11">
      <formula>AND(ISNUMBER(G46),ISNUMBER($F46),OR(AND($D46="P",G46&lt;$F46),AND($D46="N",G46&gt;$F46)))</formula>
    </cfRule>
  </conditionalFormatting>
  <conditionalFormatting sqref="K46:K113">
    <cfRule type="expression" dxfId="121" priority="2">
      <formula>$L46="✓ On Target"</formula>
    </cfRule>
    <cfRule type="expression" dxfId="120" priority="3">
      <formula>$L46="✗ Off Target"</formula>
    </cfRule>
    <cfRule type="expression" dxfId="119" priority="4">
      <formula>$L46="— No Data"</formula>
    </cfRule>
    <cfRule type="expression" dxfId="118" priority="5">
      <formula>$L46="⊘ Non Target"</formula>
    </cfRule>
  </conditionalFormatting>
  <conditionalFormatting sqref="L46:L113">
    <cfRule type="expression" dxfId="117" priority="6">
      <formula>L46="✓ On Target"</formula>
    </cfRule>
    <cfRule type="expression" dxfId="116" priority="7">
      <formula>L46="✗ Off Target"</formula>
    </cfRule>
    <cfRule type="expression" dxfId="115" priority="8">
      <formula>L46="— No Data"</formula>
    </cfRule>
    <cfRule type="expression" dxfId="114" priority="9">
      <formula>L46="⊘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0"/>
  <sheetViews>
    <sheetView showGridLines="0" topLeftCell="A16" zoomScaleNormal="100" workbookViewId="0"/>
  </sheetViews>
  <sheetFormatPr defaultColWidth="8.7421875" defaultRowHeight="15" x14ac:dyDescent="0.2"/>
  <cols>
    <col min="1" max="1" width="9.953125" style="1" customWidth="1"/>
    <col min="2" max="2" width="41.96875" style="1" customWidth="1"/>
    <col min="3" max="3" width="22.05859375" style="1" customWidth="1"/>
    <col min="4" max="4" width="4.03515625" style="1" hidden="1" customWidth="1"/>
    <col min="5" max="6" width="13.046875" style="1" customWidth="1"/>
    <col min="7" max="7" width="11.97265625" style="1" customWidth="1"/>
    <col min="8" max="8" width="13.98828125" style="1" customWidth="1"/>
    <col min="9" max="9" width="16.0078125" style="1" hidden="1" customWidth="1"/>
  </cols>
  <sheetData>
    <row r="1" spans="1:13" ht="15" customHeight="1" x14ac:dyDescent="0.2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ht="15" customHeight="1" x14ac:dyDescent="0.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15" customHeight="1" x14ac:dyDescent="0.2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15" customHeight="1" x14ac:dyDescent="0.2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15" customHeight="1" x14ac:dyDescent="0.2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15" customHeight="1" x14ac:dyDescent="0.2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21.75" customHeight="1" x14ac:dyDescent="0.2">
      <c r="A7" s="163" t="s">
        <v>446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01"/>
    </row>
    <row r="8" spans="1:13" ht="15" customHeight="1" x14ac:dyDescent="0.2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.75" customHeight="1" x14ac:dyDescent="0.2">
      <c r="A9" s="9"/>
      <c r="B9" s="167"/>
      <c r="C9" s="157"/>
      <c r="D9" s="168"/>
      <c r="E9" s="157"/>
      <c r="F9" s="9"/>
      <c r="G9" s="161"/>
      <c r="H9" s="157"/>
      <c r="I9" s="162"/>
      <c r="J9" s="157"/>
      <c r="K9" s="9"/>
      <c r="L9" s="9"/>
      <c r="M9" s="9"/>
    </row>
    <row r="10" spans="1:13" ht="18" customHeight="1" x14ac:dyDescent="0.2">
      <c r="A10" s="9"/>
      <c r="B10" s="164" t="s">
        <v>447</v>
      </c>
      <c r="C10" s="157"/>
      <c r="D10" s="164" t="s">
        <v>448</v>
      </c>
      <c r="E10" s="157"/>
      <c r="F10" s="9"/>
      <c r="G10" s="164" t="s">
        <v>4</v>
      </c>
      <c r="H10" s="157"/>
      <c r="I10" s="164" t="s">
        <v>60</v>
      </c>
      <c r="J10" s="157"/>
      <c r="K10" s="9"/>
      <c r="L10" s="9"/>
      <c r="M10" s="9"/>
    </row>
    <row r="11" spans="1:13" ht="27.75" customHeight="1" x14ac:dyDescent="0.2">
      <c r="A11" s="9"/>
      <c r="B11" s="169">
        <v>6</v>
      </c>
      <c r="C11" s="157"/>
      <c r="D11" s="156">
        <v>4</v>
      </c>
      <c r="E11" s="157"/>
      <c r="F11" s="9"/>
      <c r="G11" s="165">
        <v>2</v>
      </c>
      <c r="H11" s="157"/>
      <c r="I11" s="166">
        <v>1</v>
      </c>
      <c r="J11" s="157"/>
      <c r="K11" s="9"/>
      <c r="L11" s="9"/>
      <c r="M11" s="9"/>
    </row>
    <row r="12" spans="1:13" ht="27.75" customHeight="1" x14ac:dyDescent="0.2">
      <c r="A12" s="9"/>
      <c r="B12" s="157"/>
      <c r="C12" s="157"/>
      <c r="D12" s="157"/>
      <c r="E12" s="157"/>
      <c r="F12" s="9"/>
      <c r="G12" s="157"/>
      <c r="H12" s="157"/>
      <c r="I12" s="157"/>
      <c r="J12" s="157"/>
      <c r="K12" s="9"/>
      <c r="L12" s="9"/>
      <c r="M12" s="9"/>
    </row>
    <row r="13" spans="1:13" ht="18" customHeight="1" x14ac:dyDescent="0.2">
      <c r="A13" s="9"/>
      <c r="B13" s="160" t="s">
        <v>5</v>
      </c>
      <c r="C13" s="157"/>
      <c r="D13" s="160" t="s">
        <v>449</v>
      </c>
      <c r="E13" s="157"/>
      <c r="F13" s="9"/>
      <c r="G13" s="160" t="s">
        <v>450</v>
      </c>
      <c r="H13" s="157"/>
      <c r="I13" s="160" t="s">
        <v>451</v>
      </c>
      <c r="J13" s="157"/>
      <c r="K13" s="9"/>
      <c r="L13" s="9"/>
      <c r="M13" s="9"/>
    </row>
    <row r="14" spans="1:13" ht="31.5" customHeight="1" x14ac:dyDescent="0.2">
      <c r="A14" s="9"/>
      <c r="B14" s="6" t="s">
        <v>452</v>
      </c>
      <c r="C14" s="7" t="s">
        <v>453</v>
      </c>
      <c r="D14" s="190"/>
      <c r="E14" s="157"/>
      <c r="F14" s="9"/>
      <c r="G14" s="190"/>
      <c r="H14" s="157"/>
      <c r="I14" s="190"/>
      <c r="J14" s="157"/>
      <c r="K14" s="9"/>
      <c r="L14" s="9"/>
      <c r="M14" s="9"/>
    </row>
    <row r="15" spans="1:13" ht="15" customHeight="1" x14ac:dyDescent="0.2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24" customHeight="1" x14ac:dyDescent="0.2">
      <c r="B16" s="191" t="s">
        <v>11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</row>
    <row r="17" spans="1:9" ht="24" customHeight="1" x14ac:dyDescent="0.2">
      <c r="B17" s="23" t="s">
        <v>12</v>
      </c>
      <c r="C17" s="23" t="s">
        <v>13</v>
      </c>
      <c r="D17" s="23" t="s">
        <v>61</v>
      </c>
      <c r="E17" s="23" t="s">
        <v>16</v>
      </c>
    </row>
    <row r="18" spans="1:9" ht="21.75" customHeight="1" x14ac:dyDescent="0.2">
      <c r="B18" s="102" t="s">
        <v>20</v>
      </c>
      <c r="C18" s="31">
        <v>2</v>
      </c>
      <c r="D18" s="103">
        <v>1</v>
      </c>
      <c r="E18" s="104">
        <v>1</v>
      </c>
    </row>
    <row r="19" spans="1:9" ht="21.75" customHeight="1" x14ac:dyDescent="0.2">
      <c r="B19" s="105" t="s">
        <v>22</v>
      </c>
      <c r="C19" s="25">
        <v>2</v>
      </c>
      <c r="D19" s="106">
        <v>1</v>
      </c>
      <c r="E19" s="107">
        <v>1</v>
      </c>
    </row>
    <row r="20" spans="1:9" ht="21.75" customHeight="1" x14ac:dyDescent="0.2">
      <c r="B20" s="102" t="s">
        <v>26</v>
      </c>
      <c r="C20" s="31">
        <v>2</v>
      </c>
      <c r="D20" s="103">
        <v>2</v>
      </c>
      <c r="E20" s="104">
        <v>0</v>
      </c>
    </row>
    <row r="21" spans="1:9" ht="25.5" customHeight="1" x14ac:dyDescent="0.2">
      <c r="B21" s="108" t="s">
        <v>28</v>
      </c>
      <c r="C21" s="37">
        <v>6</v>
      </c>
      <c r="D21" s="37">
        <v>4</v>
      </c>
      <c r="E21" s="37">
        <v>2</v>
      </c>
    </row>
    <row r="22" spans="1:9" ht="15.75" customHeight="1" x14ac:dyDescent="0.2"/>
    <row r="23" spans="1:9" ht="15.75" customHeight="1" x14ac:dyDescent="0.2"/>
    <row r="24" spans="1:9" ht="25.5" customHeight="1" x14ac:dyDescent="0.2">
      <c r="A24" s="109" t="s">
        <v>42</v>
      </c>
      <c r="B24" s="109" t="s">
        <v>43</v>
      </c>
      <c r="C24" s="109" t="s">
        <v>44</v>
      </c>
      <c r="D24" s="109" t="s">
        <v>45</v>
      </c>
      <c r="E24" s="109" t="s">
        <v>46</v>
      </c>
      <c r="F24" s="109" t="s">
        <v>454</v>
      </c>
      <c r="G24" s="109" t="s">
        <v>455</v>
      </c>
      <c r="H24" s="109" t="s">
        <v>53</v>
      </c>
      <c r="I24" s="43" t="s">
        <v>54</v>
      </c>
    </row>
    <row r="25" spans="1:9" ht="27.75" customHeight="1" x14ac:dyDescent="0.2">
      <c r="A25" s="110" t="s">
        <v>456</v>
      </c>
      <c r="B25" s="111" t="s">
        <v>457</v>
      </c>
      <c r="C25" s="112" t="s">
        <v>458</v>
      </c>
      <c r="D25" s="10" t="s">
        <v>58</v>
      </c>
      <c r="E25" s="113">
        <v>0.56999999999999995</v>
      </c>
      <c r="F25" s="114">
        <v>0.68</v>
      </c>
      <c r="G25" s="115"/>
      <c r="H25" s="4" t="s">
        <v>91</v>
      </c>
      <c r="I25" s="53" t="s">
        <v>68</v>
      </c>
    </row>
    <row r="26" spans="1:9" ht="27.75" customHeight="1" x14ac:dyDescent="0.2">
      <c r="A26" s="116" t="s">
        <v>459</v>
      </c>
      <c r="B26" s="117" t="s">
        <v>460</v>
      </c>
      <c r="C26" s="118" t="s">
        <v>458</v>
      </c>
      <c r="D26" s="119" t="s">
        <v>58</v>
      </c>
      <c r="E26" s="120">
        <v>7.6899999999999996E-2</v>
      </c>
      <c r="F26" s="121">
        <v>0.61</v>
      </c>
      <c r="G26" s="122"/>
      <c r="H26" s="123" t="s">
        <v>91</v>
      </c>
      <c r="I26" s="53" t="s">
        <v>68</v>
      </c>
    </row>
    <row r="27" spans="1:9" ht="27.75" customHeight="1" x14ac:dyDescent="0.2">
      <c r="A27" s="110" t="s">
        <v>461</v>
      </c>
      <c r="B27" s="111" t="s">
        <v>462</v>
      </c>
      <c r="C27" s="112" t="s">
        <v>146</v>
      </c>
      <c r="D27" s="10" t="s">
        <v>58</v>
      </c>
      <c r="E27" s="5">
        <v>0</v>
      </c>
      <c r="F27" s="124">
        <v>1</v>
      </c>
      <c r="G27" s="125"/>
      <c r="H27" s="4" t="s">
        <v>91</v>
      </c>
      <c r="I27" s="53" t="s">
        <v>68</v>
      </c>
    </row>
    <row r="28" spans="1:9" ht="27.75" customHeight="1" x14ac:dyDescent="0.2">
      <c r="A28" s="116" t="s">
        <v>463</v>
      </c>
      <c r="B28" s="117" t="s">
        <v>464</v>
      </c>
      <c r="C28" s="118" t="s">
        <v>196</v>
      </c>
      <c r="D28" s="119" t="s">
        <v>58</v>
      </c>
      <c r="E28" s="120" t="s">
        <v>89</v>
      </c>
      <c r="F28" s="122" t="s">
        <v>89</v>
      </c>
      <c r="G28" s="122"/>
      <c r="H28" s="123" t="s">
        <v>91</v>
      </c>
      <c r="I28" s="53" t="s">
        <v>68</v>
      </c>
    </row>
    <row r="29" spans="1:9" ht="27.75" customHeight="1" x14ac:dyDescent="0.2">
      <c r="A29" s="116" t="s">
        <v>465</v>
      </c>
      <c r="B29" s="117" t="s">
        <v>466</v>
      </c>
      <c r="C29" s="118" t="s">
        <v>146</v>
      </c>
      <c r="D29" s="119" t="s">
        <v>58</v>
      </c>
      <c r="E29" s="120" t="s">
        <v>89</v>
      </c>
      <c r="F29" s="122" t="s">
        <v>89</v>
      </c>
      <c r="G29" s="122"/>
      <c r="H29" s="123" t="s">
        <v>91</v>
      </c>
      <c r="I29" s="53" t="s">
        <v>68</v>
      </c>
    </row>
    <row r="30" spans="1:9" ht="27.75" customHeight="1" x14ac:dyDescent="0.2">
      <c r="A30" s="44" t="s">
        <v>467</v>
      </c>
      <c r="B30" s="45" t="s">
        <v>468</v>
      </c>
      <c r="C30" s="46" t="s">
        <v>196</v>
      </c>
      <c r="D30" s="46" t="s">
        <v>58</v>
      </c>
      <c r="E30" s="62">
        <v>0.755</v>
      </c>
      <c r="F30" s="66">
        <v>0.79179999999999995</v>
      </c>
      <c r="G30" s="122"/>
      <c r="H30" s="123" t="s">
        <v>91</v>
      </c>
      <c r="I30" s="53" t="s">
        <v>60</v>
      </c>
    </row>
  </sheetData>
  <mergeCells count="21">
    <mergeCell ref="A7:L7"/>
    <mergeCell ref="D10:E10"/>
    <mergeCell ref="D13:E13"/>
    <mergeCell ref="G10:H10"/>
    <mergeCell ref="G13:H13"/>
    <mergeCell ref="B13:C13"/>
    <mergeCell ref="B10:C10"/>
    <mergeCell ref="G11:H12"/>
    <mergeCell ref="I11:J12"/>
    <mergeCell ref="G14:H14"/>
    <mergeCell ref="I14:J14"/>
    <mergeCell ref="B9:C9"/>
    <mergeCell ref="D9:E9"/>
    <mergeCell ref="B16:M16"/>
    <mergeCell ref="I10:J10"/>
    <mergeCell ref="B11:C12"/>
    <mergeCell ref="D11:E12"/>
    <mergeCell ref="D14:E14"/>
    <mergeCell ref="I13:J13"/>
    <mergeCell ref="G9:H9"/>
    <mergeCell ref="I9:J9"/>
  </mergeCells>
  <conditionalFormatting sqref="G25:G30">
    <cfRule type="expression" dxfId="113" priority="2">
      <formula>AND(ISNUMBER(G25),ISNUMBER($F25),OR(AND($D25="N",G25&lt;=$F25),AND($D25="P",G25&gt;=$F25)))</formula>
    </cfRule>
    <cfRule type="expression" dxfId="112" priority="3">
      <formula>AND(ISNUMBER(G25),ISNUMBER($F25),OR(AND($D25="N",G25&gt;$F25),AND($D25="P",G25&lt;$F25)))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showGridLines="0" zoomScaleNormal="100" workbookViewId="0"/>
  </sheetViews>
  <sheetFormatPr defaultColWidth="8.7421875" defaultRowHeight="15" x14ac:dyDescent="0.2"/>
  <cols>
    <col min="1" max="1" width="9.953125" style="1" customWidth="1"/>
    <col min="2" max="2" width="41.96875" style="1" customWidth="1"/>
    <col min="3" max="3" width="22.05859375" style="1" customWidth="1"/>
    <col min="4" max="4" width="4.03515625" style="1" hidden="1" customWidth="1"/>
    <col min="5" max="6" width="13.046875" style="1" customWidth="1"/>
    <col min="7" max="7" width="11.97265625" style="1" customWidth="1"/>
    <col min="8" max="8" width="13.98828125" style="1" customWidth="1"/>
    <col min="9" max="9" width="16.0078125" style="1" hidden="1" customWidth="1"/>
  </cols>
  <sheetData>
    <row r="1" spans="1:13" ht="15" customHeight="1" x14ac:dyDescent="0.2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ht="15" customHeight="1" x14ac:dyDescent="0.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15" customHeight="1" x14ac:dyDescent="0.2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15" customHeight="1" x14ac:dyDescent="0.2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15" customHeight="1" x14ac:dyDescent="0.2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15" customHeight="1" x14ac:dyDescent="0.2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21.75" customHeight="1" x14ac:dyDescent="0.2">
      <c r="A7" s="163" t="s">
        <v>469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01"/>
    </row>
    <row r="8" spans="1:13" ht="15" customHeight="1" x14ac:dyDescent="0.2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.75" customHeight="1" x14ac:dyDescent="0.2">
      <c r="A9" s="9"/>
      <c r="B9" s="167"/>
      <c r="C9" s="157"/>
      <c r="D9" s="168"/>
      <c r="E9" s="157"/>
      <c r="F9" s="9"/>
      <c r="G9" s="161"/>
      <c r="H9" s="157"/>
      <c r="I9" s="162"/>
      <c r="J9" s="157"/>
      <c r="K9" s="9"/>
      <c r="L9" s="9"/>
      <c r="M9" s="9"/>
    </row>
    <row r="10" spans="1:13" ht="18" customHeight="1" x14ac:dyDescent="0.2">
      <c r="A10" s="9"/>
      <c r="B10" s="164" t="s">
        <v>470</v>
      </c>
      <c r="C10" s="157"/>
      <c r="D10" s="164" t="s">
        <v>448</v>
      </c>
      <c r="E10" s="157"/>
      <c r="F10" s="9"/>
      <c r="G10" s="164" t="s">
        <v>4</v>
      </c>
      <c r="H10" s="157"/>
      <c r="I10" s="164" t="s">
        <v>60</v>
      </c>
      <c r="J10" s="157"/>
      <c r="K10" s="9"/>
      <c r="L10" s="9"/>
      <c r="M10" s="9"/>
    </row>
    <row r="11" spans="1:13" ht="27.75" customHeight="1" x14ac:dyDescent="0.2">
      <c r="A11" s="9"/>
      <c r="B11" s="169">
        <v>4</v>
      </c>
      <c r="C11" s="157"/>
      <c r="D11" s="156">
        <v>2</v>
      </c>
      <c r="E11" s="157"/>
      <c r="F11" s="9"/>
      <c r="G11" s="165">
        <v>2</v>
      </c>
      <c r="H11" s="157"/>
      <c r="I11" s="166">
        <v>0</v>
      </c>
      <c r="J11" s="157"/>
      <c r="K11" s="9"/>
      <c r="L11" s="9"/>
      <c r="M11" s="9"/>
    </row>
    <row r="12" spans="1:13" ht="27.75" customHeight="1" x14ac:dyDescent="0.2">
      <c r="A12" s="9"/>
      <c r="B12" s="157"/>
      <c r="C12" s="157"/>
      <c r="D12" s="157"/>
      <c r="E12" s="157"/>
      <c r="F12" s="9"/>
      <c r="G12" s="157"/>
      <c r="H12" s="157"/>
      <c r="I12" s="157"/>
      <c r="J12" s="157"/>
      <c r="K12" s="9"/>
      <c r="L12" s="9"/>
      <c r="M12" s="9"/>
    </row>
    <row r="13" spans="1:13" ht="18" customHeight="1" x14ac:dyDescent="0.2">
      <c r="A13" s="9"/>
      <c r="B13" s="160" t="s">
        <v>5</v>
      </c>
      <c r="C13" s="157"/>
      <c r="D13" s="160" t="s">
        <v>449</v>
      </c>
      <c r="E13" s="157"/>
      <c r="F13" s="9"/>
      <c r="G13" s="160" t="s">
        <v>450</v>
      </c>
      <c r="H13" s="157"/>
      <c r="I13" s="160" t="s">
        <v>451</v>
      </c>
      <c r="J13" s="157"/>
      <c r="K13" s="9"/>
      <c r="L13" s="9"/>
      <c r="M13" s="9"/>
    </row>
    <row r="14" spans="1:13" ht="31.5" customHeight="1" x14ac:dyDescent="0.2">
      <c r="A14" s="9"/>
      <c r="B14" s="6" t="s">
        <v>471</v>
      </c>
      <c r="C14" s="7" t="s">
        <v>472</v>
      </c>
      <c r="D14" s="190"/>
      <c r="E14" s="157"/>
      <c r="F14" s="9"/>
      <c r="G14" s="190"/>
      <c r="H14" s="157"/>
      <c r="I14" s="190"/>
      <c r="J14" s="157"/>
      <c r="K14" s="9"/>
      <c r="L14" s="9"/>
      <c r="M14" s="9"/>
    </row>
    <row r="15" spans="1:13" ht="15" customHeight="1" x14ac:dyDescent="0.2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24" customHeight="1" x14ac:dyDescent="0.2">
      <c r="B16" s="191" t="s">
        <v>11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</row>
    <row r="17" spans="1:10" ht="24" customHeight="1" x14ac:dyDescent="0.2">
      <c r="B17" s="23" t="s">
        <v>12</v>
      </c>
      <c r="C17" s="23" t="s">
        <v>13</v>
      </c>
      <c r="D17" s="23" t="s">
        <v>61</v>
      </c>
      <c r="E17" s="23" t="s">
        <v>16</v>
      </c>
    </row>
    <row r="18" spans="1:10" ht="21.75" customHeight="1" x14ac:dyDescent="0.2">
      <c r="B18" s="102" t="s">
        <v>19</v>
      </c>
      <c r="C18" s="31">
        <v>1</v>
      </c>
      <c r="D18" s="103">
        <v>1</v>
      </c>
      <c r="E18" s="104">
        <v>0</v>
      </c>
    </row>
    <row r="19" spans="1:10" ht="21.75" customHeight="1" x14ac:dyDescent="0.2">
      <c r="B19" s="105" t="s">
        <v>25</v>
      </c>
      <c r="C19" s="25">
        <v>2</v>
      </c>
      <c r="D19" s="106">
        <v>1</v>
      </c>
      <c r="E19" s="107">
        <v>1</v>
      </c>
    </row>
    <row r="20" spans="1:10" ht="21.75" customHeight="1" x14ac:dyDescent="0.2">
      <c r="B20" s="102" t="s">
        <v>22</v>
      </c>
      <c r="C20" s="31">
        <v>1</v>
      </c>
      <c r="D20" s="103">
        <v>0</v>
      </c>
      <c r="E20" s="104">
        <v>1</v>
      </c>
    </row>
    <row r="21" spans="1:10" ht="25.5" customHeight="1" x14ac:dyDescent="0.2">
      <c r="B21" s="108" t="s">
        <v>28</v>
      </c>
      <c r="C21" s="37">
        <v>4</v>
      </c>
      <c r="D21" s="37">
        <v>2</v>
      </c>
      <c r="E21" s="37">
        <v>2</v>
      </c>
    </row>
    <row r="22" spans="1:10" ht="15.75" customHeight="1" x14ac:dyDescent="0.2"/>
    <row r="23" spans="1:10" ht="15.75" customHeight="1" x14ac:dyDescent="0.2"/>
    <row r="24" spans="1:10" ht="25.5" customHeight="1" x14ac:dyDescent="0.2">
      <c r="A24" s="109" t="s">
        <v>42</v>
      </c>
      <c r="B24" s="109" t="s">
        <v>43</v>
      </c>
      <c r="C24" s="109" t="s">
        <v>44</v>
      </c>
      <c r="D24" s="109" t="s">
        <v>45</v>
      </c>
      <c r="E24" s="109" t="s">
        <v>46</v>
      </c>
      <c r="F24" s="109" t="s">
        <v>454</v>
      </c>
      <c r="G24" s="109" t="s">
        <v>455</v>
      </c>
      <c r="H24" s="109" t="s">
        <v>53</v>
      </c>
      <c r="I24" s="43" t="s">
        <v>54</v>
      </c>
      <c r="J24" s="1" t="s">
        <v>55</v>
      </c>
    </row>
    <row r="25" spans="1:10" ht="27.75" customHeight="1" x14ac:dyDescent="0.2">
      <c r="A25" s="110" t="s">
        <v>473</v>
      </c>
      <c r="B25" s="111" t="s">
        <v>474</v>
      </c>
      <c r="C25" s="112" t="s">
        <v>184</v>
      </c>
      <c r="D25" s="10" t="s">
        <v>58</v>
      </c>
      <c r="E25" s="113">
        <v>0.51</v>
      </c>
      <c r="F25" s="114">
        <v>0.7</v>
      </c>
      <c r="G25" s="115"/>
      <c r="H25" s="4" t="s">
        <v>91</v>
      </c>
      <c r="I25" s="53" t="s">
        <v>475</v>
      </c>
      <c r="J25" s="1" t="s">
        <v>61</v>
      </c>
    </row>
    <row r="26" spans="1:10" ht="27.75" customHeight="1" x14ac:dyDescent="0.2">
      <c r="A26" s="116" t="s">
        <v>476</v>
      </c>
      <c r="B26" s="117" t="s">
        <v>477</v>
      </c>
      <c r="C26" s="118" t="s">
        <v>184</v>
      </c>
      <c r="D26" s="119" t="s">
        <v>58</v>
      </c>
      <c r="E26" s="120" t="s">
        <v>89</v>
      </c>
      <c r="F26" s="122">
        <v>1</v>
      </c>
      <c r="G26" s="122"/>
      <c r="H26" s="123" t="s">
        <v>91</v>
      </c>
      <c r="I26" s="53" t="s">
        <v>68</v>
      </c>
      <c r="J26" s="1" t="s">
        <v>61</v>
      </c>
    </row>
    <row r="27" spans="1:10" ht="27.75" customHeight="1" x14ac:dyDescent="0.2">
      <c r="A27" s="110" t="s">
        <v>478</v>
      </c>
      <c r="B27" s="111" t="s">
        <v>479</v>
      </c>
      <c r="C27" s="112" t="s">
        <v>19</v>
      </c>
      <c r="D27" s="10" t="s">
        <v>58</v>
      </c>
      <c r="E27" s="126">
        <v>82.3</v>
      </c>
      <c r="F27" s="127">
        <v>82.3</v>
      </c>
      <c r="G27" s="128"/>
      <c r="H27" s="4" t="s">
        <v>91</v>
      </c>
      <c r="I27" s="53" t="s">
        <v>68</v>
      </c>
      <c r="J27" s="1" t="s">
        <v>61</v>
      </c>
    </row>
    <row r="28" spans="1:10" ht="27.75" customHeight="1" x14ac:dyDescent="0.2">
      <c r="A28" s="116" t="s">
        <v>480</v>
      </c>
      <c r="B28" s="117" t="s">
        <v>481</v>
      </c>
      <c r="C28" s="118" t="s">
        <v>196</v>
      </c>
      <c r="D28" s="119" t="s">
        <v>58</v>
      </c>
      <c r="E28" s="120" t="s">
        <v>89</v>
      </c>
      <c r="F28" s="122" t="s">
        <v>89</v>
      </c>
      <c r="G28" s="122"/>
      <c r="H28" s="123" t="s">
        <v>91</v>
      </c>
      <c r="I28" s="53" t="s">
        <v>186</v>
      </c>
      <c r="J28" s="1" t="s">
        <v>61</v>
      </c>
    </row>
    <row r="29" spans="1:10" ht="15" customHeight="1" x14ac:dyDescent="0.2">
      <c r="A29" s="110" t="s">
        <v>482</v>
      </c>
      <c r="B29" s="111" t="s">
        <v>483</v>
      </c>
      <c r="C29" s="112" t="s">
        <v>23</v>
      </c>
      <c r="D29" s="10" t="s">
        <v>225</v>
      </c>
      <c r="E29" s="113"/>
      <c r="F29" s="114"/>
      <c r="G29" s="115"/>
      <c r="H29" s="4" t="s">
        <v>91</v>
      </c>
      <c r="I29" s="53" t="s">
        <v>68</v>
      </c>
      <c r="J29" s="1" t="s">
        <v>220</v>
      </c>
    </row>
    <row r="30" spans="1:10" ht="24" customHeight="1" x14ac:dyDescent="0.2">
      <c r="A30" s="110" t="s">
        <v>484</v>
      </c>
      <c r="B30" s="111" t="s">
        <v>485</v>
      </c>
      <c r="C30" s="112" t="s">
        <v>23</v>
      </c>
      <c r="D30" s="10" t="s">
        <v>58</v>
      </c>
      <c r="E30" s="113"/>
      <c r="F30" s="114"/>
      <c r="G30" s="115"/>
      <c r="H30" s="4" t="s">
        <v>91</v>
      </c>
      <c r="I30" s="53" t="s">
        <v>68</v>
      </c>
      <c r="J30" s="1" t="s">
        <v>220</v>
      </c>
    </row>
    <row r="31" spans="1:10" ht="24" customHeight="1" x14ac:dyDescent="0.2">
      <c r="A31" s="110" t="s">
        <v>486</v>
      </c>
      <c r="B31" s="111" t="s">
        <v>487</v>
      </c>
      <c r="C31" s="112" t="s">
        <v>23</v>
      </c>
      <c r="D31" s="10" t="s">
        <v>225</v>
      </c>
      <c r="E31" s="113"/>
      <c r="F31" s="114"/>
      <c r="G31" s="115"/>
      <c r="H31" s="4" t="s">
        <v>91</v>
      </c>
      <c r="I31" s="53" t="s">
        <v>228</v>
      </c>
      <c r="J31" s="1" t="s">
        <v>220</v>
      </c>
    </row>
  </sheetData>
  <mergeCells count="21">
    <mergeCell ref="A7:L7"/>
    <mergeCell ref="D10:E10"/>
    <mergeCell ref="D13:E13"/>
    <mergeCell ref="G10:H10"/>
    <mergeCell ref="G13:H13"/>
    <mergeCell ref="B13:C13"/>
    <mergeCell ref="B10:C10"/>
    <mergeCell ref="G11:H12"/>
    <mergeCell ref="I11:J12"/>
    <mergeCell ref="G14:H14"/>
    <mergeCell ref="I14:J14"/>
    <mergeCell ref="B9:C9"/>
    <mergeCell ref="D9:E9"/>
    <mergeCell ref="B16:M16"/>
    <mergeCell ref="I10:J10"/>
    <mergeCell ref="B11:C12"/>
    <mergeCell ref="D11:E12"/>
    <mergeCell ref="D14:E14"/>
    <mergeCell ref="I13:J13"/>
    <mergeCell ref="G9:H9"/>
    <mergeCell ref="I9:J9"/>
  </mergeCells>
  <conditionalFormatting sqref="G25:G28">
    <cfRule type="expression" dxfId="111" priority="2">
      <formula>AND(ISNUMBER(G25),ISNUMBER($F25),OR(AND($D25="N",G25&lt;=$F25),AND($D25="P",G25&gt;=$F25)))</formula>
    </cfRule>
    <cfRule type="expression" dxfId="110" priority="3">
      <formula>AND(ISNUMBER(G25),ISNUMBER($F25),OR(AND($D25="N",G25&gt;$F25),AND($D25="P",G25&lt;$F25)))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704"/>
  <sheetViews>
    <sheetView showGridLines="0" topLeftCell="H44" zoomScale="85" zoomScaleNormal="85" workbookViewId="0">
      <selection activeCell="N57" sqref="N57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488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29</v>
      </c>
      <c r="C12" s="157"/>
      <c r="D12" s="201">
        <v>7</v>
      </c>
      <c r="E12" s="157"/>
      <c r="F12" s="196">
        <v>15</v>
      </c>
      <c r="G12" s="157"/>
      <c r="H12" s="200">
        <v>2</v>
      </c>
      <c r="I12" s="157"/>
      <c r="K12" s="193">
        <v>43</v>
      </c>
      <c r="L12" s="157"/>
      <c r="M12" s="201">
        <v>27</v>
      </c>
      <c r="N12" s="157"/>
      <c r="O12" s="196">
        <v>10</v>
      </c>
      <c r="P12" s="157"/>
      <c r="Q12" s="200">
        <v>3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494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73</v>
      </c>
      <c r="C19" s="157"/>
      <c r="D19" s="157"/>
      <c r="E19" s="205">
        <v>34</v>
      </c>
      <c r="F19" s="157"/>
      <c r="G19" s="157"/>
      <c r="I19" s="204">
        <v>25</v>
      </c>
      <c r="J19" s="157"/>
      <c r="K19" s="157"/>
      <c r="M19" s="199">
        <v>6</v>
      </c>
      <c r="N19" s="157"/>
      <c r="O19" s="157"/>
      <c r="Q19" s="194">
        <v>31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497</v>
      </c>
      <c r="F21" s="157"/>
      <c r="G21" s="157"/>
      <c r="I21" s="160" t="s">
        <v>498</v>
      </c>
      <c r="J21" s="157"/>
      <c r="K21" s="157"/>
      <c r="M21" s="160" t="s">
        <v>499</v>
      </c>
      <c r="N21" s="157"/>
      <c r="O21" s="157"/>
      <c r="Q21" s="195" t="s">
        <v>500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501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5</v>
      </c>
      <c r="E25" s="33">
        <v>5</v>
      </c>
      <c r="F25" s="34">
        <v>2</v>
      </c>
      <c r="G25" s="35">
        <v>0.5</v>
      </c>
    </row>
    <row r="26" spans="2:19" ht="21.75" customHeight="1" x14ac:dyDescent="0.2">
      <c r="B26" s="24" t="s">
        <v>19</v>
      </c>
      <c r="C26" s="41">
        <v>25</v>
      </c>
      <c r="D26" s="26">
        <v>19</v>
      </c>
      <c r="E26" s="27">
        <v>5</v>
      </c>
      <c r="F26" s="28">
        <v>1</v>
      </c>
      <c r="G26" s="29">
        <v>0.79166666666666696</v>
      </c>
    </row>
    <row r="27" spans="2:19" ht="21.75" customHeight="1" x14ac:dyDescent="0.2">
      <c r="B27" s="30" t="s">
        <v>20</v>
      </c>
      <c r="C27" s="40">
        <v>26</v>
      </c>
      <c r="D27" s="32">
        <v>9</v>
      </c>
      <c r="E27" s="33">
        <v>14</v>
      </c>
      <c r="F27" s="34">
        <v>2</v>
      </c>
      <c r="G27" s="35">
        <v>0.39130434782608697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1</v>
      </c>
      <c r="E29" s="33">
        <v>1</v>
      </c>
      <c r="F29" s="34">
        <v>1</v>
      </c>
      <c r="G29" s="35">
        <v>0.5</v>
      </c>
    </row>
    <row r="30" spans="2:19" ht="25.5" customHeight="1" x14ac:dyDescent="0.2">
      <c r="B30" s="36" t="s">
        <v>41</v>
      </c>
      <c r="C30" s="38">
        <v>73</v>
      </c>
      <c r="D30" s="38">
        <v>34</v>
      </c>
      <c r="E30" s="38">
        <v>25</v>
      </c>
      <c r="F30" s="38">
        <v>6</v>
      </c>
      <c r="G30" s="39">
        <v>0.57627118644067798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1.35135135135135E-2</v>
      </c>
      <c r="I36" s="64">
        <v>1.1001100110011E-2</v>
      </c>
      <c r="J36" s="64">
        <v>8.7145969498910701E-3</v>
      </c>
      <c r="K36" s="130">
        <f>IF(COUNT(H36:J36)=0,"",AVERAGE(H36:J36))</f>
        <v>1.1076403524471859E-2</v>
      </c>
      <c r="L36" s="65">
        <v>1.4069264069264099E-2</v>
      </c>
      <c r="M36" s="65">
        <v>1.02389078498294E-2</v>
      </c>
      <c r="N36" s="65">
        <v>1.11902339776195E-2</v>
      </c>
      <c r="O36" s="130">
        <f>IF(COUNT(L36:N36)=0,"",AVERAGE(L36:N36))</f>
        <v>1.1832801965571E-2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1.2572833796868001E-2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1.2096774193548401E-2</v>
      </c>
      <c r="I37" s="64">
        <v>2.9761904761904799E-3</v>
      </c>
      <c r="J37" s="64">
        <v>1.8817204301075301E-2</v>
      </c>
      <c r="K37" s="130">
        <f>IF(COUNT(H37:J37)=0,"",AVERAGE(H37:J37))</f>
        <v>1.1296722990271393E-2</v>
      </c>
      <c r="L37" s="65">
        <v>4.1666666666666699E-2</v>
      </c>
      <c r="M37" s="65">
        <v>4.0322580645161298E-3</v>
      </c>
      <c r="N37" s="65">
        <v>8.3333333333333297E-3</v>
      </c>
      <c r="O37" s="131">
        <f>IF(COUNT(L37:N37)=0,"",AVERAGE(L37:N37))</f>
        <v>1.8010752688172055E-2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2.6481694828468998E-2</v>
      </c>
      <c r="Y37" s="89" t="s">
        <v>67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5.7334565470689901E-2</v>
      </c>
      <c r="I38" s="64">
        <v>3.6155557342338697E-2</v>
      </c>
      <c r="J38" s="64">
        <v>4.2063337866718502E-2</v>
      </c>
      <c r="K38" s="130">
        <f>IF(COUNT(H38:J38)=0,"",AVERAGE(H38:J38))</f>
        <v>4.5184486893249033E-2</v>
      </c>
      <c r="L38" s="65">
        <v>2.5187202178352599E-2</v>
      </c>
      <c r="M38" s="65">
        <v>3.8995180370965402E-2</v>
      </c>
      <c r="N38" s="65">
        <v>4.3668760040893803E-2</v>
      </c>
      <c r="O38" s="130">
        <f>IF(COUNT(L38:N38)=0,"",AVERAGE(L38:N38))</f>
        <v>3.5950380863403936E-2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3.51858445358008E-2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1.5335743235841801E-3</v>
      </c>
      <c r="I39" s="56">
        <v>9.72695060098659E-4</v>
      </c>
      <c r="J39" s="56">
        <v>1.30414531904984E-3</v>
      </c>
      <c r="K39" s="132">
        <f>IF(COUNT(H39:J39)=0,"",AVERAGE(H39:J39))</f>
        <v>1.2701382342442263E-3</v>
      </c>
      <c r="L39" s="78">
        <v>7.8871017717810799E-4</v>
      </c>
      <c r="M39" s="78">
        <v>1.12962439988704E-3</v>
      </c>
      <c r="N39" s="78">
        <v>1.12962439988704E-3</v>
      </c>
      <c r="O39" s="132">
        <f>IF(COUNT(L39:N39)=0,"",AVERAGE(L39:N39))</f>
        <v>1.0159863256507294E-3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1.02942420571117E-3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7.45991686460808E-3</v>
      </c>
      <c r="I40" s="56">
        <v>5.1991722710812201E-3</v>
      </c>
      <c r="J40" s="56">
        <v>6.24592150647898E-3</v>
      </c>
      <c r="K40" s="132">
        <f>IF(COUNT(H40:J40)=0,"",AVERAGE(H40:J40))</f>
        <v>6.3016702140560937E-3</v>
      </c>
      <c r="L40" s="78">
        <v>4.3053592083279798E-3</v>
      </c>
      <c r="M40" s="78">
        <v>5.6508293505763297E-3</v>
      </c>
      <c r="N40" s="78">
        <v>5.6508293505763297E-3</v>
      </c>
      <c r="O40" s="132">
        <f>IF(COUNT(L40:N40)=0,"",AVERAGE(L40:N40))</f>
        <v>5.2023393031602133E-3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5.3035147111920398E-3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0.88007461048935698</v>
      </c>
      <c r="I41" s="64">
        <v>0.87815840621963104</v>
      </c>
      <c r="J41" s="64">
        <v>0.82804585443881595</v>
      </c>
      <c r="K41" s="130">
        <f>IF(COUNT(H41:J41)=0,"",AVERAGE(H41:J41))</f>
        <v>0.86209295704926803</v>
      </c>
      <c r="L41" s="65">
        <v>0.81666666666666698</v>
      </c>
      <c r="M41" s="65">
        <v>0.79565449213543105</v>
      </c>
      <c r="N41" s="65">
        <v>0.82782369146005497</v>
      </c>
      <c r="O41" s="130">
        <f>IF(COUNT(L41:N41)=0,"",AVERAGE(L41:N41))</f>
        <v>0.81338161675405107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0.83937981185796695</v>
      </c>
      <c r="Y41" s="89" t="s">
        <v>67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133">
        <v>4.7627829002514703</v>
      </c>
      <c r="I42" s="133">
        <v>4.44663677130045</v>
      </c>
      <c r="J42" s="133">
        <v>5.26916058394161</v>
      </c>
      <c r="K42" s="134">
        <f>IF(COUNT(H42:J42)=0,"",AVERAGE(H42:J42))</f>
        <v>4.8261934184978434</v>
      </c>
      <c r="L42" s="135">
        <v>6.5823888404533601</v>
      </c>
      <c r="M42" s="135">
        <v>5.5573033707865198</v>
      </c>
      <c r="N42" s="135">
        <v>5.0020066889632098</v>
      </c>
      <c r="O42" s="136">
        <f>IF(COUNT(L42:N42)=0,"",AVERAGE(L42:N42))</f>
        <v>5.7138996334010299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5.7042911294755996</v>
      </c>
      <c r="Y42" s="89" t="s">
        <v>67</v>
      </c>
      <c r="Z42" s="53" t="s">
        <v>128</v>
      </c>
    </row>
    <row r="43" spans="1:26" ht="25.5" customHeight="1" x14ac:dyDescent="0.2">
      <c r="A43" s="44" t="s">
        <v>367</v>
      </c>
      <c r="B43" s="45" t="s">
        <v>368</v>
      </c>
      <c r="C43" s="46" t="s">
        <v>19</v>
      </c>
      <c r="D43" s="46" t="s">
        <v>64</v>
      </c>
      <c r="E43" s="44" t="s">
        <v>504</v>
      </c>
      <c r="F43" s="77">
        <v>0.18</v>
      </c>
      <c r="G43" s="57">
        <v>0</v>
      </c>
      <c r="H43" s="78">
        <v>0</v>
      </c>
      <c r="I43" s="78">
        <v>0</v>
      </c>
      <c r="J43" s="56">
        <v>0</v>
      </c>
      <c r="K43" s="132">
        <f>IF(COUNT(H43:J43)=0,"",SUM(H43:J43))</f>
        <v>0</v>
      </c>
      <c r="L43" s="49">
        <v>0</v>
      </c>
      <c r="M43" s="78">
        <v>0</v>
      </c>
      <c r="N43" s="78">
        <v>0</v>
      </c>
      <c r="O43" s="132">
        <f>IF(COUNT(L43:N43)=0,"",SUM(L43:N43))</f>
        <v>0</v>
      </c>
      <c r="P43" s="78"/>
      <c r="Q43" s="78"/>
      <c r="R43" s="78"/>
      <c r="S43" s="132">
        <v>0</v>
      </c>
      <c r="T43" s="78"/>
      <c r="U43" s="78"/>
      <c r="V43" s="78"/>
      <c r="W43" s="132">
        <v>0</v>
      </c>
      <c r="X43" s="79">
        <v>0</v>
      </c>
      <c r="Y43" s="89" t="s">
        <v>59</v>
      </c>
      <c r="Z43" s="53" t="s">
        <v>128</v>
      </c>
    </row>
    <row r="44" spans="1:26" ht="25.5" customHeight="1" x14ac:dyDescent="0.2">
      <c r="A44" s="44" t="s">
        <v>369</v>
      </c>
      <c r="B44" s="45" t="s">
        <v>370</v>
      </c>
      <c r="C44" s="46" t="s">
        <v>19</v>
      </c>
      <c r="D44" s="46" t="s">
        <v>58</v>
      </c>
      <c r="E44" s="44" t="s">
        <v>504</v>
      </c>
      <c r="F44" s="62">
        <v>0.97399999999999998</v>
      </c>
      <c r="G44" s="63">
        <v>0.98</v>
      </c>
      <c r="H44" s="64">
        <v>0.94508108108108102</v>
      </c>
      <c r="I44" s="64">
        <v>0.92642526964560901</v>
      </c>
      <c r="J44" s="64">
        <v>0.94283360790774295</v>
      </c>
      <c r="K44" s="130">
        <f>IF(COUNT(H44:J44)=0,"",AVERAGE(H44:J44))</f>
        <v>0.93811331954481103</v>
      </c>
      <c r="L44" s="65">
        <v>0.95621810367982796</v>
      </c>
      <c r="M44" s="65">
        <v>0.94095788604459096</v>
      </c>
      <c r="N44" s="65">
        <v>0.97198312236286899</v>
      </c>
      <c r="O44" s="130">
        <f>IF(COUNT(L44:N44)=0,"",AVERAGE(L44:N44))</f>
        <v>0.9563863706957626</v>
      </c>
      <c r="P44" s="65"/>
      <c r="Q44" s="65"/>
      <c r="R44" s="65"/>
      <c r="S44" s="130" t="str">
        <f>IF(COUNT(P44:R44)=0,"",AVERAGE(P44:R44))</f>
        <v/>
      </c>
      <c r="T44" s="65"/>
      <c r="U44" s="65"/>
      <c r="V44" s="65"/>
      <c r="W44" s="130" t="str">
        <f>IF(COUNT(T44:V44)=0,"",AVERAGE(T44:V44))</f>
        <v/>
      </c>
      <c r="X44" s="67">
        <v>0.94716571161231999</v>
      </c>
      <c r="Y44" s="89" t="s">
        <v>67</v>
      </c>
      <c r="Z44" s="53" t="s">
        <v>128</v>
      </c>
    </row>
    <row r="45" spans="1:26" ht="25.5" customHeight="1" x14ac:dyDescent="0.2">
      <c r="A45" s="44" t="s">
        <v>371</v>
      </c>
      <c r="B45" s="45" t="s">
        <v>372</v>
      </c>
      <c r="C45" s="46" t="s">
        <v>19</v>
      </c>
      <c r="D45" s="46" t="s">
        <v>64</v>
      </c>
      <c r="E45" s="44" t="s">
        <v>504</v>
      </c>
      <c r="F45" s="83"/>
      <c r="G45" s="84">
        <v>60</v>
      </c>
      <c r="H45" s="98">
        <v>59</v>
      </c>
      <c r="I45" s="98">
        <v>60</v>
      </c>
      <c r="J45" s="98">
        <v>58</v>
      </c>
      <c r="K45" s="137">
        <f>IF(COUNT(H45:J45)=0,"",AVERAGE(H45:J45))</f>
        <v>59</v>
      </c>
      <c r="L45" s="85">
        <v>59.7</v>
      </c>
      <c r="M45" s="85">
        <v>58</v>
      </c>
      <c r="N45" s="85"/>
      <c r="O45" s="137">
        <f>IF(COUNT(L45:N45)=0,"",AVERAGE(L45:N45))</f>
        <v>58.85</v>
      </c>
      <c r="P45" s="85"/>
      <c r="Q45" s="85"/>
      <c r="R45" s="85"/>
      <c r="S45" s="137" t="str">
        <f>IF(COUNT(P45:R45)=0,"",AVERAGE(P45:R45))</f>
        <v/>
      </c>
      <c r="T45" s="85"/>
      <c r="U45" s="85"/>
      <c r="V45" s="85"/>
      <c r="W45" s="137" t="str">
        <f>IF(COUNT(T45:V45)=0,"",AVERAGE(T45:V45))</f>
        <v/>
      </c>
      <c r="X45" s="87">
        <v>0.99528361344537797</v>
      </c>
      <c r="Y45" s="89" t="s">
        <v>91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2.2421524663677101E-2</v>
      </c>
      <c r="I47" s="64">
        <v>2.2397891963109401E-2</v>
      </c>
      <c r="J47" s="64">
        <v>1.4449638759031E-2</v>
      </c>
      <c r="K47" s="130">
        <f>IF(COUNT(H47:J47)=0,"",AVERAGE(H47:J47))</f>
        <v>1.9756351795272499E-2</v>
      </c>
      <c r="L47" s="65">
        <v>1.6537158796573002E-2</v>
      </c>
      <c r="M47" s="65">
        <v>1.4182895850973799E-2</v>
      </c>
      <c r="N47" s="65">
        <v>2.0188116540490901E-2</v>
      </c>
      <c r="O47" s="130">
        <f>IF(COUNT(L47:N47)=0,"",AVERAGE(L47:N47))</f>
        <v>1.6969390396012567E-2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1.8146755295922801E-2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0.92659999999999998</v>
      </c>
      <c r="I48" s="65">
        <v>0.92559999999999998</v>
      </c>
      <c r="J48" s="65">
        <v>0.85740000000000005</v>
      </c>
      <c r="K48" s="130">
        <f>IF(COUNT(H48:J48)=0,"",AVERAGE(H48:J48))</f>
        <v>0.9032</v>
      </c>
      <c r="L48" s="65">
        <v>0.87319999999999998</v>
      </c>
      <c r="M48" s="65">
        <v>0.86499999999999999</v>
      </c>
      <c r="N48" s="65">
        <v>0.8569</v>
      </c>
      <c r="O48" s="130">
        <f>IF(COUNT(L48:N48)=0,"",AVERAGE(L48:N48))</f>
        <v>0.86503333333333332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0.92659999999999998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65">
        <v>1</v>
      </c>
      <c r="M49" s="65"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0.92549154880993501</v>
      </c>
      <c r="I50" s="64">
        <v>0.86857707509881399</v>
      </c>
      <c r="J50" s="64">
        <v>0.86910327241818996</v>
      </c>
      <c r="K50" s="130">
        <f>IF(COUNT(H50:J50)=0,"",AVERAGE(H50:J50))</f>
        <v>0.88772396544231302</v>
      </c>
      <c r="L50" s="65">
        <v>0.86082885036859902</v>
      </c>
      <c r="M50" s="65">
        <v>0.8921</v>
      </c>
      <c r="N50" s="65">
        <v>0.97759134562313699</v>
      </c>
      <c r="O50" s="130">
        <f>IF(COUNT(L50:N50)=0,"",AVERAGE(L50:N50))</f>
        <v>0.910173398663912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0.87388725466587402</v>
      </c>
      <c r="Y50" s="89" t="s">
        <v>67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1</v>
      </c>
      <c r="O51" s="138">
        <f>IF(COUNT(L51:N51)=0,"",SUM(L51:N51))</f>
        <v>1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385</v>
      </c>
      <c r="B52" s="45" t="s">
        <v>386</v>
      </c>
      <c r="C52" s="46" t="s">
        <v>146</v>
      </c>
      <c r="D52" s="46" t="s">
        <v>58</v>
      </c>
      <c r="E52" s="44" t="s">
        <v>504</v>
      </c>
      <c r="F52" s="62">
        <v>0.82799999999999996</v>
      </c>
      <c r="G52" s="63">
        <v>0.8538</v>
      </c>
      <c r="H52" s="64">
        <v>0.81</v>
      </c>
      <c r="I52" s="64">
        <v>0.73699999999999999</v>
      </c>
      <c r="J52" s="64">
        <v>0.61758241758241805</v>
      </c>
      <c r="K52" s="130">
        <f>IF(COUNT(H52:J52)=0,"",AVERAGE(H52:J52))</f>
        <v>0.72152747252747274</v>
      </c>
      <c r="L52" s="65">
        <v>0.74357142857142899</v>
      </c>
      <c r="M52" s="65">
        <v>0.57232142857142898</v>
      </c>
      <c r="N52" s="65">
        <v>0.85666666666666702</v>
      </c>
      <c r="O52" s="130">
        <f>IF(COUNT(L52:N52)=0,"",AVERAGE(L52:N52))</f>
        <v>0.72418650793650829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0.73254945054945098</v>
      </c>
      <c r="Y52" s="89" t="s">
        <v>67</v>
      </c>
      <c r="Z52" s="53" t="s">
        <v>128</v>
      </c>
    </row>
    <row r="53" spans="1:26" ht="25.5" customHeight="1" x14ac:dyDescent="0.2">
      <c r="A53" s="44" t="s">
        <v>387</v>
      </c>
      <c r="B53" s="45" t="s">
        <v>388</v>
      </c>
      <c r="C53" s="46" t="s">
        <v>146</v>
      </c>
      <c r="D53" s="46" t="s">
        <v>64</v>
      </c>
      <c r="E53" s="44" t="s">
        <v>504</v>
      </c>
      <c r="F53" s="62">
        <v>1.7000000000000001E-2</v>
      </c>
      <c r="G53" s="63">
        <v>1.4500000000000001E-2</v>
      </c>
      <c r="H53" s="64">
        <v>0.03</v>
      </c>
      <c r="I53" s="64">
        <v>1.4999999999999999E-2</v>
      </c>
      <c r="J53" s="64">
        <v>4.2000000000000003E-2</v>
      </c>
      <c r="K53" s="130">
        <f>IF(COUNT(H53:J53)=0,"",AVERAGE(H53:J53))</f>
        <v>2.8999999999999998E-2</v>
      </c>
      <c r="L53" s="65">
        <v>1.8987341772151899E-2</v>
      </c>
      <c r="M53" s="65">
        <v>0</v>
      </c>
      <c r="N53" s="65">
        <v>7.3439412484700099E-3</v>
      </c>
      <c r="O53" s="130">
        <f>IF(COUNT(L53:N53)=0,"",AVERAGE(L53:N53))</f>
        <v>8.7770943402073042E-3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2.3993670886075999E-2</v>
      </c>
      <c r="Y53" s="89" t="s">
        <v>67</v>
      </c>
      <c r="Z53" s="53" t="s">
        <v>128</v>
      </c>
    </row>
    <row r="54" spans="1:26" ht="25.5" customHeight="1" x14ac:dyDescent="0.2">
      <c r="A54" s="44" t="s">
        <v>389</v>
      </c>
      <c r="B54" s="45" t="s">
        <v>390</v>
      </c>
      <c r="C54" s="46" t="s">
        <v>146</v>
      </c>
      <c r="D54" s="46" t="s">
        <v>64</v>
      </c>
      <c r="E54" s="44" t="s">
        <v>504</v>
      </c>
      <c r="F54" s="62">
        <v>1.9E-2</v>
      </c>
      <c r="G54" s="63">
        <v>1.6199999999999999E-2</v>
      </c>
      <c r="H54" s="64">
        <v>0.03</v>
      </c>
      <c r="I54" s="64">
        <v>3.8427755819060203E-2</v>
      </c>
      <c r="J54" s="64">
        <v>3.6230344241394E-2</v>
      </c>
      <c r="K54" s="130">
        <f>IF(COUNT(H54:J54)=0,"",AVERAGE(H54:J54))</f>
        <v>3.4886033353484731E-2</v>
      </c>
      <c r="L54" s="65">
        <v>6.09683203825463E-2</v>
      </c>
      <c r="M54" s="65">
        <v>5.3556308213378499E-2</v>
      </c>
      <c r="N54" s="65">
        <v>2.9031901975935501E-2</v>
      </c>
      <c r="O54" s="130">
        <f>IF(COUNT(L54:N54)=0,"",AVERAGE(L54:N54))</f>
        <v>4.7852176857286766E-2</v>
      </c>
      <c r="P54" s="65"/>
      <c r="Q54" s="65"/>
      <c r="R54" s="65"/>
      <c r="S54" s="130" t="str">
        <f>IF(COUNT(P54:R54)=0,"",AVERAGE(P54:R54))</f>
        <v/>
      </c>
      <c r="T54" s="65"/>
      <c r="U54" s="65"/>
      <c r="V54" s="65"/>
      <c r="W54" s="130" t="str">
        <f>IF(COUNT(T54:V54)=0,"",AVERAGE(T54:V54))</f>
        <v/>
      </c>
      <c r="X54" s="67">
        <v>4.7927176868015502E-2</v>
      </c>
      <c r="Y54" s="89" t="s">
        <v>67</v>
      </c>
      <c r="Z54" s="53" t="s">
        <v>128</v>
      </c>
    </row>
    <row r="55" spans="1:26" ht="25.5" customHeight="1" x14ac:dyDescent="0.2">
      <c r="A55" s="44" t="s">
        <v>391</v>
      </c>
      <c r="B55" s="45" t="s">
        <v>392</v>
      </c>
      <c r="C55" s="46" t="s">
        <v>146</v>
      </c>
      <c r="D55" s="46" t="s">
        <v>64</v>
      </c>
      <c r="E55" s="44" t="s">
        <v>504</v>
      </c>
      <c r="F55" s="77">
        <v>0.01</v>
      </c>
      <c r="G55" s="57">
        <v>8.5000000000000006E-3</v>
      </c>
      <c r="H55" s="56">
        <v>0</v>
      </c>
      <c r="I55" s="56">
        <v>0</v>
      </c>
      <c r="J55" s="56">
        <v>0</v>
      </c>
      <c r="K55" s="132">
        <f>IF(COUNT(H55:J55)=0,"",AVERAGE(H55:J55))</f>
        <v>0</v>
      </c>
      <c r="L55" s="78">
        <v>0</v>
      </c>
      <c r="M55" s="78">
        <v>0</v>
      </c>
      <c r="N55" s="78">
        <v>6.8027210884353704E-3</v>
      </c>
      <c r="O55" s="132">
        <f>IF(COUNT(L55:N55)=0,"",AVERAGE(L55:N55))</f>
        <v>2.2675736961451235E-3</v>
      </c>
      <c r="P55" s="78"/>
      <c r="Q55" s="78"/>
      <c r="R55" s="78"/>
      <c r="S55" s="132" t="str">
        <f>IF(COUNT(P55:R55)=0,"",AVERAGE(P55:R55))</f>
        <v/>
      </c>
      <c r="T55" s="78"/>
      <c r="U55" s="78"/>
      <c r="V55" s="78"/>
      <c r="W55" s="132" t="str">
        <f>IF(COUNT(T55:V55)=0,"",AVERAGE(T55:V55))</f>
        <v/>
      </c>
      <c r="X55" s="79">
        <v>0</v>
      </c>
      <c r="Y55" s="89" t="s">
        <v>59</v>
      </c>
      <c r="Z55" s="53" t="s">
        <v>128</v>
      </c>
    </row>
    <row r="56" spans="1:26" ht="25.5" customHeight="1" x14ac:dyDescent="0.2">
      <c r="A56" s="44" t="s">
        <v>393</v>
      </c>
      <c r="B56" s="45" t="s">
        <v>394</v>
      </c>
      <c r="C56" s="46" t="s">
        <v>146</v>
      </c>
      <c r="D56" s="46" t="s">
        <v>64</v>
      </c>
      <c r="E56" s="44" t="s">
        <v>504</v>
      </c>
      <c r="F56" s="62">
        <v>7.1999999999999995E-2</v>
      </c>
      <c r="G56" s="63">
        <v>6.1199999999999997E-2</v>
      </c>
      <c r="H56" s="64">
        <v>0.15384615384615399</v>
      </c>
      <c r="I56" s="64">
        <v>0.17948717948717999</v>
      </c>
      <c r="J56" s="64">
        <v>0.230769230769231</v>
      </c>
      <c r="K56" s="130">
        <f>IF(COUNT(H56:J56)=0,"",AVERAGE(H56:J56))</f>
        <v>0.18803418803418834</v>
      </c>
      <c r="L56" s="65">
        <v>0.20512820512820501</v>
      </c>
      <c r="M56" s="65">
        <v>0.15384615384615399</v>
      </c>
      <c r="N56" s="65">
        <v>0</v>
      </c>
      <c r="O56" s="130">
        <f>IF(COUNT(L56:N56)=0,"",AVERAGE(L56:N56))</f>
        <v>0.11965811965811968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0.19658119658119699</v>
      </c>
      <c r="Y56" s="89" t="s">
        <v>67</v>
      </c>
      <c r="Z56" s="53" t="s">
        <v>128</v>
      </c>
    </row>
    <row r="57" spans="1:26" ht="25.5" customHeight="1" x14ac:dyDescent="0.2">
      <c r="A57" s="44" t="s">
        <v>395</v>
      </c>
      <c r="B57" s="45" t="s">
        <v>396</v>
      </c>
      <c r="C57" s="46" t="s">
        <v>146</v>
      </c>
      <c r="D57" s="46" t="s">
        <v>58</v>
      </c>
      <c r="E57" s="44" t="s">
        <v>504</v>
      </c>
      <c r="F57" s="62">
        <v>1</v>
      </c>
      <c r="G57" s="63">
        <v>1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1</v>
      </c>
      <c r="M57" s="65">
        <v>1</v>
      </c>
      <c r="N57" s="65">
        <v>1</v>
      </c>
      <c r="O57" s="130">
        <f>IF(COUNT(L57:N57)=0,"",AVERAGE(L57:N57))</f>
        <v>1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1</v>
      </c>
      <c r="Y57" s="89" t="s">
        <v>59</v>
      </c>
      <c r="Z57" s="53" t="s">
        <v>128</v>
      </c>
    </row>
    <row r="58" spans="1:26" ht="25.5" customHeight="1" x14ac:dyDescent="0.2">
      <c r="A58" s="44" t="s">
        <v>397</v>
      </c>
      <c r="B58" s="45" t="s">
        <v>398</v>
      </c>
      <c r="C58" s="46" t="s">
        <v>146</v>
      </c>
      <c r="D58" s="46" t="s">
        <v>64</v>
      </c>
      <c r="E58" s="44" t="s">
        <v>504</v>
      </c>
      <c r="F58" s="77">
        <v>2.7E-2</v>
      </c>
      <c r="G58" s="57">
        <v>1.35E-2</v>
      </c>
      <c r="H58" s="56">
        <v>5.1131601005867597E-2</v>
      </c>
      <c r="I58" s="56">
        <v>5.2631578947368397E-2</v>
      </c>
      <c r="J58" s="56">
        <v>5.8434399117971297E-2</v>
      </c>
      <c r="K58" s="132">
        <f>IF(COUNT(H58:J58)=0,"",AVERAGE(H58:J58))</f>
        <v>5.4065859690402431E-2</v>
      </c>
      <c r="L58" s="78">
        <v>6.7567567567567599E-2</v>
      </c>
      <c r="M58" s="78">
        <v>7.5869336143308805E-2</v>
      </c>
      <c r="N58" s="78">
        <v>4.48E-2</v>
      </c>
      <c r="O58" s="132">
        <f>IF(COUNT(L58:N58)=0,"",AVERAGE(L58:N58))</f>
        <v>6.2745634570292141E-2</v>
      </c>
      <c r="P58" s="78"/>
      <c r="Q58" s="78"/>
      <c r="R58" s="78"/>
      <c r="S58" s="132" t="str">
        <f>IF(COUNT(P58:R58)=0,"",AVERAGE(P58:R58))</f>
        <v/>
      </c>
      <c r="T58" s="78"/>
      <c r="U58" s="78"/>
      <c r="V58" s="78"/>
      <c r="W58" s="132" t="str">
        <f>IF(COUNT(T58:V58)=0,"",AVERAGE(T58:V58))</f>
        <v/>
      </c>
      <c r="X58" s="79">
        <v>6.0816713628984997E-2</v>
      </c>
      <c r="Y58" s="89" t="s">
        <v>67</v>
      </c>
      <c r="Z58" s="53" t="s">
        <v>128</v>
      </c>
    </row>
    <row r="59" spans="1:26" ht="25.5" customHeight="1" x14ac:dyDescent="0.2">
      <c r="A59" s="44" t="s">
        <v>401</v>
      </c>
      <c r="B59" s="45" t="s">
        <v>402</v>
      </c>
      <c r="C59" s="46" t="s">
        <v>146</v>
      </c>
      <c r="D59" s="46" t="s">
        <v>58</v>
      </c>
      <c r="E59" s="44" t="s">
        <v>504</v>
      </c>
      <c r="F59" s="62">
        <v>0.88629999999999998</v>
      </c>
      <c r="G59" s="63">
        <v>0.89380000000000004</v>
      </c>
      <c r="H59" s="64">
        <v>0.97050000000000003</v>
      </c>
      <c r="I59" s="64">
        <v>0.85319999999999996</v>
      </c>
      <c r="J59" s="64">
        <v>1</v>
      </c>
      <c r="K59" s="130">
        <f>IF(COUNT(H59:J59)=0,"",AVERAGE(H59:J59))</f>
        <v>0.94123333333333337</v>
      </c>
      <c r="L59" s="65">
        <v>0.85709999999999997</v>
      </c>
      <c r="M59" s="65">
        <v>0.79859999999999998</v>
      </c>
      <c r="N59" s="65">
        <v>0.87409999999999999</v>
      </c>
      <c r="O59" s="130">
        <f>IF(COUNT(L59:N59)=0,"",AVERAGE(L59:N59))</f>
        <v>0.84326666666666661</v>
      </c>
      <c r="P59" s="65"/>
      <c r="Q59" s="65"/>
      <c r="R59" s="65"/>
      <c r="S59" s="130" t="str">
        <f>IF(COUNT(P59:R59)=0,"",AVERAGE(P59:R59))</f>
        <v/>
      </c>
      <c r="T59" s="65"/>
      <c r="U59" s="65"/>
      <c r="V59" s="65"/>
      <c r="W59" s="130" t="str">
        <f>IF(COUNT(T59:V59)=0,"",AVERAGE(T59:V59))</f>
        <v/>
      </c>
      <c r="X59" s="67">
        <v>0.85709999999999997</v>
      </c>
      <c r="Y59" s="89" t="s">
        <v>67</v>
      </c>
      <c r="Z59" s="53" t="s">
        <v>128</v>
      </c>
    </row>
    <row r="60" spans="1:26" ht="25.5" customHeight="1" x14ac:dyDescent="0.2">
      <c r="A60" s="44" t="s">
        <v>403</v>
      </c>
      <c r="B60" s="45" t="s">
        <v>404</v>
      </c>
      <c r="C60" s="46" t="s">
        <v>146</v>
      </c>
      <c r="D60" s="46" t="s">
        <v>58</v>
      </c>
      <c r="E60" s="44" t="s">
        <v>504</v>
      </c>
      <c r="F60" s="62">
        <v>0.90239999999999998</v>
      </c>
      <c r="G60" s="63">
        <v>0.86580000000000001</v>
      </c>
      <c r="H60" s="64">
        <v>0.84060000000000001</v>
      </c>
      <c r="I60" s="65"/>
      <c r="J60" s="64">
        <v>0.95660000000000001</v>
      </c>
      <c r="K60" s="130">
        <f>IF(COUNT(H60:J60)=0,"",AVERAGE(H60:J60))</f>
        <v>0.89860000000000007</v>
      </c>
      <c r="L60" s="65"/>
      <c r="M60" s="65">
        <v>0.75</v>
      </c>
      <c r="N60" s="65" t="s">
        <v>405</v>
      </c>
      <c r="O60" s="130">
        <f>IF(COUNT(L60:N60)=0,"",AVERAGE(L60:N60))</f>
        <v>0.75</v>
      </c>
      <c r="P60" s="65"/>
      <c r="Q60" s="65"/>
      <c r="R60" s="65"/>
      <c r="S60" s="130" t="str">
        <f>IF(COUNT(P60:R60)=0,"",AVERAGE(P60:R60))</f>
        <v/>
      </c>
      <c r="T60" s="65"/>
      <c r="U60" s="65"/>
      <c r="V60" s="65"/>
      <c r="W60" s="130" t="str">
        <f>IF(COUNT(T60:V60)=0,"",AVERAGE(T60:V60))</f>
        <v/>
      </c>
      <c r="X60" s="67">
        <v>0.89859999999999995</v>
      </c>
      <c r="Y60" s="89" t="s">
        <v>67</v>
      </c>
      <c r="Z60" s="53" t="s">
        <v>128</v>
      </c>
    </row>
    <row r="61" spans="1:26" ht="25.5" customHeight="1" x14ac:dyDescent="0.2">
      <c r="A61" s="44" t="s">
        <v>406</v>
      </c>
      <c r="B61" s="45" t="s">
        <v>407</v>
      </c>
      <c r="C61" s="46" t="s">
        <v>146</v>
      </c>
      <c r="D61" s="46" t="s">
        <v>58</v>
      </c>
      <c r="E61" s="44" t="s">
        <v>504</v>
      </c>
      <c r="F61" s="62">
        <v>0.78200000000000003</v>
      </c>
      <c r="G61" s="63">
        <v>0.80700000000000005</v>
      </c>
      <c r="H61" s="64">
        <v>0.755</v>
      </c>
      <c r="I61" s="64">
        <v>0.72209999999999996</v>
      </c>
      <c r="J61" s="64">
        <v>0.63700000000000001</v>
      </c>
      <c r="K61" s="130">
        <f>IF(COUNT(H61:J61)=0,"",AVERAGE(H61:J61))</f>
        <v>0.70469999999999999</v>
      </c>
      <c r="L61" s="65">
        <v>0.69710000000000005</v>
      </c>
      <c r="M61" s="65">
        <v>0.78120000000000001</v>
      </c>
      <c r="N61" s="65">
        <v>0.79379999999999995</v>
      </c>
      <c r="O61" s="130">
        <f>IF(COUNT(L61:N61)=0,"",AVERAGE(L61:N61))</f>
        <v>0.75736666666666663</v>
      </c>
      <c r="P61" s="65"/>
      <c r="Q61" s="65"/>
      <c r="R61" s="65"/>
      <c r="S61" s="130" t="str">
        <f>IF(COUNT(P61:R61)=0,"",AVERAGE(P61:R61))</f>
        <v/>
      </c>
      <c r="T61" s="65"/>
      <c r="U61" s="65"/>
      <c r="V61" s="65"/>
      <c r="W61" s="130" t="str">
        <f>IF(COUNT(T61:V61)=0,"",AVERAGE(T61:V61))</f>
        <v/>
      </c>
      <c r="X61" s="67">
        <v>0.69710000000000005</v>
      </c>
      <c r="Y61" s="89" t="s">
        <v>67</v>
      </c>
      <c r="Z61" s="53" t="s">
        <v>128</v>
      </c>
    </row>
    <row r="62" spans="1:26" ht="25.5" customHeight="1" x14ac:dyDescent="0.2">
      <c r="A62" s="44" t="s">
        <v>408</v>
      </c>
      <c r="B62" s="45" t="s">
        <v>409</v>
      </c>
      <c r="C62" s="46" t="s">
        <v>146</v>
      </c>
      <c r="D62" s="46" t="s">
        <v>58</v>
      </c>
      <c r="E62" s="44" t="s">
        <v>504</v>
      </c>
      <c r="F62" s="62">
        <v>0.82099999999999995</v>
      </c>
      <c r="G62" s="63">
        <v>0.84799999999999998</v>
      </c>
      <c r="H62" s="64">
        <v>0.85309999999999997</v>
      </c>
      <c r="I62" s="64">
        <v>0.85450000000000004</v>
      </c>
      <c r="J62" s="65">
        <v>0.82979999999999998</v>
      </c>
      <c r="K62" s="130">
        <f>IF(COUNT(H62:J62)=0,"",AVERAGE(H62:J62))</f>
        <v>0.8458</v>
      </c>
      <c r="L62" s="65">
        <v>0.83509999999999995</v>
      </c>
      <c r="M62" s="65">
        <v>0.7913</v>
      </c>
      <c r="N62" s="65">
        <v>0.85670000000000002</v>
      </c>
      <c r="O62" s="130">
        <f>IF(COUNT(L62:N62)=0,"",AVERAGE(L62:N62))</f>
        <v>0.82769999999999999</v>
      </c>
      <c r="P62" s="65"/>
      <c r="Q62" s="65"/>
      <c r="R62" s="65"/>
      <c r="S62" s="130" t="str">
        <f>IF(COUNT(P62:R62)=0,"",AVERAGE(P62:R62))</f>
        <v/>
      </c>
      <c r="T62" s="65"/>
      <c r="U62" s="65"/>
      <c r="V62" s="65"/>
      <c r="W62" s="130" t="str">
        <f>IF(COUNT(T62:V62)=0,"",AVERAGE(T62:V62))</f>
        <v/>
      </c>
      <c r="X62" s="67">
        <v>0.83509999999999995</v>
      </c>
      <c r="Y62" s="89" t="s">
        <v>67</v>
      </c>
      <c r="Z62" s="53" t="s">
        <v>68</v>
      </c>
    </row>
    <row r="63" spans="1:26" ht="25.5" customHeight="1" x14ac:dyDescent="0.2">
      <c r="A63" s="44" t="s">
        <v>421</v>
      </c>
      <c r="B63" s="45" t="s">
        <v>422</v>
      </c>
      <c r="C63" s="46" t="s">
        <v>184</v>
      </c>
      <c r="D63" s="46" t="s">
        <v>58</v>
      </c>
      <c r="E63" s="44" t="s">
        <v>504</v>
      </c>
      <c r="F63" s="62" t="s">
        <v>24</v>
      </c>
      <c r="G63" s="66">
        <v>1</v>
      </c>
      <c r="H63" s="64">
        <v>1</v>
      </c>
      <c r="I63" s="64">
        <v>1</v>
      </c>
      <c r="J63" s="64">
        <v>1</v>
      </c>
      <c r="K63" s="130">
        <f>IF(COUNT(H63:J63)=0,"",LOOKUP(2,1/(H63:J63&lt;&gt;""),H63:J63))</f>
        <v>1</v>
      </c>
      <c r="L63" s="65">
        <v>1</v>
      </c>
      <c r="M63" s="65">
        <v>1</v>
      </c>
      <c r="N63" s="65">
        <v>1</v>
      </c>
      <c r="O63" s="130">
        <f>IF(COUNT(L63:N63)=0,"",LOOKUP(2,1/(L63:N63&lt;&gt;""),L63:N63))</f>
        <v>1</v>
      </c>
      <c r="P63" s="65"/>
      <c r="Q63" s="65"/>
      <c r="R63" s="65"/>
      <c r="S63" s="130" t="str">
        <f>IF(COUNT(P63:R63)=0,"",LOOKUP(2,1/(P63:R63&lt;&gt;""),P63:R63))</f>
        <v/>
      </c>
      <c r="T63" s="65"/>
      <c r="U63" s="65"/>
      <c r="V63" s="65"/>
      <c r="W63" s="130" t="str">
        <f>IF(COUNT(T63:V63)=0,"",LOOKUP(2,1/(T63:V63&lt;&gt;""),T63:V63))</f>
        <v/>
      </c>
      <c r="X63" s="67">
        <v>1</v>
      </c>
      <c r="Y63" s="89" t="s">
        <v>71</v>
      </c>
      <c r="Z63" s="53" t="s">
        <v>179</v>
      </c>
    </row>
    <row r="64" spans="1:26" ht="25.5" customHeight="1" x14ac:dyDescent="0.2">
      <c r="A64" s="44" t="s">
        <v>56</v>
      </c>
      <c r="B64" s="45" t="s">
        <v>57</v>
      </c>
      <c r="C64" s="46" t="s">
        <v>21</v>
      </c>
      <c r="D64" s="46" t="s">
        <v>58</v>
      </c>
      <c r="E64" s="139" t="s">
        <v>505</v>
      </c>
      <c r="F64" s="62">
        <v>0.33</v>
      </c>
      <c r="G64" s="63">
        <v>0.2</v>
      </c>
      <c r="H64" s="140"/>
      <c r="I64" s="140"/>
      <c r="J64" s="140"/>
      <c r="K64" s="141">
        <v>0.60799999999999998</v>
      </c>
      <c r="L64" s="140"/>
      <c r="M64" s="140"/>
      <c r="N64" s="140"/>
      <c r="O64" s="142">
        <v>0.93</v>
      </c>
      <c r="P64" s="140"/>
      <c r="Q64" s="140"/>
      <c r="R64" s="140"/>
      <c r="S64" s="142"/>
      <c r="T64" s="140"/>
      <c r="U64" s="140"/>
      <c r="V64" s="140"/>
      <c r="W64" s="142"/>
      <c r="X64" s="67">
        <v>0.60799999999999998</v>
      </c>
      <c r="Y64" s="89" t="s">
        <v>59</v>
      </c>
      <c r="Z64" s="53" t="s">
        <v>60</v>
      </c>
    </row>
    <row r="65" spans="1:26" ht="25.5" customHeight="1" x14ac:dyDescent="0.2">
      <c r="A65" s="44" t="s">
        <v>62</v>
      </c>
      <c r="B65" s="45" t="s">
        <v>63</v>
      </c>
      <c r="C65" s="46" t="s">
        <v>21</v>
      </c>
      <c r="D65" s="46" t="s">
        <v>64</v>
      </c>
      <c r="E65" s="139" t="s">
        <v>505</v>
      </c>
      <c r="F65" s="90">
        <v>20.7</v>
      </c>
      <c r="G65" s="91">
        <v>21</v>
      </c>
      <c r="H65" s="140"/>
      <c r="I65" s="140"/>
      <c r="J65" s="140"/>
      <c r="K65" s="143">
        <v>19</v>
      </c>
      <c r="L65" s="140"/>
      <c r="M65" s="140"/>
      <c r="N65" s="140"/>
      <c r="O65" s="143" t="s">
        <v>90</v>
      </c>
      <c r="P65" s="140"/>
      <c r="Q65" s="140"/>
      <c r="R65" s="140"/>
      <c r="S65" s="143"/>
      <c r="T65" s="140"/>
      <c r="U65" s="140"/>
      <c r="V65" s="140"/>
      <c r="W65" s="143"/>
      <c r="X65" s="93">
        <v>19</v>
      </c>
      <c r="Y65" s="89" t="s">
        <v>59</v>
      </c>
      <c r="Z65" s="53" t="s">
        <v>60</v>
      </c>
    </row>
    <row r="66" spans="1:26" ht="25.5" customHeight="1" x14ac:dyDescent="0.2">
      <c r="A66" s="44" t="s">
        <v>69</v>
      </c>
      <c r="B66" s="45" t="s">
        <v>70</v>
      </c>
      <c r="C66" s="46" t="s">
        <v>21</v>
      </c>
      <c r="D66" s="46" t="s">
        <v>58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1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1</v>
      </c>
      <c r="Y66" s="89" t="s">
        <v>71</v>
      </c>
      <c r="Z66" s="53" t="s">
        <v>72</v>
      </c>
    </row>
    <row r="67" spans="1:26" ht="25.5" customHeight="1" x14ac:dyDescent="0.2">
      <c r="A67" s="44" t="s">
        <v>73</v>
      </c>
      <c r="B67" s="45" t="s">
        <v>74</v>
      </c>
      <c r="C67" s="46" t="s">
        <v>21</v>
      </c>
      <c r="D67" s="46" t="s">
        <v>64</v>
      </c>
      <c r="E67" s="139" t="s">
        <v>505</v>
      </c>
      <c r="F67" s="62">
        <v>0.52</v>
      </c>
      <c r="G67" s="63">
        <v>0.84</v>
      </c>
      <c r="H67" s="140"/>
      <c r="I67" s="140"/>
      <c r="J67" s="140"/>
      <c r="K67" s="141">
        <v>1.3380000000000001</v>
      </c>
      <c r="L67" s="140"/>
      <c r="M67" s="140"/>
      <c r="N67" s="140"/>
      <c r="O67" s="142"/>
      <c r="P67" s="140"/>
      <c r="Q67" s="140"/>
      <c r="R67" s="140"/>
      <c r="S67" s="142"/>
      <c r="T67" s="140"/>
      <c r="U67" s="140"/>
      <c r="V67" s="140"/>
      <c r="W67" s="142"/>
      <c r="X67" s="67">
        <v>1.3380000000000001</v>
      </c>
      <c r="Y67" s="89" t="s">
        <v>67</v>
      </c>
      <c r="Z67" s="53" t="s">
        <v>60</v>
      </c>
    </row>
    <row r="68" spans="1:26" ht="25.5" customHeight="1" x14ac:dyDescent="0.2">
      <c r="A68" s="44" t="s">
        <v>78</v>
      </c>
      <c r="B68" s="45" t="s">
        <v>79</v>
      </c>
      <c r="C68" s="46" t="s">
        <v>21</v>
      </c>
      <c r="D68" s="46" t="s">
        <v>64</v>
      </c>
      <c r="E68" s="139" t="s">
        <v>505</v>
      </c>
      <c r="F68" s="71">
        <v>4.7</v>
      </c>
      <c r="G68" s="94">
        <v>9.8000000000000007</v>
      </c>
      <c r="H68" s="144"/>
      <c r="I68" s="144"/>
      <c r="J68" s="144"/>
      <c r="K68" s="145">
        <v>4.8</v>
      </c>
      <c r="L68" s="144"/>
      <c r="M68" s="144"/>
      <c r="N68" s="144"/>
      <c r="O68" s="146"/>
      <c r="P68" s="144"/>
      <c r="Q68" s="144"/>
      <c r="R68" s="144"/>
      <c r="S68" s="146"/>
      <c r="T68" s="144"/>
      <c r="U68" s="144"/>
      <c r="V68" s="144"/>
      <c r="W68" s="146"/>
      <c r="X68" s="75">
        <v>4.8</v>
      </c>
      <c r="Y68" s="89" t="s">
        <v>59</v>
      </c>
      <c r="Z68" s="53" t="s">
        <v>60</v>
      </c>
    </row>
    <row r="69" spans="1:26" ht="25.5" customHeight="1" x14ac:dyDescent="0.2">
      <c r="A69" s="44" t="s">
        <v>80</v>
      </c>
      <c r="B69" s="45" t="s">
        <v>81</v>
      </c>
      <c r="C69" s="46" t="s">
        <v>21</v>
      </c>
      <c r="D69" s="46" t="s">
        <v>64</v>
      </c>
      <c r="E69" s="139" t="s">
        <v>505</v>
      </c>
      <c r="F69" s="62">
        <v>2.5000000000000001E-2</v>
      </c>
      <c r="G69" s="63">
        <v>0.04</v>
      </c>
      <c r="H69" s="140"/>
      <c r="I69" s="140"/>
      <c r="J69" s="140"/>
      <c r="K69" s="141">
        <v>1.0999999999999999E-2</v>
      </c>
      <c r="L69" s="140"/>
      <c r="M69" s="140"/>
      <c r="N69" s="140"/>
      <c r="O69" s="142"/>
      <c r="P69" s="140"/>
      <c r="Q69" s="140"/>
      <c r="R69" s="140"/>
      <c r="S69" s="142"/>
      <c r="T69" s="140"/>
      <c r="U69" s="140"/>
      <c r="V69" s="140"/>
      <c r="W69" s="142"/>
      <c r="X69" s="67">
        <v>1.0999999999999999E-2</v>
      </c>
      <c r="Y69" s="89" t="s">
        <v>59</v>
      </c>
      <c r="Z69" s="53" t="s">
        <v>60</v>
      </c>
    </row>
    <row r="70" spans="1:26" ht="25.5" customHeight="1" x14ac:dyDescent="0.2">
      <c r="A70" s="44" t="s">
        <v>82</v>
      </c>
      <c r="B70" s="45" t="s">
        <v>83</v>
      </c>
      <c r="C70" s="46" t="s">
        <v>21</v>
      </c>
      <c r="D70" s="46" t="s">
        <v>58</v>
      </c>
      <c r="E70" s="139" t="s">
        <v>505</v>
      </c>
      <c r="F70" s="77">
        <v>0.3</v>
      </c>
      <c r="G70" s="57">
        <v>0.9</v>
      </c>
      <c r="H70" s="147"/>
      <c r="I70" s="147"/>
      <c r="J70" s="147"/>
      <c r="K70" s="148">
        <v>0.7</v>
      </c>
      <c r="L70" s="147"/>
      <c r="M70" s="147"/>
      <c r="N70" s="147"/>
      <c r="O70" s="149" t="s">
        <v>506</v>
      </c>
      <c r="P70" s="147"/>
      <c r="Q70" s="147"/>
      <c r="R70" s="147"/>
      <c r="S70" s="149"/>
      <c r="T70" s="147"/>
      <c r="U70" s="147"/>
      <c r="V70" s="147"/>
      <c r="W70" s="149"/>
      <c r="X70" s="79">
        <v>0.7</v>
      </c>
      <c r="Y70" s="89" t="s">
        <v>67</v>
      </c>
      <c r="Z70" s="53" t="s">
        <v>60</v>
      </c>
    </row>
    <row r="71" spans="1:26" ht="25.5" customHeight="1" x14ac:dyDescent="0.2">
      <c r="A71" s="44" t="s">
        <v>85</v>
      </c>
      <c r="B71" s="45" t="s">
        <v>86</v>
      </c>
      <c r="C71" s="46" t="s">
        <v>21</v>
      </c>
      <c r="D71" s="46" t="s">
        <v>58</v>
      </c>
      <c r="E71" s="139" t="s">
        <v>505</v>
      </c>
      <c r="F71" s="62">
        <v>0.58789999999999998</v>
      </c>
      <c r="G71" s="66" t="s">
        <v>24</v>
      </c>
      <c r="H71" s="140"/>
      <c r="I71" s="140"/>
      <c r="J71" s="140"/>
      <c r="K71" s="141">
        <v>0.66869999999999996</v>
      </c>
      <c r="L71" s="140"/>
      <c r="M71" s="140"/>
      <c r="N71" s="140"/>
      <c r="O71" s="142">
        <v>0.7944</v>
      </c>
      <c r="P71" s="140"/>
      <c r="Q71" s="140"/>
      <c r="R71" s="140"/>
      <c r="S71" s="142"/>
      <c r="T71" s="140"/>
      <c r="U71" s="140"/>
      <c r="V71" s="140"/>
      <c r="W71" s="142"/>
      <c r="X71" s="67">
        <v>0.66869999999999996</v>
      </c>
      <c r="Y71" s="89" t="s">
        <v>71</v>
      </c>
      <c r="Z71" s="53" t="s">
        <v>68</v>
      </c>
    </row>
    <row r="72" spans="1:26" ht="25.5" customHeight="1" x14ac:dyDescent="0.2">
      <c r="A72" s="44" t="s">
        <v>94</v>
      </c>
      <c r="B72" s="45" t="s">
        <v>95</v>
      </c>
      <c r="C72" s="46" t="s">
        <v>19</v>
      </c>
      <c r="D72" s="46" t="s">
        <v>58</v>
      </c>
      <c r="E72" s="139" t="s">
        <v>505</v>
      </c>
      <c r="F72" s="62">
        <v>0.76700000000000002</v>
      </c>
      <c r="G72" s="63">
        <v>0.5</v>
      </c>
      <c r="H72" s="140"/>
      <c r="I72" s="140"/>
      <c r="J72" s="140"/>
      <c r="K72" s="142">
        <v>0.97922279792746103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0.97922279792746103</v>
      </c>
      <c r="Y72" s="89" t="s">
        <v>59</v>
      </c>
      <c r="Z72" s="53" t="s">
        <v>60</v>
      </c>
    </row>
    <row r="73" spans="1:26" ht="25.5" customHeight="1" x14ac:dyDescent="0.2">
      <c r="A73" s="44" t="s">
        <v>96</v>
      </c>
      <c r="B73" s="45" t="s">
        <v>97</v>
      </c>
      <c r="C73" s="46" t="s">
        <v>19</v>
      </c>
      <c r="D73" s="46" t="s">
        <v>58</v>
      </c>
      <c r="E73" s="139" t="s">
        <v>505</v>
      </c>
      <c r="F73" s="62">
        <v>0.77600000000000002</v>
      </c>
      <c r="G73" s="63">
        <v>0.5</v>
      </c>
      <c r="H73" s="140"/>
      <c r="I73" s="140"/>
      <c r="J73" s="140"/>
      <c r="K73" s="142">
        <v>0.98305699481865305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0.98305699481865305</v>
      </c>
      <c r="Y73" s="89" t="s">
        <v>59</v>
      </c>
      <c r="Z73" s="53" t="s">
        <v>60</v>
      </c>
    </row>
    <row r="74" spans="1:26" ht="25.5" customHeight="1" x14ac:dyDescent="0.2">
      <c r="A74" s="44" t="s">
        <v>98</v>
      </c>
      <c r="B74" s="45" t="s">
        <v>99</v>
      </c>
      <c r="C74" s="46" t="s">
        <v>19</v>
      </c>
      <c r="D74" s="46" t="s">
        <v>58</v>
      </c>
      <c r="E74" s="139" t="s">
        <v>505</v>
      </c>
      <c r="F74" s="62">
        <v>0.45400000000000001</v>
      </c>
      <c r="G74" s="63">
        <v>0.3</v>
      </c>
      <c r="H74" s="140"/>
      <c r="I74" s="140"/>
      <c r="J74" s="140"/>
      <c r="K74" s="142">
        <v>0.83960304638818395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0.83960304638818395</v>
      </c>
      <c r="Y74" s="89" t="s">
        <v>59</v>
      </c>
      <c r="Z74" s="53" t="s">
        <v>60</v>
      </c>
    </row>
    <row r="75" spans="1:26" ht="25.5" customHeight="1" x14ac:dyDescent="0.2">
      <c r="A75" s="44" t="s">
        <v>100</v>
      </c>
      <c r="B75" s="45" t="s">
        <v>101</v>
      </c>
      <c r="C75" s="46" t="s">
        <v>19</v>
      </c>
      <c r="D75" s="46" t="s">
        <v>58</v>
      </c>
      <c r="E75" s="139" t="s">
        <v>505</v>
      </c>
      <c r="F75" s="62">
        <v>0.63700000000000001</v>
      </c>
      <c r="G75" s="63">
        <v>0.5</v>
      </c>
      <c r="H75" s="140"/>
      <c r="I75" s="140"/>
      <c r="J75" s="140"/>
      <c r="K75" s="142">
        <v>1.04201101928375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1.04201101928375</v>
      </c>
      <c r="Y75" s="89" t="s">
        <v>59</v>
      </c>
      <c r="Z75" s="53" t="s">
        <v>60</v>
      </c>
    </row>
    <row r="76" spans="1:26" ht="25.5" customHeight="1" x14ac:dyDescent="0.2">
      <c r="A76" s="44" t="s">
        <v>102</v>
      </c>
      <c r="B76" s="45" t="s">
        <v>103</v>
      </c>
      <c r="C76" s="46" t="s">
        <v>19</v>
      </c>
      <c r="D76" s="46" t="s">
        <v>58</v>
      </c>
      <c r="E76" s="139" t="s">
        <v>505</v>
      </c>
      <c r="F76" s="62">
        <v>0.92</v>
      </c>
      <c r="G76" s="63">
        <v>0.3</v>
      </c>
      <c r="H76" s="140"/>
      <c r="I76" s="140"/>
      <c r="J76" s="140"/>
      <c r="K76" s="142">
        <v>1.35135135135135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1.35135135135135</v>
      </c>
      <c r="Y76" s="89" t="s">
        <v>59</v>
      </c>
      <c r="Z76" s="53" t="s">
        <v>60</v>
      </c>
    </row>
    <row r="77" spans="1:26" ht="25.5" customHeight="1" x14ac:dyDescent="0.2">
      <c r="A77" s="44" t="s">
        <v>104</v>
      </c>
      <c r="B77" s="45" t="s">
        <v>105</v>
      </c>
      <c r="C77" s="46" t="s">
        <v>19</v>
      </c>
      <c r="D77" s="46" t="s">
        <v>58</v>
      </c>
      <c r="E77" s="139" t="s">
        <v>505</v>
      </c>
      <c r="F77" s="62">
        <v>0.88</v>
      </c>
      <c r="G77" s="63">
        <v>0.3</v>
      </c>
      <c r="H77" s="140"/>
      <c r="I77" s="140"/>
      <c r="J77" s="140"/>
      <c r="K77" s="142">
        <v>1.03454545454545</v>
      </c>
      <c r="L77" s="140"/>
      <c r="M77" s="140"/>
      <c r="N77" s="140"/>
      <c r="O77" s="142"/>
      <c r="P77" s="140"/>
      <c r="Q77" s="140"/>
      <c r="R77" s="140"/>
      <c r="S77" s="142"/>
      <c r="T77" s="140"/>
      <c r="U77" s="140"/>
      <c r="V77" s="140"/>
      <c r="W77" s="142"/>
      <c r="X77" s="67">
        <v>1.03454545454545</v>
      </c>
      <c r="Y77" s="89" t="s">
        <v>59</v>
      </c>
      <c r="Z77" s="53" t="s">
        <v>60</v>
      </c>
    </row>
    <row r="78" spans="1:26" ht="25.5" customHeight="1" x14ac:dyDescent="0.2">
      <c r="A78" s="44" t="s">
        <v>106</v>
      </c>
      <c r="B78" s="45" t="s">
        <v>107</v>
      </c>
      <c r="C78" s="46" t="s">
        <v>19</v>
      </c>
      <c r="D78" s="46" t="s">
        <v>58</v>
      </c>
      <c r="E78" s="139" t="s">
        <v>505</v>
      </c>
      <c r="F78" s="62">
        <v>0.84099999999999997</v>
      </c>
      <c r="G78" s="63">
        <v>0.3</v>
      </c>
      <c r="H78" s="140"/>
      <c r="I78" s="140"/>
      <c r="J78" s="140"/>
      <c r="K78" s="142">
        <v>0.91400000000000003</v>
      </c>
      <c r="L78" s="140"/>
      <c r="M78" s="140"/>
      <c r="N78" s="140"/>
      <c r="O78" s="142"/>
      <c r="P78" s="140"/>
      <c r="Q78" s="140"/>
      <c r="R78" s="140"/>
      <c r="S78" s="142"/>
      <c r="T78" s="140"/>
      <c r="U78" s="140"/>
      <c r="V78" s="140"/>
      <c r="W78" s="142"/>
      <c r="X78" s="67">
        <v>0.91400000000000003</v>
      </c>
      <c r="Y78" s="89" t="s">
        <v>59</v>
      </c>
      <c r="Z78" s="53" t="s">
        <v>60</v>
      </c>
    </row>
    <row r="79" spans="1:26" ht="25.5" customHeight="1" x14ac:dyDescent="0.2">
      <c r="A79" s="44" t="s">
        <v>108</v>
      </c>
      <c r="B79" s="45" t="s">
        <v>109</v>
      </c>
      <c r="C79" s="46" t="s">
        <v>19</v>
      </c>
      <c r="D79" s="46" t="s">
        <v>58</v>
      </c>
      <c r="E79" s="139" t="s">
        <v>505</v>
      </c>
      <c r="F79" s="62">
        <v>1</v>
      </c>
      <c r="G79" s="63">
        <v>0.9</v>
      </c>
      <c r="H79" s="140"/>
      <c r="I79" s="140"/>
      <c r="J79" s="140"/>
      <c r="K79" s="142">
        <v>0.88081936685288598</v>
      </c>
      <c r="L79" s="140"/>
      <c r="M79" s="140"/>
      <c r="N79" s="140"/>
      <c r="O79" s="142"/>
      <c r="P79" s="140"/>
      <c r="Q79" s="140"/>
      <c r="R79" s="140"/>
      <c r="S79" s="142"/>
      <c r="T79" s="140"/>
      <c r="U79" s="140"/>
      <c r="V79" s="140"/>
      <c r="W79" s="142"/>
      <c r="X79" s="67">
        <v>0.88081936685288598</v>
      </c>
      <c r="Y79" s="89" t="s">
        <v>67</v>
      </c>
      <c r="Z79" s="53" t="s">
        <v>60</v>
      </c>
    </row>
    <row r="80" spans="1:26" ht="25.5" customHeight="1" x14ac:dyDescent="0.2">
      <c r="A80" s="44" t="s">
        <v>112</v>
      </c>
      <c r="B80" s="45" t="s">
        <v>113</v>
      </c>
      <c r="C80" s="46" t="s">
        <v>19</v>
      </c>
      <c r="D80" s="46" t="s">
        <v>58</v>
      </c>
      <c r="E80" s="139" t="s">
        <v>505</v>
      </c>
      <c r="F80" s="62">
        <v>0.995</v>
      </c>
      <c r="G80" s="66">
        <v>0.6</v>
      </c>
      <c r="H80" s="140"/>
      <c r="I80" s="140"/>
      <c r="J80" s="140"/>
      <c r="K80" s="141">
        <v>1.0160499999999999</v>
      </c>
      <c r="L80" s="140"/>
      <c r="M80" s="140"/>
      <c r="N80" s="140"/>
      <c r="O80" s="142">
        <v>1</v>
      </c>
      <c r="P80" s="140"/>
      <c r="Q80" s="140"/>
      <c r="R80" s="140"/>
      <c r="S80" s="142"/>
      <c r="T80" s="140"/>
      <c r="U80" s="140"/>
      <c r="V80" s="140"/>
      <c r="W80" s="142">
        <v>1.02495</v>
      </c>
      <c r="X80" s="67">
        <v>1.0160499999999999</v>
      </c>
      <c r="Y80" s="89" t="s">
        <v>59</v>
      </c>
      <c r="Z80" s="53" t="s">
        <v>60</v>
      </c>
    </row>
    <row r="81" spans="1:26" ht="25.5" customHeight="1" x14ac:dyDescent="0.2">
      <c r="A81" s="44" t="s">
        <v>119</v>
      </c>
      <c r="B81" s="45" t="s">
        <v>120</v>
      </c>
      <c r="C81" s="46" t="s">
        <v>19</v>
      </c>
      <c r="D81" s="46" t="s">
        <v>64</v>
      </c>
      <c r="E81" s="139" t="s">
        <v>505</v>
      </c>
      <c r="F81" s="77">
        <v>0</v>
      </c>
      <c r="G81" s="96">
        <v>15</v>
      </c>
      <c r="H81" s="147"/>
      <c r="I81" s="147"/>
      <c r="J81" s="147"/>
      <c r="K81" s="148">
        <v>0.9</v>
      </c>
      <c r="L81" s="147"/>
      <c r="M81" s="147"/>
      <c r="N81" s="147"/>
      <c r="O81" s="149">
        <v>1.1000000000000001</v>
      </c>
      <c r="P81" s="147"/>
      <c r="Q81" s="147"/>
      <c r="R81" s="147"/>
      <c r="S81" s="149"/>
      <c r="T81" s="147"/>
      <c r="U81" s="147"/>
      <c r="V81" s="147"/>
      <c r="W81" s="149"/>
      <c r="X81" s="79">
        <v>0.9</v>
      </c>
      <c r="Y81" s="89" t="s">
        <v>59</v>
      </c>
      <c r="Z81" s="53" t="s">
        <v>60</v>
      </c>
    </row>
    <row r="82" spans="1:26" ht="25.5" customHeight="1" x14ac:dyDescent="0.2">
      <c r="A82" s="44" t="s">
        <v>122</v>
      </c>
      <c r="B82" s="45" t="s">
        <v>123</v>
      </c>
      <c r="C82" s="46" t="s">
        <v>19</v>
      </c>
      <c r="D82" s="46" t="s">
        <v>64</v>
      </c>
      <c r="E82" s="139" t="s">
        <v>505</v>
      </c>
      <c r="F82" s="77">
        <v>0.4</v>
      </c>
      <c r="G82" s="50">
        <v>0.7</v>
      </c>
      <c r="H82" s="147"/>
      <c r="I82" s="147"/>
      <c r="J82" s="147"/>
      <c r="K82" s="148">
        <v>0.2</v>
      </c>
      <c r="L82" s="147"/>
      <c r="M82" s="147"/>
      <c r="N82" s="147"/>
      <c r="O82" s="149">
        <v>0.26</v>
      </c>
      <c r="P82" s="147"/>
      <c r="Q82" s="147"/>
      <c r="R82" s="147"/>
      <c r="S82" s="149"/>
      <c r="T82" s="147"/>
      <c r="U82" s="147"/>
      <c r="V82" s="147"/>
      <c r="W82" s="149"/>
      <c r="X82" s="79">
        <v>0.2</v>
      </c>
      <c r="Y82" s="89" t="s">
        <v>59</v>
      </c>
      <c r="Z82" s="53" t="s">
        <v>60</v>
      </c>
    </row>
    <row r="83" spans="1:26" ht="25.5" customHeight="1" x14ac:dyDescent="0.2">
      <c r="A83" s="44" t="s">
        <v>124</v>
      </c>
      <c r="B83" s="45" t="s">
        <v>125</v>
      </c>
      <c r="C83" s="46" t="s">
        <v>19</v>
      </c>
      <c r="D83" s="46" t="s">
        <v>64</v>
      </c>
      <c r="E83" s="139" t="s">
        <v>505</v>
      </c>
      <c r="F83" s="77">
        <v>0.13</v>
      </c>
      <c r="G83" s="97">
        <v>11</v>
      </c>
      <c r="H83" s="147"/>
      <c r="I83" s="147"/>
      <c r="J83" s="147"/>
      <c r="K83" s="148">
        <v>0.9</v>
      </c>
      <c r="L83" s="147"/>
      <c r="M83" s="147"/>
      <c r="N83" s="147"/>
      <c r="O83" s="149">
        <v>0</v>
      </c>
      <c r="P83" s="147"/>
      <c r="Q83" s="147"/>
      <c r="R83" s="147"/>
      <c r="S83" s="149"/>
      <c r="T83" s="147"/>
      <c r="U83" s="147"/>
      <c r="V83" s="147"/>
      <c r="W83" s="149"/>
      <c r="X83" s="79">
        <v>0.9</v>
      </c>
      <c r="Y83" s="89" t="s">
        <v>59</v>
      </c>
      <c r="Z83" s="53" t="s">
        <v>60</v>
      </c>
    </row>
    <row r="84" spans="1:26" ht="25.5" customHeight="1" x14ac:dyDescent="0.2">
      <c r="A84" s="44" t="s">
        <v>126</v>
      </c>
      <c r="B84" s="45" t="s">
        <v>127</v>
      </c>
      <c r="C84" s="46" t="s">
        <v>19</v>
      </c>
      <c r="D84" s="46" t="s">
        <v>64</v>
      </c>
      <c r="E84" s="139" t="s">
        <v>505</v>
      </c>
      <c r="F84" s="77">
        <v>0.47</v>
      </c>
      <c r="G84" s="57">
        <v>0.4</v>
      </c>
      <c r="H84" s="147"/>
      <c r="I84" s="147"/>
      <c r="J84" s="147"/>
      <c r="K84" s="148">
        <v>0</v>
      </c>
      <c r="L84" s="147"/>
      <c r="M84" s="147"/>
      <c r="N84" s="147"/>
      <c r="O84" s="149">
        <v>0.17</v>
      </c>
      <c r="P84" s="147"/>
      <c r="Q84" s="147"/>
      <c r="R84" s="147"/>
      <c r="S84" s="149"/>
      <c r="T84" s="147"/>
      <c r="U84" s="147"/>
      <c r="V84" s="147"/>
      <c r="W84" s="149"/>
      <c r="X84" s="79">
        <v>0</v>
      </c>
      <c r="Y84" s="89" t="s">
        <v>59</v>
      </c>
      <c r="Z84" s="53" t="s">
        <v>128</v>
      </c>
    </row>
    <row r="85" spans="1:26" ht="25.5" customHeight="1" x14ac:dyDescent="0.2">
      <c r="A85" s="44" t="s">
        <v>129</v>
      </c>
      <c r="B85" s="45" t="s">
        <v>130</v>
      </c>
      <c r="C85" s="46" t="s">
        <v>19</v>
      </c>
      <c r="D85" s="46" t="s">
        <v>64</v>
      </c>
      <c r="E85" s="139" t="s">
        <v>505</v>
      </c>
      <c r="F85" s="77">
        <v>0.36</v>
      </c>
      <c r="G85" s="57">
        <v>0.30599999999999999</v>
      </c>
      <c r="H85" s="147"/>
      <c r="I85" s="147"/>
      <c r="J85" s="147"/>
      <c r="K85" s="148">
        <v>0</v>
      </c>
      <c r="L85" s="147"/>
      <c r="M85" s="147"/>
      <c r="N85" s="147"/>
      <c r="O85" s="149">
        <v>0.28000000000000003</v>
      </c>
      <c r="P85" s="147"/>
      <c r="Q85" s="147"/>
      <c r="R85" s="147"/>
      <c r="S85" s="149"/>
      <c r="T85" s="147"/>
      <c r="U85" s="147"/>
      <c r="V85" s="147"/>
      <c r="W85" s="149"/>
      <c r="X85" s="79">
        <v>0</v>
      </c>
      <c r="Y85" s="89" t="s">
        <v>59</v>
      </c>
      <c r="Z85" s="53" t="s">
        <v>131</v>
      </c>
    </row>
    <row r="86" spans="1:26" ht="25.5" customHeight="1" x14ac:dyDescent="0.2">
      <c r="A86" s="44" t="s">
        <v>134</v>
      </c>
      <c r="B86" s="45" t="s">
        <v>135</v>
      </c>
      <c r="C86" s="46" t="s">
        <v>19</v>
      </c>
      <c r="D86" s="46" t="s">
        <v>64</v>
      </c>
      <c r="E86" s="139" t="s">
        <v>505</v>
      </c>
      <c r="F86" s="77">
        <v>3.1</v>
      </c>
      <c r="G86" s="57">
        <v>2.64</v>
      </c>
      <c r="H86" s="147"/>
      <c r="I86" s="147"/>
      <c r="J86" s="147"/>
      <c r="K86" s="148">
        <v>2.3452157598499102</v>
      </c>
      <c r="L86" s="147"/>
      <c r="M86" s="147"/>
      <c r="N86" s="147"/>
      <c r="O86" s="149">
        <v>1.72</v>
      </c>
      <c r="P86" s="147"/>
      <c r="Q86" s="147"/>
      <c r="R86" s="147"/>
      <c r="S86" s="149"/>
      <c r="T86" s="147"/>
      <c r="U86" s="147"/>
      <c r="V86" s="147"/>
      <c r="W86" s="149"/>
      <c r="X86" s="79">
        <v>2.3452157598499102</v>
      </c>
      <c r="Y86" s="89" t="s">
        <v>59</v>
      </c>
      <c r="Z86" s="53" t="s">
        <v>128</v>
      </c>
    </row>
    <row r="87" spans="1:26" ht="25.5" customHeight="1" x14ac:dyDescent="0.2">
      <c r="A87" s="44" t="s">
        <v>136</v>
      </c>
      <c r="B87" s="45" t="s">
        <v>137</v>
      </c>
      <c r="C87" s="46" t="s">
        <v>19</v>
      </c>
      <c r="D87" s="46" t="s">
        <v>64</v>
      </c>
      <c r="E87" s="139" t="s">
        <v>505</v>
      </c>
      <c r="F87" s="77">
        <v>0.9</v>
      </c>
      <c r="G87" s="97">
        <v>1.5</v>
      </c>
      <c r="H87" s="147"/>
      <c r="I87" s="147"/>
      <c r="J87" s="147"/>
      <c r="K87" s="148">
        <v>0</v>
      </c>
      <c r="L87" s="147"/>
      <c r="M87" s="147"/>
      <c r="N87" s="147"/>
      <c r="O87" s="149">
        <v>0.28000000000000003</v>
      </c>
      <c r="P87" s="147"/>
      <c r="Q87" s="147"/>
      <c r="R87" s="147"/>
      <c r="S87" s="149"/>
      <c r="T87" s="147"/>
      <c r="U87" s="147"/>
      <c r="V87" s="147"/>
      <c r="W87" s="149"/>
      <c r="X87" s="79">
        <v>0</v>
      </c>
      <c r="Y87" s="89" t="s">
        <v>59</v>
      </c>
      <c r="Z87" s="53" t="s">
        <v>60</v>
      </c>
    </row>
    <row r="88" spans="1:26" ht="25.5" customHeight="1" x14ac:dyDescent="0.2">
      <c r="A88" s="44" t="s">
        <v>138</v>
      </c>
      <c r="B88" s="45" t="s">
        <v>139</v>
      </c>
      <c r="C88" s="46" t="s">
        <v>19</v>
      </c>
      <c r="D88" s="46" t="s">
        <v>58</v>
      </c>
      <c r="E88" s="139" t="s">
        <v>505</v>
      </c>
      <c r="F88" s="77">
        <v>0.9</v>
      </c>
      <c r="G88" s="57">
        <v>3</v>
      </c>
      <c r="H88" s="147"/>
      <c r="I88" s="147"/>
      <c r="J88" s="147"/>
      <c r="K88" s="148">
        <v>0.8</v>
      </c>
      <c r="L88" s="147"/>
      <c r="M88" s="147"/>
      <c r="N88" s="147"/>
      <c r="O88" s="149">
        <v>0.95</v>
      </c>
      <c r="P88" s="147"/>
      <c r="Q88" s="147"/>
      <c r="R88" s="147"/>
      <c r="S88" s="149"/>
      <c r="T88" s="147"/>
      <c r="U88" s="147"/>
      <c r="V88" s="147"/>
      <c r="W88" s="149"/>
      <c r="X88" s="79">
        <v>0.8</v>
      </c>
      <c r="Y88" s="89" t="s">
        <v>67</v>
      </c>
      <c r="Z88" s="53" t="s">
        <v>60</v>
      </c>
    </row>
    <row r="89" spans="1:26" ht="25.5" customHeight="1" x14ac:dyDescent="0.2">
      <c r="A89" s="44" t="s">
        <v>140</v>
      </c>
      <c r="B89" s="45" t="s">
        <v>141</v>
      </c>
      <c r="C89" s="46" t="s">
        <v>19</v>
      </c>
      <c r="D89" s="46" t="s">
        <v>58</v>
      </c>
      <c r="E89" s="139" t="s">
        <v>505</v>
      </c>
      <c r="F89" s="62">
        <v>0.77700000000000002</v>
      </c>
      <c r="G89" s="63">
        <v>0.7</v>
      </c>
      <c r="H89" s="140"/>
      <c r="I89" s="140"/>
      <c r="J89" s="140"/>
      <c r="K89" s="141">
        <v>0.75700000000000001</v>
      </c>
      <c r="L89" s="140"/>
      <c r="M89" s="140"/>
      <c r="N89" s="140"/>
      <c r="O89" s="142">
        <v>0.76559999999999995</v>
      </c>
      <c r="P89" s="140"/>
      <c r="Q89" s="140"/>
      <c r="R89" s="140"/>
      <c r="S89" s="142"/>
      <c r="T89" s="140"/>
      <c r="U89" s="140"/>
      <c r="V89" s="140"/>
      <c r="W89" s="142"/>
      <c r="X89" s="67">
        <v>0.75700000000000001</v>
      </c>
      <c r="Y89" s="89" t="s">
        <v>59</v>
      </c>
      <c r="Z89" s="53" t="s">
        <v>60</v>
      </c>
    </row>
    <row r="90" spans="1:26" ht="25.5" customHeight="1" x14ac:dyDescent="0.2">
      <c r="A90" s="44" t="s">
        <v>142</v>
      </c>
      <c r="B90" s="45" t="s">
        <v>143</v>
      </c>
      <c r="C90" s="46" t="s">
        <v>19</v>
      </c>
      <c r="D90" s="46" t="s">
        <v>64</v>
      </c>
      <c r="E90" s="139" t="s">
        <v>505</v>
      </c>
      <c r="F90" s="77">
        <v>28.6</v>
      </c>
      <c r="G90" s="97">
        <v>14.3</v>
      </c>
      <c r="H90" s="147"/>
      <c r="I90" s="147"/>
      <c r="J90" s="147"/>
      <c r="K90" s="148">
        <v>79.599999999999994</v>
      </c>
      <c r="L90" s="147"/>
      <c r="M90" s="147"/>
      <c r="N90" s="147"/>
      <c r="O90" s="149">
        <v>4.9000000000000002E-2</v>
      </c>
      <c r="P90" s="147"/>
      <c r="Q90" s="147"/>
      <c r="R90" s="147"/>
      <c r="S90" s="149"/>
      <c r="T90" s="147"/>
      <c r="U90" s="147"/>
      <c r="V90" s="147"/>
      <c r="W90" s="149"/>
      <c r="X90" s="79">
        <v>79.599999999999994</v>
      </c>
      <c r="Y90" s="89" t="s">
        <v>67</v>
      </c>
      <c r="Z90" s="53" t="s">
        <v>60</v>
      </c>
    </row>
    <row r="91" spans="1:26" ht="25.5" customHeight="1" x14ac:dyDescent="0.2">
      <c r="A91" s="44" t="s">
        <v>147</v>
      </c>
      <c r="B91" s="45" t="s">
        <v>148</v>
      </c>
      <c r="C91" s="46" t="s">
        <v>146</v>
      </c>
      <c r="D91" s="46" t="s">
        <v>58</v>
      </c>
      <c r="E91" s="139" t="s">
        <v>505</v>
      </c>
      <c r="F91" s="62">
        <v>0.624</v>
      </c>
      <c r="G91" s="66">
        <v>0.6</v>
      </c>
      <c r="H91" s="140"/>
      <c r="I91" s="140"/>
      <c r="J91" s="140"/>
      <c r="K91" s="142">
        <v>0.53200000000000003</v>
      </c>
      <c r="L91" s="140"/>
      <c r="M91" s="140"/>
      <c r="N91" s="140"/>
      <c r="O91" s="142"/>
      <c r="P91" s="140"/>
      <c r="Q91" s="140"/>
      <c r="R91" s="140"/>
      <c r="S91" s="142"/>
      <c r="T91" s="140"/>
      <c r="U91" s="140"/>
      <c r="V91" s="140"/>
      <c r="W91" s="142"/>
      <c r="X91" s="67">
        <v>0.53200000000000003</v>
      </c>
      <c r="Y91" s="89" t="s">
        <v>67</v>
      </c>
      <c r="Z91" s="53" t="s">
        <v>60</v>
      </c>
    </row>
    <row r="92" spans="1:26" ht="25.5" customHeight="1" x14ac:dyDescent="0.2">
      <c r="A92" s="44" t="s">
        <v>149</v>
      </c>
      <c r="B92" s="45" t="s">
        <v>150</v>
      </c>
      <c r="C92" s="46" t="s">
        <v>146</v>
      </c>
      <c r="D92" s="46" t="s">
        <v>58</v>
      </c>
      <c r="E92" s="139" t="s">
        <v>505</v>
      </c>
      <c r="F92" s="62">
        <v>0.76</v>
      </c>
      <c r="G92" s="66">
        <v>0.7</v>
      </c>
      <c r="H92" s="140"/>
      <c r="I92" s="140"/>
      <c r="J92" s="140"/>
      <c r="K92" s="142"/>
      <c r="L92" s="140"/>
      <c r="M92" s="140"/>
      <c r="N92" s="140"/>
      <c r="O92" s="142"/>
      <c r="P92" s="140"/>
      <c r="Q92" s="140"/>
      <c r="R92" s="140"/>
      <c r="S92" s="142"/>
      <c r="T92" s="140"/>
      <c r="U92" s="140"/>
      <c r="V92" s="140"/>
      <c r="W92" s="142"/>
      <c r="X92" s="67"/>
      <c r="Y92" s="89" t="s">
        <v>91</v>
      </c>
      <c r="Z92" s="53" t="s">
        <v>60</v>
      </c>
    </row>
    <row r="93" spans="1:26" ht="25.5" customHeight="1" x14ac:dyDescent="0.2">
      <c r="A93" s="44" t="s">
        <v>151</v>
      </c>
      <c r="B93" s="45" t="s">
        <v>152</v>
      </c>
      <c r="C93" s="46" t="s">
        <v>146</v>
      </c>
      <c r="D93" s="46" t="s">
        <v>58</v>
      </c>
      <c r="E93" s="139" t="s">
        <v>505</v>
      </c>
      <c r="F93" s="62">
        <v>0.82099999999999995</v>
      </c>
      <c r="G93" s="66">
        <v>0.7</v>
      </c>
      <c r="H93" s="140"/>
      <c r="I93" s="140"/>
      <c r="J93" s="140"/>
      <c r="K93" s="142"/>
      <c r="L93" s="140"/>
      <c r="M93" s="140"/>
      <c r="N93" s="140"/>
      <c r="O93" s="142"/>
      <c r="P93" s="140"/>
      <c r="Q93" s="140"/>
      <c r="R93" s="140"/>
      <c r="S93" s="142"/>
      <c r="T93" s="140"/>
      <c r="U93" s="140"/>
      <c r="V93" s="140"/>
      <c r="W93" s="142"/>
      <c r="X93" s="67"/>
      <c r="Y93" s="89" t="s">
        <v>91</v>
      </c>
      <c r="Z93" s="53" t="s">
        <v>60</v>
      </c>
    </row>
    <row r="94" spans="1:26" ht="25.5" customHeight="1" x14ac:dyDescent="0.2">
      <c r="A94" s="44" t="s">
        <v>153</v>
      </c>
      <c r="B94" s="45" t="s">
        <v>154</v>
      </c>
      <c r="C94" s="46" t="s">
        <v>146</v>
      </c>
      <c r="D94" s="46" t="s">
        <v>58</v>
      </c>
      <c r="E94" s="139" t="s">
        <v>505</v>
      </c>
      <c r="F94" s="62">
        <v>0.91</v>
      </c>
      <c r="G94" s="63">
        <v>0.92</v>
      </c>
      <c r="H94" s="140"/>
      <c r="I94" s="140"/>
      <c r="J94" s="140"/>
      <c r="K94" s="141">
        <v>0.83333333333333304</v>
      </c>
      <c r="L94" s="140"/>
      <c r="M94" s="140"/>
      <c r="N94" s="140"/>
      <c r="O94" s="142">
        <v>0.83330000000000004</v>
      </c>
      <c r="P94" s="140"/>
      <c r="Q94" s="140"/>
      <c r="R94" s="140"/>
      <c r="S94" s="142"/>
      <c r="T94" s="140"/>
      <c r="U94" s="140"/>
      <c r="V94" s="140"/>
      <c r="W94" s="142"/>
      <c r="X94" s="67">
        <v>0.83333333333333304</v>
      </c>
      <c r="Y94" s="89" t="s">
        <v>67</v>
      </c>
      <c r="Z94" s="53" t="s">
        <v>155</v>
      </c>
    </row>
    <row r="95" spans="1:26" ht="25.5" customHeight="1" x14ac:dyDescent="0.2">
      <c r="A95" s="44" t="s">
        <v>156</v>
      </c>
      <c r="B95" s="45" t="s">
        <v>157</v>
      </c>
      <c r="C95" s="46" t="s">
        <v>146</v>
      </c>
      <c r="D95" s="46" t="s">
        <v>58</v>
      </c>
      <c r="E95" s="139" t="s">
        <v>505</v>
      </c>
      <c r="F95" s="62">
        <v>0.78</v>
      </c>
      <c r="G95" s="66">
        <v>0.85</v>
      </c>
      <c r="H95" s="140"/>
      <c r="I95" s="140"/>
      <c r="J95" s="140"/>
      <c r="K95" s="141">
        <v>1</v>
      </c>
      <c r="L95" s="140"/>
      <c r="M95" s="140"/>
      <c r="N95" s="140"/>
      <c r="O95" s="142">
        <v>1</v>
      </c>
      <c r="P95" s="140"/>
      <c r="Q95" s="140"/>
      <c r="R95" s="140"/>
      <c r="S95" s="142"/>
      <c r="T95" s="140"/>
      <c r="U95" s="140"/>
      <c r="V95" s="140"/>
      <c r="W95" s="142"/>
      <c r="X95" s="67">
        <v>1</v>
      </c>
      <c r="Y95" s="89" t="s">
        <v>59</v>
      </c>
      <c r="Z95" s="53" t="s">
        <v>158</v>
      </c>
    </row>
    <row r="96" spans="1:26" ht="25.5" customHeight="1" x14ac:dyDescent="0.2">
      <c r="A96" s="44" t="s">
        <v>159</v>
      </c>
      <c r="B96" s="45" t="s">
        <v>160</v>
      </c>
      <c r="C96" s="46" t="s">
        <v>146</v>
      </c>
      <c r="D96" s="46" t="s">
        <v>58</v>
      </c>
      <c r="E96" s="139" t="s">
        <v>505</v>
      </c>
      <c r="F96" s="62">
        <v>0.78600000000000003</v>
      </c>
      <c r="G96" s="63">
        <v>0.8</v>
      </c>
      <c r="H96" s="140"/>
      <c r="I96" s="140"/>
      <c r="J96" s="140"/>
      <c r="K96" s="141">
        <v>0.91900000000000004</v>
      </c>
      <c r="L96" s="140"/>
      <c r="M96" s="140"/>
      <c r="N96" s="140"/>
      <c r="O96" s="142">
        <v>0.94348633589811604</v>
      </c>
      <c r="P96" s="140"/>
      <c r="Q96" s="140"/>
      <c r="R96" s="140"/>
      <c r="S96" s="142"/>
      <c r="T96" s="140"/>
      <c r="U96" s="140"/>
      <c r="V96" s="140"/>
      <c r="W96" s="142"/>
      <c r="X96" s="67">
        <v>0.91900000000000004</v>
      </c>
      <c r="Y96" s="89" t="s">
        <v>59</v>
      </c>
      <c r="Z96" s="53" t="s">
        <v>60</v>
      </c>
    </row>
    <row r="97" spans="1:26" ht="25.5" customHeight="1" x14ac:dyDescent="0.2">
      <c r="A97" s="44" t="s">
        <v>161</v>
      </c>
      <c r="B97" s="45" t="s">
        <v>162</v>
      </c>
      <c r="C97" s="46" t="s">
        <v>146</v>
      </c>
      <c r="D97" s="46" t="s">
        <v>58</v>
      </c>
      <c r="E97" s="139" t="s">
        <v>505</v>
      </c>
      <c r="F97" s="62">
        <v>0.98</v>
      </c>
      <c r="G97" s="63">
        <v>0.6</v>
      </c>
      <c r="H97" s="140"/>
      <c r="I97" s="140"/>
      <c r="J97" s="140"/>
      <c r="K97" s="141">
        <v>0.98799999999999999</v>
      </c>
      <c r="L97" s="140"/>
      <c r="M97" s="140"/>
      <c r="N97" s="140"/>
      <c r="O97" s="142"/>
      <c r="P97" s="140"/>
      <c r="Q97" s="140"/>
      <c r="R97" s="140"/>
      <c r="S97" s="142"/>
      <c r="T97" s="140"/>
      <c r="U97" s="140"/>
      <c r="V97" s="140"/>
      <c r="W97" s="142"/>
      <c r="X97" s="67">
        <v>0.98799999999999999</v>
      </c>
      <c r="Y97" s="89" t="s">
        <v>59</v>
      </c>
      <c r="Z97" s="53" t="s">
        <v>60</v>
      </c>
    </row>
    <row r="98" spans="1:26" ht="25.5" customHeight="1" x14ac:dyDescent="0.2">
      <c r="A98" s="44" t="s">
        <v>163</v>
      </c>
      <c r="B98" s="45" t="s">
        <v>164</v>
      </c>
      <c r="C98" s="46" t="s">
        <v>146</v>
      </c>
      <c r="D98" s="46" t="s">
        <v>64</v>
      </c>
      <c r="E98" s="139" t="s">
        <v>505</v>
      </c>
      <c r="F98" s="69">
        <v>13.3</v>
      </c>
      <c r="G98" s="84">
        <v>25</v>
      </c>
      <c r="H98" s="150"/>
      <c r="I98" s="150"/>
      <c r="J98" s="150"/>
      <c r="K98" s="151">
        <v>12.7</v>
      </c>
      <c r="L98" s="150"/>
      <c r="M98" s="150"/>
      <c r="N98" s="150"/>
      <c r="O98" s="152"/>
      <c r="P98" s="150"/>
      <c r="Q98" s="150"/>
      <c r="R98" s="150"/>
      <c r="S98" s="152"/>
      <c r="T98" s="150"/>
      <c r="U98" s="150"/>
      <c r="V98" s="150"/>
      <c r="W98" s="152">
        <v>13</v>
      </c>
      <c r="X98" s="100">
        <v>12.7</v>
      </c>
      <c r="Y98" s="89" t="s">
        <v>59</v>
      </c>
      <c r="Z98" s="53" t="s">
        <v>60</v>
      </c>
    </row>
    <row r="99" spans="1:26" ht="25.5" customHeight="1" x14ac:dyDescent="0.2">
      <c r="A99" s="44" t="s">
        <v>165</v>
      </c>
      <c r="B99" s="45" t="s">
        <v>166</v>
      </c>
      <c r="C99" s="46" t="s">
        <v>146</v>
      </c>
      <c r="D99" s="46" t="s">
        <v>64</v>
      </c>
      <c r="E99" s="139" t="s">
        <v>505</v>
      </c>
      <c r="F99" s="77">
        <v>31.9</v>
      </c>
      <c r="G99" s="97">
        <v>15.95</v>
      </c>
      <c r="H99" s="147"/>
      <c r="I99" s="147"/>
      <c r="J99" s="147"/>
      <c r="K99" s="148">
        <v>61</v>
      </c>
      <c r="L99" s="147"/>
      <c r="M99" s="147"/>
      <c r="N99" s="147"/>
      <c r="O99" s="149">
        <v>65.573770491803302</v>
      </c>
      <c r="P99" s="147"/>
      <c r="Q99" s="147"/>
      <c r="R99" s="147"/>
      <c r="S99" s="149"/>
      <c r="T99" s="147"/>
      <c r="U99" s="147"/>
      <c r="V99" s="147"/>
      <c r="W99" s="149"/>
      <c r="X99" s="79">
        <v>61</v>
      </c>
      <c r="Y99" s="89" t="s">
        <v>67</v>
      </c>
      <c r="Z99" s="53" t="s">
        <v>60</v>
      </c>
    </row>
    <row r="100" spans="1:26" ht="25.5" customHeight="1" x14ac:dyDescent="0.2">
      <c r="A100" s="44" t="s">
        <v>167</v>
      </c>
      <c r="B100" s="45" t="s">
        <v>168</v>
      </c>
      <c r="C100" s="46" t="s">
        <v>146</v>
      </c>
      <c r="D100" s="46" t="s">
        <v>64</v>
      </c>
      <c r="E100" s="139" t="s">
        <v>505</v>
      </c>
      <c r="F100" s="77">
        <v>56.1</v>
      </c>
      <c r="G100" s="97">
        <v>28.05</v>
      </c>
      <c r="H100" s="147"/>
      <c r="I100" s="147"/>
      <c r="J100" s="147"/>
      <c r="K100" s="148">
        <v>90.9</v>
      </c>
      <c r="L100" s="147"/>
      <c r="M100" s="147"/>
      <c r="N100" s="147"/>
      <c r="O100" s="149">
        <v>190</v>
      </c>
      <c r="P100" s="147"/>
      <c r="Q100" s="147"/>
      <c r="R100" s="147"/>
      <c r="S100" s="149"/>
      <c r="T100" s="147"/>
      <c r="U100" s="147"/>
      <c r="V100" s="147"/>
      <c r="W100" s="149"/>
      <c r="X100" s="79">
        <v>90.9</v>
      </c>
      <c r="Y100" s="89" t="s">
        <v>67</v>
      </c>
      <c r="Z100" s="53" t="s">
        <v>60</v>
      </c>
    </row>
    <row r="101" spans="1:26" ht="25.5" customHeight="1" x14ac:dyDescent="0.2">
      <c r="A101" s="44" t="s">
        <v>169</v>
      </c>
      <c r="B101" s="45" t="s">
        <v>170</v>
      </c>
      <c r="C101" s="46" t="s">
        <v>146</v>
      </c>
      <c r="D101" s="46" t="s">
        <v>64</v>
      </c>
      <c r="E101" s="139" t="s">
        <v>505</v>
      </c>
      <c r="F101" s="77">
        <v>39.799999999999997</v>
      </c>
      <c r="G101" s="97">
        <v>75</v>
      </c>
      <c r="H101" s="147"/>
      <c r="I101" s="147"/>
      <c r="J101" s="147"/>
      <c r="K101" s="148">
        <v>0</v>
      </c>
      <c r="L101" s="147"/>
      <c r="M101" s="147"/>
      <c r="N101" s="147"/>
      <c r="O101" s="149">
        <v>0</v>
      </c>
      <c r="P101" s="147"/>
      <c r="Q101" s="147"/>
      <c r="R101" s="147"/>
      <c r="S101" s="149"/>
      <c r="T101" s="147"/>
      <c r="U101" s="147"/>
      <c r="V101" s="147"/>
      <c r="W101" s="149"/>
      <c r="X101" s="79">
        <v>0</v>
      </c>
      <c r="Y101" s="89" t="s">
        <v>59</v>
      </c>
      <c r="Z101" s="53" t="s">
        <v>60</v>
      </c>
    </row>
    <row r="102" spans="1:26" ht="25.5" customHeight="1" x14ac:dyDescent="0.2">
      <c r="A102" s="44" t="s">
        <v>194</v>
      </c>
      <c r="B102" s="45" t="s">
        <v>195</v>
      </c>
      <c r="C102" s="46" t="s">
        <v>196</v>
      </c>
      <c r="D102" s="46" t="s">
        <v>58</v>
      </c>
      <c r="E102" s="139" t="s">
        <v>505</v>
      </c>
      <c r="F102" s="62">
        <v>0.48299999999999998</v>
      </c>
      <c r="G102" s="63">
        <v>0.56059999999999999</v>
      </c>
      <c r="H102" s="140"/>
      <c r="I102" s="140"/>
      <c r="J102" s="140"/>
      <c r="K102" s="141">
        <v>0.36363636363636398</v>
      </c>
      <c r="L102" s="140"/>
      <c r="M102" s="140"/>
      <c r="N102" s="140"/>
      <c r="O102" s="142">
        <v>0.43472906403940897</v>
      </c>
      <c r="P102" s="140"/>
      <c r="Q102" s="140"/>
      <c r="R102" s="140"/>
      <c r="S102" s="142"/>
      <c r="T102" s="140"/>
      <c r="U102" s="140"/>
      <c r="V102" s="140"/>
      <c r="W102" s="142"/>
      <c r="X102" s="67">
        <v>0.36363636363636398</v>
      </c>
      <c r="Y102" s="89" t="s">
        <v>67</v>
      </c>
      <c r="Z102" s="53" t="s">
        <v>68</v>
      </c>
    </row>
    <row r="103" spans="1:26" ht="25.5" customHeight="1" x14ac:dyDescent="0.2">
      <c r="A103" s="44" t="s">
        <v>197</v>
      </c>
      <c r="B103" s="45" t="s">
        <v>198</v>
      </c>
      <c r="C103" s="46" t="s">
        <v>196</v>
      </c>
      <c r="D103" s="46" t="s">
        <v>64</v>
      </c>
      <c r="E103" s="139" t="s">
        <v>505</v>
      </c>
      <c r="F103" s="62" t="s">
        <v>24</v>
      </c>
      <c r="G103" s="66" t="s">
        <v>24</v>
      </c>
      <c r="H103" s="140"/>
      <c r="I103" s="140"/>
      <c r="J103" s="140"/>
      <c r="K103" s="141">
        <v>0.108288213244481</v>
      </c>
      <c r="L103" s="140"/>
      <c r="M103" s="140"/>
      <c r="N103" s="140"/>
      <c r="O103" s="142"/>
      <c r="P103" s="140"/>
      <c r="Q103" s="140"/>
      <c r="R103" s="140"/>
      <c r="S103" s="142"/>
      <c r="T103" s="140"/>
      <c r="U103" s="140"/>
      <c r="V103" s="140"/>
      <c r="W103" s="142"/>
      <c r="X103" s="67">
        <v>0.108288213244481</v>
      </c>
      <c r="Y103" s="89" t="s">
        <v>71</v>
      </c>
      <c r="Z103" s="53" t="s">
        <v>186</v>
      </c>
    </row>
    <row r="104" spans="1:26" ht="25.5" customHeight="1" x14ac:dyDescent="0.2">
      <c r="A104" s="44" t="s">
        <v>200</v>
      </c>
      <c r="B104" s="45" t="s">
        <v>201</v>
      </c>
      <c r="C104" s="46" t="s">
        <v>196</v>
      </c>
      <c r="D104" s="46" t="s">
        <v>64</v>
      </c>
      <c r="E104" s="139" t="s">
        <v>505</v>
      </c>
      <c r="F104" s="62">
        <v>7.0000000000000007E-2</v>
      </c>
      <c r="G104" s="63">
        <v>0.115</v>
      </c>
      <c r="H104" s="140"/>
      <c r="I104" s="140"/>
      <c r="J104" s="140"/>
      <c r="K104" s="141">
        <v>9.1999999999999998E-2</v>
      </c>
      <c r="L104" s="140"/>
      <c r="M104" s="140"/>
      <c r="N104" s="140"/>
      <c r="O104" s="142"/>
      <c r="P104" s="140"/>
      <c r="Q104" s="140"/>
      <c r="R104" s="140"/>
      <c r="S104" s="142"/>
      <c r="T104" s="140"/>
      <c r="U104" s="140"/>
      <c r="V104" s="140"/>
      <c r="W104" s="142"/>
      <c r="X104" s="67">
        <v>9.1999999999999998E-2</v>
      </c>
      <c r="Y104" s="89" t="s">
        <v>59</v>
      </c>
      <c r="Z104" s="53" t="s">
        <v>60</v>
      </c>
    </row>
    <row r="105" spans="1:26" ht="25.5" customHeight="1" x14ac:dyDescent="0.2">
      <c r="A105" s="44" t="s">
        <v>467</v>
      </c>
      <c r="B105" s="45" t="s">
        <v>468</v>
      </c>
      <c r="C105" s="46" t="s">
        <v>196</v>
      </c>
      <c r="D105" s="46" t="s">
        <v>58</v>
      </c>
      <c r="E105" s="139" t="s">
        <v>507</v>
      </c>
      <c r="F105" s="62">
        <v>0.755</v>
      </c>
      <c r="G105" s="66">
        <v>0.7</v>
      </c>
      <c r="H105" s="140"/>
      <c r="I105" s="140"/>
      <c r="J105" s="140"/>
      <c r="K105" s="142"/>
      <c r="L105" s="140"/>
      <c r="M105" s="140"/>
      <c r="N105" s="140"/>
      <c r="O105" s="142"/>
      <c r="P105" s="140"/>
      <c r="Q105" s="140"/>
      <c r="R105" s="140"/>
      <c r="S105" s="142"/>
      <c r="T105" s="140"/>
      <c r="U105" s="140"/>
      <c r="V105" s="140"/>
      <c r="W105" s="142"/>
      <c r="X105" s="67"/>
      <c r="Y105" s="89" t="s">
        <v>91</v>
      </c>
      <c r="Z105" s="53" t="s">
        <v>60</v>
      </c>
    </row>
    <row r="106" spans="1:26" ht="25.5" customHeight="1" x14ac:dyDescent="0.2">
      <c r="A106" s="44" t="s">
        <v>215</v>
      </c>
      <c r="B106" s="45" t="s">
        <v>216</v>
      </c>
      <c r="C106" s="46" t="s">
        <v>21</v>
      </c>
      <c r="D106" s="46" t="s">
        <v>64</v>
      </c>
      <c r="E106" s="139" t="s">
        <v>505</v>
      </c>
      <c r="F106" s="90">
        <v>20.7</v>
      </c>
      <c r="G106" s="91">
        <v>21</v>
      </c>
      <c r="H106" s="140"/>
      <c r="I106" s="140"/>
      <c r="J106" s="140"/>
      <c r="K106" s="143"/>
      <c r="L106" s="140"/>
      <c r="M106" s="140"/>
      <c r="N106" s="140"/>
      <c r="O106" s="143"/>
      <c r="P106" s="140"/>
      <c r="Q106" s="140"/>
      <c r="R106" s="140"/>
      <c r="S106" s="143"/>
      <c r="T106" s="140"/>
      <c r="U106" s="140"/>
      <c r="V106" s="140"/>
      <c r="W106" s="143"/>
      <c r="X106" s="93"/>
      <c r="Y106" s="89" t="s">
        <v>91</v>
      </c>
      <c r="Z106" s="53" t="s">
        <v>60</v>
      </c>
    </row>
    <row r="107" spans="1:26" ht="25.5" customHeight="1" x14ac:dyDescent="0.2">
      <c r="A107" s="44" t="s">
        <v>427</v>
      </c>
      <c r="B107" s="45" t="s">
        <v>428</v>
      </c>
      <c r="C107" s="46" t="s">
        <v>21</v>
      </c>
      <c r="D107" s="46" t="s">
        <v>64</v>
      </c>
      <c r="E107" s="139" t="s">
        <v>504</v>
      </c>
      <c r="F107" s="90">
        <v>6</v>
      </c>
      <c r="G107" s="91">
        <v>5</v>
      </c>
      <c r="H107" s="140"/>
      <c r="I107" s="140"/>
      <c r="J107" s="140"/>
      <c r="K107" s="143" t="str">
        <f>IF(COUNT(H108:J108)=0,"",AVERAGE(H108:J108))</f>
        <v/>
      </c>
      <c r="L107" s="140"/>
      <c r="M107" s="140"/>
      <c r="N107" s="140"/>
      <c r="O107" s="143" t="str">
        <f>IF(COUNT(L108:N108)=0,"",AVERAGE(L108:N108))</f>
        <v/>
      </c>
      <c r="P107" s="140"/>
      <c r="Q107" s="140"/>
      <c r="R107" s="140"/>
      <c r="S107" s="143" t="str">
        <f>IF(COUNT(P108:R108)=0,"",AVERAGE(P108:R108))</f>
        <v/>
      </c>
      <c r="T107" s="140"/>
      <c r="U107" s="140"/>
      <c r="V107" s="140"/>
      <c r="W107" s="143" t="str">
        <f>IF(COUNT(T108:V108)=0,"",AVERAGE(T108:V108))</f>
        <v/>
      </c>
      <c r="X107" s="93"/>
      <c r="Y107" s="89" t="s">
        <v>91</v>
      </c>
      <c r="Z107" s="53" t="s">
        <v>128</v>
      </c>
    </row>
    <row r="108" spans="1:26" ht="25.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1:26" ht="25.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1:26" ht="25.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1:26" ht="25.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1:26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>
      <c r="H702" s="88"/>
      <c r="I702" s="88"/>
      <c r="J702" s="88"/>
      <c r="L702" s="88"/>
      <c r="M702" s="88"/>
      <c r="N702" s="88"/>
      <c r="P702" s="88"/>
      <c r="Q702" s="88"/>
      <c r="R702" s="88"/>
      <c r="T702" s="88"/>
      <c r="U702" s="88"/>
      <c r="V702" s="88"/>
    </row>
    <row r="703" spans="8:22" ht="15" customHeight="1" x14ac:dyDescent="0.2">
      <c r="H703" s="88"/>
      <c r="I703" s="88"/>
      <c r="J703" s="88"/>
      <c r="L703" s="88"/>
      <c r="M703" s="88"/>
      <c r="N703" s="88"/>
      <c r="P703" s="88"/>
      <c r="Q703" s="88"/>
      <c r="R703" s="88"/>
      <c r="T703" s="88"/>
      <c r="U703" s="88"/>
      <c r="V703" s="88"/>
    </row>
    <row r="704" spans="8:22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11">
    <cfRule type="expression" dxfId="109" priority="8">
      <formula>AND(ISNUMBER(H36),ISNUMBER($G36),OR(AND($D36="P",H36&gt;=$G36),AND($D36="N",H36&lt;=$G36)))</formula>
    </cfRule>
    <cfRule type="expression" dxfId="108" priority="9">
      <formula>AND(ISNUMBER(H36),ISNUMBER($G36),OR(AND($D36="P",H36&lt;$G36),AND($D36="N",H36&gt;$G36)))</formula>
    </cfRule>
  </conditionalFormatting>
  <conditionalFormatting sqref="X36:X108">
    <cfRule type="expression" dxfId="107" priority="11">
      <formula>$Y36="⊘ Non Target"</formula>
    </cfRule>
  </conditionalFormatting>
  <conditionalFormatting sqref="X36:X111">
    <cfRule type="expression" dxfId="106" priority="2">
      <formula>$Y36="✓ On Target"</formula>
    </cfRule>
    <cfRule type="expression" dxfId="105" priority="3">
      <formula>$Y36="✗ Off Target"</formula>
    </cfRule>
    <cfRule type="expression" dxfId="104" priority="4">
      <formula>$Y36="— No Data"</formula>
    </cfRule>
  </conditionalFormatting>
  <conditionalFormatting sqref="Y36:Y108">
    <cfRule type="expression" dxfId="103" priority="10">
      <formula>Y36="⊘ Non Target"</formula>
    </cfRule>
  </conditionalFormatting>
  <conditionalFormatting sqref="Y36:Y111">
    <cfRule type="expression" dxfId="102" priority="5">
      <formula>Y36="✓ On Target"</formula>
    </cfRule>
    <cfRule type="expression" dxfId="101" priority="6">
      <formula>Y36="✗ Off Target"</formula>
    </cfRule>
    <cfRule type="expression" dxfId="100" priority="7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705"/>
  <sheetViews>
    <sheetView showGridLines="0" topLeftCell="F61" zoomScaleNormal="100" workbookViewId="0">
      <selection activeCell="N57" sqref="N57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508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30</v>
      </c>
      <c r="C12" s="157"/>
      <c r="D12" s="201">
        <v>15</v>
      </c>
      <c r="E12" s="157"/>
      <c r="F12" s="196">
        <v>8</v>
      </c>
      <c r="G12" s="157"/>
      <c r="H12" s="200">
        <v>2</v>
      </c>
      <c r="I12" s="157"/>
      <c r="K12" s="193">
        <v>44</v>
      </c>
      <c r="L12" s="157"/>
      <c r="M12" s="201">
        <v>27</v>
      </c>
      <c r="N12" s="157"/>
      <c r="O12" s="196">
        <v>6</v>
      </c>
      <c r="P12" s="157"/>
      <c r="Q12" s="200">
        <v>6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509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75</v>
      </c>
      <c r="C19" s="157"/>
      <c r="D19" s="157"/>
      <c r="E19" s="205">
        <v>42</v>
      </c>
      <c r="F19" s="157"/>
      <c r="G19" s="157"/>
      <c r="I19" s="204">
        <v>14</v>
      </c>
      <c r="J19" s="157"/>
      <c r="K19" s="157"/>
      <c r="M19" s="199">
        <v>9</v>
      </c>
      <c r="N19" s="157"/>
      <c r="O19" s="157"/>
      <c r="Q19" s="194">
        <v>30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510</v>
      </c>
      <c r="F21" s="157"/>
      <c r="G21" s="157"/>
      <c r="I21" s="160" t="s">
        <v>511</v>
      </c>
      <c r="J21" s="157"/>
      <c r="K21" s="157"/>
      <c r="M21" s="160" t="s">
        <v>512</v>
      </c>
      <c r="N21" s="157"/>
      <c r="O21" s="157"/>
      <c r="Q21" s="195" t="s">
        <v>513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514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8</v>
      </c>
      <c r="E25" s="33">
        <v>2</v>
      </c>
      <c r="F25" s="34">
        <v>2</v>
      </c>
      <c r="G25" s="35">
        <v>0.8</v>
      </c>
    </row>
    <row r="26" spans="2:19" ht="21.75" customHeight="1" x14ac:dyDescent="0.2">
      <c r="B26" s="24" t="s">
        <v>19</v>
      </c>
      <c r="C26" s="41">
        <v>27</v>
      </c>
      <c r="D26" s="26">
        <v>17</v>
      </c>
      <c r="E26" s="27">
        <v>5</v>
      </c>
      <c r="F26" s="28">
        <v>3</v>
      </c>
      <c r="G26" s="29">
        <v>0.77272727272727304</v>
      </c>
    </row>
    <row r="27" spans="2:19" ht="21.75" customHeight="1" x14ac:dyDescent="0.2">
      <c r="B27" s="30" t="s">
        <v>20</v>
      </c>
      <c r="C27" s="40">
        <v>26</v>
      </c>
      <c r="D27" s="32">
        <v>16</v>
      </c>
      <c r="E27" s="33">
        <v>6</v>
      </c>
      <c r="F27" s="34">
        <v>3</v>
      </c>
      <c r="G27" s="35">
        <v>0.72727272727272696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1</v>
      </c>
      <c r="E29" s="33">
        <v>1</v>
      </c>
      <c r="F29" s="34">
        <v>1</v>
      </c>
      <c r="G29" s="35">
        <v>0.5</v>
      </c>
    </row>
    <row r="30" spans="2:19" ht="25.5" customHeight="1" x14ac:dyDescent="0.2">
      <c r="B30" s="36" t="s">
        <v>35</v>
      </c>
      <c r="C30" s="38">
        <v>75</v>
      </c>
      <c r="D30" s="38">
        <v>42</v>
      </c>
      <c r="E30" s="38">
        <v>14</v>
      </c>
      <c r="F30" s="38">
        <v>9</v>
      </c>
      <c r="G30" s="39">
        <v>0.75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1.0937499999999999E-2</v>
      </c>
      <c r="I36" s="64">
        <v>1.06761565836299E-2</v>
      </c>
      <c r="J36" s="64">
        <v>8.4388185654008397E-3</v>
      </c>
      <c r="K36" s="130">
        <f>IF(COUNT(H36:J36)=0,"",AVERAGE(H36:J36))</f>
        <v>1.001749171634358E-2</v>
      </c>
      <c r="L36" s="65">
        <v>7.2992700729926996E-3</v>
      </c>
      <c r="M36" s="65">
        <v>8.8638195004028999E-3</v>
      </c>
      <c r="N36" s="65">
        <v>1.3157894736842099E-2</v>
      </c>
      <c r="O36" s="130">
        <f>IF(COUNT(L36:N36)=0,"",AVERAGE(L36:N36))</f>
        <v>9.7736614367458993E-3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8.6583808946681402E-3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0.10530929125970399</v>
      </c>
      <c r="I38" s="64">
        <v>8.10565299420027E-2</v>
      </c>
      <c r="J38" s="64">
        <v>8.1472890692954505E-2</v>
      </c>
      <c r="K38" s="130">
        <f>IF(COUNT(H38:J38)=0,"",AVERAGE(H38:J38))</f>
        <v>8.9279570631553729E-2</v>
      </c>
      <c r="L38" s="65">
        <v>5.6122743265847597E-2</v>
      </c>
      <c r="M38" s="65">
        <v>6.08836907082521E-2</v>
      </c>
      <c r="N38" s="65">
        <v>7.4723846653671197E-2</v>
      </c>
      <c r="O38" s="130">
        <f>IF(COUNT(L38:N38)=0,"",AVERAGE(L38:N38))</f>
        <v>6.3910093542590293E-2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7.2701156948700704E-2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5.2380952380952396E-3</v>
      </c>
      <c r="I39" s="56">
        <v>3.85356454720617E-3</v>
      </c>
      <c r="J39" s="56">
        <v>5.2732502396931899E-3</v>
      </c>
      <c r="K39" s="132">
        <f>IF(COUNT(H39:J39)=0,"",AVERAGE(H39:J39))</f>
        <v>4.7883033416648664E-3</v>
      </c>
      <c r="L39" s="78">
        <v>2.95302013422819E-3</v>
      </c>
      <c r="M39" s="78">
        <v>3.71872887085869E-3</v>
      </c>
      <c r="N39" s="78">
        <v>3.71872887085869E-3</v>
      </c>
      <c r="O39" s="132">
        <f>IF(COUNT(L39:N39)=0,"",AVERAGE(L39:N39))</f>
        <v>3.4634926253151901E-3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3.8706617379465299E-3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5.5713915522155998E-3</v>
      </c>
      <c r="I40" s="56">
        <v>5.55878740870015E-3</v>
      </c>
      <c r="J40" s="56">
        <v>5.7640750670241298E-3</v>
      </c>
      <c r="K40" s="132">
        <f>IF(COUNT(H40:J40)=0,"",AVERAGE(H40:J40))</f>
        <v>5.6314180093132932E-3</v>
      </c>
      <c r="L40" s="78">
        <v>4.69688694702349E-3</v>
      </c>
      <c r="M40" s="78">
        <v>5.26734856372879E-3</v>
      </c>
      <c r="N40" s="78">
        <v>5.26734856372879E-3</v>
      </c>
      <c r="O40" s="132">
        <f>IF(COUNT(L40:N40)=0,"",AVERAGE(L40:N40))</f>
        <v>5.0771946914936897E-3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5.1641524781683903E-3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0.81225806451612903</v>
      </c>
      <c r="I41" s="64">
        <v>0.65678571428571397</v>
      </c>
      <c r="J41" s="64">
        <v>0.88764538073293797</v>
      </c>
      <c r="K41" s="130">
        <f>IF(COUNT(H41:J41)=0,"",AVERAGE(H41:J41))</f>
        <v>0.78556305317826036</v>
      </c>
      <c r="L41" s="65">
        <v>1.1287981859410401</v>
      </c>
      <c r="M41" s="65">
        <v>1</v>
      </c>
      <c r="N41" s="65">
        <v>1.0641723356009101</v>
      </c>
      <c r="O41" s="130">
        <f>IF(COUNT(L41:N41)=0,"",AVERAGE(L41:N41))</f>
        <v>1.0643235071806501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0.95718061955964995</v>
      </c>
      <c r="Y41" s="89" t="s">
        <v>67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133">
        <v>2.7671568627451002</v>
      </c>
      <c r="I42" s="133">
        <v>2.5499999999999998</v>
      </c>
      <c r="J42" s="133">
        <v>4.9653725078698798</v>
      </c>
      <c r="K42" s="134">
        <f>IF(COUNT(H42:J42)=0,"",AVERAGE(H42:J42))</f>
        <v>3.4275097902049936</v>
      </c>
      <c r="L42" s="135">
        <v>6.5508735868448102</v>
      </c>
      <c r="M42" s="135">
        <v>6.6830309498399201</v>
      </c>
      <c r="N42" s="135">
        <v>5.1313043478260898</v>
      </c>
      <c r="O42" s="134">
        <f>IF(COUNT(L42:N42)=0,"",AVERAGE(L42:N42))</f>
        <v>6.12173629483694</v>
      </c>
      <c r="P42" s="135"/>
      <c r="Q42" s="135"/>
      <c r="R42" s="135"/>
      <c r="S42" s="134" t="str">
        <f>IF(COUNT(P42:R42)=0,"",AVERAGE(P42:R42))</f>
        <v/>
      </c>
      <c r="T42" s="135"/>
      <c r="U42" s="135"/>
      <c r="V42" s="135"/>
      <c r="W42" s="134" t="str">
        <f>IF(COUNT(T42:V42)=0,"",AVERAGE(T42:V42))</f>
        <v/>
      </c>
      <c r="X42" s="75">
        <v>4.9891916885249001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0.28934010152284301</v>
      </c>
      <c r="I43" s="64">
        <v>0.25614754098360698</v>
      </c>
      <c r="J43" s="64">
        <v>0.47641509433962298</v>
      </c>
      <c r="K43" s="130">
        <f>IF(COUNT(H43:J43)=0,"",AVERAGE(H43:J43))</f>
        <v>0.34063424561535766</v>
      </c>
      <c r="L43" s="65">
        <v>0.31926605504587202</v>
      </c>
      <c r="M43" s="65">
        <v>0.29142857142857098</v>
      </c>
      <c r="N43" s="65">
        <v>0.30458715596330299</v>
      </c>
      <c r="O43" s="130">
        <f>IF(COUNT(L43:N43)=0,"",AVERAGE(L43:N43))</f>
        <v>0.30509392747924868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0.32995015033061498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>
        <v>0</v>
      </c>
      <c r="I44" s="78">
        <v>0</v>
      </c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0.99854791868344595</v>
      </c>
      <c r="O45" s="130">
        <f>IF(COUNT(L45:N45)=0,"",AVERAGE(L45:N45))</f>
        <v>0.99951597289448202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3.68117797695263E-2</v>
      </c>
      <c r="I47" s="64">
        <v>3.2241343562098297E-2</v>
      </c>
      <c r="J47" s="64">
        <v>3.01330008312552E-2</v>
      </c>
      <c r="K47" s="130">
        <f>IF(COUNT(H47:J47)=0,"",AVERAGE(H47:J47))</f>
        <v>3.3062041387626598E-2</v>
      </c>
      <c r="L47" s="65">
        <v>3.7625164357236798E-2</v>
      </c>
      <c r="M47" s="65">
        <v>4.0004222081486199E-2</v>
      </c>
      <c r="N47" s="65">
        <v>2.2948938611589201E-2</v>
      </c>
      <c r="O47" s="130">
        <f>IF(COUNT(L47:N47)=0,"",AVERAGE(L47:N47))</f>
        <v>3.3526108350104063E-2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3.5343602872431698E-2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0.93489999999999995</v>
      </c>
      <c r="I48" s="65">
        <v>0.925608011444921</v>
      </c>
      <c r="J48" s="65">
        <v>0.9597</v>
      </c>
      <c r="K48" s="130">
        <f>IF(COUNT(H48:J48)=0,"",AVERAGE(H48:J48))</f>
        <v>0.94006933714830687</v>
      </c>
      <c r="L48" s="65">
        <v>0.92759999999999998</v>
      </c>
      <c r="M48" s="65">
        <v>0.93149999999999999</v>
      </c>
      <c r="N48" s="65">
        <v>0.93469999999999998</v>
      </c>
      <c r="O48" s="130">
        <f>IF(COUNT(L48:N48)=0,"",AVERAGE(L48:N48))</f>
        <v>0.93126666666666669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0.93489999999999995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0.888748241912799</v>
      </c>
      <c r="I50" s="64">
        <v>0.91313219647281696</v>
      </c>
      <c r="J50" s="64">
        <v>0.95344970906068205</v>
      </c>
      <c r="K50" s="130">
        <f>IF(COUNT(H50:J50)=0,"",AVERAGE(H50:J50))</f>
        <v>0.91844338248209934</v>
      </c>
      <c r="L50" s="65">
        <v>0.96682512390007103</v>
      </c>
      <c r="M50" s="65">
        <v>0.96530000000000005</v>
      </c>
      <c r="N50" s="65">
        <v>0.95387551691230998</v>
      </c>
      <c r="O50" s="130">
        <f>IF(COUNT(L50:N50)=0,"",AVERAGE(L50:N50))</f>
        <v>0.96200021360412702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0.94452720488286102</v>
      </c>
      <c r="Y50" s="89" t="s">
        <v>67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2</v>
      </c>
      <c r="J51" s="81">
        <v>1</v>
      </c>
      <c r="K51" s="138">
        <f>IF(COUNT(H51:J51)=0,"",SUM(H51:J51))</f>
        <v>3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3</v>
      </c>
      <c r="Y51" s="89" t="s">
        <v>71</v>
      </c>
      <c r="Z51" s="53" t="s">
        <v>128</v>
      </c>
    </row>
    <row r="52" spans="1:26" ht="25.5" customHeight="1" x14ac:dyDescent="0.2">
      <c r="A52" s="44" t="s">
        <v>385</v>
      </c>
      <c r="B52" s="45" t="s">
        <v>386</v>
      </c>
      <c r="C52" s="46" t="s">
        <v>146</v>
      </c>
      <c r="D52" s="46" t="s">
        <v>58</v>
      </c>
      <c r="E52" s="44" t="s">
        <v>504</v>
      </c>
      <c r="F52" s="62">
        <v>0.82799999999999996</v>
      </c>
      <c r="G52" s="63">
        <v>0.8538</v>
      </c>
      <c r="H52" s="64">
        <v>0.91</v>
      </c>
      <c r="I52" s="64">
        <v>0.80600000000000005</v>
      </c>
      <c r="J52" s="64">
        <v>0.8</v>
      </c>
      <c r="K52" s="130">
        <f>IF(COUNT(H52:J52)=0,"",AVERAGE(H52:J52))</f>
        <v>0.83866666666666667</v>
      </c>
      <c r="L52" s="65">
        <v>1.05416666666667</v>
      </c>
      <c r="M52" s="65">
        <v>0.80833333333333302</v>
      </c>
      <c r="N52" s="65">
        <v>0.95</v>
      </c>
      <c r="O52" s="130">
        <f>IF(COUNT(L52:N52)=0,"",AVERAGE(L52:N52))</f>
        <v>0.93750000000000089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0.94641666666666802</v>
      </c>
      <c r="Y52" s="89" t="s">
        <v>67</v>
      </c>
      <c r="Z52" s="53" t="s">
        <v>128</v>
      </c>
    </row>
    <row r="53" spans="1:26" ht="25.5" customHeight="1" x14ac:dyDescent="0.2">
      <c r="A53" s="44" t="s">
        <v>387</v>
      </c>
      <c r="B53" s="45" t="s">
        <v>388</v>
      </c>
      <c r="C53" s="46" t="s">
        <v>146</v>
      </c>
      <c r="D53" s="46" t="s">
        <v>64</v>
      </c>
      <c r="E53" s="44" t="s">
        <v>504</v>
      </c>
      <c r="F53" s="62">
        <v>1.7000000000000001E-2</v>
      </c>
      <c r="G53" s="63">
        <v>1.4500000000000001E-2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5.3050397877984099E-3</v>
      </c>
      <c r="M53" s="65">
        <v>7.6E-3</v>
      </c>
      <c r="N53" s="65">
        <v>2.3041474654377902E-3</v>
      </c>
      <c r="O53" s="130">
        <f>IF(COUNT(L53:N53)=0,"",AVERAGE(L53:N53))</f>
        <v>5.069729084412067E-3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2.6525198938992102E-3</v>
      </c>
      <c r="Y53" s="89" t="s">
        <v>59</v>
      </c>
      <c r="Z53" s="53" t="s">
        <v>128</v>
      </c>
    </row>
    <row r="54" spans="1:26" ht="25.5" customHeight="1" x14ac:dyDescent="0.2">
      <c r="A54" s="44" t="s">
        <v>389</v>
      </c>
      <c r="B54" s="45" t="s">
        <v>390</v>
      </c>
      <c r="C54" s="46" t="s">
        <v>146</v>
      </c>
      <c r="D54" s="46" t="s">
        <v>64</v>
      </c>
      <c r="E54" s="44" t="s">
        <v>504</v>
      </c>
      <c r="F54" s="62">
        <v>1.9E-2</v>
      </c>
      <c r="G54" s="63">
        <v>1.6199999999999999E-2</v>
      </c>
      <c r="H54" s="64">
        <v>0.04</v>
      </c>
      <c r="I54" s="64">
        <v>2.5069231890395002E-2</v>
      </c>
      <c r="J54" s="64">
        <v>2.7015793848711601E-2</v>
      </c>
      <c r="K54" s="130">
        <f>IF(COUNT(H54:J54)=0,"",AVERAGE(H54:J54))</f>
        <v>3.0695008579702199E-2</v>
      </c>
      <c r="L54" s="65">
        <v>2.3364013350864798E-2</v>
      </c>
      <c r="M54" s="65">
        <v>2.5499999999999998E-2</v>
      </c>
      <c r="N54" s="65">
        <v>2.22669918354363E-2</v>
      </c>
      <c r="O54" s="130">
        <f>IF(COUNT(L54:N54)=0,"",AVERAGE(L54:N54))</f>
        <v>2.3710335062100366E-2</v>
      </c>
      <c r="P54" s="65"/>
      <c r="Q54" s="65"/>
      <c r="R54" s="65"/>
      <c r="S54" s="130" t="str">
        <f>IF(COUNT(P54:R54)=0,"",AVERAGE(P54:R54))</f>
        <v/>
      </c>
      <c r="T54" s="65"/>
      <c r="U54" s="65"/>
      <c r="V54" s="65"/>
      <c r="W54" s="130" t="str">
        <f>IF(COUNT(T54:V54)=0,"",AVERAGE(T54:V54))</f>
        <v/>
      </c>
      <c r="X54" s="67">
        <v>2.7029510965283499E-2</v>
      </c>
      <c r="Y54" s="89" t="s">
        <v>67</v>
      </c>
      <c r="Z54" s="53" t="s">
        <v>128</v>
      </c>
    </row>
    <row r="55" spans="1:26" ht="25.5" customHeight="1" x14ac:dyDescent="0.2">
      <c r="A55" s="44" t="s">
        <v>391</v>
      </c>
      <c r="B55" s="45" t="s">
        <v>392</v>
      </c>
      <c r="C55" s="46" t="s">
        <v>146</v>
      </c>
      <c r="D55" s="46" t="s">
        <v>64</v>
      </c>
      <c r="E55" s="44" t="s">
        <v>504</v>
      </c>
      <c r="F55" s="77">
        <v>0.01</v>
      </c>
      <c r="G55" s="57">
        <v>8.5000000000000006E-3</v>
      </c>
      <c r="H55" s="56">
        <v>0</v>
      </c>
      <c r="I55" s="56">
        <v>0</v>
      </c>
      <c r="J55" s="56">
        <v>0</v>
      </c>
      <c r="K55" s="132">
        <f>IF(COUNT(H55:J55)=0,"",AVERAGE(H55:J55))</f>
        <v>0</v>
      </c>
      <c r="L55" s="78">
        <v>0</v>
      </c>
      <c r="M55" s="78">
        <v>0</v>
      </c>
      <c r="N55" s="78">
        <v>0</v>
      </c>
      <c r="O55" s="132">
        <f>IF(COUNT(L55:N55)=0,"",AVERAGE(L55:N55))</f>
        <v>0</v>
      </c>
      <c r="P55" s="78"/>
      <c r="Q55" s="78"/>
      <c r="R55" s="78"/>
      <c r="S55" s="132" t="str">
        <f>IF(COUNT(P55:R55)=0,"",AVERAGE(P55:R55))</f>
        <v/>
      </c>
      <c r="T55" s="78"/>
      <c r="U55" s="78"/>
      <c r="V55" s="78"/>
      <c r="W55" s="132" t="str">
        <f>IF(COUNT(T55:V55)=0,"",AVERAGE(T55:V55))</f>
        <v/>
      </c>
      <c r="X55" s="79">
        <v>0</v>
      </c>
      <c r="Y55" s="89" t="s">
        <v>59</v>
      </c>
      <c r="Z55" s="53" t="s">
        <v>128</v>
      </c>
    </row>
    <row r="56" spans="1:26" ht="25.5" customHeight="1" x14ac:dyDescent="0.2">
      <c r="A56" s="44" t="s">
        <v>393</v>
      </c>
      <c r="B56" s="45" t="s">
        <v>394</v>
      </c>
      <c r="C56" s="46" t="s">
        <v>146</v>
      </c>
      <c r="D56" s="46" t="s">
        <v>64</v>
      </c>
      <c r="E56" s="44" t="s">
        <v>504</v>
      </c>
      <c r="F56" s="62">
        <v>7.1999999999999995E-2</v>
      </c>
      <c r="G56" s="63">
        <v>6.1199999999999997E-2</v>
      </c>
      <c r="H56" s="64">
        <v>0</v>
      </c>
      <c r="I56" s="64">
        <v>0</v>
      </c>
      <c r="J56" s="64">
        <v>0</v>
      </c>
      <c r="K56" s="130">
        <f>IF(COUNT(H56:J56)=0,"",AVERAGE(H56:J56))</f>
        <v>0</v>
      </c>
      <c r="L56" s="65">
        <v>0</v>
      </c>
      <c r="M56" s="65">
        <v>0</v>
      </c>
      <c r="N56" s="65">
        <v>0</v>
      </c>
      <c r="O56" s="130">
        <f>IF(COUNT(L56:N56)=0,"",AVERAGE(L56:N56))</f>
        <v>0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</v>
      </c>
      <c r="Y56" s="89" t="s">
        <v>59</v>
      </c>
      <c r="Z56" s="53" t="s">
        <v>128</v>
      </c>
    </row>
    <row r="57" spans="1:26" ht="25.5" customHeight="1" x14ac:dyDescent="0.2">
      <c r="A57" s="44" t="s">
        <v>395</v>
      </c>
      <c r="B57" s="45" t="s">
        <v>396</v>
      </c>
      <c r="C57" s="46" t="s">
        <v>146</v>
      </c>
      <c r="D57" s="46" t="s">
        <v>58</v>
      </c>
      <c r="E57" s="44" t="s">
        <v>504</v>
      </c>
      <c r="F57" s="62">
        <v>1</v>
      </c>
      <c r="G57" s="63">
        <v>1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1</v>
      </c>
      <c r="M57" s="65">
        <v>1</v>
      </c>
      <c r="N57" s="65">
        <v>1</v>
      </c>
      <c r="O57" s="130">
        <f>IF(COUNT(L57:N57)=0,"",AVERAGE(L57:N57))</f>
        <v>1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1</v>
      </c>
      <c r="Y57" s="89" t="s">
        <v>59</v>
      </c>
      <c r="Z57" s="53" t="s">
        <v>128</v>
      </c>
    </row>
    <row r="58" spans="1:26" ht="25.5" customHeight="1" x14ac:dyDescent="0.2">
      <c r="A58" s="44" t="s">
        <v>397</v>
      </c>
      <c r="B58" s="45" t="s">
        <v>398</v>
      </c>
      <c r="C58" s="46" t="s">
        <v>146</v>
      </c>
      <c r="D58" s="46" t="s">
        <v>64</v>
      </c>
      <c r="E58" s="44" t="s">
        <v>504</v>
      </c>
      <c r="F58" s="77">
        <v>2.7E-2</v>
      </c>
      <c r="G58" s="57">
        <v>1.35E-2</v>
      </c>
      <c r="H58" s="56">
        <v>1.59313725490196E-2</v>
      </c>
      <c r="I58" s="56">
        <v>1.84466019417476E-2</v>
      </c>
      <c r="J58" s="56">
        <v>2.4058577405857699E-2</v>
      </c>
      <c r="K58" s="132">
        <f>IF(COUNT(H58:J58)=0,"",AVERAGE(H58:J58))</f>
        <v>1.9478850632208299E-2</v>
      </c>
      <c r="L58" s="78">
        <v>4.0920716112532E-2</v>
      </c>
      <c r="M58" s="78">
        <v>3.2128514056224897E-2</v>
      </c>
      <c r="N58" s="78">
        <v>1.4329580348004099E-2</v>
      </c>
      <c r="O58" s="132">
        <f>IF(COUNT(L58:N58)=0,"",AVERAGE(L58:N58))</f>
        <v>2.9126270172253665E-2</v>
      </c>
      <c r="P58" s="78"/>
      <c r="Q58" s="78"/>
      <c r="R58" s="78"/>
      <c r="S58" s="132" t="str">
        <f>IF(COUNT(P58:R58)=0,"",AVERAGE(P58:R58))</f>
        <v/>
      </c>
      <c r="T58" s="78"/>
      <c r="U58" s="78"/>
      <c r="V58" s="78"/>
      <c r="W58" s="132" t="str">
        <f>IF(COUNT(T58:V58)=0,"",AVERAGE(T58:V58))</f>
        <v/>
      </c>
      <c r="X58" s="79">
        <v>3.0199783372370202E-2</v>
      </c>
      <c r="Y58" s="89" t="s">
        <v>59</v>
      </c>
      <c r="Z58" s="53" t="s">
        <v>128</v>
      </c>
    </row>
    <row r="59" spans="1:26" ht="25.5" customHeight="1" x14ac:dyDescent="0.2">
      <c r="A59" s="44" t="s">
        <v>401</v>
      </c>
      <c r="B59" s="45" t="s">
        <v>402</v>
      </c>
      <c r="C59" s="46" t="s">
        <v>146</v>
      </c>
      <c r="D59" s="46" t="s">
        <v>58</v>
      </c>
      <c r="E59" s="44" t="s">
        <v>504</v>
      </c>
      <c r="F59" s="62">
        <v>0.88629999999999998</v>
      </c>
      <c r="G59" s="63">
        <v>0.89380000000000004</v>
      </c>
      <c r="H59" s="64">
        <v>0.96540000000000004</v>
      </c>
      <c r="I59" s="64">
        <v>0.8125</v>
      </c>
      <c r="J59" s="64">
        <v>0.8458</v>
      </c>
      <c r="K59" s="130">
        <f>IF(COUNT(H59:J59)=0,"",AVERAGE(H59:J59))</f>
        <v>0.8745666666666666</v>
      </c>
      <c r="L59" s="65">
        <v>0.84930000000000005</v>
      </c>
      <c r="M59" s="65">
        <v>0.98609999999999998</v>
      </c>
      <c r="N59" s="65">
        <v>1</v>
      </c>
      <c r="O59" s="130">
        <f>IF(COUNT(L59:N59)=0,"",AVERAGE(L59:N59))</f>
        <v>0.94513333333333327</v>
      </c>
      <c r="P59" s="65"/>
      <c r="Q59" s="65"/>
      <c r="R59" s="65"/>
      <c r="S59" s="130" t="str">
        <f>IF(COUNT(P59:R59)=0,"",AVERAGE(P59:R59))</f>
        <v/>
      </c>
      <c r="T59" s="65"/>
      <c r="U59" s="65"/>
      <c r="V59" s="65"/>
      <c r="W59" s="130" t="str">
        <f>IF(COUNT(T59:V59)=0,"",AVERAGE(T59:V59))</f>
        <v/>
      </c>
      <c r="X59" s="67">
        <v>0.84930000000000005</v>
      </c>
      <c r="Y59" s="89" t="s">
        <v>67</v>
      </c>
      <c r="Z59" s="53" t="s">
        <v>128</v>
      </c>
    </row>
    <row r="60" spans="1:26" ht="25.5" customHeight="1" x14ac:dyDescent="0.2">
      <c r="A60" s="44" t="s">
        <v>403</v>
      </c>
      <c r="B60" s="45" t="s">
        <v>404</v>
      </c>
      <c r="C60" s="46" t="s">
        <v>146</v>
      </c>
      <c r="D60" s="46" t="s">
        <v>58</v>
      </c>
      <c r="E60" s="44" t="s">
        <v>504</v>
      </c>
      <c r="F60" s="62">
        <v>0.90239999999999998</v>
      </c>
      <c r="G60" s="63">
        <v>0.86580000000000001</v>
      </c>
      <c r="H60" s="64">
        <v>0.83860000000000001</v>
      </c>
      <c r="I60" s="65"/>
      <c r="J60" s="65"/>
      <c r="K60" s="130">
        <f>IF(COUNT(H60:J60)=0,"",AVERAGE(H60:J60))</f>
        <v>0.83860000000000001</v>
      </c>
      <c r="L60" s="65"/>
      <c r="M60" s="65"/>
      <c r="N60" s="65" t="s">
        <v>405</v>
      </c>
      <c r="O60" s="130" t="str">
        <f>IF(COUNT(L60:N60)=0,"",AVERAGE(L60:N60))</f>
        <v/>
      </c>
      <c r="P60" s="65"/>
      <c r="Q60" s="65"/>
      <c r="R60" s="65"/>
      <c r="S60" s="130" t="str">
        <f>IF(COUNT(P60:R60)=0,"",AVERAGE(P60:R60))</f>
        <v/>
      </c>
      <c r="T60" s="65"/>
      <c r="U60" s="65"/>
      <c r="V60" s="65"/>
      <c r="W60" s="130" t="str">
        <f>IF(COUNT(T60:V60)=0,"",AVERAGE(T60:V60))</f>
        <v/>
      </c>
      <c r="X60" s="67">
        <v>0.83860000000000001</v>
      </c>
      <c r="Y60" s="89" t="s">
        <v>67</v>
      </c>
      <c r="Z60" s="53" t="s">
        <v>128</v>
      </c>
    </row>
    <row r="61" spans="1:26" ht="25.5" customHeight="1" x14ac:dyDescent="0.2">
      <c r="A61" s="44" t="s">
        <v>406</v>
      </c>
      <c r="B61" s="45" t="s">
        <v>407</v>
      </c>
      <c r="C61" s="46" t="s">
        <v>146</v>
      </c>
      <c r="D61" s="46" t="s">
        <v>58</v>
      </c>
      <c r="E61" s="44" t="s">
        <v>504</v>
      </c>
      <c r="F61" s="62">
        <v>0.78200000000000003</v>
      </c>
      <c r="G61" s="63">
        <v>0.80700000000000005</v>
      </c>
      <c r="H61" s="64">
        <v>0.93379999999999996</v>
      </c>
      <c r="I61" s="64">
        <v>0.73929999999999996</v>
      </c>
      <c r="J61" s="64">
        <v>0.72650000000000003</v>
      </c>
      <c r="K61" s="130">
        <f>IF(COUNT(H61:J61)=0,"",AVERAGE(H61:J61))</f>
        <v>0.79986666666666661</v>
      </c>
      <c r="L61" s="65">
        <v>0.96130000000000004</v>
      </c>
      <c r="M61" s="65">
        <v>0.97340000000000004</v>
      </c>
      <c r="N61" s="65">
        <v>0.7208</v>
      </c>
      <c r="O61" s="130">
        <f>IF(COUNT(L61:N61)=0,"",AVERAGE(L61:N61))</f>
        <v>0.88516666666666666</v>
      </c>
      <c r="P61" s="65"/>
      <c r="Q61" s="65"/>
      <c r="R61" s="65"/>
      <c r="S61" s="130" t="str">
        <f>IF(COUNT(P61:R61)=0,"",AVERAGE(P61:R61))</f>
        <v/>
      </c>
      <c r="T61" s="65"/>
      <c r="U61" s="65"/>
      <c r="V61" s="65"/>
      <c r="W61" s="130" t="str">
        <f>IF(COUNT(T61:V61)=0,"",AVERAGE(T61:V61))</f>
        <v/>
      </c>
      <c r="X61" s="67">
        <v>0.96130000000000004</v>
      </c>
      <c r="Y61" s="89" t="s">
        <v>59</v>
      </c>
      <c r="Z61" s="53" t="s">
        <v>128</v>
      </c>
    </row>
    <row r="62" spans="1:26" ht="25.5" customHeight="1" x14ac:dyDescent="0.2">
      <c r="A62" s="44" t="s">
        <v>408</v>
      </c>
      <c r="B62" s="45" t="s">
        <v>409</v>
      </c>
      <c r="C62" s="46" t="s">
        <v>146</v>
      </c>
      <c r="D62" s="46" t="s">
        <v>58</v>
      </c>
      <c r="E62" s="44" t="s">
        <v>504</v>
      </c>
      <c r="F62" s="62">
        <v>0.82099999999999995</v>
      </c>
      <c r="G62" s="63">
        <v>0.84799999999999998</v>
      </c>
      <c r="H62" s="64">
        <v>0.93140000000000001</v>
      </c>
      <c r="I62" s="64">
        <v>0.92</v>
      </c>
      <c r="J62" s="65">
        <v>0.92469999999999997</v>
      </c>
      <c r="K62" s="130">
        <f>IF(COUNT(H62:J62)=0,"",AVERAGE(H62:J62))</f>
        <v>0.92536666666666667</v>
      </c>
      <c r="L62" s="65">
        <v>0.91010000000000002</v>
      </c>
      <c r="M62" s="65">
        <v>0.87880000000000003</v>
      </c>
      <c r="N62" s="65">
        <v>0.90910000000000002</v>
      </c>
      <c r="O62" s="130">
        <f>IF(COUNT(L62:N62)=0,"",AVERAGE(L62:N62))</f>
        <v>0.89933333333333332</v>
      </c>
      <c r="P62" s="65"/>
      <c r="Q62" s="65"/>
      <c r="R62" s="65"/>
      <c r="S62" s="130" t="str">
        <f>IF(COUNT(P62:R62)=0,"",AVERAGE(P62:R62))</f>
        <v/>
      </c>
      <c r="T62" s="65"/>
      <c r="U62" s="65"/>
      <c r="V62" s="65"/>
      <c r="W62" s="130" t="str">
        <f>IF(COUNT(T62:V62)=0,"",AVERAGE(T62:V62))</f>
        <v/>
      </c>
      <c r="X62" s="67">
        <v>0.91010000000000002</v>
      </c>
      <c r="Y62" s="89" t="s">
        <v>59</v>
      </c>
      <c r="Z62" s="53" t="s">
        <v>68</v>
      </c>
    </row>
    <row r="63" spans="1:26" ht="25.5" customHeight="1" x14ac:dyDescent="0.2">
      <c r="A63" s="44" t="s">
        <v>421</v>
      </c>
      <c r="B63" s="45" t="s">
        <v>422</v>
      </c>
      <c r="C63" s="46" t="s">
        <v>184</v>
      </c>
      <c r="D63" s="46" t="s">
        <v>58</v>
      </c>
      <c r="E63" s="44" t="s">
        <v>504</v>
      </c>
      <c r="F63" s="62" t="s">
        <v>24</v>
      </c>
      <c r="G63" s="66">
        <v>1</v>
      </c>
      <c r="H63" s="64">
        <v>1</v>
      </c>
      <c r="I63" s="64">
        <v>1</v>
      </c>
      <c r="J63" s="64">
        <v>1</v>
      </c>
      <c r="K63" s="130">
        <f>IF(COUNT(H63:J63)=0,"",LOOKUP(2,1/(H63:J63&lt;&gt;""),H63:J63))</f>
        <v>1</v>
      </c>
      <c r="L63" s="65">
        <v>1</v>
      </c>
      <c r="M63" s="65">
        <v>1</v>
      </c>
      <c r="N63" s="65">
        <v>1</v>
      </c>
      <c r="O63" s="130">
        <f>IF(COUNT(L63:N63)=0,"",LOOKUP(2,1/(L63:N63&lt;&gt;""),L63:N63))</f>
        <v>1</v>
      </c>
      <c r="P63" s="65"/>
      <c r="Q63" s="65"/>
      <c r="R63" s="65"/>
      <c r="S63" s="130" t="str">
        <f>IF(COUNT(P63:R63)=0,"",LOOKUP(2,1/(P63:R63&lt;&gt;""),P63:R63))</f>
        <v/>
      </c>
      <c r="T63" s="65"/>
      <c r="U63" s="65"/>
      <c r="V63" s="65"/>
      <c r="W63" s="130" t="str">
        <f>IF(COUNT(T63:V63)=0,"",LOOKUP(2,1/(T63:V63&lt;&gt;""),T63:V63))</f>
        <v/>
      </c>
      <c r="X63" s="67">
        <v>1</v>
      </c>
      <c r="Y63" s="89" t="s">
        <v>71</v>
      </c>
      <c r="Z63" s="53" t="s">
        <v>179</v>
      </c>
    </row>
    <row r="64" spans="1:26" ht="25.5" customHeight="1" x14ac:dyDescent="0.2">
      <c r="A64" s="44" t="s">
        <v>56</v>
      </c>
      <c r="B64" s="45" t="s">
        <v>57</v>
      </c>
      <c r="C64" s="46" t="s">
        <v>21</v>
      </c>
      <c r="D64" s="46" t="s">
        <v>58</v>
      </c>
      <c r="E64" s="139" t="s">
        <v>505</v>
      </c>
      <c r="F64" s="62">
        <v>0.33</v>
      </c>
      <c r="G64" s="63">
        <v>0.2</v>
      </c>
      <c r="H64" s="140"/>
      <c r="I64" s="140"/>
      <c r="J64" s="140"/>
      <c r="K64" s="141">
        <v>1.8220000000000001</v>
      </c>
      <c r="L64" s="140"/>
      <c r="M64" s="140"/>
      <c r="N64" s="140"/>
      <c r="O64" s="142">
        <v>0.68</v>
      </c>
      <c r="P64" s="140"/>
      <c r="Q64" s="140"/>
      <c r="R64" s="140"/>
      <c r="S64" s="142"/>
      <c r="T64" s="140"/>
      <c r="U64" s="140"/>
      <c r="V64" s="140"/>
      <c r="W64" s="142"/>
      <c r="X64" s="67">
        <v>1.8220000000000001</v>
      </c>
      <c r="Y64" s="89" t="s">
        <v>59</v>
      </c>
      <c r="Z64" s="53" t="s">
        <v>60</v>
      </c>
    </row>
    <row r="65" spans="1:26" ht="25.5" customHeight="1" x14ac:dyDescent="0.2">
      <c r="A65" s="44" t="s">
        <v>62</v>
      </c>
      <c r="B65" s="45" t="s">
        <v>63</v>
      </c>
      <c r="C65" s="46" t="s">
        <v>21</v>
      </c>
      <c r="D65" s="46" t="s">
        <v>64</v>
      </c>
      <c r="E65" s="139" t="s">
        <v>505</v>
      </c>
      <c r="F65" s="90">
        <v>20.7</v>
      </c>
      <c r="G65" s="91">
        <v>21</v>
      </c>
      <c r="H65" s="140"/>
      <c r="I65" s="140"/>
      <c r="J65" s="140"/>
      <c r="K65" s="143">
        <v>20</v>
      </c>
      <c r="L65" s="140"/>
      <c r="M65" s="140"/>
      <c r="N65" s="140"/>
      <c r="O65" s="143" t="s">
        <v>90</v>
      </c>
      <c r="P65" s="140"/>
      <c r="Q65" s="140"/>
      <c r="R65" s="140"/>
      <c r="S65" s="143"/>
      <c r="T65" s="140"/>
      <c r="U65" s="140"/>
      <c r="V65" s="140"/>
      <c r="W65" s="143"/>
      <c r="X65" s="93">
        <v>20</v>
      </c>
      <c r="Y65" s="89" t="s">
        <v>59</v>
      </c>
      <c r="Z65" s="53" t="s">
        <v>60</v>
      </c>
    </row>
    <row r="66" spans="1:26" ht="25.5" customHeight="1" x14ac:dyDescent="0.2">
      <c r="A66" s="44" t="s">
        <v>69</v>
      </c>
      <c r="B66" s="45" t="s">
        <v>70</v>
      </c>
      <c r="C66" s="46" t="s">
        <v>21</v>
      </c>
      <c r="D66" s="46" t="s">
        <v>58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1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1</v>
      </c>
      <c r="Y66" s="89" t="s">
        <v>71</v>
      </c>
      <c r="Z66" s="53" t="s">
        <v>72</v>
      </c>
    </row>
    <row r="67" spans="1:26" ht="25.5" customHeight="1" x14ac:dyDescent="0.2">
      <c r="A67" s="44" t="s">
        <v>73</v>
      </c>
      <c r="B67" s="45" t="s">
        <v>74</v>
      </c>
      <c r="C67" s="46" t="s">
        <v>21</v>
      </c>
      <c r="D67" s="46" t="s">
        <v>64</v>
      </c>
      <c r="E67" s="139" t="s">
        <v>505</v>
      </c>
      <c r="F67" s="62">
        <v>0.52</v>
      </c>
      <c r="G67" s="63">
        <v>0.84</v>
      </c>
      <c r="H67" s="140"/>
      <c r="I67" s="140"/>
      <c r="J67" s="140"/>
      <c r="K67" s="141">
        <v>0</v>
      </c>
      <c r="L67" s="140"/>
      <c r="M67" s="140"/>
      <c r="N67" s="140"/>
      <c r="O67" s="142"/>
      <c r="P67" s="140"/>
      <c r="Q67" s="140"/>
      <c r="R67" s="140"/>
      <c r="S67" s="142"/>
      <c r="T67" s="140"/>
      <c r="U67" s="140"/>
      <c r="V67" s="140"/>
      <c r="W67" s="142"/>
      <c r="X67" s="67">
        <v>0</v>
      </c>
      <c r="Y67" s="89" t="s">
        <v>59</v>
      </c>
      <c r="Z67" s="53" t="s">
        <v>60</v>
      </c>
    </row>
    <row r="68" spans="1:26" ht="25.5" customHeight="1" x14ac:dyDescent="0.2">
      <c r="A68" s="44" t="s">
        <v>78</v>
      </c>
      <c r="B68" s="45" t="s">
        <v>79</v>
      </c>
      <c r="C68" s="46" t="s">
        <v>21</v>
      </c>
      <c r="D68" s="46" t="s">
        <v>64</v>
      </c>
      <c r="E68" s="139" t="s">
        <v>505</v>
      </c>
      <c r="F68" s="71">
        <v>4.7</v>
      </c>
      <c r="G68" s="94">
        <v>9.8000000000000007</v>
      </c>
      <c r="H68" s="144"/>
      <c r="I68" s="144"/>
      <c r="J68" s="144"/>
      <c r="K68" s="145">
        <v>3.3</v>
      </c>
      <c r="L68" s="144"/>
      <c r="M68" s="144"/>
      <c r="N68" s="144"/>
      <c r="O68" s="146"/>
      <c r="P68" s="144"/>
      <c r="Q68" s="144"/>
      <c r="R68" s="144"/>
      <c r="S68" s="146"/>
      <c r="T68" s="144"/>
      <c r="U68" s="144"/>
      <c r="V68" s="144"/>
      <c r="W68" s="146"/>
      <c r="X68" s="75">
        <v>3.3</v>
      </c>
      <c r="Y68" s="89" t="s">
        <v>59</v>
      </c>
      <c r="Z68" s="53" t="s">
        <v>60</v>
      </c>
    </row>
    <row r="69" spans="1:26" ht="25.5" customHeight="1" x14ac:dyDescent="0.2">
      <c r="A69" s="44" t="s">
        <v>80</v>
      </c>
      <c r="B69" s="45" t="s">
        <v>81</v>
      </c>
      <c r="C69" s="46" t="s">
        <v>21</v>
      </c>
      <c r="D69" s="46" t="s">
        <v>64</v>
      </c>
      <c r="E69" s="139" t="s">
        <v>505</v>
      </c>
      <c r="F69" s="62">
        <v>2.5000000000000001E-2</v>
      </c>
      <c r="G69" s="63">
        <v>0.04</v>
      </c>
      <c r="H69" s="140"/>
      <c r="I69" s="140"/>
      <c r="J69" s="140"/>
      <c r="K69" s="141">
        <v>0.01</v>
      </c>
      <c r="L69" s="140"/>
      <c r="M69" s="140"/>
      <c r="N69" s="140"/>
      <c r="O69" s="142"/>
      <c r="P69" s="140"/>
      <c r="Q69" s="140"/>
      <c r="R69" s="140"/>
      <c r="S69" s="142"/>
      <c r="T69" s="140"/>
      <c r="U69" s="140"/>
      <c r="V69" s="140"/>
      <c r="W69" s="142"/>
      <c r="X69" s="67">
        <v>0.01</v>
      </c>
      <c r="Y69" s="89" t="s">
        <v>59</v>
      </c>
      <c r="Z69" s="53" t="s">
        <v>60</v>
      </c>
    </row>
    <row r="70" spans="1:26" ht="25.5" customHeight="1" x14ac:dyDescent="0.2">
      <c r="A70" s="44" t="s">
        <v>82</v>
      </c>
      <c r="B70" s="45" t="s">
        <v>83</v>
      </c>
      <c r="C70" s="46" t="s">
        <v>21</v>
      </c>
      <c r="D70" s="46" t="s">
        <v>58</v>
      </c>
      <c r="E70" s="139" t="s">
        <v>505</v>
      </c>
      <c r="F70" s="77">
        <v>0.3</v>
      </c>
      <c r="G70" s="57">
        <v>0.9</v>
      </c>
      <c r="H70" s="147"/>
      <c r="I70" s="147"/>
      <c r="J70" s="147"/>
      <c r="K70" s="148">
        <v>0.4</v>
      </c>
      <c r="L70" s="147"/>
      <c r="M70" s="147"/>
      <c r="N70" s="147"/>
      <c r="O70" s="149" t="s">
        <v>515</v>
      </c>
      <c r="P70" s="147"/>
      <c r="Q70" s="147"/>
      <c r="R70" s="147"/>
      <c r="S70" s="149"/>
      <c r="T70" s="147"/>
      <c r="U70" s="147"/>
      <c r="V70" s="147"/>
      <c r="W70" s="149"/>
      <c r="X70" s="79">
        <v>0.4</v>
      </c>
      <c r="Y70" s="89" t="s">
        <v>67</v>
      </c>
      <c r="Z70" s="53" t="s">
        <v>60</v>
      </c>
    </row>
    <row r="71" spans="1:26" ht="25.5" customHeight="1" x14ac:dyDescent="0.2">
      <c r="A71" s="44" t="s">
        <v>85</v>
      </c>
      <c r="B71" s="45" t="s">
        <v>86</v>
      </c>
      <c r="C71" s="46" t="s">
        <v>21</v>
      </c>
      <c r="D71" s="46" t="s">
        <v>58</v>
      </c>
      <c r="E71" s="139" t="s">
        <v>505</v>
      </c>
      <c r="F71" s="62">
        <v>0.58789999999999998</v>
      </c>
      <c r="G71" s="66" t="s">
        <v>24</v>
      </c>
      <c r="H71" s="140"/>
      <c r="I71" s="140"/>
      <c r="J71" s="140"/>
      <c r="K71" s="141">
        <v>0.45590000000000003</v>
      </c>
      <c r="L71" s="140"/>
      <c r="M71" s="140"/>
      <c r="N71" s="140"/>
      <c r="O71" s="142">
        <v>0.81950000000000001</v>
      </c>
      <c r="P71" s="140"/>
      <c r="Q71" s="140"/>
      <c r="R71" s="140"/>
      <c r="S71" s="142"/>
      <c r="T71" s="140"/>
      <c r="U71" s="140"/>
      <c r="V71" s="140"/>
      <c r="W71" s="142"/>
      <c r="X71" s="67">
        <v>0.45590000000000003</v>
      </c>
      <c r="Y71" s="89" t="s">
        <v>71</v>
      </c>
      <c r="Z71" s="53" t="s">
        <v>68</v>
      </c>
    </row>
    <row r="72" spans="1:26" ht="25.5" customHeight="1" x14ac:dyDescent="0.2">
      <c r="A72" s="44" t="s">
        <v>94</v>
      </c>
      <c r="B72" s="45" t="s">
        <v>95</v>
      </c>
      <c r="C72" s="46" t="s">
        <v>19</v>
      </c>
      <c r="D72" s="46" t="s">
        <v>58</v>
      </c>
      <c r="E72" s="139" t="s">
        <v>505</v>
      </c>
      <c r="F72" s="62">
        <v>0.76700000000000002</v>
      </c>
      <c r="G72" s="63">
        <v>0.5</v>
      </c>
      <c r="H72" s="140"/>
      <c r="I72" s="140"/>
      <c r="J72" s="140"/>
      <c r="K72" s="142">
        <v>0.97922279792746103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0.97922279792746103</v>
      </c>
      <c r="Y72" s="89" t="s">
        <v>59</v>
      </c>
      <c r="Z72" s="53" t="s">
        <v>60</v>
      </c>
    </row>
    <row r="73" spans="1:26" ht="25.5" customHeight="1" x14ac:dyDescent="0.2">
      <c r="A73" s="44" t="s">
        <v>96</v>
      </c>
      <c r="B73" s="45" t="s">
        <v>97</v>
      </c>
      <c r="C73" s="46" t="s">
        <v>19</v>
      </c>
      <c r="D73" s="46" t="s">
        <v>58</v>
      </c>
      <c r="E73" s="139" t="s">
        <v>505</v>
      </c>
      <c r="F73" s="62">
        <v>0.77600000000000002</v>
      </c>
      <c r="G73" s="63">
        <v>0.5</v>
      </c>
      <c r="H73" s="140"/>
      <c r="I73" s="140"/>
      <c r="J73" s="140"/>
      <c r="K73" s="142">
        <v>0.98305699481865305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0.98305699481865305</v>
      </c>
      <c r="Y73" s="89" t="s">
        <v>59</v>
      </c>
      <c r="Z73" s="53" t="s">
        <v>60</v>
      </c>
    </row>
    <row r="74" spans="1:26" ht="25.5" customHeight="1" x14ac:dyDescent="0.2">
      <c r="A74" s="44" t="s">
        <v>98</v>
      </c>
      <c r="B74" s="45" t="s">
        <v>99</v>
      </c>
      <c r="C74" s="46" t="s">
        <v>19</v>
      </c>
      <c r="D74" s="46" t="s">
        <v>58</v>
      </c>
      <c r="E74" s="139" t="s">
        <v>505</v>
      </c>
      <c r="F74" s="62">
        <v>0.45400000000000001</v>
      </c>
      <c r="G74" s="63">
        <v>0.3</v>
      </c>
      <c r="H74" s="140"/>
      <c r="I74" s="140"/>
      <c r="J74" s="140"/>
      <c r="K74" s="142">
        <v>0.83960304638818395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0.83960304638818395</v>
      </c>
      <c r="Y74" s="89" t="s">
        <v>59</v>
      </c>
      <c r="Z74" s="53" t="s">
        <v>60</v>
      </c>
    </row>
    <row r="75" spans="1:26" ht="25.5" customHeight="1" x14ac:dyDescent="0.2">
      <c r="A75" s="44" t="s">
        <v>100</v>
      </c>
      <c r="B75" s="45" t="s">
        <v>101</v>
      </c>
      <c r="C75" s="46" t="s">
        <v>19</v>
      </c>
      <c r="D75" s="46" t="s">
        <v>58</v>
      </c>
      <c r="E75" s="139" t="s">
        <v>505</v>
      </c>
      <c r="F75" s="62">
        <v>0.63700000000000001</v>
      </c>
      <c r="G75" s="63">
        <v>0.5</v>
      </c>
      <c r="H75" s="140"/>
      <c r="I75" s="140"/>
      <c r="J75" s="140"/>
      <c r="K75" s="142">
        <v>1.04201101928375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1.04201101928375</v>
      </c>
      <c r="Y75" s="89" t="s">
        <v>59</v>
      </c>
      <c r="Z75" s="53" t="s">
        <v>60</v>
      </c>
    </row>
    <row r="76" spans="1:26" ht="25.5" customHeight="1" x14ac:dyDescent="0.2">
      <c r="A76" s="44" t="s">
        <v>102</v>
      </c>
      <c r="B76" s="45" t="s">
        <v>103</v>
      </c>
      <c r="C76" s="46" t="s">
        <v>19</v>
      </c>
      <c r="D76" s="46" t="s">
        <v>58</v>
      </c>
      <c r="E76" s="139" t="s">
        <v>505</v>
      </c>
      <c r="F76" s="62">
        <v>0.92</v>
      </c>
      <c r="G76" s="63">
        <v>0.3</v>
      </c>
      <c r="H76" s="140"/>
      <c r="I76" s="140"/>
      <c r="J76" s="140"/>
      <c r="K76" s="142">
        <v>1.35135135135135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1.35135135135135</v>
      </c>
      <c r="Y76" s="89" t="s">
        <v>59</v>
      </c>
      <c r="Z76" s="53" t="s">
        <v>60</v>
      </c>
    </row>
    <row r="77" spans="1:26" ht="25.5" customHeight="1" x14ac:dyDescent="0.2">
      <c r="A77" s="44" t="s">
        <v>104</v>
      </c>
      <c r="B77" s="45" t="s">
        <v>105</v>
      </c>
      <c r="C77" s="46" t="s">
        <v>19</v>
      </c>
      <c r="D77" s="46" t="s">
        <v>58</v>
      </c>
      <c r="E77" s="139" t="s">
        <v>505</v>
      </c>
      <c r="F77" s="62">
        <v>0.88</v>
      </c>
      <c r="G77" s="63">
        <v>0.3</v>
      </c>
      <c r="H77" s="140"/>
      <c r="I77" s="140"/>
      <c r="J77" s="140"/>
      <c r="K77" s="142">
        <v>1.03454545454545</v>
      </c>
      <c r="L77" s="140"/>
      <c r="M77" s="140"/>
      <c r="N77" s="140"/>
      <c r="O77" s="142"/>
      <c r="P77" s="140"/>
      <c r="Q77" s="140"/>
      <c r="R77" s="140"/>
      <c r="S77" s="142"/>
      <c r="T77" s="140"/>
      <c r="U77" s="140"/>
      <c r="V77" s="140"/>
      <c r="W77" s="142"/>
      <c r="X77" s="67">
        <v>1.03454545454545</v>
      </c>
      <c r="Y77" s="89" t="s">
        <v>59</v>
      </c>
      <c r="Z77" s="53" t="s">
        <v>60</v>
      </c>
    </row>
    <row r="78" spans="1:26" ht="25.5" customHeight="1" x14ac:dyDescent="0.2">
      <c r="A78" s="44" t="s">
        <v>106</v>
      </c>
      <c r="B78" s="45" t="s">
        <v>107</v>
      </c>
      <c r="C78" s="46" t="s">
        <v>19</v>
      </c>
      <c r="D78" s="46" t="s">
        <v>58</v>
      </c>
      <c r="E78" s="139" t="s">
        <v>505</v>
      </c>
      <c r="F78" s="62">
        <v>0.84099999999999997</v>
      </c>
      <c r="G78" s="63">
        <v>0.3</v>
      </c>
      <c r="H78" s="140"/>
      <c r="I78" s="140"/>
      <c r="J78" s="140"/>
      <c r="K78" s="142">
        <v>0.91400000000000003</v>
      </c>
      <c r="L78" s="140"/>
      <c r="M78" s="140"/>
      <c r="N78" s="140"/>
      <c r="O78" s="142"/>
      <c r="P78" s="140"/>
      <c r="Q78" s="140"/>
      <c r="R78" s="140"/>
      <c r="S78" s="142"/>
      <c r="T78" s="140"/>
      <c r="U78" s="140"/>
      <c r="V78" s="140"/>
      <c r="W78" s="142"/>
      <c r="X78" s="67">
        <v>0.91400000000000003</v>
      </c>
      <c r="Y78" s="89" t="s">
        <v>59</v>
      </c>
      <c r="Z78" s="53" t="s">
        <v>60</v>
      </c>
    </row>
    <row r="79" spans="1:26" ht="25.5" customHeight="1" x14ac:dyDescent="0.2">
      <c r="A79" s="44" t="s">
        <v>108</v>
      </c>
      <c r="B79" s="45" t="s">
        <v>109</v>
      </c>
      <c r="C79" s="46" t="s">
        <v>19</v>
      </c>
      <c r="D79" s="46" t="s">
        <v>58</v>
      </c>
      <c r="E79" s="139" t="s">
        <v>505</v>
      </c>
      <c r="F79" s="62">
        <v>1</v>
      </c>
      <c r="G79" s="63">
        <v>0.9</v>
      </c>
      <c r="H79" s="140"/>
      <c r="I79" s="140"/>
      <c r="J79" s="140"/>
      <c r="K79" s="142">
        <v>0.88081936685288598</v>
      </c>
      <c r="L79" s="140"/>
      <c r="M79" s="140"/>
      <c r="N79" s="140"/>
      <c r="O79" s="142"/>
      <c r="P79" s="140"/>
      <c r="Q79" s="140"/>
      <c r="R79" s="140"/>
      <c r="S79" s="142"/>
      <c r="T79" s="140"/>
      <c r="U79" s="140"/>
      <c r="V79" s="140"/>
      <c r="W79" s="142"/>
      <c r="X79" s="67">
        <v>0.88081936685288598</v>
      </c>
      <c r="Y79" s="89" t="s">
        <v>67</v>
      </c>
      <c r="Z79" s="53" t="s">
        <v>60</v>
      </c>
    </row>
    <row r="80" spans="1:26" ht="25.5" customHeight="1" x14ac:dyDescent="0.2">
      <c r="A80" s="44" t="s">
        <v>110</v>
      </c>
      <c r="B80" s="45" t="s">
        <v>111</v>
      </c>
      <c r="C80" s="46" t="s">
        <v>19</v>
      </c>
      <c r="D80" s="46" t="s">
        <v>58</v>
      </c>
      <c r="E80" s="139" t="s">
        <v>505</v>
      </c>
      <c r="F80" s="62">
        <v>0.93799999999999994</v>
      </c>
      <c r="G80" s="63">
        <v>0.9</v>
      </c>
      <c r="H80" s="140"/>
      <c r="I80" s="140"/>
      <c r="J80" s="140"/>
      <c r="K80" s="142">
        <v>0.95693779904306198</v>
      </c>
      <c r="L80" s="140"/>
      <c r="M80" s="140"/>
      <c r="N80" s="140"/>
      <c r="O80" s="142"/>
      <c r="P80" s="140"/>
      <c r="Q80" s="140"/>
      <c r="R80" s="140"/>
      <c r="S80" s="142"/>
      <c r="T80" s="140"/>
      <c r="U80" s="140"/>
      <c r="V80" s="140"/>
      <c r="W80" s="142"/>
      <c r="X80" s="67">
        <v>0.95693779904306198</v>
      </c>
      <c r="Y80" s="89" t="s">
        <v>59</v>
      </c>
      <c r="Z80" s="53" t="s">
        <v>60</v>
      </c>
    </row>
    <row r="81" spans="1:26" ht="25.5" customHeight="1" x14ac:dyDescent="0.2">
      <c r="A81" s="44" t="s">
        <v>112</v>
      </c>
      <c r="B81" s="45" t="s">
        <v>113</v>
      </c>
      <c r="C81" s="46" t="s">
        <v>19</v>
      </c>
      <c r="D81" s="46" t="s">
        <v>58</v>
      </c>
      <c r="E81" s="139" t="s">
        <v>505</v>
      </c>
      <c r="F81" s="62">
        <v>0.995</v>
      </c>
      <c r="G81" s="66">
        <v>0.6</v>
      </c>
      <c r="H81" s="140"/>
      <c r="I81" s="140"/>
      <c r="J81" s="140"/>
      <c r="K81" s="141">
        <v>1.0065</v>
      </c>
      <c r="L81" s="140"/>
      <c r="M81" s="140"/>
      <c r="N81" s="140"/>
      <c r="O81" s="142">
        <v>1</v>
      </c>
      <c r="P81" s="140"/>
      <c r="Q81" s="140"/>
      <c r="R81" s="140"/>
      <c r="S81" s="142"/>
      <c r="T81" s="140"/>
      <c r="U81" s="140"/>
      <c r="V81" s="140"/>
      <c r="W81" s="142">
        <v>1.0704</v>
      </c>
      <c r="X81" s="67">
        <v>1.0065</v>
      </c>
      <c r="Y81" s="89" t="s">
        <v>59</v>
      </c>
      <c r="Z81" s="53" t="s">
        <v>60</v>
      </c>
    </row>
    <row r="82" spans="1:26" ht="25.5" customHeight="1" x14ac:dyDescent="0.2">
      <c r="A82" s="44" t="s">
        <v>116</v>
      </c>
      <c r="B82" s="45" t="s">
        <v>117</v>
      </c>
      <c r="C82" s="46" t="s">
        <v>19</v>
      </c>
      <c r="D82" s="46" t="s">
        <v>64</v>
      </c>
      <c r="E82" s="139" t="s">
        <v>505</v>
      </c>
      <c r="F82" s="62" t="s">
        <v>24</v>
      </c>
      <c r="G82" s="66" t="s">
        <v>24</v>
      </c>
      <c r="H82" s="140"/>
      <c r="I82" s="140"/>
      <c r="J82" s="140"/>
      <c r="K82" s="141">
        <v>0.39271781534460298</v>
      </c>
      <c r="L82" s="140"/>
      <c r="M82" s="140"/>
      <c r="N82" s="140"/>
      <c r="O82" s="142">
        <v>424</v>
      </c>
      <c r="P82" s="140"/>
      <c r="Q82" s="140"/>
      <c r="R82" s="140"/>
      <c r="S82" s="142"/>
      <c r="T82" s="140"/>
      <c r="U82" s="140"/>
      <c r="V82" s="140"/>
      <c r="W82" s="142"/>
      <c r="X82" s="67">
        <v>0.39271781534460298</v>
      </c>
      <c r="Y82" s="89" t="s">
        <v>71</v>
      </c>
      <c r="Z82" s="53" t="s">
        <v>118</v>
      </c>
    </row>
    <row r="83" spans="1:26" ht="25.5" customHeight="1" x14ac:dyDescent="0.2">
      <c r="A83" s="44" t="s">
        <v>119</v>
      </c>
      <c r="B83" s="45" t="s">
        <v>120</v>
      </c>
      <c r="C83" s="46" t="s">
        <v>19</v>
      </c>
      <c r="D83" s="46" t="s">
        <v>64</v>
      </c>
      <c r="E83" s="139" t="s">
        <v>505</v>
      </c>
      <c r="F83" s="77">
        <v>0</v>
      </c>
      <c r="G83" s="96">
        <v>15</v>
      </c>
      <c r="H83" s="147"/>
      <c r="I83" s="147"/>
      <c r="J83" s="147"/>
      <c r="K83" s="148">
        <v>0.1</v>
      </c>
      <c r="L83" s="147"/>
      <c r="M83" s="147"/>
      <c r="N83" s="147"/>
      <c r="O83" s="149">
        <v>7.0000000000000007E-2</v>
      </c>
      <c r="P83" s="147"/>
      <c r="Q83" s="147"/>
      <c r="R83" s="147"/>
      <c r="S83" s="149"/>
      <c r="T83" s="147"/>
      <c r="U83" s="147"/>
      <c r="V83" s="147"/>
      <c r="W83" s="149"/>
      <c r="X83" s="79">
        <v>0.1</v>
      </c>
      <c r="Y83" s="89" t="s">
        <v>59</v>
      </c>
      <c r="Z83" s="53" t="s">
        <v>60</v>
      </c>
    </row>
    <row r="84" spans="1:26" ht="25.5" customHeight="1" x14ac:dyDescent="0.2">
      <c r="A84" s="44" t="s">
        <v>122</v>
      </c>
      <c r="B84" s="45" t="s">
        <v>123</v>
      </c>
      <c r="C84" s="46" t="s">
        <v>19</v>
      </c>
      <c r="D84" s="46" t="s">
        <v>64</v>
      </c>
      <c r="E84" s="139" t="s">
        <v>505</v>
      </c>
      <c r="F84" s="77">
        <v>0.4</v>
      </c>
      <c r="G84" s="50">
        <v>0.7</v>
      </c>
      <c r="H84" s="147"/>
      <c r="I84" s="147"/>
      <c r="J84" s="147"/>
      <c r="K84" s="148">
        <v>0.2</v>
      </c>
      <c r="L84" s="147"/>
      <c r="M84" s="147"/>
      <c r="N84" s="147"/>
      <c r="O84" s="149">
        <v>0.3</v>
      </c>
      <c r="P84" s="147"/>
      <c r="Q84" s="147"/>
      <c r="R84" s="147"/>
      <c r="S84" s="149"/>
      <c r="T84" s="147"/>
      <c r="U84" s="147"/>
      <c r="V84" s="147"/>
      <c r="W84" s="149"/>
      <c r="X84" s="79">
        <v>0.2</v>
      </c>
      <c r="Y84" s="89" t="s">
        <v>59</v>
      </c>
      <c r="Z84" s="53" t="s">
        <v>60</v>
      </c>
    </row>
    <row r="85" spans="1:26" ht="25.5" customHeight="1" x14ac:dyDescent="0.2">
      <c r="A85" s="44" t="s">
        <v>124</v>
      </c>
      <c r="B85" s="45" t="s">
        <v>125</v>
      </c>
      <c r="C85" s="46" t="s">
        <v>19</v>
      </c>
      <c r="D85" s="46" t="s">
        <v>64</v>
      </c>
      <c r="E85" s="139" t="s">
        <v>505</v>
      </c>
      <c r="F85" s="77">
        <v>0.13</v>
      </c>
      <c r="G85" s="97">
        <v>11</v>
      </c>
      <c r="H85" s="147"/>
      <c r="I85" s="147"/>
      <c r="J85" s="147"/>
      <c r="K85" s="148">
        <v>0</v>
      </c>
      <c r="L85" s="147"/>
      <c r="M85" s="147"/>
      <c r="N85" s="147"/>
      <c r="O85" s="149">
        <v>0</v>
      </c>
      <c r="P85" s="147"/>
      <c r="Q85" s="147"/>
      <c r="R85" s="147"/>
      <c r="S85" s="149"/>
      <c r="T85" s="147"/>
      <c r="U85" s="147"/>
      <c r="V85" s="147"/>
      <c r="W85" s="149"/>
      <c r="X85" s="79">
        <v>0</v>
      </c>
      <c r="Y85" s="89" t="s">
        <v>59</v>
      </c>
      <c r="Z85" s="53" t="s">
        <v>60</v>
      </c>
    </row>
    <row r="86" spans="1:26" ht="25.5" customHeight="1" x14ac:dyDescent="0.2">
      <c r="A86" s="44" t="s">
        <v>126</v>
      </c>
      <c r="B86" s="45" t="s">
        <v>127</v>
      </c>
      <c r="C86" s="46" t="s">
        <v>19</v>
      </c>
      <c r="D86" s="46" t="s">
        <v>64</v>
      </c>
      <c r="E86" s="139" t="s">
        <v>505</v>
      </c>
      <c r="F86" s="77">
        <v>0.47</v>
      </c>
      <c r="G86" s="57">
        <v>0.4</v>
      </c>
      <c r="H86" s="147"/>
      <c r="I86" s="147"/>
      <c r="J86" s="147"/>
      <c r="K86" s="148">
        <v>0</v>
      </c>
      <c r="L86" s="147"/>
      <c r="M86" s="147"/>
      <c r="N86" s="147"/>
      <c r="O86" s="149">
        <v>0</v>
      </c>
      <c r="P86" s="147"/>
      <c r="Q86" s="147"/>
      <c r="R86" s="147"/>
      <c r="S86" s="149"/>
      <c r="T86" s="147"/>
      <c r="U86" s="147"/>
      <c r="V86" s="147"/>
      <c r="W86" s="149"/>
      <c r="X86" s="79">
        <v>0</v>
      </c>
      <c r="Y86" s="89" t="s">
        <v>59</v>
      </c>
      <c r="Z86" s="53" t="s">
        <v>128</v>
      </c>
    </row>
    <row r="87" spans="1:26" ht="25.5" customHeight="1" x14ac:dyDescent="0.2">
      <c r="A87" s="44" t="s">
        <v>132</v>
      </c>
      <c r="B87" s="45" t="s">
        <v>133</v>
      </c>
      <c r="C87" s="46" t="s">
        <v>19</v>
      </c>
      <c r="D87" s="46" t="s">
        <v>64</v>
      </c>
      <c r="E87" s="139" t="s">
        <v>505</v>
      </c>
      <c r="F87" s="77">
        <v>4.5</v>
      </c>
      <c r="G87" s="50" t="s">
        <v>24</v>
      </c>
      <c r="H87" s="147"/>
      <c r="I87" s="147"/>
      <c r="J87" s="147"/>
      <c r="K87" s="148">
        <v>1.6155088852988699</v>
      </c>
      <c r="L87" s="147"/>
      <c r="M87" s="147"/>
      <c r="N87" s="147"/>
      <c r="O87" s="149">
        <v>7.44</v>
      </c>
      <c r="P87" s="147"/>
      <c r="Q87" s="147"/>
      <c r="R87" s="147"/>
      <c r="S87" s="149"/>
      <c r="T87" s="147"/>
      <c r="U87" s="147"/>
      <c r="V87" s="147"/>
      <c r="W87" s="149"/>
      <c r="X87" s="79">
        <v>1.6155088852988699</v>
      </c>
      <c r="Y87" s="89" t="s">
        <v>71</v>
      </c>
      <c r="Z87" s="53" t="s">
        <v>128</v>
      </c>
    </row>
    <row r="88" spans="1:26" ht="25.5" customHeight="1" x14ac:dyDescent="0.2">
      <c r="A88" s="44" t="s">
        <v>136</v>
      </c>
      <c r="B88" s="45" t="s">
        <v>137</v>
      </c>
      <c r="C88" s="46" t="s">
        <v>19</v>
      </c>
      <c r="D88" s="46" t="s">
        <v>64</v>
      </c>
      <c r="E88" s="139" t="s">
        <v>505</v>
      </c>
      <c r="F88" s="77">
        <v>0.9</v>
      </c>
      <c r="G88" s="97">
        <v>1.5</v>
      </c>
      <c r="H88" s="147"/>
      <c r="I88" s="147"/>
      <c r="J88" s="147"/>
      <c r="K88" s="149"/>
      <c r="L88" s="147"/>
      <c r="M88" s="147"/>
      <c r="N88" s="147"/>
      <c r="O88" s="149">
        <v>0</v>
      </c>
      <c r="P88" s="147"/>
      <c r="Q88" s="147"/>
      <c r="R88" s="147"/>
      <c r="S88" s="149"/>
      <c r="T88" s="147"/>
      <c r="U88" s="147"/>
      <c r="V88" s="147"/>
      <c r="W88" s="149"/>
      <c r="X88" s="79"/>
      <c r="Y88" s="89" t="s">
        <v>91</v>
      </c>
      <c r="Z88" s="53" t="s">
        <v>60</v>
      </c>
    </row>
    <row r="89" spans="1:26" ht="25.5" customHeight="1" x14ac:dyDescent="0.2">
      <c r="A89" s="44" t="s">
        <v>138</v>
      </c>
      <c r="B89" s="45" t="s">
        <v>139</v>
      </c>
      <c r="C89" s="46" t="s">
        <v>19</v>
      </c>
      <c r="D89" s="46" t="s">
        <v>58</v>
      </c>
      <c r="E89" s="139" t="s">
        <v>505</v>
      </c>
      <c r="F89" s="77">
        <v>0.9</v>
      </c>
      <c r="G89" s="57">
        <v>3</v>
      </c>
      <c r="H89" s="147"/>
      <c r="I89" s="147"/>
      <c r="J89" s="147"/>
      <c r="K89" s="148">
        <v>0.7</v>
      </c>
      <c r="L89" s="147"/>
      <c r="M89" s="147"/>
      <c r="N89" s="147"/>
      <c r="O89" s="149">
        <v>0.77</v>
      </c>
      <c r="P89" s="147"/>
      <c r="Q89" s="147"/>
      <c r="R89" s="147"/>
      <c r="S89" s="149"/>
      <c r="T89" s="147"/>
      <c r="U89" s="147"/>
      <c r="V89" s="147"/>
      <c r="W89" s="149"/>
      <c r="X89" s="79">
        <v>0.7</v>
      </c>
      <c r="Y89" s="89" t="s">
        <v>67</v>
      </c>
      <c r="Z89" s="53" t="s">
        <v>60</v>
      </c>
    </row>
    <row r="90" spans="1:26" ht="25.5" customHeight="1" x14ac:dyDescent="0.2">
      <c r="A90" s="44" t="s">
        <v>140</v>
      </c>
      <c r="B90" s="45" t="s">
        <v>141</v>
      </c>
      <c r="C90" s="46" t="s">
        <v>19</v>
      </c>
      <c r="D90" s="46" t="s">
        <v>58</v>
      </c>
      <c r="E90" s="139" t="s">
        <v>505</v>
      </c>
      <c r="F90" s="62">
        <v>0.77700000000000002</v>
      </c>
      <c r="G90" s="63">
        <v>0.7</v>
      </c>
      <c r="H90" s="140"/>
      <c r="I90" s="140"/>
      <c r="J90" s="140"/>
      <c r="K90" s="141">
        <v>0.60699999999999998</v>
      </c>
      <c r="L90" s="140"/>
      <c r="M90" s="140"/>
      <c r="N90" s="140"/>
      <c r="O90" s="142">
        <v>0.61070000000000002</v>
      </c>
      <c r="P90" s="140"/>
      <c r="Q90" s="140"/>
      <c r="R90" s="140"/>
      <c r="S90" s="142"/>
      <c r="T90" s="140"/>
      <c r="U90" s="140"/>
      <c r="V90" s="140"/>
      <c r="W90" s="142"/>
      <c r="X90" s="67">
        <v>0.60699999999999998</v>
      </c>
      <c r="Y90" s="89" t="s">
        <v>67</v>
      </c>
      <c r="Z90" s="53" t="s">
        <v>60</v>
      </c>
    </row>
    <row r="91" spans="1:26" ht="25.5" customHeight="1" x14ac:dyDescent="0.2">
      <c r="A91" s="44" t="s">
        <v>142</v>
      </c>
      <c r="B91" s="45" t="s">
        <v>143</v>
      </c>
      <c r="C91" s="46" t="s">
        <v>19</v>
      </c>
      <c r="D91" s="46" t="s">
        <v>64</v>
      </c>
      <c r="E91" s="139" t="s">
        <v>505</v>
      </c>
      <c r="F91" s="77">
        <v>28.6</v>
      </c>
      <c r="G91" s="97">
        <v>14.3</v>
      </c>
      <c r="H91" s="147"/>
      <c r="I91" s="147"/>
      <c r="J91" s="147"/>
      <c r="K91" s="149"/>
      <c r="L91" s="147"/>
      <c r="M91" s="147"/>
      <c r="N91" s="147"/>
      <c r="O91" s="149">
        <v>0</v>
      </c>
      <c r="P91" s="147"/>
      <c r="Q91" s="147"/>
      <c r="R91" s="147"/>
      <c r="S91" s="149"/>
      <c r="T91" s="147"/>
      <c r="U91" s="147"/>
      <c r="V91" s="147"/>
      <c r="W91" s="149"/>
      <c r="X91" s="79"/>
      <c r="Y91" s="89" t="s">
        <v>91</v>
      </c>
      <c r="Z91" s="53" t="s">
        <v>60</v>
      </c>
    </row>
    <row r="92" spans="1:26" ht="25.5" customHeight="1" x14ac:dyDescent="0.2">
      <c r="A92" s="44" t="s">
        <v>147</v>
      </c>
      <c r="B92" s="45" t="s">
        <v>148</v>
      </c>
      <c r="C92" s="46" t="s">
        <v>146</v>
      </c>
      <c r="D92" s="46" t="s">
        <v>58</v>
      </c>
      <c r="E92" s="139" t="s">
        <v>505</v>
      </c>
      <c r="F92" s="62">
        <v>0.624</v>
      </c>
      <c r="G92" s="66">
        <v>0.6</v>
      </c>
      <c r="H92" s="140"/>
      <c r="I92" s="140"/>
      <c r="J92" s="140"/>
      <c r="K92" s="142">
        <v>0.63800000000000001</v>
      </c>
      <c r="L92" s="140"/>
      <c r="M92" s="140"/>
      <c r="N92" s="140"/>
      <c r="O92" s="142"/>
      <c r="P92" s="140"/>
      <c r="Q92" s="140"/>
      <c r="R92" s="140"/>
      <c r="S92" s="142"/>
      <c r="T92" s="140"/>
      <c r="U92" s="140"/>
      <c r="V92" s="140"/>
      <c r="W92" s="142"/>
      <c r="X92" s="67">
        <v>0.63800000000000001</v>
      </c>
      <c r="Y92" s="89" t="s">
        <v>59</v>
      </c>
      <c r="Z92" s="53" t="s">
        <v>60</v>
      </c>
    </row>
    <row r="93" spans="1:26" ht="25.5" customHeight="1" x14ac:dyDescent="0.2">
      <c r="A93" s="44" t="s">
        <v>149</v>
      </c>
      <c r="B93" s="45" t="s">
        <v>150</v>
      </c>
      <c r="C93" s="46" t="s">
        <v>146</v>
      </c>
      <c r="D93" s="46" t="s">
        <v>58</v>
      </c>
      <c r="E93" s="139" t="s">
        <v>505</v>
      </c>
      <c r="F93" s="62">
        <v>0.76</v>
      </c>
      <c r="G93" s="66">
        <v>0.7</v>
      </c>
      <c r="H93" s="140"/>
      <c r="I93" s="140"/>
      <c r="J93" s="140"/>
      <c r="K93" s="142"/>
      <c r="L93" s="140"/>
      <c r="M93" s="140"/>
      <c r="N93" s="140"/>
      <c r="O93" s="142"/>
      <c r="P93" s="140"/>
      <c r="Q93" s="140"/>
      <c r="R93" s="140"/>
      <c r="S93" s="142"/>
      <c r="T93" s="140"/>
      <c r="U93" s="140"/>
      <c r="V93" s="140"/>
      <c r="W93" s="142"/>
      <c r="X93" s="67"/>
      <c r="Y93" s="89" t="s">
        <v>91</v>
      </c>
      <c r="Z93" s="53" t="s">
        <v>60</v>
      </c>
    </row>
    <row r="94" spans="1:26" ht="25.5" customHeight="1" x14ac:dyDescent="0.2">
      <c r="A94" s="44" t="s">
        <v>151</v>
      </c>
      <c r="B94" s="45" t="s">
        <v>152</v>
      </c>
      <c r="C94" s="46" t="s">
        <v>146</v>
      </c>
      <c r="D94" s="46" t="s">
        <v>58</v>
      </c>
      <c r="E94" s="139" t="s">
        <v>505</v>
      </c>
      <c r="F94" s="62">
        <v>0.82099999999999995</v>
      </c>
      <c r="G94" s="66">
        <v>0.7</v>
      </c>
      <c r="H94" s="140"/>
      <c r="I94" s="140"/>
      <c r="J94" s="140"/>
      <c r="K94" s="142"/>
      <c r="L94" s="140"/>
      <c r="M94" s="140"/>
      <c r="N94" s="140"/>
      <c r="O94" s="142"/>
      <c r="P94" s="140"/>
      <c r="Q94" s="140"/>
      <c r="R94" s="140"/>
      <c r="S94" s="142"/>
      <c r="T94" s="140"/>
      <c r="U94" s="140"/>
      <c r="V94" s="140"/>
      <c r="W94" s="142"/>
      <c r="X94" s="67"/>
      <c r="Y94" s="89" t="s">
        <v>91</v>
      </c>
      <c r="Z94" s="53" t="s">
        <v>60</v>
      </c>
    </row>
    <row r="95" spans="1:26" ht="25.5" customHeight="1" x14ac:dyDescent="0.2">
      <c r="A95" s="44" t="s">
        <v>153</v>
      </c>
      <c r="B95" s="45" t="s">
        <v>154</v>
      </c>
      <c r="C95" s="46" t="s">
        <v>146</v>
      </c>
      <c r="D95" s="46" t="s">
        <v>58</v>
      </c>
      <c r="E95" s="139" t="s">
        <v>505</v>
      </c>
      <c r="F95" s="62">
        <v>0.91</v>
      </c>
      <c r="G95" s="63">
        <v>0.92</v>
      </c>
      <c r="H95" s="140"/>
      <c r="I95" s="140"/>
      <c r="J95" s="140"/>
      <c r="K95" s="141">
        <v>1</v>
      </c>
      <c r="L95" s="140"/>
      <c r="M95" s="140"/>
      <c r="N95" s="140"/>
      <c r="O95" s="142">
        <v>1</v>
      </c>
      <c r="P95" s="140"/>
      <c r="Q95" s="140"/>
      <c r="R95" s="140"/>
      <c r="S95" s="142"/>
      <c r="T95" s="140"/>
      <c r="U95" s="140"/>
      <c r="V95" s="140"/>
      <c r="W95" s="142"/>
      <c r="X95" s="67">
        <v>1</v>
      </c>
      <c r="Y95" s="89" t="s">
        <v>59</v>
      </c>
      <c r="Z95" s="53" t="s">
        <v>155</v>
      </c>
    </row>
    <row r="96" spans="1:26" ht="25.5" customHeight="1" x14ac:dyDescent="0.2">
      <c r="A96" s="44" t="s">
        <v>156</v>
      </c>
      <c r="B96" s="45" t="s">
        <v>157</v>
      </c>
      <c r="C96" s="46" t="s">
        <v>146</v>
      </c>
      <c r="D96" s="46" t="s">
        <v>58</v>
      </c>
      <c r="E96" s="139" t="s">
        <v>505</v>
      </c>
      <c r="F96" s="62">
        <v>0.78</v>
      </c>
      <c r="G96" s="66">
        <v>0.85</v>
      </c>
      <c r="H96" s="140"/>
      <c r="I96" s="140"/>
      <c r="J96" s="140"/>
      <c r="K96" s="141">
        <v>1</v>
      </c>
      <c r="L96" s="140"/>
      <c r="M96" s="140"/>
      <c r="N96" s="140"/>
      <c r="O96" s="142">
        <v>1</v>
      </c>
      <c r="P96" s="140"/>
      <c r="Q96" s="140"/>
      <c r="R96" s="140"/>
      <c r="S96" s="142"/>
      <c r="T96" s="140"/>
      <c r="U96" s="140"/>
      <c r="V96" s="140"/>
      <c r="W96" s="142"/>
      <c r="X96" s="67">
        <v>1</v>
      </c>
      <c r="Y96" s="89" t="s">
        <v>59</v>
      </c>
      <c r="Z96" s="53" t="s">
        <v>158</v>
      </c>
    </row>
    <row r="97" spans="1:26" ht="25.5" customHeight="1" x14ac:dyDescent="0.2">
      <c r="A97" s="44" t="s">
        <v>159</v>
      </c>
      <c r="B97" s="45" t="s">
        <v>160</v>
      </c>
      <c r="C97" s="46" t="s">
        <v>146</v>
      </c>
      <c r="D97" s="46" t="s">
        <v>58</v>
      </c>
      <c r="E97" s="139" t="s">
        <v>505</v>
      </c>
      <c r="F97" s="62">
        <v>0.78600000000000003</v>
      </c>
      <c r="G97" s="63">
        <v>0.8</v>
      </c>
      <c r="H97" s="140"/>
      <c r="I97" s="140"/>
      <c r="J97" s="140"/>
      <c r="K97" s="141">
        <v>1</v>
      </c>
      <c r="L97" s="140"/>
      <c r="M97" s="140"/>
      <c r="N97" s="140"/>
      <c r="O97" s="142">
        <v>1</v>
      </c>
      <c r="P97" s="140"/>
      <c r="Q97" s="140"/>
      <c r="R97" s="140"/>
      <c r="S97" s="142"/>
      <c r="T97" s="140"/>
      <c r="U97" s="140"/>
      <c r="V97" s="140"/>
      <c r="W97" s="142"/>
      <c r="X97" s="67">
        <v>1</v>
      </c>
      <c r="Y97" s="89" t="s">
        <v>59</v>
      </c>
      <c r="Z97" s="53" t="s">
        <v>60</v>
      </c>
    </row>
    <row r="98" spans="1:26" ht="25.5" customHeight="1" x14ac:dyDescent="0.2">
      <c r="A98" s="44" t="s">
        <v>161</v>
      </c>
      <c r="B98" s="45" t="s">
        <v>162</v>
      </c>
      <c r="C98" s="46" t="s">
        <v>146</v>
      </c>
      <c r="D98" s="46" t="s">
        <v>58</v>
      </c>
      <c r="E98" s="139" t="s">
        <v>505</v>
      </c>
      <c r="F98" s="62">
        <v>0.98</v>
      </c>
      <c r="G98" s="63">
        <v>0.6</v>
      </c>
      <c r="H98" s="140"/>
      <c r="I98" s="140"/>
      <c r="J98" s="140"/>
      <c r="K98" s="141">
        <v>0.97899999999999998</v>
      </c>
      <c r="L98" s="140"/>
      <c r="M98" s="140"/>
      <c r="N98" s="140"/>
      <c r="O98" s="142"/>
      <c r="P98" s="140"/>
      <c r="Q98" s="140"/>
      <c r="R98" s="140"/>
      <c r="S98" s="142"/>
      <c r="T98" s="140"/>
      <c r="U98" s="140"/>
      <c r="V98" s="140"/>
      <c r="W98" s="142"/>
      <c r="X98" s="67">
        <v>0.97899999999999998</v>
      </c>
      <c r="Y98" s="89" t="s">
        <v>59</v>
      </c>
      <c r="Z98" s="53" t="s">
        <v>60</v>
      </c>
    </row>
    <row r="99" spans="1:26" ht="25.5" customHeight="1" x14ac:dyDescent="0.2">
      <c r="A99" s="44" t="s">
        <v>163</v>
      </c>
      <c r="B99" s="45" t="s">
        <v>164</v>
      </c>
      <c r="C99" s="46" t="s">
        <v>146</v>
      </c>
      <c r="D99" s="46" t="s">
        <v>64</v>
      </c>
      <c r="E99" s="139" t="s">
        <v>505</v>
      </c>
      <c r="F99" s="69">
        <v>13.3</v>
      </c>
      <c r="G99" s="84">
        <v>25</v>
      </c>
      <c r="H99" s="150"/>
      <c r="I99" s="150"/>
      <c r="J99" s="150"/>
      <c r="K99" s="151">
        <v>20.3</v>
      </c>
      <c r="L99" s="150"/>
      <c r="M99" s="150"/>
      <c r="N99" s="150"/>
      <c r="O99" s="152"/>
      <c r="P99" s="150"/>
      <c r="Q99" s="150"/>
      <c r="R99" s="150"/>
      <c r="S99" s="152"/>
      <c r="T99" s="150"/>
      <c r="U99" s="150"/>
      <c r="V99" s="150"/>
      <c r="W99" s="152">
        <v>22</v>
      </c>
      <c r="X99" s="100">
        <v>20.3</v>
      </c>
      <c r="Y99" s="89" t="s">
        <v>59</v>
      </c>
      <c r="Z99" s="53" t="s">
        <v>60</v>
      </c>
    </row>
    <row r="100" spans="1:26" ht="25.5" customHeight="1" x14ac:dyDescent="0.2">
      <c r="A100" s="44" t="s">
        <v>167</v>
      </c>
      <c r="B100" s="45" t="s">
        <v>168</v>
      </c>
      <c r="C100" s="46" t="s">
        <v>146</v>
      </c>
      <c r="D100" s="46" t="s">
        <v>64</v>
      </c>
      <c r="E100" s="139" t="s">
        <v>505</v>
      </c>
      <c r="F100" s="77">
        <v>56.1</v>
      </c>
      <c r="G100" s="97">
        <v>28.05</v>
      </c>
      <c r="H100" s="147"/>
      <c r="I100" s="147"/>
      <c r="J100" s="147"/>
      <c r="K100" s="148"/>
      <c r="L100" s="147"/>
      <c r="M100" s="147"/>
      <c r="N100" s="147"/>
      <c r="O100" s="149">
        <v>0</v>
      </c>
      <c r="P100" s="147"/>
      <c r="Q100" s="147"/>
      <c r="R100" s="147"/>
      <c r="S100" s="149"/>
      <c r="T100" s="147"/>
      <c r="U100" s="147"/>
      <c r="V100" s="147"/>
      <c r="W100" s="149"/>
      <c r="X100" s="79">
        <v>0</v>
      </c>
      <c r="Y100" s="89" t="s">
        <v>91</v>
      </c>
      <c r="Z100" s="53" t="s">
        <v>60</v>
      </c>
    </row>
    <row r="101" spans="1:26" ht="25.5" customHeight="1" x14ac:dyDescent="0.2">
      <c r="A101" s="44" t="s">
        <v>171</v>
      </c>
      <c r="B101" s="45" t="s">
        <v>172</v>
      </c>
      <c r="C101" s="46" t="s">
        <v>146</v>
      </c>
      <c r="D101" s="46" t="s">
        <v>64</v>
      </c>
      <c r="E101" s="139" t="s">
        <v>505</v>
      </c>
      <c r="F101" s="77">
        <v>15.7</v>
      </c>
      <c r="G101" s="97">
        <v>7.85</v>
      </c>
      <c r="H101" s="147"/>
      <c r="I101" s="147"/>
      <c r="J101" s="147"/>
      <c r="K101" s="148">
        <v>0</v>
      </c>
      <c r="L101" s="147"/>
      <c r="M101" s="147"/>
      <c r="N101" s="147"/>
      <c r="O101" s="149">
        <v>61.576354679803003</v>
      </c>
      <c r="P101" s="147"/>
      <c r="Q101" s="147"/>
      <c r="R101" s="147"/>
      <c r="S101" s="149"/>
      <c r="T101" s="147"/>
      <c r="U101" s="147"/>
      <c r="V101" s="147"/>
      <c r="W101" s="149"/>
      <c r="X101" s="79">
        <v>0</v>
      </c>
      <c r="Y101" s="89" t="s">
        <v>59</v>
      </c>
      <c r="Z101" s="53" t="s">
        <v>128</v>
      </c>
    </row>
    <row r="102" spans="1:26" ht="25.5" customHeight="1" x14ac:dyDescent="0.2">
      <c r="A102" s="44" t="s">
        <v>173</v>
      </c>
      <c r="B102" s="45" t="s">
        <v>174</v>
      </c>
      <c r="C102" s="46" t="s">
        <v>146</v>
      </c>
      <c r="D102" s="46" t="s">
        <v>64</v>
      </c>
      <c r="E102" s="139" t="s">
        <v>505</v>
      </c>
      <c r="F102" s="77">
        <v>11.7</v>
      </c>
      <c r="G102" s="57">
        <v>5.85</v>
      </c>
      <c r="H102" s="147"/>
      <c r="I102" s="147"/>
      <c r="J102" s="147"/>
      <c r="K102" s="148">
        <v>11.2</v>
      </c>
      <c r="L102" s="147"/>
      <c r="M102" s="147"/>
      <c r="N102" s="147"/>
      <c r="O102" s="149">
        <v>7.3891625615763497</v>
      </c>
      <c r="P102" s="147"/>
      <c r="Q102" s="147"/>
      <c r="R102" s="147"/>
      <c r="S102" s="149"/>
      <c r="T102" s="147"/>
      <c r="U102" s="147"/>
      <c r="V102" s="147"/>
      <c r="W102" s="149"/>
      <c r="X102" s="79">
        <v>11.2</v>
      </c>
      <c r="Y102" s="89" t="s">
        <v>67</v>
      </c>
      <c r="Z102" s="53" t="s">
        <v>60</v>
      </c>
    </row>
    <row r="103" spans="1:26" ht="25.5" customHeight="1" x14ac:dyDescent="0.2">
      <c r="A103" s="44" t="s">
        <v>194</v>
      </c>
      <c r="B103" s="45" t="s">
        <v>195</v>
      </c>
      <c r="C103" s="46" t="s">
        <v>196</v>
      </c>
      <c r="D103" s="46" t="s">
        <v>58</v>
      </c>
      <c r="E103" s="139" t="s">
        <v>505</v>
      </c>
      <c r="F103" s="62">
        <v>0.48299999999999998</v>
      </c>
      <c r="G103" s="63">
        <v>0.56059999999999999</v>
      </c>
      <c r="H103" s="140"/>
      <c r="I103" s="140"/>
      <c r="J103" s="140"/>
      <c r="K103" s="141">
        <v>0.44096385542168698</v>
      </c>
      <c r="L103" s="140"/>
      <c r="M103" s="140"/>
      <c r="N103" s="140"/>
      <c r="O103" s="142">
        <v>0.32687651331719098</v>
      </c>
      <c r="P103" s="140"/>
      <c r="Q103" s="140"/>
      <c r="R103" s="140"/>
      <c r="S103" s="142"/>
      <c r="T103" s="140"/>
      <c r="U103" s="140"/>
      <c r="V103" s="140"/>
      <c r="W103" s="142"/>
      <c r="X103" s="67">
        <v>0.133227597145123</v>
      </c>
      <c r="Y103" s="89" t="s">
        <v>67</v>
      </c>
      <c r="Z103" s="53" t="s">
        <v>68</v>
      </c>
    </row>
    <row r="104" spans="1:26" ht="25.5" customHeight="1" x14ac:dyDescent="0.2">
      <c r="A104" s="44" t="s">
        <v>197</v>
      </c>
      <c r="B104" s="45" t="s">
        <v>198</v>
      </c>
      <c r="C104" s="46" t="s">
        <v>196</v>
      </c>
      <c r="D104" s="46" t="s">
        <v>64</v>
      </c>
      <c r="E104" s="139" t="s">
        <v>505</v>
      </c>
      <c r="F104" s="62" t="s">
        <v>24</v>
      </c>
      <c r="G104" s="66" t="s">
        <v>24</v>
      </c>
      <c r="H104" s="140"/>
      <c r="I104" s="140"/>
      <c r="J104" s="140"/>
      <c r="K104" s="141">
        <v>0.133227597145123</v>
      </c>
      <c r="L104" s="140"/>
      <c r="M104" s="140"/>
      <c r="N104" s="140"/>
      <c r="O104" s="142"/>
      <c r="P104" s="140"/>
      <c r="Q104" s="140"/>
      <c r="R104" s="140"/>
      <c r="S104" s="142"/>
      <c r="T104" s="140"/>
      <c r="U104" s="140"/>
      <c r="V104" s="140"/>
      <c r="W104" s="142"/>
      <c r="X104" s="67">
        <v>0.10042735042735</v>
      </c>
      <c r="Y104" s="89" t="s">
        <v>71</v>
      </c>
      <c r="Z104" s="53" t="s">
        <v>186</v>
      </c>
    </row>
    <row r="105" spans="1:26" ht="25.5" customHeight="1" x14ac:dyDescent="0.2">
      <c r="A105" s="44" t="s">
        <v>200</v>
      </c>
      <c r="B105" s="45" t="s">
        <v>201</v>
      </c>
      <c r="C105" s="46" t="s">
        <v>196</v>
      </c>
      <c r="D105" s="46" t="s">
        <v>64</v>
      </c>
      <c r="E105" s="139" t="s">
        <v>505</v>
      </c>
      <c r="F105" s="62">
        <v>7.0000000000000007E-2</v>
      </c>
      <c r="G105" s="63">
        <v>0.115</v>
      </c>
      <c r="H105" s="140"/>
      <c r="I105" s="140"/>
      <c r="J105" s="140"/>
      <c r="K105" s="141">
        <v>0.1</v>
      </c>
      <c r="L105" s="140"/>
      <c r="M105" s="140"/>
      <c r="N105" s="140"/>
      <c r="O105" s="142"/>
      <c r="P105" s="140"/>
      <c r="Q105" s="140"/>
      <c r="R105" s="140"/>
      <c r="S105" s="142"/>
      <c r="T105" s="140"/>
      <c r="U105" s="140"/>
      <c r="V105" s="140"/>
      <c r="W105" s="142"/>
      <c r="X105" s="67">
        <v>0.1</v>
      </c>
      <c r="Y105" s="89" t="s">
        <v>59</v>
      </c>
      <c r="Z105" s="53" t="s">
        <v>60</v>
      </c>
    </row>
    <row r="106" spans="1:26" ht="25.5" customHeight="1" x14ac:dyDescent="0.2">
      <c r="A106" s="44" t="s">
        <v>467</v>
      </c>
      <c r="B106" s="45" t="s">
        <v>468</v>
      </c>
      <c r="C106" s="46" t="s">
        <v>196</v>
      </c>
      <c r="D106" s="46" t="s">
        <v>58</v>
      </c>
      <c r="E106" s="139" t="s">
        <v>507</v>
      </c>
      <c r="F106" s="62">
        <v>0.755</v>
      </c>
      <c r="G106" s="66">
        <v>0.7</v>
      </c>
      <c r="H106" s="140"/>
      <c r="I106" s="140"/>
      <c r="J106" s="140"/>
      <c r="K106" s="142"/>
      <c r="L106" s="140"/>
      <c r="M106" s="140"/>
      <c r="N106" s="140"/>
      <c r="O106" s="142"/>
      <c r="P106" s="140"/>
      <c r="Q106" s="140"/>
      <c r="R106" s="140"/>
      <c r="S106" s="142"/>
      <c r="T106" s="140"/>
      <c r="U106" s="140"/>
      <c r="V106" s="140"/>
      <c r="W106" s="142"/>
      <c r="X106" s="67"/>
      <c r="Y106" s="89" t="s">
        <v>91</v>
      </c>
      <c r="Z106" s="53" t="s">
        <v>60</v>
      </c>
    </row>
    <row r="107" spans="1:26" ht="25.5" customHeight="1" x14ac:dyDescent="0.2">
      <c r="A107" s="44" t="s">
        <v>215</v>
      </c>
      <c r="B107" s="45" t="s">
        <v>216</v>
      </c>
      <c r="C107" s="46" t="s">
        <v>21</v>
      </c>
      <c r="D107" s="46" t="s">
        <v>64</v>
      </c>
      <c r="E107" s="139" t="s">
        <v>505</v>
      </c>
      <c r="F107" s="90">
        <v>20.7</v>
      </c>
      <c r="G107" s="91">
        <v>21</v>
      </c>
      <c r="H107" s="140"/>
      <c r="I107" s="140"/>
      <c r="J107" s="140"/>
      <c r="K107" s="143"/>
      <c r="L107" s="140"/>
      <c r="M107" s="140"/>
      <c r="N107" s="140"/>
      <c r="O107" s="143"/>
      <c r="P107" s="140"/>
      <c r="Q107" s="140"/>
      <c r="R107" s="140"/>
      <c r="S107" s="143"/>
      <c r="T107" s="140"/>
      <c r="U107" s="140"/>
      <c r="V107" s="140"/>
      <c r="W107" s="143"/>
      <c r="X107" s="93"/>
      <c r="Y107" s="89" t="s">
        <v>91</v>
      </c>
      <c r="Z107" s="53" t="s">
        <v>60</v>
      </c>
    </row>
    <row r="108" spans="1:26" ht="25.5" customHeight="1" x14ac:dyDescent="0.2">
      <c r="A108" s="44" t="s">
        <v>427</v>
      </c>
      <c r="B108" s="45" t="s">
        <v>428</v>
      </c>
      <c r="C108" s="46" t="s">
        <v>21</v>
      </c>
      <c r="D108" s="46" t="s">
        <v>64</v>
      </c>
      <c r="E108" s="139" t="s">
        <v>504</v>
      </c>
      <c r="F108" s="90">
        <v>6</v>
      </c>
      <c r="G108" s="91">
        <v>5</v>
      </c>
      <c r="H108" s="140"/>
      <c r="I108" s="140"/>
      <c r="J108" s="140"/>
      <c r="K108" s="143" t="str">
        <f>IF(COUNT(H109:J109)=0,"",AVERAGE(H109:J109))</f>
        <v/>
      </c>
      <c r="L108" s="140"/>
      <c r="M108" s="140"/>
      <c r="N108" s="140"/>
      <c r="O108" s="143" t="str">
        <f>IF(COUNT(L109:N109)=0,"",AVERAGE(L109:N109))</f>
        <v/>
      </c>
      <c r="P108" s="140"/>
      <c r="Q108" s="140"/>
      <c r="R108" s="140"/>
      <c r="S108" s="143" t="str">
        <f>IF(COUNT(P109:R109)=0,"",AVERAGE(P109:R109))</f>
        <v/>
      </c>
      <c r="T108" s="140"/>
      <c r="U108" s="140"/>
      <c r="V108" s="140"/>
      <c r="W108" s="143" t="str">
        <f>IF(COUNT(T109:V109)=0,"",AVERAGE(T109:V109))</f>
        <v/>
      </c>
      <c r="X108" s="93"/>
      <c r="Y108" s="89" t="s">
        <v>91</v>
      </c>
      <c r="Z108" s="53" t="s">
        <v>128</v>
      </c>
    </row>
    <row r="109" spans="1:26" ht="25.5" customHeight="1" x14ac:dyDescent="0.2">
      <c r="A109" s="44" t="s">
        <v>429</v>
      </c>
      <c r="B109" s="45" t="s">
        <v>430</v>
      </c>
      <c r="C109" s="46" t="s">
        <v>19</v>
      </c>
      <c r="D109" s="46" t="s">
        <v>64</v>
      </c>
      <c r="E109" s="139" t="s">
        <v>504</v>
      </c>
      <c r="F109" s="90">
        <v>0.14000000000000001</v>
      </c>
      <c r="G109" s="91">
        <v>7.0000000000000007E-2</v>
      </c>
      <c r="H109" s="140"/>
      <c r="I109" s="140"/>
      <c r="J109" s="140"/>
      <c r="K109" s="143" t="str">
        <f>IF(COUNT(H110:J110)=0,"",AVERAGE(H110:J110))</f>
        <v/>
      </c>
      <c r="L109" s="140"/>
      <c r="M109" s="140"/>
      <c r="N109" s="140"/>
      <c r="O109" s="143" t="str">
        <f>IF(COUNT(L110:N110)=0,"",AVERAGE(L110:N110))</f>
        <v/>
      </c>
      <c r="P109" s="140"/>
      <c r="Q109" s="140"/>
      <c r="R109" s="140"/>
      <c r="S109" s="143" t="str">
        <f>IF(COUNT(P110:R110)=0,"",AVERAGE(P110:R110))</f>
        <v/>
      </c>
      <c r="T109" s="140"/>
      <c r="U109" s="140"/>
      <c r="V109" s="140"/>
      <c r="W109" s="143" t="str">
        <f>IF(COUNT(T110:V110)=0,"",AVERAGE(T110:V110))</f>
        <v/>
      </c>
      <c r="X109" s="93"/>
      <c r="Y109" s="89" t="s">
        <v>91</v>
      </c>
      <c r="Z109" s="53" t="s">
        <v>131</v>
      </c>
    </row>
    <row r="110" spans="1:26" ht="25.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1:26" ht="25.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1:26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>
      <c r="H702" s="88"/>
      <c r="I702" s="88"/>
      <c r="J702" s="88"/>
      <c r="L702" s="88"/>
      <c r="M702" s="88"/>
      <c r="N702" s="88"/>
      <c r="P702" s="88"/>
      <c r="Q702" s="88"/>
      <c r="R702" s="88"/>
      <c r="T702" s="88"/>
      <c r="U702" s="88"/>
      <c r="V702" s="88"/>
    </row>
    <row r="703" spans="8:22" ht="15" customHeight="1" x14ac:dyDescent="0.2">
      <c r="H703" s="88"/>
      <c r="I703" s="88"/>
      <c r="J703" s="88"/>
      <c r="L703" s="88"/>
      <c r="M703" s="88"/>
      <c r="N703" s="88"/>
      <c r="P703" s="88"/>
      <c r="Q703" s="88"/>
      <c r="R703" s="88"/>
      <c r="T703" s="88"/>
      <c r="U703" s="88"/>
      <c r="V703" s="88"/>
    </row>
    <row r="704" spans="8:22" ht="15" customHeight="1" x14ac:dyDescent="0.2">
      <c r="H704" s="88"/>
      <c r="I704" s="88"/>
      <c r="J704" s="88"/>
      <c r="L704" s="88"/>
      <c r="M704" s="88"/>
      <c r="N704" s="88"/>
      <c r="P704" s="88"/>
      <c r="Q704" s="88"/>
      <c r="R704" s="88"/>
      <c r="T704" s="88"/>
      <c r="U704" s="88"/>
      <c r="V704" s="88"/>
    </row>
    <row r="705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11">
    <cfRule type="expression" dxfId="99" priority="8">
      <formula>AND(ISNUMBER(H36),ISNUMBER($G36),OR(AND($D36="P",H36&gt;=$G36),AND($D36="N",H36&lt;=$G36)))</formula>
    </cfRule>
    <cfRule type="expression" dxfId="98" priority="9">
      <formula>AND(ISNUMBER(H36),ISNUMBER($G36),OR(AND($D36="P",H36&lt;$G36),AND($D36="N",H36&gt;$G36)))</formula>
    </cfRule>
  </conditionalFormatting>
  <conditionalFormatting sqref="X36:X110">
    <cfRule type="expression" dxfId="97" priority="11">
      <formula>$Y36="⊘ Non Target"</formula>
    </cfRule>
  </conditionalFormatting>
  <conditionalFormatting sqref="X36:X111">
    <cfRule type="expression" dxfId="96" priority="2">
      <formula>$Y36="✓ On Target"</formula>
    </cfRule>
    <cfRule type="expression" dxfId="95" priority="3">
      <formula>$Y36="✗ Off Target"</formula>
    </cfRule>
    <cfRule type="expression" dxfId="94" priority="4">
      <formula>$Y36="— No Data"</formula>
    </cfRule>
  </conditionalFormatting>
  <conditionalFormatting sqref="Y36:Y110">
    <cfRule type="expression" dxfId="93" priority="10">
      <formula>Y36="⊘ Non Target"</formula>
    </cfRule>
  </conditionalFormatting>
  <conditionalFormatting sqref="Y36:Y111">
    <cfRule type="expression" dxfId="92" priority="5">
      <formula>Y36="✓ On Target"</formula>
    </cfRule>
    <cfRule type="expression" dxfId="91" priority="6">
      <formula>Y36="✗ Off Target"</formula>
    </cfRule>
    <cfRule type="expression" dxfId="90" priority="7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703"/>
  <sheetViews>
    <sheetView showGridLines="0" topLeftCell="G43" zoomScaleNormal="100" workbookViewId="0">
      <selection activeCell="N56" sqref="N56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516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28</v>
      </c>
      <c r="C12" s="157"/>
      <c r="D12" s="201">
        <v>15</v>
      </c>
      <c r="E12" s="157"/>
      <c r="F12" s="196">
        <v>7</v>
      </c>
      <c r="G12" s="157"/>
      <c r="H12" s="200">
        <v>1</v>
      </c>
      <c r="I12" s="157"/>
      <c r="K12" s="193">
        <v>43</v>
      </c>
      <c r="L12" s="157"/>
      <c r="M12" s="201">
        <v>24</v>
      </c>
      <c r="N12" s="157"/>
      <c r="O12" s="196">
        <v>10</v>
      </c>
      <c r="P12" s="157"/>
      <c r="Q12" s="200">
        <v>6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517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72</v>
      </c>
      <c r="C19" s="157"/>
      <c r="D19" s="157"/>
      <c r="E19" s="205">
        <v>39</v>
      </c>
      <c r="F19" s="157"/>
      <c r="G19" s="157"/>
      <c r="I19" s="204">
        <v>17</v>
      </c>
      <c r="J19" s="157"/>
      <c r="K19" s="157"/>
      <c r="M19" s="199">
        <v>8</v>
      </c>
      <c r="N19" s="157"/>
      <c r="O19" s="157"/>
      <c r="Q19" s="194">
        <v>31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518</v>
      </c>
      <c r="F21" s="157"/>
      <c r="G21" s="157"/>
      <c r="I21" s="160" t="s">
        <v>519</v>
      </c>
      <c r="J21" s="157"/>
      <c r="K21" s="157"/>
      <c r="M21" s="160" t="s">
        <v>520</v>
      </c>
      <c r="N21" s="157"/>
      <c r="O21" s="157"/>
      <c r="Q21" s="195" t="s">
        <v>6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521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4</v>
      </c>
      <c r="E25" s="33">
        <v>6</v>
      </c>
      <c r="F25" s="34">
        <v>2</v>
      </c>
      <c r="G25" s="35">
        <v>0.4</v>
      </c>
    </row>
    <row r="26" spans="2:19" ht="21.75" customHeight="1" x14ac:dyDescent="0.2">
      <c r="B26" s="24" t="s">
        <v>19</v>
      </c>
      <c r="C26" s="41">
        <v>24</v>
      </c>
      <c r="D26" s="26">
        <v>18</v>
      </c>
      <c r="E26" s="27">
        <v>5</v>
      </c>
      <c r="F26" s="28">
        <v>1</v>
      </c>
      <c r="G26" s="29">
        <v>0.78260869565217395</v>
      </c>
    </row>
    <row r="27" spans="2:19" ht="21.75" customHeight="1" x14ac:dyDescent="0.2">
      <c r="B27" s="30" t="s">
        <v>20</v>
      </c>
      <c r="C27" s="40">
        <v>26</v>
      </c>
      <c r="D27" s="32">
        <v>15</v>
      </c>
      <c r="E27" s="33">
        <v>6</v>
      </c>
      <c r="F27" s="34">
        <v>4</v>
      </c>
      <c r="G27" s="35">
        <v>0.71428571428571397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2</v>
      </c>
      <c r="E29" s="33">
        <v>0</v>
      </c>
      <c r="F29" s="34">
        <v>1</v>
      </c>
      <c r="G29" s="35">
        <v>1</v>
      </c>
    </row>
    <row r="30" spans="2:19" ht="25.5" customHeight="1" x14ac:dyDescent="0.2">
      <c r="B30" s="36" t="s">
        <v>39</v>
      </c>
      <c r="C30" s="38">
        <v>72</v>
      </c>
      <c r="D30" s="38">
        <v>39</v>
      </c>
      <c r="E30" s="38">
        <v>17</v>
      </c>
      <c r="F30" s="38">
        <v>8</v>
      </c>
      <c r="G30" s="39">
        <v>0.69642857142857095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7.1320182094082002E-2</v>
      </c>
      <c r="I36" s="64">
        <v>0.123434704830054</v>
      </c>
      <c r="J36" s="64">
        <v>8.3743842364532001E-2</v>
      </c>
      <c r="K36" s="130">
        <f>IF(COUNT(H36:J36)=0,"",AVERAGE(H36:J36))</f>
        <v>9.283290976288934E-2</v>
      </c>
      <c r="L36" s="65">
        <v>8.18897637795276E-2</v>
      </c>
      <c r="M36" s="65">
        <v>3.2590051457975999E-2</v>
      </c>
      <c r="N36" s="65">
        <v>3.09090909090909E-2</v>
      </c>
      <c r="O36" s="130">
        <f>IF(COUNT(L36:N36)=0,"",AVERAGE(L36:N36))</f>
        <v>4.8462968715531497E-2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8.7361336771208498E-2</v>
      </c>
      <c r="Y36" s="89" t="s">
        <v>67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6.2696843184648104E-2</v>
      </c>
      <c r="I38" s="64">
        <v>5.5728011825572799E-2</v>
      </c>
      <c r="J38" s="64">
        <v>6.8183799808178597E-2</v>
      </c>
      <c r="K38" s="130">
        <f>IF(COUNT(H38:J38)=0,"",AVERAGE(H38:J38))</f>
        <v>6.2202884939466498E-2</v>
      </c>
      <c r="L38" s="65">
        <v>5.1501856226797198E-2</v>
      </c>
      <c r="M38" s="65">
        <v>5.9154463473153E-2</v>
      </c>
      <c r="N38" s="65">
        <v>5.76652601969058E-2</v>
      </c>
      <c r="O38" s="130">
        <f>IF(COUNT(L38:N38)=0,"",AVERAGE(L38:N38))</f>
        <v>5.6107193298952002E-2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5.6852370583131903E-2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1.9662921348314599E-3</v>
      </c>
      <c r="I39" s="56">
        <v>3.4330554193231998E-3</v>
      </c>
      <c r="J39" s="56">
        <v>4.5921714410671298E-3</v>
      </c>
      <c r="K39" s="132">
        <f>IF(COUNT(H39:J39)=0,"",AVERAGE(H39:J39))</f>
        <v>3.3305063317405968E-3</v>
      </c>
      <c r="L39" s="78">
        <v>2.79366768657709E-3</v>
      </c>
      <c r="M39" s="78">
        <v>3.8881688576189598E-3</v>
      </c>
      <c r="N39" s="78">
        <v>3.8881688576189598E-3</v>
      </c>
      <c r="O39" s="132">
        <f>IF(COUNT(L39:N39)=0,"",AVERAGE(L39:N39))</f>
        <v>3.5233351339383364E-3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3.0620870091588401E-3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6.2818454666015199E-3</v>
      </c>
      <c r="I40" s="56">
        <v>6.3007560907308901E-3</v>
      </c>
      <c r="J40" s="56">
        <v>7.3463390743612796E-3</v>
      </c>
      <c r="K40" s="132">
        <f>IF(COUNT(H40:J40)=0,"",AVERAGE(H40:J40))</f>
        <v>6.6429802105645629E-3</v>
      </c>
      <c r="L40" s="78">
        <v>5.7773783540890997E-3</v>
      </c>
      <c r="M40" s="78">
        <v>7.03015153882206E-3</v>
      </c>
      <c r="N40" s="78">
        <v>7.03015153882206E-3</v>
      </c>
      <c r="O40" s="132">
        <f>IF(COUNT(L40:N40)=0,"",AVERAGE(L40:N40))</f>
        <v>6.6125604772444072E-3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6.21017928232683E-3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0.80796076212035495</v>
      </c>
      <c r="I41" s="64">
        <v>0.73934837092731798</v>
      </c>
      <c r="J41" s="64">
        <v>0.68145161290322598</v>
      </c>
      <c r="K41" s="130">
        <f>IF(COUNT(H41:J41)=0,"",AVERAGE(H41:J41))</f>
        <v>0.7429202486502996</v>
      </c>
      <c r="L41" s="65">
        <v>0.84736842105263199</v>
      </c>
      <c r="M41" s="65">
        <v>0.77695246179966104</v>
      </c>
      <c r="N41" s="65">
        <v>0.67412280701754401</v>
      </c>
      <c r="O41" s="130">
        <f>IF(COUNT(L41:N41)=0,"",AVERAGE(L41:N41))</f>
        <v>0.76614789662327898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0.79514433485146596</v>
      </c>
      <c r="Y41" s="89" t="s">
        <v>67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4.1838440111420603</v>
      </c>
      <c r="I42" s="95">
        <v>3.9681528662420402</v>
      </c>
      <c r="J42" s="95">
        <v>3.88707280832095</v>
      </c>
      <c r="K42" s="136">
        <f>IF(COUNT(H42:J42)=0,"",AVERAGE(H42:J42))</f>
        <v>4.0130232285683496</v>
      </c>
      <c r="L42" s="73">
        <v>5.5727391874180903</v>
      </c>
      <c r="M42" s="73">
        <v>5.3352112676056302</v>
      </c>
      <c r="N42" s="73">
        <v>4.5753228120516498</v>
      </c>
      <c r="O42" s="136">
        <f>IF(COUNT(L42:N42)=0,"",AVERAGE(L42:N42))</f>
        <v>5.1610910890251231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4.7928812079932204</v>
      </c>
      <c r="Y42" s="89" t="s">
        <v>67</v>
      </c>
      <c r="Z42" s="53" t="s">
        <v>128</v>
      </c>
    </row>
    <row r="43" spans="1:26" ht="25.5" customHeight="1" x14ac:dyDescent="0.2">
      <c r="A43" s="44" t="s">
        <v>367</v>
      </c>
      <c r="B43" s="45" t="s">
        <v>368</v>
      </c>
      <c r="C43" s="46" t="s">
        <v>19</v>
      </c>
      <c r="D43" s="46" t="s">
        <v>64</v>
      </c>
      <c r="E43" s="44" t="s">
        <v>504</v>
      </c>
      <c r="F43" s="77">
        <v>0.18</v>
      </c>
      <c r="G43" s="57">
        <v>0</v>
      </c>
      <c r="H43" s="56">
        <v>1</v>
      </c>
      <c r="I43" s="56">
        <v>1</v>
      </c>
      <c r="J43" s="56">
        <v>0</v>
      </c>
      <c r="K43" s="132">
        <f>IF(COUNT(H43:J43)=0,"",SUM(H43:J43))</f>
        <v>2</v>
      </c>
      <c r="L43" s="49">
        <v>0</v>
      </c>
      <c r="M43" s="78">
        <v>0</v>
      </c>
      <c r="N43" s="78">
        <v>0</v>
      </c>
      <c r="O43" s="132">
        <f>IF(COUNT(L43:N43)=0,"",SUM(L43:N43))</f>
        <v>0</v>
      </c>
      <c r="P43" s="78"/>
      <c r="Q43" s="78"/>
      <c r="R43" s="78"/>
      <c r="S43" s="132">
        <v>0</v>
      </c>
      <c r="T43" s="78"/>
      <c r="U43" s="78"/>
      <c r="V43" s="78"/>
      <c r="W43" s="132">
        <v>0</v>
      </c>
      <c r="X43" s="79">
        <v>0</v>
      </c>
      <c r="Y43" s="89" t="s">
        <v>59</v>
      </c>
      <c r="Z43" s="53" t="s">
        <v>128</v>
      </c>
    </row>
    <row r="44" spans="1:26" ht="25.5" customHeight="1" x14ac:dyDescent="0.2">
      <c r="A44" s="44" t="s">
        <v>369</v>
      </c>
      <c r="B44" s="45" t="s">
        <v>370</v>
      </c>
      <c r="C44" s="46" t="s">
        <v>19</v>
      </c>
      <c r="D44" s="46" t="s">
        <v>58</v>
      </c>
      <c r="E44" s="44" t="s">
        <v>504</v>
      </c>
      <c r="F44" s="62">
        <v>0.97399999999999998</v>
      </c>
      <c r="G44" s="63">
        <v>0.98</v>
      </c>
      <c r="H44" s="64">
        <v>0.99876237623762398</v>
      </c>
      <c r="I44" s="64">
        <v>0.99551569506726501</v>
      </c>
      <c r="J44" s="64">
        <v>0.99793103448275899</v>
      </c>
      <c r="K44" s="130">
        <f>IF(COUNT(H44:J44)=0,"",AVERAGE(H44:J44))</f>
        <v>0.99740303526254925</v>
      </c>
      <c r="L44" s="65">
        <v>0.99715747583854497</v>
      </c>
      <c r="M44" s="65">
        <v>0.99598796389167499</v>
      </c>
      <c r="N44" s="65">
        <v>0.99566265060240999</v>
      </c>
      <c r="O44" s="130">
        <f>IF(COUNT(L44:N44)=0,"",AVERAGE(L44:N44))</f>
        <v>0.99626936344421002</v>
      </c>
      <c r="P44" s="65"/>
      <c r="Q44" s="65"/>
      <c r="R44" s="65"/>
      <c r="S44" s="130" t="str">
        <f>IF(COUNT(P44:R44)=0,"",AVERAGE(P44:R44))</f>
        <v/>
      </c>
      <c r="T44" s="65"/>
      <c r="U44" s="65"/>
      <c r="V44" s="65"/>
      <c r="W44" s="130" t="str">
        <f>IF(COUNT(T44:V44)=0,"",AVERAGE(T44:V44))</f>
        <v/>
      </c>
      <c r="X44" s="67">
        <v>0.997280255550547</v>
      </c>
      <c r="Y44" s="89" t="s">
        <v>59</v>
      </c>
      <c r="Z44" s="53" t="s">
        <v>128</v>
      </c>
    </row>
    <row r="45" spans="1:26" ht="25.5" customHeight="1" x14ac:dyDescent="0.2">
      <c r="A45" s="44" t="s">
        <v>373</v>
      </c>
      <c r="B45" s="45" t="s">
        <v>374</v>
      </c>
      <c r="C45" s="46" t="s">
        <v>19</v>
      </c>
      <c r="D45" s="46" t="s">
        <v>58</v>
      </c>
      <c r="E45" s="44" t="s">
        <v>504</v>
      </c>
      <c r="F45" s="62">
        <v>1</v>
      </c>
      <c r="G45" s="63">
        <v>1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375</v>
      </c>
      <c r="B46" s="45" t="s">
        <v>376</v>
      </c>
      <c r="C46" s="46" t="s">
        <v>19</v>
      </c>
      <c r="D46" s="46" t="s">
        <v>64</v>
      </c>
      <c r="E46" s="44" t="s">
        <v>504</v>
      </c>
      <c r="F46" s="62">
        <v>0.01</v>
      </c>
      <c r="G46" s="63">
        <v>1.2E-2</v>
      </c>
      <c r="H46" s="64">
        <v>1.49566257852229E-4</v>
      </c>
      <c r="I46" s="64">
        <v>2.9913251570445702E-4</v>
      </c>
      <c r="J46" s="64">
        <v>2.9002320185614902E-4</v>
      </c>
      <c r="K46" s="130">
        <f>IF(COUNT(H46:J46)=0,"",AVERAGE(H46:J46))</f>
        <v>2.4624065847094503E-4</v>
      </c>
      <c r="L46" s="65">
        <v>2.8775006851192099E-3</v>
      </c>
      <c r="M46" s="65">
        <v>6.5809153454980604E-3</v>
      </c>
      <c r="N46" s="65">
        <v>2.2128789555211299E-4</v>
      </c>
      <c r="O46" s="130">
        <f>IF(COUNT(L46:N46)=0,"",AVERAGE(L46:N46))</f>
        <v>3.2265679753897942E-3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1.56187067179508E-3</v>
      </c>
      <c r="Y46" s="89" t="s">
        <v>59</v>
      </c>
      <c r="Z46" s="53" t="s">
        <v>128</v>
      </c>
    </row>
    <row r="47" spans="1:26" ht="25.5" customHeight="1" x14ac:dyDescent="0.2">
      <c r="A47" s="44" t="s">
        <v>377</v>
      </c>
      <c r="B47" s="45" t="s">
        <v>378</v>
      </c>
      <c r="C47" s="46" t="s">
        <v>146</v>
      </c>
      <c r="D47" s="46" t="s">
        <v>58</v>
      </c>
      <c r="E47" s="44" t="s">
        <v>504</v>
      </c>
      <c r="F47" s="62">
        <v>0.78800000000000003</v>
      </c>
      <c r="G47" s="63">
        <v>0.9</v>
      </c>
      <c r="H47" s="64">
        <v>0.81589999999999996</v>
      </c>
      <c r="I47" s="65">
        <v>0.88826815642458101</v>
      </c>
      <c r="J47" s="65">
        <v>0.86539999999999995</v>
      </c>
      <c r="K47" s="130">
        <f>IF(COUNT(H47:J47)=0,"",AVERAGE(H47:J47))</f>
        <v>0.85652271880819375</v>
      </c>
      <c r="L47" s="65">
        <v>0.65959999999999996</v>
      </c>
      <c r="M47" s="65">
        <v>0.82389999999999997</v>
      </c>
      <c r="N47" s="65">
        <v>0.90629999999999999</v>
      </c>
      <c r="O47" s="130">
        <f>IF(COUNT(L47:N47)=0,"",AVERAGE(L47:N47))</f>
        <v>0.79659999999999986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0.81589999999999996</v>
      </c>
      <c r="Y47" s="89" t="s">
        <v>67</v>
      </c>
      <c r="Z47" s="53" t="s">
        <v>186</v>
      </c>
    </row>
    <row r="48" spans="1:26" ht="25.5" customHeight="1" x14ac:dyDescent="0.2">
      <c r="A48" s="44" t="s">
        <v>379</v>
      </c>
      <c r="B48" s="45" t="s">
        <v>380</v>
      </c>
      <c r="C48" s="46" t="s">
        <v>146</v>
      </c>
      <c r="D48" s="46" t="s">
        <v>58</v>
      </c>
      <c r="E48" s="44" t="s">
        <v>504</v>
      </c>
      <c r="F48" s="62">
        <v>0.98799999999999999</v>
      </c>
      <c r="G48" s="63">
        <v>0.99</v>
      </c>
      <c r="H48" s="64">
        <v>1</v>
      </c>
      <c r="I48" s="64">
        <v>1</v>
      </c>
      <c r="J48" s="64">
        <v>1</v>
      </c>
      <c r="K48" s="130">
        <f>IF(COUNT(H48:J48)=0,"",AVERAGE(H48:J48))</f>
        <v>1</v>
      </c>
      <c r="L48" s="130">
        <f>IF(COUNT(I48:K48)=0,"",AVERAGE(I48:K48))</f>
        <v>1</v>
      </c>
      <c r="M48" s="130">
        <f>IF(COUNT(J48:L48)=0,"",AVERAGE(J48:L48))</f>
        <v>1</v>
      </c>
      <c r="N48" s="65"/>
      <c r="O48" s="130">
        <f>IF(COUNT(L48:N48)=0,"",AVERAGE(L48:N48))</f>
        <v>1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1</v>
      </c>
      <c r="Y48" s="89" t="s">
        <v>59</v>
      </c>
      <c r="Z48" s="53" t="s">
        <v>128</v>
      </c>
    </row>
    <row r="49" spans="1:26" ht="25.5" customHeight="1" x14ac:dyDescent="0.2">
      <c r="A49" s="44" t="s">
        <v>381</v>
      </c>
      <c r="B49" s="45" t="s">
        <v>382</v>
      </c>
      <c r="C49" s="46" t="s">
        <v>146</v>
      </c>
      <c r="D49" s="46" t="s">
        <v>58</v>
      </c>
      <c r="E49" s="44" t="s">
        <v>504</v>
      </c>
      <c r="F49" s="62">
        <v>0.92</v>
      </c>
      <c r="G49" s="63">
        <v>0.93</v>
      </c>
      <c r="H49" s="64">
        <v>0.887392391002499</v>
      </c>
      <c r="I49" s="64">
        <v>0.949521322889469</v>
      </c>
      <c r="J49" s="64">
        <v>0.92314385150812095</v>
      </c>
      <c r="K49" s="130">
        <f>IF(COUNT(H49:J49)=0,"",AVERAGE(H49:J49))</f>
        <v>0.92001918846669639</v>
      </c>
      <c r="L49" s="65">
        <v>0.95724856124965696</v>
      </c>
      <c r="M49" s="65">
        <v>0.9647</v>
      </c>
      <c r="N49" s="65">
        <v>0.98875539125077005</v>
      </c>
      <c r="O49" s="130">
        <f>IF(COUNT(L49:N49)=0,"",AVERAGE(L49:N49))</f>
        <v>0.9702346508334756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0.93839466934434101</v>
      </c>
      <c r="Y49" s="89" t="s">
        <v>67</v>
      </c>
      <c r="Z49" s="53" t="s">
        <v>128</v>
      </c>
    </row>
    <row r="50" spans="1:26" ht="25.5" customHeight="1" x14ac:dyDescent="0.2">
      <c r="A50" s="44" t="s">
        <v>383</v>
      </c>
      <c r="B50" s="45" t="s">
        <v>384</v>
      </c>
      <c r="C50" s="46" t="s">
        <v>146</v>
      </c>
      <c r="D50" s="46" t="s">
        <v>64</v>
      </c>
      <c r="E50" s="44" t="s">
        <v>504</v>
      </c>
      <c r="F50" s="47">
        <v>0.55000000000000004</v>
      </c>
      <c r="G50" s="48" t="s">
        <v>24</v>
      </c>
      <c r="H50" s="81">
        <v>0</v>
      </c>
      <c r="I50" s="81">
        <v>0</v>
      </c>
      <c r="J50" s="81">
        <v>0</v>
      </c>
      <c r="K50" s="138">
        <f>IF(COUNT(H50:J50)=0,"",SUM(H50:J50))</f>
        <v>0</v>
      </c>
      <c r="L50" s="49">
        <v>0</v>
      </c>
      <c r="M50" s="49">
        <v>0</v>
      </c>
      <c r="N50" s="49">
        <v>0</v>
      </c>
      <c r="O50" s="138">
        <f>IF(COUNT(L50:N50)=0,"",SUM(L50:N50))</f>
        <v>0</v>
      </c>
      <c r="P50" s="49"/>
      <c r="Q50" s="49"/>
      <c r="R50" s="49"/>
      <c r="S50" s="138">
        <v>0</v>
      </c>
      <c r="T50" s="49"/>
      <c r="U50" s="49"/>
      <c r="V50" s="49"/>
      <c r="W50" s="138">
        <v>0</v>
      </c>
      <c r="X50" s="51">
        <v>0</v>
      </c>
      <c r="Y50" s="89" t="s">
        <v>71</v>
      </c>
      <c r="Z50" s="53" t="s">
        <v>128</v>
      </c>
    </row>
    <row r="51" spans="1:26" ht="25.5" customHeight="1" x14ac:dyDescent="0.2">
      <c r="A51" s="44" t="s">
        <v>385</v>
      </c>
      <c r="B51" s="45" t="s">
        <v>386</v>
      </c>
      <c r="C51" s="46" t="s">
        <v>146</v>
      </c>
      <c r="D51" s="46" t="s">
        <v>58</v>
      </c>
      <c r="E51" s="44" t="s">
        <v>504</v>
      </c>
      <c r="F51" s="62">
        <v>0.82799999999999996</v>
      </c>
      <c r="G51" s="63">
        <v>0.8538</v>
      </c>
      <c r="H51" s="64">
        <v>0.93</v>
      </c>
      <c r="I51" s="64">
        <v>0.95199999999999996</v>
      </c>
      <c r="J51" s="64">
        <v>0.82051282051282104</v>
      </c>
      <c r="K51" s="130">
        <f>IF(COUNT(H51:J51)=0,"",AVERAGE(H51:J51))</f>
        <v>0.90083760683760705</v>
      </c>
      <c r="L51" s="65">
        <v>0.95416666666666705</v>
      </c>
      <c r="M51" s="65">
        <v>0.85</v>
      </c>
      <c r="N51" s="65">
        <v>0.85499999999999998</v>
      </c>
      <c r="O51" s="130">
        <f>IF(COUNT(L51:N51)=0,"",AVERAGE(L51:N51))</f>
        <v>0.886388888888889</v>
      </c>
      <c r="P51" s="65"/>
      <c r="Q51" s="65"/>
      <c r="R51" s="65"/>
      <c r="S51" s="130" t="str">
        <f>IF(COUNT(P51:R51)=0,"",AVERAGE(P51:R51))</f>
        <v/>
      </c>
      <c r="T51" s="65"/>
      <c r="U51" s="65"/>
      <c r="V51" s="65"/>
      <c r="W51" s="130" t="str">
        <f>IF(COUNT(T51:V51)=0,"",AVERAGE(T51:V51))</f>
        <v/>
      </c>
      <c r="X51" s="67">
        <v>0.927502136752137</v>
      </c>
      <c r="Y51" s="89" t="s">
        <v>59</v>
      </c>
      <c r="Z51" s="53" t="s">
        <v>128</v>
      </c>
    </row>
    <row r="52" spans="1:26" ht="25.5" customHeight="1" x14ac:dyDescent="0.2">
      <c r="A52" s="44" t="s">
        <v>387</v>
      </c>
      <c r="B52" s="45" t="s">
        <v>388</v>
      </c>
      <c r="C52" s="46" t="s">
        <v>146</v>
      </c>
      <c r="D52" s="46" t="s">
        <v>64</v>
      </c>
      <c r="E52" s="44" t="s">
        <v>504</v>
      </c>
      <c r="F52" s="62">
        <v>1.7000000000000001E-2</v>
      </c>
      <c r="G52" s="63">
        <v>1.4500000000000001E-2</v>
      </c>
      <c r="H52" s="64">
        <v>0</v>
      </c>
      <c r="I52" s="64">
        <v>5.0000000000000001E-3</v>
      </c>
      <c r="J52" s="64">
        <v>1.4E-2</v>
      </c>
      <c r="K52" s="130">
        <f>IF(COUNT(H52:J52)=0,"",AVERAGE(H52:J52))</f>
        <v>6.3333333333333332E-3</v>
      </c>
      <c r="L52" s="65">
        <v>0</v>
      </c>
      <c r="M52" s="65">
        <v>0</v>
      </c>
      <c r="N52" s="65">
        <v>2.0366598778004102E-3</v>
      </c>
      <c r="O52" s="130">
        <f>IF(COUNT(L52:N52)=0,"",AVERAGE(L52:N52))</f>
        <v>6.7888662593347006E-4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3.1666666666666701E-3</v>
      </c>
      <c r="Y52" s="89" t="s">
        <v>59</v>
      </c>
      <c r="Z52" s="53" t="s">
        <v>128</v>
      </c>
    </row>
    <row r="53" spans="1:26" ht="25.5" customHeight="1" x14ac:dyDescent="0.2">
      <c r="A53" s="44" t="s">
        <v>389</v>
      </c>
      <c r="B53" s="45" t="s">
        <v>390</v>
      </c>
      <c r="C53" s="46" t="s">
        <v>146</v>
      </c>
      <c r="D53" s="46" t="s">
        <v>64</v>
      </c>
      <c r="E53" s="44" t="s">
        <v>504</v>
      </c>
      <c r="F53" s="62">
        <v>1.9E-2</v>
      </c>
      <c r="G53" s="63">
        <v>1.6199999999999999E-2</v>
      </c>
      <c r="H53" s="64">
        <v>0.02</v>
      </c>
      <c r="I53" s="64">
        <v>2.11778357992457E-2</v>
      </c>
      <c r="J53" s="64">
        <v>2.6827146171693701E-2</v>
      </c>
      <c r="K53" s="130">
        <f>IF(COUNT(H53:J53)=0,"",AVERAGE(H53:J53))</f>
        <v>2.2668327323646469E-2</v>
      </c>
      <c r="L53" s="65">
        <v>1.6853932584269701E-2</v>
      </c>
      <c r="M53" s="65">
        <v>3.0499999999999999E-2</v>
      </c>
      <c r="N53" s="65">
        <v>2.2335181762168799E-2</v>
      </c>
      <c r="O53" s="130">
        <f>IF(COUNT(L53:N53)=0,"",AVERAGE(L53:N53))</f>
        <v>2.3229704782146168E-2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1.9761129953958099E-2</v>
      </c>
      <c r="Y53" s="89" t="s">
        <v>67</v>
      </c>
      <c r="Z53" s="53" t="s">
        <v>128</v>
      </c>
    </row>
    <row r="54" spans="1:26" ht="25.5" customHeight="1" x14ac:dyDescent="0.2">
      <c r="A54" s="44" t="s">
        <v>391</v>
      </c>
      <c r="B54" s="45" t="s">
        <v>392</v>
      </c>
      <c r="C54" s="46" t="s">
        <v>146</v>
      </c>
      <c r="D54" s="46" t="s">
        <v>64</v>
      </c>
      <c r="E54" s="44" t="s">
        <v>504</v>
      </c>
      <c r="F54" s="77">
        <v>0.01</v>
      </c>
      <c r="G54" s="57">
        <v>8.5000000000000006E-3</v>
      </c>
      <c r="H54" s="56">
        <v>0</v>
      </c>
      <c r="I54" s="56">
        <v>0</v>
      </c>
      <c r="J54" s="56">
        <v>0</v>
      </c>
      <c r="K54" s="132">
        <f>IF(COUNT(H54:J54)=0,"",AVERAGE(H54:J54))</f>
        <v>0</v>
      </c>
      <c r="L54" s="78">
        <v>0</v>
      </c>
      <c r="M54" s="78">
        <v>0</v>
      </c>
      <c r="N54" s="78">
        <v>0</v>
      </c>
      <c r="O54" s="132">
        <f>IF(COUNT(L54:N54)=0,"",AVERAGE(L54:N54))</f>
        <v>0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0</v>
      </c>
      <c r="Y54" s="89" t="s">
        <v>59</v>
      </c>
      <c r="Z54" s="53" t="s">
        <v>128</v>
      </c>
    </row>
    <row r="55" spans="1:26" ht="25.5" customHeight="1" x14ac:dyDescent="0.2">
      <c r="A55" s="44" t="s">
        <v>393</v>
      </c>
      <c r="B55" s="45" t="s">
        <v>394</v>
      </c>
      <c r="C55" s="46" t="s">
        <v>146</v>
      </c>
      <c r="D55" s="46" t="s">
        <v>64</v>
      </c>
      <c r="E55" s="44" t="s">
        <v>504</v>
      </c>
      <c r="F55" s="62">
        <v>7.1999999999999995E-2</v>
      </c>
      <c r="G55" s="63">
        <v>6.1199999999999997E-2</v>
      </c>
      <c r="H55" s="64">
        <v>0</v>
      </c>
      <c r="I55" s="64">
        <v>0</v>
      </c>
      <c r="J55" s="64">
        <v>0</v>
      </c>
      <c r="K55" s="130">
        <f>IF(COUNT(H55:J55)=0,"",AVERAGE(H55:J55))</f>
        <v>0</v>
      </c>
      <c r="L55" s="65">
        <v>0</v>
      </c>
      <c r="M55" s="65">
        <v>9.5238095238095205E-2</v>
      </c>
      <c r="N55" s="65">
        <v>9.5200000000000007E-2</v>
      </c>
      <c r="O55" s="130">
        <f>IF(COUNT(L55:N55)=0,"",AVERAGE(L55:N55))</f>
        <v>6.3479365079365066E-2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</v>
      </c>
      <c r="Y55" s="89" t="s">
        <v>59</v>
      </c>
      <c r="Z55" s="53" t="s">
        <v>128</v>
      </c>
    </row>
    <row r="56" spans="1:26" ht="25.5" customHeight="1" x14ac:dyDescent="0.2">
      <c r="A56" s="44" t="s">
        <v>395</v>
      </c>
      <c r="B56" s="45" t="s">
        <v>396</v>
      </c>
      <c r="C56" s="46" t="s">
        <v>146</v>
      </c>
      <c r="D56" s="46" t="s">
        <v>58</v>
      </c>
      <c r="E56" s="44" t="s">
        <v>504</v>
      </c>
      <c r="F56" s="62">
        <v>1</v>
      </c>
      <c r="G56" s="63">
        <v>1</v>
      </c>
      <c r="H56" s="64">
        <v>1</v>
      </c>
      <c r="I56" s="64">
        <v>1</v>
      </c>
      <c r="J56" s="64">
        <v>1</v>
      </c>
      <c r="K56" s="130">
        <f>IF(COUNT(H56:J56)=0,"",AVERAGE(H56:J56))</f>
        <v>1</v>
      </c>
      <c r="L56" s="65">
        <v>1</v>
      </c>
      <c r="M56" s="65">
        <v>1</v>
      </c>
      <c r="N56" s="65">
        <v>1</v>
      </c>
      <c r="O56" s="130">
        <f>IF(COUNT(L56:N56)=0,"",AVERAGE(L56:N56))</f>
        <v>1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1</v>
      </c>
      <c r="Y56" s="89" t="s">
        <v>59</v>
      </c>
      <c r="Z56" s="53" t="s">
        <v>128</v>
      </c>
    </row>
    <row r="57" spans="1:26" ht="25.5" customHeight="1" x14ac:dyDescent="0.2">
      <c r="A57" s="44" t="s">
        <v>397</v>
      </c>
      <c r="B57" s="45" t="s">
        <v>398</v>
      </c>
      <c r="C57" s="46" t="s">
        <v>146</v>
      </c>
      <c r="D57" s="46" t="s">
        <v>64</v>
      </c>
      <c r="E57" s="44" t="s">
        <v>504</v>
      </c>
      <c r="F57" s="77">
        <v>2.7E-2</v>
      </c>
      <c r="G57" s="57">
        <v>1.35E-2</v>
      </c>
      <c r="H57" s="56">
        <v>1.53203342618384E-2</v>
      </c>
      <c r="I57" s="56">
        <v>1.24777183600713E-2</v>
      </c>
      <c r="J57" s="56">
        <v>8.2918739635157602E-3</v>
      </c>
      <c r="K57" s="132">
        <f>IF(COUNT(H57:J57)=0,"",AVERAGE(H57:J57))</f>
        <v>1.2029975528475153E-2</v>
      </c>
      <c r="L57" s="78">
        <v>1.0989010989011E-2</v>
      </c>
      <c r="M57" s="78">
        <v>1.3769363166953499E-2</v>
      </c>
      <c r="N57" s="78">
        <v>1.41843971631206E-2</v>
      </c>
      <c r="O57" s="132">
        <f>IF(COUNT(L57:N57)=0,"",AVERAGE(L57:N57))</f>
        <v>1.2980923773028367E-2</v>
      </c>
      <c r="P57" s="78"/>
      <c r="Q57" s="78"/>
      <c r="R57" s="78"/>
      <c r="S57" s="132" t="str">
        <f>IF(COUNT(P57:R57)=0,"",AVERAGE(P57:R57))</f>
        <v/>
      </c>
      <c r="T57" s="78"/>
      <c r="U57" s="78"/>
      <c r="V57" s="78"/>
      <c r="W57" s="132" t="str">
        <f>IF(COUNT(T57:V57)=0,"",AVERAGE(T57:V57))</f>
        <v/>
      </c>
      <c r="X57" s="79">
        <v>1.1509493258743101E-2</v>
      </c>
      <c r="Y57" s="89" t="s">
        <v>59</v>
      </c>
      <c r="Z57" s="53" t="s">
        <v>128</v>
      </c>
    </row>
    <row r="58" spans="1:26" ht="25.5" customHeight="1" x14ac:dyDescent="0.2">
      <c r="A58" s="44" t="s">
        <v>401</v>
      </c>
      <c r="B58" s="45" t="s">
        <v>402</v>
      </c>
      <c r="C58" s="46" t="s">
        <v>146</v>
      </c>
      <c r="D58" s="46" t="s">
        <v>58</v>
      </c>
      <c r="E58" s="44" t="s">
        <v>504</v>
      </c>
      <c r="F58" s="62">
        <v>0.88629999999999998</v>
      </c>
      <c r="G58" s="63">
        <v>0.89380000000000004</v>
      </c>
      <c r="H58" s="64">
        <v>0.80230000000000001</v>
      </c>
      <c r="I58" s="64">
        <v>0.97889999999999999</v>
      </c>
      <c r="J58" s="64">
        <v>0.86960000000000004</v>
      </c>
      <c r="K58" s="130">
        <f>IF(COUNT(H58:J58)=0,"",AVERAGE(H58:J58))</f>
        <v>0.88360000000000005</v>
      </c>
      <c r="L58" s="65">
        <v>0.92220000000000002</v>
      </c>
      <c r="M58" s="65">
        <v>0.92349999999999999</v>
      </c>
      <c r="N58" s="65">
        <v>0.88959999999999995</v>
      </c>
      <c r="O58" s="130">
        <f>IF(COUNT(L58:N58)=0,"",AVERAGE(L58:N58))</f>
        <v>0.9117666666666665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0.92220000000000002</v>
      </c>
      <c r="Y58" s="89" t="s">
        <v>59</v>
      </c>
      <c r="Z58" s="53" t="s">
        <v>128</v>
      </c>
    </row>
    <row r="59" spans="1:26" ht="25.5" customHeight="1" x14ac:dyDescent="0.2">
      <c r="A59" s="44" t="s">
        <v>403</v>
      </c>
      <c r="B59" s="45" t="s">
        <v>404</v>
      </c>
      <c r="C59" s="46" t="s">
        <v>146</v>
      </c>
      <c r="D59" s="46" t="s">
        <v>58</v>
      </c>
      <c r="E59" s="44" t="s">
        <v>504</v>
      </c>
      <c r="F59" s="62">
        <v>0.90239999999999998</v>
      </c>
      <c r="G59" s="63">
        <v>0.86580000000000001</v>
      </c>
      <c r="H59" s="64">
        <v>0.94289999999999996</v>
      </c>
      <c r="I59" s="65"/>
      <c r="J59" s="65"/>
      <c r="K59" s="130">
        <f>IF(COUNT(H59:J59)=0,"",AVERAGE(H59:J59))</f>
        <v>0.94289999999999996</v>
      </c>
      <c r="L59" s="65"/>
      <c r="M59" s="65">
        <v>0.81620000000000004</v>
      </c>
      <c r="N59" s="65" t="s">
        <v>405</v>
      </c>
      <c r="O59" s="130">
        <f>IF(COUNT(L59:N59)=0,"",AVERAGE(L59:N59))</f>
        <v>0.81620000000000004</v>
      </c>
      <c r="P59" s="65"/>
      <c r="Q59" s="65"/>
      <c r="R59" s="65"/>
      <c r="S59" s="130" t="str">
        <f>IF(COUNT(P59:R59)=0,"",AVERAGE(P59:R59))</f>
        <v/>
      </c>
      <c r="T59" s="65"/>
      <c r="U59" s="65"/>
      <c r="V59" s="65"/>
      <c r="W59" s="130" t="str">
        <f>IF(COUNT(T59:V59)=0,"",AVERAGE(T59:V59))</f>
        <v/>
      </c>
      <c r="X59" s="67">
        <v>0.94289999999999996</v>
      </c>
      <c r="Y59" s="89" t="s">
        <v>59</v>
      </c>
      <c r="Z59" s="53" t="s">
        <v>128</v>
      </c>
    </row>
    <row r="60" spans="1:26" ht="25.5" customHeight="1" x14ac:dyDescent="0.2">
      <c r="A60" s="44" t="s">
        <v>406</v>
      </c>
      <c r="B60" s="45" t="s">
        <v>407</v>
      </c>
      <c r="C60" s="46" t="s">
        <v>146</v>
      </c>
      <c r="D60" s="46" t="s">
        <v>58</v>
      </c>
      <c r="E60" s="44" t="s">
        <v>504</v>
      </c>
      <c r="F60" s="62">
        <v>0.78200000000000003</v>
      </c>
      <c r="G60" s="63">
        <v>0.80700000000000005</v>
      </c>
      <c r="H60" s="64">
        <v>0.7</v>
      </c>
      <c r="I60" s="64">
        <v>0.77890000000000004</v>
      </c>
      <c r="J60" s="64">
        <v>0.87119999999999997</v>
      </c>
      <c r="K60" s="130">
        <f>IF(COUNT(H60:J60)=0,"",AVERAGE(H60:J60))</f>
        <v>0.78336666666666666</v>
      </c>
      <c r="L60" s="65">
        <v>0.72529999999999994</v>
      </c>
      <c r="M60" s="65">
        <v>0.72729999999999995</v>
      </c>
      <c r="N60" s="65">
        <v>0.68540000000000001</v>
      </c>
      <c r="O60" s="130">
        <f>IF(COUNT(L60:N60)=0,"",AVERAGE(L60:N60))</f>
        <v>0.71266666666666667</v>
      </c>
      <c r="P60" s="65"/>
      <c r="Q60" s="65"/>
      <c r="R60" s="65"/>
      <c r="S60" s="130" t="str">
        <f>IF(COUNT(P60:R60)=0,"",AVERAGE(P60:R60))</f>
        <v/>
      </c>
      <c r="T60" s="65"/>
      <c r="U60" s="65"/>
      <c r="V60" s="65"/>
      <c r="W60" s="130" t="str">
        <f>IF(COUNT(T60:V60)=0,"",AVERAGE(T60:V60))</f>
        <v/>
      </c>
      <c r="X60" s="67">
        <v>0.72529999999999994</v>
      </c>
      <c r="Y60" s="89" t="s">
        <v>67</v>
      </c>
      <c r="Z60" s="53" t="s">
        <v>128</v>
      </c>
    </row>
    <row r="61" spans="1:26" ht="25.5" customHeight="1" x14ac:dyDescent="0.2">
      <c r="A61" s="44" t="s">
        <v>408</v>
      </c>
      <c r="B61" s="45" t="s">
        <v>409</v>
      </c>
      <c r="C61" s="46" t="s">
        <v>146</v>
      </c>
      <c r="D61" s="46" t="s">
        <v>58</v>
      </c>
      <c r="E61" s="44" t="s">
        <v>504</v>
      </c>
      <c r="F61" s="62">
        <v>0.82099999999999995</v>
      </c>
      <c r="G61" s="63">
        <v>0.84799999999999998</v>
      </c>
      <c r="H61" s="64">
        <v>0.9</v>
      </c>
      <c r="I61" s="64">
        <v>0.97619999999999996</v>
      </c>
      <c r="J61" s="65">
        <v>0.94120000000000004</v>
      </c>
      <c r="K61" s="130">
        <f>IF(COUNT(H61:J61)=0,"",AVERAGE(H61:J61))</f>
        <v>0.93913333333333338</v>
      </c>
      <c r="L61" s="65">
        <v>0.9597</v>
      </c>
      <c r="M61" s="65">
        <v>0.93240000000000001</v>
      </c>
      <c r="N61" s="65">
        <v>0.92520000000000002</v>
      </c>
      <c r="O61" s="130">
        <f>IF(COUNT(L61:N61)=0,"",AVERAGE(L61:N61))</f>
        <v>0.93910000000000016</v>
      </c>
      <c r="P61" s="65"/>
      <c r="Q61" s="65"/>
      <c r="R61" s="65"/>
      <c r="S61" s="130" t="str">
        <f>IF(COUNT(P61:R61)=0,"",AVERAGE(P61:R61))</f>
        <v/>
      </c>
      <c r="T61" s="65"/>
      <c r="U61" s="65"/>
      <c r="V61" s="65"/>
      <c r="W61" s="130" t="str">
        <f>IF(COUNT(T61:V61)=0,"",AVERAGE(T61:V61))</f>
        <v/>
      </c>
      <c r="X61" s="67">
        <v>0.9597</v>
      </c>
      <c r="Y61" s="89" t="s">
        <v>59</v>
      </c>
      <c r="Z61" s="53" t="s">
        <v>68</v>
      </c>
    </row>
    <row r="62" spans="1:26" ht="25.5" customHeight="1" x14ac:dyDescent="0.2">
      <c r="A62" s="44" t="s">
        <v>421</v>
      </c>
      <c r="B62" s="45" t="s">
        <v>422</v>
      </c>
      <c r="C62" s="46" t="s">
        <v>184</v>
      </c>
      <c r="D62" s="46" t="s">
        <v>58</v>
      </c>
      <c r="E62" s="44" t="s">
        <v>504</v>
      </c>
      <c r="F62" s="62" t="s">
        <v>24</v>
      </c>
      <c r="G62" s="66">
        <v>1</v>
      </c>
      <c r="H62" s="64">
        <v>0</v>
      </c>
      <c r="I62" s="64">
        <v>1</v>
      </c>
      <c r="J62" s="64">
        <v>1</v>
      </c>
      <c r="K62" s="130">
        <f>IF(COUNT(H62:J62)=0,"",LOOKUP(2,1/(H62:J62&lt;&gt;""),H62:J62))</f>
        <v>1</v>
      </c>
      <c r="L62" s="65">
        <v>1</v>
      </c>
      <c r="M62" s="65">
        <v>1</v>
      </c>
      <c r="N62" s="65">
        <v>1</v>
      </c>
      <c r="O62" s="130">
        <f>IF(COUNT(L62:N62)=0,"",LOOKUP(2,1/(L62:N62&lt;&gt;""),L62:N62))</f>
        <v>1</v>
      </c>
      <c r="P62" s="65"/>
      <c r="Q62" s="65"/>
      <c r="R62" s="65"/>
      <c r="S62" s="130" t="str">
        <f>IF(COUNT(P62:R62)=0,"",LOOKUP(2,1/(P62:R62&lt;&gt;""),P62:R62))</f>
        <v/>
      </c>
      <c r="T62" s="65"/>
      <c r="U62" s="65"/>
      <c r="V62" s="65"/>
      <c r="W62" s="130" t="str">
        <f>IF(COUNT(T62:V62)=0,"",LOOKUP(2,1/(T62:V62&lt;&gt;""),T62:V62))</f>
        <v/>
      </c>
      <c r="X62" s="67">
        <v>0.80555555555555602</v>
      </c>
      <c r="Y62" s="89" t="s">
        <v>71</v>
      </c>
      <c r="Z62" s="53" t="s">
        <v>179</v>
      </c>
    </row>
    <row r="63" spans="1:26" ht="25.5" customHeight="1" x14ac:dyDescent="0.2">
      <c r="A63" s="44" t="s">
        <v>56</v>
      </c>
      <c r="B63" s="45" t="s">
        <v>57</v>
      </c>
      <c r="C63" s="46" t="s">
        <v>21</v>
      </c>
      <c r="D63" s="46" t="s">
        <v>58</v>
      </c>
      <c r="E63" s="139" t="s">
        <v>505</v>
      </c>
      <c r="F63" s="62">
        <v>0.33</v>
      </c>
      <c r="G63" s="63">
        <v>0.2</v>
      </c>
      <c r="H63" s="140"/>
      <c r="I63" s="140"/>
      <c r="J63" s="140"/>
      <c r="K63" s="141">
        <v>0.17399999999999999</v>
      </c>
      <c r="L63" s="140"/>
      <c r="M63" s="140"/>
      <c r="N63" s="140"/>
      <c r="O63" s="142">
        <v>0.86</v>
      </c>
      <c r="P63" s="140"/>
      <c r="Q63" s="140"/>
      <c r="R63" s="140"/>
      <c r="S63" s="142"/>
      <c r="T63" s="140"/>
      <c r="U63" s="140"/>
      <c r="V63" s="140"/>
      <c r="W63" s="142"/>
      <c r="X63" s="67">
        <v>0.17399999999999999</v>
      </c>
      <c r="Y63" s="89" t="s">
        <v>67</v>
      </c>
      <c r="Z63" s="53" t="s">
        <v>60</v>
      </c>
    </row>
    <row r="64" spans="1:26" ht="25.5" customHeight="1" x14ac:dyDescent="0.2">
      <c r="A64" s="44" t="s">
        <v>62</v>
      </c>
      <c r="B64" s="45" t="s">
        <v>63</v>
      </c>
      <c r="C64" s="46" t="s">
        <v>21</v>
      </c>
      <c r="D64" s="46" t="s">
        <v>64</v>
      </c>
      <c r="E64" s="139" t="s">
        <v>505</v>
      </c>
      <c r="F64" s="90">
        <v>20.7</v>
      </c>
      <c r="G64" s="91">
        <v>21</v>
      </c>
      <c r="H64" s="140"/>
      <c r="I64" s="140"/>
      <c r="J64" s="140"/>
      <c r="K64" s="143">
        <v>14</v>
      </c>
      <c r="L64" s="140"/>
      <c r="M64" s="140"/>
      <c r="N64" s="140"/>
      <c r="O64" s="143" t="s">
        <v>90</v>
      </c>
      <c r="P64" s="140"/>
      <c r="Q64" s="140"/>
      <c r="R64" s="140"/>
      <c r="S64" s="143"/>
      <c r="T64" s="140"/>
      <c r="U64" s="140"/>
      <c r="V64" s="140"/>
      <c r="W64" s="143"/>
      <c r="X64" s="93">
        <v>14</v>
      </c>
      <c r="Y64" s="89" t="s">
        <v>59</v>
      </c>
      <c r="Z64" s="53" t="s">
        <v>60</v>
      </c>
    </row>
    <row r="65" spans="1:26" ht="25.5" customHeight="1" x14ac:dyDescent="0.2">
      <c r="A65" s="44" t="s">
        <v>69</v>
      </c>
      <c r="B65" s="45" t="s">
        <v>70</v>
      </c>
      <c r="C65" s="46" t="s">
        <v>21</v>
      </c>
      <c r="D65" s="46" t="s">
        <v>58</v>
      </c>
      <c r="E65" s="139" t="s">
        <v>505</v>
      </c>
      <c r="F65" s="62" t="s">
        <v>24</v>
      </c>
      <c r="G65" s="66" t="s">
        <v>24</v>
      </c>
      <c r="H65" s="140"/>
      <c r="I65" s="140"/>
      <c r="J65" s="140"/>
      <c r="K65" s="141">
        <v>1</v>
      </c>
      <c r="L65" s="140"/>
      <c r="M65" s="140"/>
      <c r="N65" s="140"/>
      <c r="O65" s="142"/>
      <c r="P65" s="140"/>
      <c r="Q65" s="140"/>
      <c r="R65" s="140"/>
      <c r="S65" s="142"/>
      <c r="T65" s="140"/>
      <c r="U65" s="140"/>
      <c r="V65" s="140"/>
      <c r="W65" s="142"/>
      <c r="X65" s="67">
        <v>1</v>
      </c>
      <c r="Y65" s="89" t="s">
        <v>71</v>
      </c>
      <c r="Z65" s="53" t="s">
        <v>72</v>
      </c>
    </row>
    <row r="66" spans="1:26" ht="25.5" customHeight="1" x14ac:dyDescent="0.2">
      <c r="A66" s="44" t="s">
        <v>73</v>
      </c>
      <c r="B66" s="45" t="s">
        <v>74</v>
      </c>
      <c r="C66" s="46" t="s">
        <v>21</v>
      </c>
      <c r="D66" s="46" t="s">
        <v>64</v>
      </c>
      <c r="E66" s="139" t="s">
        <v>505</v>
      </c>
      <c r="F66" s="62">
        <v>0.52</v>
      </c>
      <c r="G66" s="63">
        <v>0.84</v>
      </c>
      <c r="H66" s="140"/>
      <c r="I66" s="140"/>
      <c r="J66" s="140"/>
      <c r="K66" s="141">
        <v>0.56200000000000006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0.56200000000000006</v>
      </c>
      <c r="Y66" s="89" t="s">
        <v>59</v>
      </c>
      <c r="Z66" s="53" t="s">
        <v>60</v>
      </c>
    </row>
    <row r="67" spans="1:26" ht="25.5" customHeight="1" x14ac:dyDescent="0.2">
      <c r="A67" s="44" t="s">
        <v>78</v>
      </c>
      <c r="B67" s="45" t="s">
        <v>79</v>
      </c>
      <c r="C67" s="46" t="s">
        <v>21</v>
      </c>
      <c r="D67" s="46" t="s">
        <v>64</v>
      </c>
      <c r="E67" s="139" t="s">
        <v>505</v>
      </c>
      <c r="F67" s="71">
        <v>4.7</v>
      </c>
      <c r="G67" s="94">
        <v>9.8000000000000007</v>
      </c>
      <c r="H67" s="144"/>
      <c r="I67" s="144"/>
      <c r="J67" s="144"/>
      <c r="K67" s="145">
        <v>4</v>
      </c>
      <c r="L67" s="144"/>
      <c r="M67" s="144"/>
      <c r="N67" s="144"/>
      <c r="O67" s="146"/>
      <c r="P67" s="144"/>
      <c r="Q67" s="144"/>
      <c r="R67" s="144"/>
      <c r="S67" s="146"/>
      <c r="T67" s="144"/>
      <c r="U67" s="144"/>
      <c r="V67" s="144"/>
      <c r="W67" s="146"/>
      <c r="X67" s="75">
        <v>4</v>
      </c>
      <c r="Y67" s="89" t="s">
        <v>59</v>
      </c>
      <c r="Z67" s="53" t="s">
        <v>60</v>
      </c>
    </row>
    <row r="68" spans="1:26" ht="25.5" customHeight="1" x14ac:dyDescent="0.2">
      <c r="A68" s="44" t="s">
        <v>80</v>
      </c>
      <c r="B68" s="45" t="s">
        <v>81</v>
      </c>
      <c r="C68" s="46" t="s">
        <v>21</v>
      </c>
      <c r="D68" s="46" t="s">
        <v>64</v>
      </c>
      <c r="E68" s="139" t="s">
        <v>505</v>
      </c>
      <c r="F68" s="62">
        <v>2.5000000000000001E-2</v>
      </c>
      <c r="G68" s="63">
        <v>0.04</v>
      </c>
      <c r="H68" s="140"/>
      <c r="I68" s="140"/>
      <c r="J68" s="140"/>
      <c r="K68" s="141">
        <v>9.0999999999999998E-2</v>
      </c>
      <c r="L68" s="140"/>
      <c r="M68" s="140"/>
      <c r="N68" s="140"/>
      <c r="O68" s="142"/>
      <c r="P68" s="140"/>
      <c r="Q68" s="140"/>
      <c r="R68" s="140"/>
      <c r="S68" s="142"/>
      <c r="T68" s="140"/>
      <c r="U68" s="140"/>
      <c r="V68" s="140"/>
      <c r="W68" s="142"/>
      <c r="X68" s="67">
        <v>9.0999999999999998E-2</v>
      </c>
      <c r="Y68" s="89" t="s">
        <v>67</v>
      </c>
      <c r="Z68" s="53" t="s">
        <v>60</v>
      </c>
    </row>
    <row r="69" spans="1:26" ht="25.5" customHeight="1" x14ac:dyDescent="0.2">
      <c r="A69" s="44" t="s">
        <v>82</v>
      </c>
      <c r="B69" s="45" t="s">
        <v>83</v>
      </c>
      <c r="C69" s="46" t="s">
        <v>21</v>
      </c>
      <c r="D69" s="46" t="s">
        <v>58</v>
      </c>
      <c r="E69" s="139" t="s">
        <v>505</v>
      </c>
      <c r="F69" s="77">
        <v>0.3</v>
      </c>
      <c r="G69" s="57">
        <v>0.9</v>
      </c>
      <c r="H69" s="147"/>
      <c r="I69" s="147"/>
      <c r="J69" s="147"/>
      <c r="K69" s="148">
        <v>0.5</v>
      </c>
      <c r="L69" s="147"/>
      <c r="M69" s="147"/>
      <c r="N69" s="147"/>
      <c r="O69" s="149" t="s">
        <v>522</v>
      </c>
      <c r="P69" s="147"/>
      <c r="Q69" s="147"/>
      <c r="R69" s="147"/>
      <c r="S69" s="149"/>
      <c r="T69" s="147"/>
      <c r="U69" s="147"/>
      <c r="V69" s="147"/>
      <c r="W69" s="149"/>
      <c r="X69" s="79">
        <v>0.5</v>
      </c>
      <c r="Y69" s="89" t="s">
        <v>67</v>
      </c>
      <c r="Z69" s="53" t="s">
        <v>60</v>
      </c>
    </row>
    <row r="70" spans="1:26" ht="25.5" customHeight="1" x14ac:dyDescent="0.2">
      <c r="A70" s="44" t="s">
        <v>85</v>
      </c>
      <c r="B70" s="45" t="s">
        <v>86</v>
      </c>
      <c r="C70" s="46" t="s">
        <v>21</v>
      </c>
      <c r="D70" s="46" t="s">
        <v>58</v>
      </c>
      <c r="E70" s="139" t="s">
        <v>505</v>
      </c>
      <c r="F70" s="62">
        <v>0.58789999999999998</v>
      </c>
      <c r="G70" s="66" t="s">
        <v>24</v>
      </c>
      <c r="H70" s="140"/>
      <c r="I70" s="140"/>
      <c r="J70" s="140"/>
      <c r="K70" s="141">
        <v>0.58009999999999995</v>
      </c>
      <c r="L70" s="140"/>
      <c r="M70" s="140"/>
      <c r="N70" s="140"/>
      <c r="O70" s="142">
        <v>0.94469999999999998</v>
      </c>
      <c r="P70" s="140"/>
      <c r="Q70" s="140"/>
      <c r="R70" s="140"/>
      <c r="S70" s="142"/>
      <c r="T70" s="140"/>
      <c r="U70" s="140"/>
      <c r="V70" s="140"/>
      <c r="W70" s="142"/>
      <c r="X70" s="67">
        <v>0.58009999999999995</v>
      </c>
      <c r="Y70" s="89" t="s">
        <v>71</v>
      </c>
      <c r="Z70" s="53" t="s">
        <v>68</v>
      </c>
    </row>
    <row r="71" spans="1:26" ht="25.5" customHeight="1" x14ac:dyDescent="0.2">
      <c r="A71" s="44" t="s">
        <v>94</v>
      </c>
      <c r="B71" s="45" t="s">
        <v>95</v>
      </c>
      <c r="C71" s="46" t="s">
        <v>19</v>
      </c>
      <c r="D71" s="46" t="s">
        <v>58</v>
      </c>
      <c r="E71" s="139" t="s">
        <v>505</v>
      </c>
      <c r="F71" s="62">
        <v>0.76700000000000002</v>
      </c>
      <c r="G71" s="63">
        <v>0.5</v>
      </c>
      <c r="H71" s="140"/>
      <c r="I71" s="140"/>
      <c r="J71" s="140"/>
      <c r="K71" s="142">
        <v>0.97922279792746103</v>
      </c>
      <c r="L71" s="140"/>
      <c r="M71" s="140"/>
      <c r="N71" s="140"/>
      <c r="O71" s="142"/>
      <c r="P71" s="140"/>
      <c r="Q71" s="140"/>
      <c r="R71" s="140"/>
      <c r="S71" s="142"/>
      <c r="T71" s="140"/>
      <c r="U71" s="140"/>
      <c r="V71" s="140"/>
      <c r="W71" s="142"/>
      <c r="X71" s="67">
        <v>0.97922279792746103</v>
      </c>
      <c r="Y71" s="89" t="s">
        <v>59</v>
      </c>
      <c r="Z71" s="53" t="s">
        <v>60</v>
      </c>
    </row>
    <row r="72" spans="1:26" ht="25.5" customHeight="1" x14ac:dyDescent="0.2">
      <c r="A72" s="44" t="s">
        <v>96</v>
      </c>
      <c r="B72" s="45" t="s">
        <v>97</v>
      </c>
      <c r="C72" s="46" t="s">
        <v>19</v>
      </c>
      <c r="D72" s="46" t="s">
        <v>58</v>
      </c>
      <c r="E72" s="139" t="s">
        <v>505</v>
      </c>
      <c r="F72" s="62">
        <v>0.77600000000000002</v>
      </c>
      <c r="G72" s="63">
        <v>0.5</v>
      </c>
      <c r="H72" s="140"/>
      <c r="I72" s="140"/>
      <c r="J72" s="140"/>
      <c r="K72" s="142">
        <v>0.98305699481865305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0.98305699481865305</v>
      </c>
      <c r="Y72" s="89" t="s">
        <v>59</v>
      </c>
      <c r="Z72" s="53" t="s">
        <v>60</v>
      </c>
    </row>
    <row r="73" spans="1:26" ht="25.5" customHeight="1" x14ac:dyDescent="0.2">
      <c r="A73" s="44" t="s">
        <v>98</v>
      </c>
      <c r="B73" s="45" t="s">
        <v>99</v>
      </c>
      <c r="C73" s="46" t="s">
        <v>19</v>
      </c>
      <c r="D73" s="46" t="s">
        <v>58</v>
      </c>
      <c r="E73" s="139" t="s">
        <v>505</v>
      </c>
      <c r="F73" s="62">
        <v>0.45400000000000001</v>
      </c>
      <c r="G73" s="63">
        <v>0.3</v>
      </c>
      <c r="H73" s="140"/>
      <c r="I73" s="140"/>
      <c r="J73" s="140"/>
      <c r="K73" s="142">
        <v>0.83960304638818395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0.83960304638818395</v>
      </c>
      <c r="Y73" s="89" t="s">
        <v>59</v>
      </c>
      <c r="Z73" s="53" t="s">
        <v>60</v>
      </c>
    </row>
    <row r="74" spans="1:26" ht="25.5" customHeight="1" x14ac:dyDescent="0.2">
      <c r="A74" s="44" t="s">
        <v>100</v>
      </c>
      <c r="B74" s="45" t="s">
        <v>101</v>
      </c>
      <c r="C74" s="46" t="s">
        <v>19</v>
      </c>
      <c r="D74" s="46" t="s">
        <v>58</v>
      </c>
      <c r="E74" s="139" t="s">
        <v>505</v>
      </c>
      <c r="F74" s="62">
        <v>0.63700000000000001</v>
      </c>
      <c r="G74" s="63">
        <v>0.5</v>
      </c>
      <c r="H74" s="140"/>
      <c r="I74" s="140"/>
      <c r="J74" s="140"/>
      <c r="K74" s="142">
        <v>1.04201101928375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1.04201101928375</v>
      </c>
      <c r="Y74" s="89" t="s">
        <v>59</v>
      </c>
      <c r="Z74" s="53" t="s">
        <v>60</v>
      </c>
    </row>
    <row r="75" spans="1:26" ht="25.5" customHeight="1" x14ac:dyDescent="0.2">
      <c r="A75" s="44" t="s">
        <v>102</v>
      </c>
      <c r="B75" s="45" t="s">
        <v>103</v>
      </c>
      <c r="C75" s="46" t="s">
        <v>19</v>
      </c>
      <c r="D75" s="46" t="s">
        <v>58</v>
      </c>
      <c r="E75" s="139" t="s">
        <v>505</v>
      </c>
      <c r="F75" s="62">
        <v>0.92</v>
      </c>
      <c r="G75" s="63">
        <v>0.3</v>
      </c>
      <c r="H75" s="140"/>
      <c r="I75" s="140"/>
      <c r="J75" s="140"/>
      <c r="K75" s="142">
        <v>1.35135135135135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1.35135135135135</v>
      </c>
      <c r="Y75" s="89" t="s">
        <v>59</v>
      </c>
      <c r="Z75" s="53" t="s">
        <v>60</v>
      </c>
    </row>
    <row r="76" spans="1:26" ht="25.5" customHeight="1" x14ac:dyDescent="0.2">
      <c r="A76" s="44" t="s">
        <v>104</v>
      </c>
      <c r="B76" s="45" t="s">
        <v>105</v>
      </c>
      <c r="C76" s="46" t="s">
        <v>19</v>
      </c>
      <c r="D76" s="46" t="s">
        <v>58</v>
      </c>
      <c r="E76" s="139" t="s">
        <v>505</v>
      </c>
      <c r="F76" s="62">
        <v>0.88</v>
      </c>
      <c r="G76" s="63">
        <v>0.3</v>
      </c>
      <c r="H76" s="140"/>
      <c r="I76" s="140"/>
      <c r="J76" s="140"/>
      <c r="K76" s="142">
        <v>1.03454545454545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1.03454545454545</v>
      </c>
      <c r="Y76" s="89" t="s">
        <v>59</v>
      </c>
      <c r="Z76" s="53" t="s">
        <v>60</v>
      </c>
    </row>
    <row r="77" spans="1:26" ht="25.5" customHeight="1" x14ac:dyDescent="0.2">
      <c r="A77" s="44" t="s">
        <v>106</v>
      </c>
      <c r="B77" s="45" t="s">
        <v>107</v>
      </c>
      <c r="C77" s="46" t="s">
        <v>19</v>
      </c>
      <c r="D77" s="46" t="s">
        <v>58</v>
      </c>
      <c r="E77" s="139" t="s">
        <v>505</v>
      </c>
      <c r="F77" s="62">
        <v>0.84099999999999997</v>
      </c>
      <c r="G77" s="63">
        <v>0.3</v>
      </c>
      <c r="H77" s="140"/>
      <c r="I77" s="140"/>
      <c r="J77" s="140"/>
      <c r="K77" s="142">
        <v>0.91400000000000003</v>
      </c>
      <c r="L77" s="140"/>
      <c r="M77" s="140"/>
      <c r="N77" s="140"/>
      <c r="O77" s="142"/>
      <c r="P77" s="140"/>
      <c r="Q77" s="140"/>
      <c r="R77" s="140"/>
      <c r="S77" s="142"/>
      <c r="T77" s="140"/>
      <c r="U77" s="140"/>
      <c r="V77" s="140"/>
      <c r="W77" s="142"/>
      <c r="X77" s="67">
        <v>0.91400000000000003</v>
      </c>
      <c r="Y77" s="89" t="s">
        <v>59</v>
      </c>
      <c r="Z77" s="53" t="s">
        <v>60</v>
      </c>
    </row>
    <row r="78" spans="1:26" ht="25.5" customHeight="1" x14ac:dyDescent="0.2">
      <c r="A78" s="44" t="s">
        <v>108</v>
      </c>
      <c r="B78" s="45" t="s">
        <v>109</v>
      </c>
      <c r="C78" s="46" t="s">
        <v>19</v>
      </c>
      <c r="D78" s="46" t="s">
        <v>58</v>
      </c>
      <c r="E78" s="139" t="s">
        <v>505</v>
      </c>
      <c r="F78" s="62">
        <v>1</v>
      </c>
      <c r="G78" s="63">
        <v>0.9</v>
      </c>
      <c r="H78" s="140"/>
      <c r="I78" s="140"/>
      <c r="J78" s="140"/>
      <c r="K78" s="142">
        <v>0.88081936685288598</v>
      </c>
      <c r="L78" s="140"/>
      <c r="M78" s="140"/>
      <c r="N78" s="140"/>
      <c r="O78" s="142"/>
      <c r="P78" s="140"/>
      <c r="Q78" s="140"/>
      <c r="R78" s="140"/>
      <c r="S78" s="142"/>
      <c r="T78" s="140"/>
      <c r="U78" s="140"/>
      <c r="V78" s="140"/>
      <c r="W78" s="142"/>
      <c r="X78" s="67">
        <v>0.88081936685288598</v>
      </c>
      <c r="Y78" s="89" t="s">
        <v>67</v>
      </c>
      <c r="Z78" s="53" t="s">
        <v>60</v>
      </c>
    </row>
    <row r="79" spans="1:26" ht="25.5" customHeight="1" x14ac:dyDescent="0.2">
      <c r="A79" s="44" t="s">
        <v>112</v>
      </c>
      <c r="B79" s="45" t="s">
        <v>113</v>
      </c>
      <c r="C79" s="46" t="s">
        <v>19</v>
      </c>
      <c r="D79" s="46" t="s">
        <v>58</v>
      </c>
      <c r="E79" s="139" t="s">
        <v>505</v>
      </c>
      <c r="F79" s="62">
        <v>0.995</v>
      </c>
      <c r="G79" s="66">
        <v>0.6</v>
      </c>
      <c r="H79" s="140"/>
      <c r="I79" s="140"/>
      <c r="J79" s="140"/>
      <c r="K79" s="141">
        <v>1.0033000000000001</v>
      </c>
      <c r="L79" s="140"/>
      <c r="M79" s="140"/>
      <c r="N79" s="140"/>
      <c r="O79" s="142">
        <v>1.02</v>
      </c>
      <c r="P79" s="140"/>
      <c r="Q79" s="140"/>
      <c r="R79" s="140"/>
      <c r="S79" s="142"/>
      <c r="T79" s="140"/>
      <c r="U79" s="140"/>
      <c r="V79" s="140"/>
      <c r="W79" s="142">
        <v>1.0864499999999999</v>
      </c>
      <c r="X79" s="67">
        <v>1.0033000000000001</v>
      </c>
      <c r="Y79" s="89" t="s">
        <v>59</v>
      </c>
      <c r="Z79" s="53" t="s">
        <v>60</v>
      </c>
    </row>
    <row r="80" spans="1:26" ht="25.5" customHeight="1" x14ac:dyDescent="0.2">
      <c r="A80" s="44" t="s">
        <v>119</v>
      </c>
      <c r="B80" s="45" t="s">
        <v>120</v>
      </c>
      <c r="C80" s="46" t="s">
        <v>19</v>
      </c>
      <c r="D80" s="46" t="s">
        <v>64</v>
      </c>
      <c r="E80" s="139" t="s">
        <v>505</v>
      </c>
      <c r="F80" s="77">
        <v>0</v>
      </c>
      <c r="G80" s="96">
        <v>15</v>
      </c>
      <c r="H80" s="147"/>
      <c r="I80" s="147"/>
      <c r="J80" s="147"/>
      <c r="K80" s="148">
        <v>0.1</v>
      </c>
      <c r="L80" s="147"/>
      <c r="M80" s="147"/>
      <c r="N80" s="147"/>
      <c r="O80" s="149">
        <v>0.2</v>
      </c>
      <c r="P80" s="147"/>
      <c r="Q80" s="147"/>
      <c r="R80" s="147"/>
      <c r="S80" s="149"/>
      <c r="T80" s="147"/>
      <c r="U80" s="147"/>
      <c r="V80" s="147"/>
      <c r="W80" s="149"/>
      <c r="X80" s="79">
        <v>0.1</v>
      </c>
      <c r="Y80" s="89" t="s">
        <v>59</v>
      </c>
      <c r="Z80" s="53" t="s">
        <v>60</v>
      </c>
    </row>
    <row r="81" spans="1:26" ht="25.5" customHeight="1" x14ac:dyDescent="0.2">
      <c r="A81" s="44" t="s">
        <v>122</v>
      </c>
      <c r="B81" s="45" t="s">
        <v>123</v>
      </c>
      <c r="C81" s="46" t="s">
        <v>19</v>
      </c>
      <c r="D81" s="46" t="s">
        <v>64</v>
      </c>
      <c r="E81" s="139" t="s">
        <v>505</v>
      </c>
      <c r="F81" s="77">
        <v>0.4</v>
      </c>
      <c r="G81" s="50">
        <v>0.7</v>
      </c>
      <c r="H81" s="147"/>
      <c r="I81" s="147"/>
      <c r="J81" s="147"/>
      <c r="K81" s="148">
        <v>0</v>
      </c>
      <c r="L81" s="147"/>
      <c r="M81" s="147"/>
      <c r="N81" s="147"/>
      <c r="O81" s="149">
        <v>0</v>
      </c>
      <c r="P81" s="147"/>
      <c r="Q81" s="147"/>
      <c r="R81" s="147"/>
      <c r="S81" s="149"/>
      <c r="T81" s="147"/>
      <c r="U81" s="147"/>
      <c r="V81" s="147"/>
      <c r="W81" s="149"/>
      <c r="X81" s="79">
        <v>0</v>
      </c>
      <c r="Y81" s="89" t="s">
        <v>59</v>
      </c>
      <c r="Z81" s="53" t="s">
        <v>60</v>
      </c>
    </row>
    <row r="82" spans="1:26" ht="25.5" customHeight="1" x14ac:dyDescent="0.2">
      <c r="A82" s="44" t="s">
        <v>124</v>
      </c>
      <c r="B82" s="45" t="s">
        <v>125</v>
      </c>
      <c r="C82" s="46" t="s">
        <v>19</v>
      </c>
      <c r="D82" s="46" t="s">
        <v>64</v>
      </c>
      <c r="E82" s="139" t="s">
        <v>505</v>
      </c>
      <c r="F82" s="77">
        <v>0.13</v>
      </c>
      <c r="G82" s="97">
        <v>11</v>
      </c>
      <c r="H82" s="147"/>
      <c r="I82" s="147"/>
      <c r="J82" s="147"/>
      <c r="K82" s="148">
        <v>0</v>
      </c>
      <c r="L82" s="147"/>
      <c r="M82" s="147"/>
      <c r="N82" s="147"/>
      <c r="O82" s="149">
        <v>0</v>
      </c>
      <c r="P82" s="147"/>
      <c r="Q82" s="147"/>
      <c r="R82" s="147"/>
      <c r="S82" s="149"/>
      <c r="T82" s="147"/>
      <c r="U82" s="147"/>
      <c r="V82" s="147"/>
      <c r="W82" s="149"/>
      <c r="X82" s="79">
        <v>0</v>
      </c>
      <c r="Y82" s="89" t="s">
        <v>59</v>
      </c>
      <c r="Z82" s="53" t="s">
        <v>60</v>
      </c>
    </row>
    <row r="83" spans="1:26" ht="25.5" customHeight="1" x14ac:dyDescent="0.2">
      <c r="A83" s="44" t="s">
        <v>126</v>
      </c>
      <c r="B83" s="45" t="s">
        <v>127</v>
      </c>
      <c r="C83" s="46" t="s">
        <v>19</v>
      </c>
      <c r="D83" s="46" t="s">
        <v>64</v>
      </c>
      <c r="E83" s="139" t="s">
        <v>505</v>
      </c>
      <c r="F83" s="77">
        <v>0.47</v>
      </c>
      <c r="G83" s="57">
        <v>0.4</v>
      </c>
      <c r="H83" s="147"/>
      <c r="I83" s="147"/>
      <c r="J83" s="147"/>
      <c r="K83" s="148">
        <v>3.3670033670033699</v>
      </c>
      <c r="L83" s="147"/>
      <c r="M83" s="147"/>
      <c r="N83" s="147"/>
      <c r="O83" s="149">
        <v>0</v>
      </c>
      <c r="P83" s="147"/>
      <c r="Q83" s="147"/>
      <c r="R83" s="147"/>
      <c r="S83" s="149"/>
      <c r="T83" s="147"/>
      <c r="U83" s="147"/>
      <c r="V83" s="147"/>
      <c r="W83" s="149"/>
      <c r="X83" s="79">
        <v>3.3670033670033699</v>
      </c>
      <c r="Y83" s="89" t="s">
        <v>67</v>
      </c>
      <c r="Z83" s="53" t="s">
        <v>128</v>
      </c>
    </row>
    <row r="84" spans="1:26" ht="25.5" customHeight="1" x14ac:dyDescent="0.2">
      <c r="A84" s="44" t="s">
        <v>129</v>
      </c>
      <c r="B84" s="45" t="s">
        <v>130</v>
      </c>
      <c r="C84" s="46" t="s">
        <v>19</v>
      </c>
      <c r="D84" s="46" t="s">
        <v>64</v>
      </c>
      <c r="E84" s="139" t="s">
        <v>505</v>
      </c>
      <c r="F84" s="77">
        <v>0.36</v>
      </c>
      <c r="G84" s="57">
        <v>0.30599999999999999</v>
      </c>
      <c r="H84" s="147"/>
      <c r="I84" s="147"/>
      <c r="J84" s="147"/>
      <c r="K84" s="148">
        <v>0</v>
      </c>
      <c r="L84" s="147"/>
      <c r="M84" s="147"/>
      <c r="N84" s="147"/>
      <c r="O84" s="149">
        <v>6.29</v>
      </c>
      <c r="P84" s="147"/>
      <c r="Q84" s="147"/>
      <c r="R84" s="147"/>
      <c r="S84" s="149"/>
      <c r="T84" s="147"/>
      <c r="U84" s="147"/>
      <c r="V84" s="147"/>
      <c r="W84" s="149"/>
      <c r="X84" s="79">
        <v>0</v>
      </c>
      <c r="Y84" s="89" t="s">
        <v>59</v>
      </c>
      <c r="Z84" s="53" t="s">
        <v>131</v>
      </c>
    </row>
    <row r="85" spans="1:26" ht="25.5" customHeight="1" x14ac:dyDescent="0.2">
      <c r="A85" s="44" t="s">
        <v>134</v>
      </c>
      <c r="B85" s="45" t="s">
        <v>135</v>
      </c>
      <c r="C85" s="46" t="s">
        <v>19</v>
      </c>
      <c r="D85" s="46" t="s">
        <v>64</v>
      </c>
      <c r="E85" s="139" t="s">
        <v>505</v>
      </c>
      <c r="F85" s="77">
        <v>3.1</v>
      </c>
      <c r="G85" s="57">
        <v>2.64</v>
      </c>
      <c r="H85" s="147"/>
      <c r="I85" s="147"/>
      <c r="J85" s="147"/>
      <c r="K85" s="148">
        <v>4.5662100456620998</v>
      </c>
      <c r="L85" s="147"/>
      <c r="M85" s="147"/>
      <c r="N85" s="147"/>
      <c r="O85" s="149">
        <v>12.82</v>
      </c>
      <c r="P85" s="147"/>
      <c r="Q85" s="147"/>
      <c r="R85" s="147"/>
      <c r="S85" s="149"/>
      <c r="T85" s="147"/>
      <c r="U85" s="147"/>
      <c r="V85" s="147"/>
      <c r="W85" s="149"/>
      <c r="X85" s="79">
        <v>4.5662100456620998</v>
      </c>
      <c r="Y85" s="89" t="s">
        <v>67</v>
      </c>
      <c r="Z85" s="53" t="s">
        <v>128</v>
      </c>
    </row>
    <row r="86" spans="1:26" ht="25.5" customHeight="1" x14ac:dyDescent="0.2">
      <c r="A86" s="44" t="s">
        <v>136</v>
      </c>
      <c r="B86" s="45" t="s">
        <v>137</v>
      </c>
      <c r="C86" s="46" t="s">
        <v>19</v>
      </c>
      <c r="D86" s="46" t="s">
        <v>64</v>
      </c>
      <c r="E86" s="139" t="s">
        <v>505</v>
      </c>
      <c r="F86" s="77">
        <v>0.9</v>
      </c>
      <c r="G86" s="97">
        <v>1.5</v>
      </c>
      <c r="H86" s="147"/>
      <c r="I86" s="147"/>
      <c r="J86" s="147"/>
      <c r="K86" s="148">
        <v>2.7</v>
      </c>
      <c r="L86" s="147"/>
      <c r="M86" s="147"/>
      <c r="N86" s="147"/>
      <c r="O86" s="149">
        <v>6.29</v>
      </c>
      <c r="P86" s="147"/>
      <c r="Q86" s="147"/>
      <c r="R86" s="147"/>
      <c r="S86" s="149"/>
      <c r="T86" s="147"/>
      <c r="U86" s="147"/>
      <c r="V86" s="147"/>
      <c r="W86" s="149"/>
      <c r="X86" s="79">
        <v>2.7</v>
      </c>
      <c r="Y86" s="89" t="s">
        <v>67</v>
      </c>
      <c r="Z86" s="53" t="s">
        <v>60</v>
      </c>
    </row>
    <row r="87" spans="1:26" ht="25.5" customHeight="1" x14ac:dyDescent="0.2">
      <c r="A87" s="44" t="s">
        <v>138</v>
      </c>
      <c r="B87" s="45" t="s">
        <v>139</v>
      </c>
      <c r="C87" s="46" t="s">
        <v>19</v>
      </c>
      <c r="D87" s="46" t="s">
        <v>58</v>
      </c>
      <c r="E87" s="139" t="s">
        <v>505</v>
      </c>
      <c r="F87" s="77">
        <v>0.9</v>
      </c>
      <c r="G87" s="57">
        <v>3</v>
      </c>
      <c r="H87" s="147"/>
      <c r="I87" s="147"/>
      <c r="J87" s="147"/>
      <c r="K87" s="148">
        <v>0.6</v>
      </c>
      <c r="L87" s="147"/>
      <c r="M87" s="147"/>
      <c r="N87" s="147"/>
      <c r="O87" s="149">
        <v>0.55000000000000004</v>
      </c>
      <c r="P87" s="147"/>
      <c r="Q87" s="147"/>
      <c r="R87" s="147"/>
      <c r="S87" s="149"/>
      <c r="T87" s="147"/>
      <c r="U87" s="147"/>
      <c r="V87" s="147"/>
      <c r="W87" s="149"/>
      <c r="X87" s="79">
        <v>0.6</v>
      </c>
      <c r="Y87" s="89" t="s">
        <v>67</v>
      </c>
      <c r="Z87" s="53" t="s">
        <v>60</v>
      </c>
    </row>
    <row r="88" spans="1:26" ht="25.5" customHeight="1" x14ac:dyDescent="0.2">
      <c r="A88" s="44" t="s">
        <v>140</v>
      </c>
      <c r="B88" s="45" t="s">
        <v>141</v>
      </c>
      <c r="C88" s="46" t="s">
        <v>19</v>
      </c>
      <c r="D88" s="46" t="s">
        <v>58</v>
      </c>
      <c r="E88" s="139" t="s">
        <v>505</v>
      </c>
      <c r="F88" s="62">
        <v>0.77700000000000002</v>
      </c>
      <c r="G88" s="63">
        <v>0.7</v>
      </c>
      <c r="H88" s="140"/>
      <c r="I88" s="140"/>
      <c r="J88" s="140"/>
      <c r="K88" s="141">
        <v>0.77700000000000002</v>
      </c>
      <c r="L88" s="140"/>
      <c r="M88" s="140"/>
      <c r="N88" s="140"/>
      <c r="O88" s="142">
        <v>0.7833</v>
      </c>
      <c r="P88" s="140"/>
      <c r="Q88" s="140"/>
      <c r="R88" s="140"/>
      <c r="S88" s="142"/>
      <c r="T88" s="140"/>
      <c r="U88" s="140"/>
      <c r="V88" s="140"/>
      <c r="W88" s="142"/>
      <c r="X88" s="67">
        <v>0.77700000000000002</v>
      </c>
      <c r="Y88" s="89" t="s">
        <v>59</v>
      </c>
      <c r="Z88" s="53" t="s">
        <v>60</v>
      </c>
    </row>
    <row r="89" spans="1:26" ht="25.5" customHeight="1" x14ac:dyDescent="0.2">
      <c r="A89" s="44" t="s">
        <v>142</v>
      </c>
      <c r="B89" s="45" t="s">
        <v>143</v>
      </c>
      <c r="C89" s="46" t="s">
        <v>19</v>
      </c>
      <c r="D89" s="46" t="s">
        <v>64</v>
      </c>
      <c r="E89" s="139" t="s">
        <v>505</v>
      </c>
      <c r="F89" s="77">
        <v>28.6</v>
      </c>
      <c r="G89" s="97">
        <v>14.3</v>
      </c>
      <c r="H89" s="147"/>
      <c r="I89" s="147"/>
      <c r="J89" s="147"/>
      <c r="K89" s="149"/>
      <c r="L89" s="147"/>
      <c r="M89" s="147"/>
      <c r="N89" s="147"/>
      <c r="O89" s="149">
        <v>0</v>
      </c>
      <c r="P89" s="147"/>
      <c r="Q89" s="147"/>
      <c r="R89" s="147"/>
      <c r="S89" s="149"/>
      <c r="T89" s="147"/>
      <c r="U89" s="147"/>
      <c r="V89" s="147"/>
      <c r="W89" s="149"/>
      <c r="X89" s="79"/>
      <c r="Y89" s="89" t="s">
        <v>91</v>
      </c>
      <c r="Z89" s="53" t="s">
        <v>60</v>
      </c>
    </row>
    <row r="90" spans="1:26" ht="25.5" customHeight="1" x14ac:dyDescent="0.2">
      <c r="A90" s="44" t="s">
        <v>147</v>
      </c>
      <c r="B90" s="45" t="s">
        <v>148</v>
      </c>
      <c r="C90" s="46" t="s">
        <v>146</v>
      </c>
      <c r="D90" s="46" t="s">
        <v>58</v>
      </c>
      <c r="E90" s="139" t="s">
        <v>505</v>
      </c>
      <c r="F90" s="62">
        <v>0.624</v>
      </c>
      <c r="G90" s="66">
        <v>0.6</v>
      </c>
      <c r="H90" s="140"/>
      <c r="I90" s="140"/>
      <c r="J90" s="140"/>
      <c r="K90" s="142"/>
      <c r="L90" s="140"/>
      <c r="M90" s="140"/>
      <c r="N90" s="140"/>
      <c r="O90" s="142"/>
      <c r="P90" s="140"/>
      <c r="Q90" s="140"/>
      <c r="R90" s="140"/>
      <c r="S90" s="142"/>
      <c r="T90" s="140"/>
      <c r="U90" s="140"/>
      <c r="V90" s="140"/>
      <c r="W90" s="142"/>
      <c r="X90" s="67"/>
      <c r="Y90" s="89" t="s">
        <v>91</v>
      </c>
      <c r="Z90" s="53" t="s">
        <v>60</v>
      </c>
    </row>
    <row r="91" spans="1:26" ht="25.5" customHeight="1" x14ac:dyDescent="0.2">
      <c r="A91" s="44" t="s">
        <v>149</v>
      </c>
      <c r="B91" s="45" t="s">
        <v>150</v>
      </c>
      <c r="C91" s="46" t="s">
        <v>146</v>
      </c>
      <c r="D91" s="46" t="s">
        <v>58</v>
      </c>
      <c r="E91" s="139" t="s">
        <v>505</v>
      </c>
      <c r="F91" s="62">
        <v>0.76</v>
      </c>
      <c r="G91" s="66">
        <v>0.7</v>
      </c>
      <c r="H91" s="140"/>
      <c r="I91" s="140"/>
      <c r="J91" s="140"/>
      <c r="K91" s="142"/>
      <c r="L91" s="140"/>
      <c r="M91" s="140"/>
      <c r="N91" s="140"/>
      <c r="O91" s="142"/>
      <c r="P91" s="140"/>
      <c r="Q91" s="140"/>
      <c r="R91" s="140"/>
      <c r="S91" s="142"/>
      <c r="T91" s="140"/>
      <c r="U91" s="140"/>
      <c r="V91" s="140"/>
      <c r="W91" s="142"/>
      <c r="X91" s="67"/>
      <c r="Y91" s="89" t="s">
        <v>91</v>
      </c>
      <c r="Z91" s="53" t="s">
        <v>60</v>
      </c>
    </row>
    <row r="92" spans="1:26" ht="25.5" customHeight="1" x14ac:dyDescent="0.2">
      <c r="A92" s="44" t="s">
        <v>151</v>
      </c>
      <c r="B92" s="45" t="s">
        <v>152</v>
      </c>
      <c r="C92" s="46" t="s">
        <v>146</v>
      </c>
      <c r="D92" s="46" t="s">
        <v>58</v>
      </c>
      <c r="E92" s="139" t="s">
        <v>505</v>
      </c>
      <c r="F92" s="62">
        <v>0.82099999999999995</v>
      </c>
      <c r="G92" s="66">
        <v>0.7</v>
      </c>
      <c r="H92" s="140"/>
      <c r="I92" s="140"/>
      <c r="J92" s="140"/>
      <c r="K92" s="142"/>
      <c r="L92" s="140"/>
      <c r="M92" s="140"/>
      <c r="N92" s="140"/>
      <c r="O92" s="142"/>
      <c r="P92" s="140"/>
      <c r="Q92" s="140"/>
      <c r="R92" s="140"/>
      <c r="S92" s="142"/>
      <c r="T92" s="140"/>
      <c r="U92" s="140"/>
      <c r="V92" s="140"/>
      <c r="W92" s="142"/>
      <c r="X92" s="67"/>
      <c r="Y92" s="89" t="s">
        <v>91</v>
      </c>
      <c r="Z92" s="53" t="s">
        <v>60</v>
      </c>
    </row>
    <row r="93" spans="1:26" ht="25.5" customHeight="1" x14ac:dyDescent="0.2">
      <c r="A93" s="44" t="s">
        <v>153</v>
      </c>
      <c r="B93" s="45" t="s">
        <v>154</v>
      </c>
      <c r="C93" s="46" t="s">
        <v>146</v>
      </c>
      <c r="D93" s="46" t="s">
        <v>58</v>
      </c>
      <c r="E93" s="139" t="s">
        <v>505</v>
      </c>
      <c r="F93" s="62">
        <v>0.91</v>
      </c>
      <c r="G93" s="63">
        <v>0.92</v>
      </c>
      <c r="H93" s="140"/>
      <c r="I93" s="140"/>
      <c r="J93" s="140"/>
      <c r="K93" s="141">
        <v>1</v>
      </c>
      <c r="L93" s="140"/>
      <c r="M93" s="140"/>
      <c r="N93" s="140"/>
      <c r="O93" s="142">
        <v>1</v>
      </c>
      <c r="P93" s="140"/>
      <c r="Q93" s="140"/>
      <c r="R93" s="140"/>
      <c r="S93" s="142"/>
      <c r="T93" s="140"/>
      <c r="U93" s="140"/>
      <c r="V93" s="140"/>
      <c r="W93" s="142"/>
      <c r="X93" s="67">
        <v>1</v>
      </c>
      <c r="Y93" s="89" t="s">
        <v>59</v>
      </c>
      <c r="Z93" s="53" t="s">
        <v>155</v>
      </c>
    </row>
    <row r="94" spans="1:26" ht="25.5" customHeight="1" x14ac:dyDescent="0.2">
      <c r="A94" s="44" t="s">
        <v>156</v>
      </c>
      <c r="B94" s="45" t="s">
        <v>157</v>
      </c>
      <c r="C94" s="46" t="s">
        <v>146</v>
      </c>
      <c r="D94" s="46" t="s">
        <v>58</v>
      </c>
      <c r="E94" s="139" t="s">
        <v>505</v>
      </c>
      <c r="F94" s="62">
        <v>0.78</v>
      </c>
      <c r="G94" s="66">
        <v>0.85</v>
      </c>
      <c r="H94" s="140"/>
      <c r="I94" s="140"/>
      <c r="J94" s="140"/>
      <c r="K94" s="141">
        <v>1</v>
      </c>
      <c r="L94" s="140"/>
      <c r="M94" s="140"/>
      <c r="N94" s="140"/>
      <c r="O94" s="142">
        <v>1</v>
      </c>
      <c r="P94" s="140"/>
      <c r="Q94" s="140"/>
      <c r="R94" s="140"/>
      <c r="S94" s="142"/>
      <c r="T94" s="140"/>
      <c r="U94" s="140"/>
      <c r="V94" s="140"/>
      <c r="W94" s="142"/>
      <c r="X94" s="67">
        <v>1</v>
      </c>
      <c r="Y94" s="89" t="s">
        <v>59</v>
      </c>
      <c r="Z94" s="53" t="s">
        <v>158</v>
      </c>
    </row>
    <row r="95" spans="1:26" ht="25.5" customHeight="1" x14ac:dyDescent="0.2">
      <c r="A95" s="44" t="s">
        <v>159</v>
      </c>
      <c r="B95" s="45" t="s">
        <v>160</v>
      </c>
      <c r="C95" s="46" t="s">
        <v>146</v>
      </c>
      <c r="D95" s="46" t="s">
        <v>58</v>
      </c>
      <c r="E95" s="139" t="s">
        <v>505</v>
      </c>
      <c r="F95" s="62">
        <v>0.78600000000000003</v>
      </c>
      <c r="G95" s="63">
        <v>0.8</v>
      </c>
      <c r="H95" s="140"/>
      <c r="I95" s="140"/>
      <c r="J95" s="140"/>
      <c r="K95" s="141">
        <v>0.95099999999999996</v>
      </c>
      <c r="L95" s="140"/>
      <c r="M95" s="140"/>
      <c r="N95" s="140"/>
      <c r="O95" s="142">
        <v>0.99556541019955702</v>
      </c>
      <c r="P95" s="140"/>
      <c r="Q95" s="140"/>
      <c r="R95" s="140"/>
      <c r="S95" s="142"/>
      <c r="T95" s="140"/>
      <c r="U95" s="140"/>
      <c r="V95" s="140"/>
      <c r="W95" s="142"/>
      <c r="X95" s="67">
        <v>0.95099999999999996</v>
      </c>
      <c r="Y95" s="89" t="s">
        <v>59</v>
      </c>
      <c r="Z95" s="53" t="s">
        <v>60</v>
      </c>
    </row>
    <row r="96" spans="1:26" ht="25.5" customHeight="1" x14ac:dyDescent="0.2">
      <c r="A96" s="44" t="s">
        <v>161</v>
      </c>
      <c r="B96" s="45" t="s">
        <v>162</v>
      </c>
      <c r="C96" s="46" t="s">
        <v>146</v>
      </c>
      <c r="D96" s="46" t="s">
        <v>58</v>
      </c>
      <c r="E96" s="139" t="s">
        <v>505</v>
      </c>
      <c r="F96" s="62">
        <v>0.98</v>
      </c>
      <c r="G96" s="63">
        <v>0.6</v>
      </c>
      <c r="H96" s="140"/>
      <c r="I96" s="140"/>
      <c r="J96" s="140"/>
      <c r="K96" s="141">
        <v>0.98399999999999999</v>
      </c>
      <c r="L96" s="140"/>
      <c r="M96" s="140"/>
      <c r="N96" s="140"/>
      <c r="O96" s="142"/>
      <c r="P96" s="140"/>
      <c r="Q96" s="140"/>
      <c r="R96" s="140"/>
      <c r="S96" s="142"/>
      <c r="T96" s="140"/>
      <c r="U96" s="140"/>
      <c r="V96" s="140"/>
      <c r="W96" s="142"/>
      <c r="X96" s="67">
        <v>0.98399999999999999</v>
      </c>
      <c r="Y96" s="89" t="s">
        <v>59</v>
      </c>
      <c r="Z96" s="53" t="s">
        <v>60</v>
      </c>
    </row>
    <row r="97" spans="1:26" ht="25.5" customHeight="1" x14ac:dyDescent="0.2">
      <c r="A97" s="44" t="s">
        <v>163</v>
      </c>
      <c r="B97" s="45" t="s">
        <v>164</v>
      </c>
      <c r="C97" s="46" t="s">
        <v>146</v>
      </c>
      <c r="D97" s="46" t="s">
        <v>64</v>
      </c>
      <c r="E97" s="139" t="s">
        <v>505</v>
      </c>
      <c r="F97" s="69">
        <v>13.3</v>
      </c>
      <c r="G97" s="84">
        <v>25</v>
      </c>
      <c r="H97" s="150"/>
      <c r="I97" s="150"/>
      <c r="J97" s="150"/>
      <c r="K97" s="151">
        <v>24.3</v>
      </c>
      <c r="L97" s="150"/>
      <c r="M97" s="150"/>
      <c r="N97" s="150"/>
      <c r="O97" s="152"/>
      <c r="P97" s="150"/>
      <c r="Q97" s="150"/>
      <c r="R97" s="150"/>
      <c r="S97" s="152"/>
      <c r="T97" s="150"/>
      <c r="U97" s="150"/>
      <c r="V97" s="150"/>
      <c r="W97" s="152">
        <v>21</v>
      </c>
      <c r="X97" s="100">
        <v>24.3</v>
      </c>
      <c r="Y97" s="89" t="s">
        <v>59</v>
      </c>
      <c r="Z97" s="53" t="s">
        <v>60</v>
      </c>
    </row>
    <row r="98" spans="1:26" ht="25.5" customHeight="1" x14ac:dyDescent="0.2">
      <c r="A98" s="44" t="s">
        <v>165</v>
      </c>
      <c r="B98" s="45" t="s">
        <v>166</v>
      </c>
      <c r="C98" s="46" t="s">
        <v>146</v>
      </c>
      <c r="D98" s="46" t="s">
        <v>64</v>
      </c>
      <c r="E98" s="139" t="s">
        <v>505</v>
      </c>
      <c r="F98" s="77">
        <v>31.9</v>
      </c>
      <c r="G98" s="97">
        <v>15.95</v>
      </c>
      <c r="H98" s="147"/>
      <c r="I98" s="147"/>
      <c r="J98" s="147"/>
      <c r="K98" s="148">
        <v>500</v>
      </c>
      <c r="L98" s="147"/>
      <c r="M98" s="147"/>
      <c r="N98" s="147"/>
      <c r="O98" s="149">
        <v>0</v>
      </c>
      <c r="P98" s="147"/>
      <c r="Q98" s="147"/>
      <c r="R98" s="147"/>
      <c r="S98" s="149"/>
      <c r="T98" s="147"/>
      <c r="U98" s="147"/>
      <c r="V98" s="147"/>
      <c r="W98" s="149"/>
      <c r="X98" s="79">
        <v>500</v>
      </c>
      <c r="Y98" s="89" t="s">
        <v>67</v>
      </c>
      <c r="Z98" s="53" t="s">
        <v>60</v>
      </c>
    </row>
    <row r="99" spans="1:26" ht="25.5" customHeight="1" x14ac:dyDescent="0.2">
      <c r="A99" s="44" t="s">
        <v>167</v>
      </c>
      <c r="B99" s="45" t="s">
        <v>168</v>
      </c>
      <c r="C99" s="46" t="s">
        <v>146</v>
      </c>
      <c r="D99" s="46" t="s">
        <v>64</v>
      </c>
      <c r="E99" s="139" t="s">
        <v>505</v>
      </c>
      <c r="F99" s="77">
        <v>56.1</v>
      </c>
      <c r="G99" s="97">
        <v>28.05</v>
      </c>
      <c r="H99" s="147"/>
      <c r="I99" s="147"/>
      <c r="J99" s="147"/>
      <c r="K99" s="148">
        <v>190.5</v>
      </c>
      <c r="L99" s="147"/>
      <c r="M99" s="147"/>
      <c r="N99" s="147"/>
      <c r="O99" s="149">
        <v>9</v>
      </c>
      <c r="P99" s="147"/>
      <c r="Q99" s="147"/>
      <c r="R99" s="147"/>
      <c r="S99" s="149"/>
      <c r="T99" s="147"/>
      <c r="U99" s="147"/>
      <c r="V99" s="147"/>
      <c r="W99" s="149"/>
      <c r="X99" s="79">
        <v>190.5</v>
      </c>
      <c r="Y99" s="89" t="s">
        <v>67</v>
      </c>
      <c r="Z99" s="53" t="s">
        <v>60</v>
      </c>
    </row>
    <row r="100" spans="1:26" ht="25.5" customHeight="1" x14ac:dyDescent="0.2">
      <c r="A100" s="44" t="s">
        <v>169</v>
      </c>
      <c r="B100" s="45" t="s">
        <v>170</v>
      </c>
      <c r="C100" s="46" t="s">
        <v>146</v>
      </c>
      <c r="D100" s="46" t="s">
        <v>64</v>
      </c>
      <c r="E100" s="139" t="s">
        <v>505</v>
      </c>
      <c r="F100" s="77">
        <v>39.799999999999997</v>
      </c>
      <c r="G100" s="97">
        <v>75</v>
      </c>
      <c r="H100" s="147"/>
      <c r="I100" s="147"/>
      <c r="J100" s="147"/>
      <c r="K100" s="148"/>
      <c r="L100" s="147"/>
      <c r="M100" s="147"/>
      <c r="N100" s="147"/>
      <c r="O100" s="149">
        <v>0</v>
      </c>
      <c r="P100" s="147"/>
      <c r="Q100" s="147"/>
      <c r="R100" s="147"/>
      <c r="S100" s="149"/>
      <c r="T100" s="147"/>
      <c r="U100" s="147"/>
      <c r="V100" s="147"/>
      <c r="W100" s="149"/>
      <c r="X100" s="79"/>
      <c r="Y100" s="89" t="s">
        <v>91</v>
      </c>
      <c r="Z100" s="53" t="s">
        <v>60</v>
      </c>
    </row>
    <row r="101" spans="1:26" ht="25.5" customHeight="1" x14ac:dyDescent="0.2">
      <c r="A101" s="44" t="s">
        <v>194</v>
      </c>
      <c r="B101" s="45" t="s">
        <v>195</v>
      </c>
      <c r="C101" s="46" t="s">
        <v>196</v>
      </c>
      <c r="D101" s="46" t="s">
        <v>58</v>
      </c>
      <c r="E101" s="139" t="s">
        <v>505</v>
      </c>
      <c r="F101" s="62">
        <v>0.48299999999999998</v>
      </c>
      <c r="G101" s="63">
        <v>0.56059999999999999</v>
      </c>
      <c r="H101" s="140"/>
      <c r="I101" s="140"/>
      <c r="J101" s="140"/>
      <c r="K101" s="141">
        <v>0.86010362694300502</v>
      </c>
      <c r="L101" s="140"/>
      <c r="M101" s="140"/>
      <c r="N101" s="140"/>
      <c r="O101" s="142">
        <v>0.54177897574124001</v>
      </c>
      <c r="P101" s="140"/>
      <c r="Q101" s="140"/>
      <c r="R101" s="140"/>
      <c r="S101" s="142"/>
      <c r="T101" s="140"/>
      <c r="U101" s="140"/>
      <c r="V101" s="140"/>
      <c r="W101" s="142"/>
      <c r="X101" s="67">
        <v>0.86010362694300502</v>
      </c>
      <c r="Y101" s="89" t="s">
        <v>59</v>
      </c>
      <c r="Z101" s="53" t="s">
        <v>68</v>
      </c>
    </row>
    <row r="102" spans="1:26" ht="25.5" customHeight="1" x14ac:dyDescent="0.2">
      <c r="A102" s="44" t="s">
        <v>197</v>
      </c>
      <c r="B102" s="45" t="s">
        <v>198</v>
      </c>
      <c r="C102" s="46" t="s">
        <v>196</v>
      </c>
      <c r="D102" s="46" t="s">
        <v>64</v>
      </c>
      <c r="E102" s="139" t="s">
        <v>505</v>
      </c>
      <c r="F102" s="62" t="s">
        <v>24</v>
      </c>
      <c r="G102" s="66" t="s">
        <v>24</v>
      </c>
      <c r="H102" s="140"/>
      <c r="I102" s="140"/>
      <c r="J102" s="140"/>
      <c r="K102" s="141">
        <v>0.11735700197238701</v>
      </c>
      <c r="L102" s="140"/>
      <c r="M102" s="140"/>
      <c r="N102" s="140"/>
      <c r="O102" s="142"/>
      <c r="P102" s="140"/>
      <c r="Q102" s="140"/>
      <c r="R102" s="140"/>
      <c r="S102" s="142"/>
      <c r="T102" s="140"/>
      <c r="U102" s="140"/>
      <c r="V102" s="140"/>
      <c r="W102" s="142"/>
      <c r="X102" s="67">
        <v>0.11735700197238701</v>
      </c>
      <c r="Y102" s="89" t="s">
        <v>71</v>
      </c>
      <c r="Z102" s="53" t="s">
        <v>186</v>
      </c>
    </row>
    <row r="103" spans="1:26" ht="25.5" customHeight="1" x14ac:dyDescent="0.2">
      <c r="A103" s="44" t="s">
        <v>200</v>
      </c>
      <c r="B103" s="45" t="s">
        <v>201</v>
      </c>
      <c r="C103" s="46" t="s">
        <v>196</v>
      </c>
      <c r="D103" s="46" t="s">
        <v>64</v>
      </c>
      <c r="E103" s="139" t="s">
        <v>505</v>
      </c>
      <c r="F103" s="62">
        <v>7.0000000000000007E-2</v>
      </c>
      <c r="G103" s="63">
        <v>0.115</v>
      </c>
      <c r="H103" s="140"/>
      <c r="I103" s="140"/>
      <c r="J103" s="140"/>
      <c r="K103" s="141">
        <v>0.04</v>
      </c>
      <c r="L103" s="140"/>
      <c r="M103" s="140"/>
      <c r="N103" s="140"/>
      <c r="O103" s="142"/>
      <c r="P103" s="140"/>
      <c r="Q103" s="140"/>
      <c r="R103" s="140"/>
      <c r="S103" s="142"/>
      <c r="T103" s="140"/>
      <c r="U103" s="140"/>
      <c r="V103" s="140"/>
      <c r="W103" s="142"/>
      <c r="X103" s="67">
        <v>0.04</v>
      </c>
      <c r="Y103" s="89" t="s">
        <v>59</v>
      </c>
      <c r="Z103" s="53" t="s">
        <v>60</v>
      </c>
    </row>
    <row r="104" spans="1:26" ht="25.5" customHeight="1" x14ac:dyDescent="0.2">
      <c r="A104" s="44" t="s">
        <v>467</v>
      </c>
      <c r="B104" s="45" t="s">
        <v>468</v>
      </c>
      <c r="C104" s="46" t="s">
        <v>196</v>
      </c>
      <c r="D104" s="46" t="s">
        <v>58</v>
      </c>
      <c r="E104" s="139" t="s">
        <v>507</v>
      </c>
      <c r="F104" s="62">
        <v>0.755</v>
      </c>
      <c r="G104" s="66">
        <v>0.7</v>
      </c>
      <c r="H104" s="140"/>
      <c r="I104" s="140"/>
      <c r="J104" s="140"/>
      <c r="K104" s="142"/>
      <c r="L104" s="140"/>
      <c r="M104" s="140"/>
      <c r="N104" s="140"/>
      <c r="O104" s="142"/>
      <c r="P104" s="140"/>
      <c r="Q104" s="140"/>
      <c r="R104" s="140"/>
      <c r="S104" s="142"/>
      <c r="T104" s="140"/>
      <c r="U104" s="140"/>
      <c r="V104" s="140"/>
      <c r="W104" s="142"/>
      <c r="X104" s="67"/>
      <c r="Y104" s="89" t="s">
        <v>91</v>
      </c>
      <c r="Z104" s="53" t="s">
        <v>60</v>
      </c>
    </row>
    <row r="105" spans="1:26" ht="25.5" customHeight="1" x14ac:dyDescent="0.2">
      <c r="A105" s="44" t="s">
        <v>215</v>
      </c>
      <c r="B105" s="45" t="s">
        <v>216</v>
      </c>
      <c r="C105" s="46" t="s">
        <v>21</v>
      </c>
      <c r="D105" s="46" t="s">
        <v>64</v>
      </c>
      <c r="E105" s="139" t="s">
        <v>505</v>
      </c>
      <c r="F105" s="90">
        <v>20.7</v>
      </c>
      <c r="G105" s="91">
        <v>21</v>
      </c>
      <c r="H105" s="140"/>
      <c r="I105" s="140"/>
      <c r="J105" s="140"/>
      <c r="K105" s="143"/>
      <c r="L105" s="140"/>
      <c r="M105" s="140"/>
      <c r="N105" s="140"/>
      <c r="O105" s="143"/>
      <c r="P105" s="140"/>
      <c r="Q105" s="140"/>
      <c r="R105" s="140"/>
      <c r="S105" s="143"/>
      <c r="T105" s="140"/>
      <c r="U105" s="140"/>
      <c r="V105" s="140"/>
      <c r="W105" s="143"/>
      <c r="X105" s="93"/>
      <c r="Y105" s="89" t="s">
        <v>91</v>
      </c>
      <c r="Z105" s="53" t="s">
        <v>60</v>
      </c>
    </row>
    <row r="106" spans="1:26" ht="25.5" customHeight="1" x14ac:dyDescent="0.2">
      <c r="A106" s="44" t="s">
        <v>427</v>
      </c>
      <c r="B106" s="45" t="s">
        <v>428</v>
      </c>
      <c r="C106" s="46" t="s">
        <v>21</v>
      </c>
      <c r="D106" s="46" t="s">
        <v>64</v>
      </c>
      <c r="E106" s="139" t="s">
        <v>504</v>
      </c>
      <c r="F106" s="90">
        <v>6</v>
      </c>
      <c r="G106" s="91">
        <v>5</v>
      </c>
      <c r="H106" s="140"/>
      <c r="I106" s="140"/>
      <c r="J106" s="140"/>
      <c r="K106" s="143" t="str">
        <f>IF(COUNT(H107:J107)=0,"",AVERAGE(H107:J107))</f>
        <v/>
      </c>
      <c r="L106" s="140"/>
      <c r="M106" s="140"/>
      <c r="N106" s="140"/>
      <c r="O106" s="143" t="str">
        <f>IF(COUNT(L107:N107)=0,"",AVERAGE(L107:N107))</f>
        <v/>
      </c>
      <c r="P106" s="140"/>
      <c r="Q106" s="140"/>
      <c r="R106" s="140"/>
      <c r="S106" s="143" t="str">
        <f>IF(COUNT(P107:R107)=0,"",AVERAGE(P107:R107))</f>
        <v/>
      </c>
      <c r="T106" s="140"/>
      <c r="U106" s="140"/>
      <c r="V106" s="140"/>
      <c r="W106" s="143" t="str">
        <f>IF(COUNT(T107:V107)=0,"",AVERAGE(T107:V107))</f>
        <v/>
      </c>
      <c r="X106" s="93"/>
      <c r="Y106" s="89" t="s">
        <v>91</v>
      </c>
      <c r="Z106" s="53" t="s">
        <v>128</v>
      </c>
    </row>
    <row r="107" spans="1:26" ht="25.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1:26" ht="25.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1:26" ht="25.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1:26" ht="25.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1:26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1:26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>
      <c r="H702" s="88"/>
      <c r="I702" s="88"/>
      <c r="J702" s="88"/>
      <c r="L702" s="88"/>
      <c r="M702" s="88"/>
      <c r="N702" s="88"/>
      <c r="P702" s="88"/>
      <c r="Q702" s="88"/>
      <c r="R702" s="88"/>
      <c r="T702" s="88"/>
      <c r="U702" s="88"/>
      <c r="V702" s="88"/>
    </row>
    <row r="703" spans="8:22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10">
    <cfRule type="expression" dxfId="89" priority="2">
      <formula>AND(ISNUMBER(H36),ISNUMBER($G36),OR(AND($D36="P",H36&gt;=$G36),AND($D36="N",H36&lt;=$G36)))</formula>
    </cfRule>
    <cfRule type="expression" dxfId="88" priority="3">
      <formula>AND(ISNUMBER(H36),ISNUMBER($G36),OR(AND($D36="P",H36&lt;$G36),AND($D36="N",H36&gt;$G36)))</formula>
    </cfRule>
  </conditionalFormatting>
  <conditionalFormatting sqref="X36:X107">
    <cfRule type="expression" dxfId="87" priority="15">
      <formula>$Y36="⊘ Non Target"</formula>
    </cfRule>
  </conditionalFormatting>
  <conditionalFormatting sqref="X36:X110">
    <cfRule type="expression" dxfId="86" priority="6">
      <formula>$Y36="✓ On Target"</formula>
    </cfRule>
    <cfRule type="expression" dxfId="85" priority="7">
      <formula>$Y36="✗ Off Target"</formula>
    </cfRule>
    <cfRule type="expression" dxfId="84" priority="8">
      <formula>$Y36="— No Data"</formula>
    </cfRule>
  </conditionalFormatting>
  <conditionalFormatting sqref="Y36:Y107">
    <cfRule type="expression" dxfId="83" priority="14">
      <formula>Y36="⊘ Non Target"</formula>
    </cfRule>
  </conditionalFormatting>
  <conditionalFormatting sqref="Y36:Y110">
    <cfRule type="expression" dxfId="82" priority="9">
      <formula>Y36="✓ On Target"</formula>
    </cfRule>
    <cfRule type="expression" dxfId="81" priority="10">
      <formula>Y36="✗ Off Target"</formula>
    </cfRule>
    <cfRule type="expression" dxfId="80" priority="11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709"/>
  <sheetViews>
    <sheetView showGridLines="0" topLeftCell="G44" zoomScaleNormal="100" workbookViewId="0">
      <selection activeCell="G57" sqref="G57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523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29</v>
      </c>
      <c r="C12" s="157"/>
      <c r="D12" s="201">
        <v>17</v>
      </c>
      <c r="E12" s="157"/>
      <c r="F12" s="196">
        <v>6</v>
      </c>
      <c r="G12" s="157"/>
      <c r="H12" s="200">
        <v>1</v>
      </c>
      <c r="I12" s="157"/>
      <c r="K12" s="193">
        <v>48</v>
      </c>
      <c r="L12" s="157"/>
      <c r="M12" s="201">
        <v>30</v>
      </c>
      <c r="N12" s="157"/>
      <c r="O12" s="196">
        <v>10</v>
      </c>
      <c r="P12" s="157"/>
      <c r="Q12" s="200">
        <v>3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524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78</v>
      </c>
      <c r="C19" s="157"/>
      <c r="D19" s="157"/>
      <c r="E19" s="205">
        <v>47</v>
      </c>
      <c r="F19" s="157"/>
      <c r="G19" s="157"/>
      <c r="I19" s="204">
        <v>16</v>
      </c>
      <c r="J19" s="157"/>
      <c r="K19" s="157"/>
      <c r="M19" s="199">
        <v>5</v>
      </c>
      <c r="N19" s="157"/>
      <c r="O19" s="157"/>
      <c r="Q19" s="194">
        <v>31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510</v>
      </c>
      <c r="F21" s="157"/>
      <c r="G21" s="157"/>
      <c r="I21" s="160" t="s">
        <v>511</v>
      </c>
      <c r="J21" s="157"/>
      <c r="K21" s="157"/>
      <c r="M21" s="160" t="s">
        <v>525</v>
      </c>
      <c r="N21" s="157"/>
      <c r="O21" s="157"/>
      <c r="Q21" s="195" t="s">
        <v>526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527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7</v>
      </c>
      <c r="E25" s="33">
        <v>3</v>
      </c>
      <c r="F25" s="34">
        <v>2</v>
      </c>
      <c r="G25" s="35">
        <v>0.7</v>
      </c>
    </row>
    <row r="26" spans="2:19" ht="21.75" customHeight="1" x14ac:dyDescent="0.2">
      <c r="B26" s="24" t="s">
        <v>19</v>
      </c>
      <c r="C26" s="41">
        <v>28</v>
      </c>
      <c r="D26" s="26">
        <v>20</v>
      </c>
      <c r="E26" s="27">
        <v>6</v>
      </c>
      <c r="F26" s="28">
        <v>0</v>
      </c>
      <c r="G26" s="29">
        <v>0.76923076923076905</v>
      </c>
    </row>
    <row r="27" spans="2:19" ht="21.75" customHeight="1" x14ac:dyDescent="0.2">
      <c r="B27" s="30" t="s">
        <v>20</v>
      </c>
      <c r="C27" s="40">
        <v>28</v>
      </c>
      <c r="D27" s="32">
        <v>20</v>
      </c>
      <c r="E27" s="33">
        <v>5</v>
      </c>
      <c r="F27" s="34">
        <v>2</v>
      </c>
      <c r="G27" s="35">
        <v>0.8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0</v>
      </c>
      <c r="E29" s="33">
        <v>2</v>
      </c>
      <c r="F29" s="34">
        <v>1</v>
      </c>
      <c r="G29" s="35">
        <v>0</v>
      </c>
    </row>
    <row r="30" spans="2:19" ht="25.5" customHeight="1" x14ac:dyDescent="0.2">
      <c r="B30" s="36" t="s">
        <v>40</v>
      </c>
      <c r="C30" s="38">
        <v>78</v>
      </c>
      <c r="D30" s="38">
        <v>47</v>
      </c>
      <c r="E30" s="38">
        <v>16</v>
      </c>
      <c r="F30" s="38">
        <v>5</v>
      </c>
      <c r="G30" s="39">
        <v>0.74603174603174605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1.1890606420927501E-3</v>
      </c>
      <c r="I36" s="64">
        <v>1.5873015873015899E-3</v>
      </c>
      <c r="J36" s="64">
        <v>3.3613445378151302E-3</v>
      </c>
      <c r="K36" s="130">
        <f>IF(COUNT(H36:J36)=0,"",AVERAGE(H36:J36))</f>
        <v>2.0459022557364902E-3</v>
      </c>
      <c r="L36" s="65">
        <v>3.3333333333333301E-3</v>
      </c>
      <c r="M36" s="65">
        <v>4.5454545454545496E-3</v>
      </c>
      <c r="N36" s="65">
        <v>7.09219858156028E-3</v>
      </c>
      <c r="O36" s="130">
        <f>IF(COUNT(L36:N36)=0,"",AVERAGE(L36:N36))</f>
        <v>4.9903288201160528E-3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2.6896177945349101E-3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4.6121175924082602E-2</v>
      </c>
      <c r="I38" s="64">
        <v>3.0350438047559498E-2</v>
      </c>
      <c r="J38" s="64">
        <v>1.8297697368421101E-2</v>
      </c>
      <c r="K38" s="130">
        <f>IF(COUNT(H38:J38)=0,"",AVERAGE(H38:J38))</f>
        <v>3.1589770446687732E-2</v>
      </c>
      <c r="L38" s="65">
        <v>3.6321206318812797E-2</v>
      </c>
      <c r="M38" s="65">
        <v>4.7713999999999999E-2</v>
      </c>
      <c r="N38" s="65">
        <v>5.0633812847172797E-2</v>
      </c>
      <c r="O38" s="130">
        <f>IF(COUNT(L38:N38)=0,"",AVERAGE(L38:N38))</f>
        <v>4.4889673055328531E-2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3.3955488382750303E-2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2.94117647058824E-3</v>
      </c>
      <c r="I39" s="56">
        <v>4.2724899121765999E-3</v>
      </c>
      <c r="J39" s="56">
        <v>5.83090379008746E-3</v>
      </c>
      <c r="K39" s="132">
        <f>IF(COUNT(H39:J39)=0,"",AVERAGE(H39:J39))</f>
        <v>4.3481900576174334E-3</v>
      </c>
      <c r="L39" s="78">
        <v>3.39046901488039E-3</v>
      </c>
      <c r="M39" s="78">
        <v>4.9207217058501902E-3</v>
      </c>
      <c r="N39" s="78">
        <v>4.9207217058501902E-3</v>
      </c>
      <c r="O39" s="132">
        <f>IF(COUNT(L39:N39)=0,"",AVERAGE(L39:N39))</f>
        <v>4.4106374755269236E-3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3.8693295362489102E-3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3.0221816730341602E-3</v>
      </c>
      <c r="I40" s="56">
        <v>3.2189492863650198E-3</v>
      </c>
      <c r="J40" s="56">
        <v>3.5668618345783701E-3</v>
      </c>
      <c r="K40" s="132">
        <f>IF(COUNT(H40:J40)=0,"",AVERAGE(H40:J40))</f>
        <v>3.2693309313258502E-3</v>
      </c>
      <c r="L40" s="78">
        <v>3.0602228766094999E-3</v>
      </c>
      <c r="M40" s="78">
        <v>3.6025013594344801E-3</v>
      </c>
      <c r="N40" s="78">
        <v>3.6025013594344801E-3</v>
      </c>
      <c r="O40" s="132">
        <f>IF(COUNT(L40:N40)=0,"",AVERAGE(L40:N40))</f>
        <v>3.4217418651594864E-3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3.16477690396768E-3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0.89935483870967803</v>
      </c>
      <c r="I41" s="64">
        <v>0.78785714285714303</v>
      </c>
      <c r="J41" s="64">
        <v>0.60882461994809101</v>
      </c>
      <c r="K41" s="130">
        <f>IF(COUNT(H41:J41)=0,"",AVERAGE(H41:J41))</f>
        <v>0.76534553383830406</v>
      </c>
      <c r="L41" s="65">
        <v>0.78045977011494305</v>
      </c>
      <c r="M41" s="65">
        <v>0.79199110122358196</v>
      </c>
      <c r="N41" s="65">
        <v>0.94444444444444398</v>
      </c>
      <c r="O41" s="130">
        <f>IF(COUNT(L41:N41)=0,"",AVERAGE(L41:N41))</f>
        <v>0.83896510526098966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0.772902651976624</v>
      </c>
      <c r="Y41" s="89" t="s">
        <v>67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3.89556962025316</v>
      </c>
      <c r="I42" s="95">
        <v>4.0833333333333304</v>
      </c>
      <c r="J42" s="95">
        <v>7.87383177570094</v>
      </c>
      <c r="K42" s="136">
        <f>IF(COUNT(H42:J42)=0,"",AVERAGE(H42:J42))</f>
        <v>5.2842449097624771</v>
      </c>
      <c r="L42" s="73">
        <v>3.75123558484349</v>
      </c>
      <c r="M42" s="73">
        <v>3.7462686567164201</v>
      </c>
      <c r="N42" s="73">
        <v>3.9592123769339</v>
      </c>
      <c r="O42" s="136">
        <f>IF(COUNT(L42:N42)=0,"",AVERAGE(L42:N42))</f>
        <v>3.818905539497937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4.5177402473029797</v>
      </c>
      <c r="Y42" s="89" t="s">
        <v>67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0.17613636363636401</v>
      </c>
      <c r="I43" s="64">
        <v>0.171641791044776</v>
      </c>
      <c r="J43" s="64">
        <v>0.29559748427672999</v>
      </c>
      <c r="K43" s="130">
        <f>IF(COUNT(H43:J43)=0,"",AVERAGE(H43:J43))</f>
        <v>0.21445854631928998</v>
      </c>
      <c r="L43" s="65">
        <v>0.16551724137931001</v>
      </c>
      <c r="M43" s="65">
        <v>0.202247191011236</v>
      </c>
      <c r="N43" s="65">
        <v>0.231182795698925</v>
      </c>
      <c r="O43" s="130">
        <f>IF(COUNT(L43:N43)=0,"",AVERAGE(L43:N43))</f>
        <v>0.19964907602982365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0.18998789384930001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56">
        <v>1</v>
      </c>
      <c r="J44" s="56">
        <v>0</v>
      </c>
      <c r="K44" s="132">
        <f>IF(COUNT(H44:J44)=0,"",SUM(H44:J44))</f>
        <v>1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0.99459459459459498</v>
      </c>
      <c r="I45" s="64">
        <v>0.99263622974963195</v>
      </c>
      <c r="J45" s="64">
        <v>0.99395770392749305</v>
      </c>
      <c r="K45" s="130">
        <f>IF(COUNT(H45:J45)=0,"",AVERAGE(H45:J45))</f>
        <v>0.9937295094239067</v>
      </c>
      <c r="L45" s="65">
        <v>0.96496039000609402</v>
      </c>
      <c r="M45" s="65">
        <v>0.99596869812663003</v>
      </c>
      <c r="N45" s="65">
        <v>0.99586397058823495</v>
      </c>
      <c r="O45" s="130">
        <f>IF(COUNT(L45:N45)=0,"",AVERAGE(L45:N45))</f>
        <v>0.98559768624031963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0.97934494971499997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5.9253246753246799E-3</v>
      </c>
      <c r="I47" s="64">
        <v>5.9253246753246799E-3</v>
      </c>
      <c r="J47" s="64">
        <v>3.6505867014341598E-3</v>
      </c>
      <c r="K47" s="130">
        <f>IF(COUNT(H47:J47)=0,"",AVERAGE(H47:J47))</f>
        <v>5.1670786840278399E-3</v>
      </c>
      <c r="L47" s="65">
        <v>3.77093747259493E-3</v>
      </c>
      <c r="M47" s="65">
        <v>5.1040061633282003E-3</v>
      </c>
      <c r="N47" s="65">
        <v>6.4404260589546701E-3</v>
      </c>
      <c r="O47" s="130">
        <f>IF(COUNT(L47:N47)=0,"",AVERAGE(L47:N47))</f>
        <v>5.1051232316259333E-3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4.4690080783113904E-3</v>
      </c>
      <c r="Y47" s="89" t="s">
        <v>59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0.85780000000000001</v>
      </c>
      <c r="I48" s="65">
        <v>0.92975206611570305</v>
      </c>
      <c r="J48" s="65">
        <v>0.8327</v>
      </c>
      <c r="K48" s="130">
        <f>IF(COUNT(H48:J48)=0,"",AVERAGE(H48:J48))</f>
        <v>0.87341735537190102</v>
      </c>
      <c r="L48" s="65">
        <v>0.85260000000000002</v>
      </c>
      <c r="M48" s="65">
        <v>0.85399999999999998</v>
      </c>
      <c r="N48" s="65">
        <v>0.93120000000000003</v>
      </c>
      <c r="O48" s="130">
        <f>IF(COUNT(L48:N48)=0,"",AVERAGE(L48:N48))</f>
        <v>0.87926666666666664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0.85780000000000001</v>
      </c>
      <c r="Y48" s="89" t="s">
        <v>67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0.99675324675324695</v>
      </c>
      <c r="I50" s="64">
        <v>0.99446026006001398</v>
      </c>
      <c r="J50" s="64">
        <v>0.97896566710125998</v>
      </c>
      <c r="K50" s="130">
        <f>IF(COUNT(H50:J50)=0,"",AVERAGE(H50:J50))</f>
        <v>0.9900597246381736</v>
      </c>
      <c r="L50" s="65">
        <v>0.98140840129790397</v>
      </c>
      <c r="M50" s="65">
        <v>0.99890000000000001</v>
      </c>
      <c r="N50" s="65">
        <v>1</v>
      </c>
      <c r="O50" s="130">
        <f>IF(COUNT(L50:N50)=0,"",AVERAGE(L50:N50))</f>
        <v>0.99343613376596807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0.98589729173580198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385</v>
      </c>
      <c r="B52" s="45" t="s">
        <v>386</v>
      </c>
      <c r="C52" s="46" t="s">
        <v>146</v>
      </c>
      <c r="D52" s="46" t="s">
        <v>58</v>
      </c>
      <c r="E52" s="44" t="s">
        <v>504</v>
      </c>
      <c r="F52" s="62">
        <v>0.82799999999999996</v>
      </c>
      <c r="G52" s="63">
        <v>0.8538</v>
      </c>
      <c r="H52" s="64">
        <v>0.91</v>
      </c>
      <c r="I52" s="64">
        <v>0.87</v>
      </c>
      <c r="J52" s="64">
        <v>0.83</v>
      </c>
      <c r="K52" s="130">
        <f>IF(COUNT(H52:J52)=0,"",AVERAGE(H52:J52))</f>
        <v>0.87</v>
      </c>
      <c r="L52" s="65">
        <v>0.88124999999999998</v>
      </c>
      <c r="M52" s="65">
        <v>0.93125000000000002</v>
      </c>
      <c r="N52" s="65">
        <v>0.86499999999999999</v>
      </c>
      <c r="O52" s="130">
        <f>IF(COUNT(L52:N52)=0,"",AVERAGE(L52:N52))</f>
        <v>0.89250000000000007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0.87562499999999999</v>
      </c>
      <c r="Y52" s="89" t="s">
        <v>59</v>
      </c>
      <c r="Z52" s="53" t="s">
        <v>128</v>
      </c>
    </row>
    <row r="53" spans="1:26" ht="25.5" customHeight="1" x14ac:dyDescent="0.2">
      <c r="A53" s="44" t="s">
        <v>387</v>
      </c>
      <c r="B53" s="45" t="s">
        <v>388</v>
      </c>
      <c r="C53" s="46" t="s">
        <v>146</v>
      </c>
      <c r="D53" s="46" t="s">
        <v>64</v>
      </c>
      <c r="E53" s="44" t="s">
        <v>504</v>
      </c>
      <c r="F53" s="62">
        <v>1.7000000000000001E-2</v>
      </c>
      <c r="G53" s="63">
        <v>1.4500000000000001E-2</v>
      </c>
      <c r="H53" s="64">
        <v>0.01</v>
      </c>
      <c r="I53" s="64">
        <v>0</v>
      </c>
      <c r="J53" s="64">
        <v>1.4E-2</v>
      </c>
      <c r="K53" s="130">
        <f>IF(COUNT(H53:J53)=0,"",AVERAGE(H53:J53))</f>
        <v>8.0000000000000002E-3</v>
      </c>
      <c r="L53" s="65">
        <v>1.11731843575419E-2</v>
      </c>
      <c r="M53" s="65">
        <v>5.5999999999999999E-3</v>
      </c>
      <c r="N53" s="65">
        <v>0</v>
      </c>
      <c r="O53" s="130">
        <f>IF(COUNT(L53:N53)=0,"",AVERAGE(L53:N53))</f>
        <v>5.591061452513966E-3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9.5865921787709509E-3</v>
      </c>
      <c r="Y53" s="89" t="s">
        <v>59</v>
      </c>
      <c r="Z53" s="53" t="s">
        <v>128</v>
      </c>
    </row>
    <row r="54" spans="1:26" ht="25.5" customHeight="1" x14ac:dyDescent="0.2">
      <c r="A54" s="44" t="s">
        <v>389</v>
      </c>
      <c r="B54" s="45" t="s">
        <v>390</v>
      </c>
      <c r="C54" s="46" t="s">
        <v>146</v>
      </c>
      <c r="D54" s="46" t="s">
        <v>64</v>
      </c>
      <c r="E54" s="44" t="s">
        <v>504</v>
      </c>
      <c r="F54" s="62">
        <v>1.9E-2</v>
      </c>
      <c r="G54" s="63">
        <v>1.6199999999999999E-2</v>
      </c>
      <c r="H54" s="64">
        <v>0</v>
      </c>
      <c r="I54" s="64">
        <v>8.4634915749788402E-4</v>
      </c>
      <c r="J54" s="64">
        <v>1.7383746197305501E-3</v>
      </c>
      <c r="K54" s="130">
        <f>IF(COUNT(H54:J54)=0,"",AVERAGE(H54:J54))</f>
        <v>8.6157459240947807E-4</v>
      </c>
      <c r="L54" s="65">
        <v>7.0156976234324298E-4</v>
      </c>
      <c r="M54" s="65">
        <v>5.9999999999999995E-4</v>
      </c>
      <c r="N54" s="65">
        <v>1.02448519618892E-3</v>
      </c>
      <c r="O54" s="130">
        <f>IF(COUNT(L54:N54)=0,"",AVERAGE(L54:N54))</f>
        <v>7.7535165284405439E-4</v>
      </c>
      <c r="P54" s="65"/>
      <c r="Q54" s="65"/>
      <c r="R54" s="65"/>
      <c r="S54" s="130" t="str">
        <f>IF(COUNT(P54:R54)=0,"",AVERAGE(P54:R54))</f>
        <v/>
      </c>
      <c r="T54" s="65"/>
      <c r="U54" s="65"/>
      <c r="V54" s="65"/>
      <c r="W54" s="130" t="str">
        <f>IF(COUNT(T54:V54)=0,"",AVERAGE(T54:V54))</f>
        <v/>
      </c>
      <c r="X54" s="67">
        <v>7.8157217737636101E-4</v>
      </c>
      <c r="Y54" s="89" t="s">
        <v>59</v>
      </c>
      <c r="Z54" s="53" t="s">
        <v>128</v>
      </c>
    </row>
    <row r="55" spans="1:26" ht="25.5" customHeight="1" x14ac:dyDescent="0.2">
      <c r="A55" s="44" t="s">
        <v>391</v>
      </c>
      <c r="B55" s="45" t="s">
        <v>392</v>
      </c>
      <c r="C55" s="46" t="s">
        <v>146</v>
      </c>
      <c r="D55" s="46" t="s">
        <v>64</v>
      </c>
      <c r="E55" s="44" t="s">
        <v>504</v>
      </c>
      <c r="F55" s="77">
        <v>0.01</v>
      </c>
      <c r="G55" s="57">
        <v>8.5000000000000006E-3</v>
      </c>
      <c r="H55" s="56">
        <v>0</v>
      </c>
      <c r="I55" s="56">
        <v>0</v>
      </c>
      <c r="J55" s="56">
        <v>0</v>
      </c>
      <c r="K55" s="132">
        <f>IF(COUNT(H55:J55)=0,"",AVERAGE(H55:J55))</f>
        <v>0</v>
      </c>
      <c r="L55" s="78">
        <v>0</v>
      </c>
      <c r="M55" s="78">
        <v>0</v>
      </c>
      <c r="N55" s="78">
        <v>0</v>
      </c>
      <c r="O55" s="132">
        <f>IF(COUNT(L55:N55)=0,"",AVERAGE(L55:N55))</f>
        <v>0</v>
      </c>
      <c r="P55" s="78"/>
      <c r="Q55" s="78"/>
      <c r="R55" s="78"/>
      <c r="S55" s="132" t="str">
        <f>IF(COUNT(P55:R55)=0,"",AVERAGE(P55:R55))</f>
        <v/>
      </c>
      <c r="T55" s="78"/>
      <c r="U55" s="78"/>
      <c r="V55" s="78"/>
      <c r="W55" s="132" t="str">
        <f>IF(COUNT(T55:V55)=0,"",AVERAGE(T55:V55))</f>
        <v/>
      </c>
      <c r="X55" s="79">
        <v>0</v>
      </c>
      <c r="Y55" s="89" t="s">
        <v>59</v>
      </c>
      <c r="Z55" s="53" t="s">
        <v>128</v>
      </c>
    </row>
    <row r="56" spans="1:26" ht="25.5" customHeight="1" x14ac:dyDescent="0.2">
      <c r="A56" s="44" t="s">
        <v>393</v>
      </c>
      <c r="B56" s="45" t="s">
        <v>394</v>
      </c>
      <c r="C56" s="46" t="s">
        <v>146</v>
      </c>
      <c r="D56" s="46" t="s">
        <v>64</v>
      </c>
      <c r="E56" s="44" t="s">
        <v>504</v>
      </c>
      <c r="F56" s="62">
        <v>7.1999999999999995E-2</v>
      </c>
      <c r="G56" s="63">
        <v>6.1199999999999997E-2</v>
      </c>
      <c r="H56" s="64">
        <v>2.4390243902439001E-2</v>
      </c>
      <c r="I56" s="64">
        <v>4.7619047619047603E-2</v>
      </c>
      <c r="J56" s="64">
        <v>4.7619047619047603E-2</v>
      </c>
      <c r="K56" s="130">
        <f>IF(COUNT(H56:J56)=0,"",AVERAGE(H56:J56))</f>
        <v>3.9876113046844734E-2</v>
      </c>
      <c r="L56" s="65">
        <v>4.8780487804878099E-2</v>
      </c>
      <c r="M56" s="65">
        <v>0</v>
      </c>
      <c r="N56" s="65">
        <v>2.4400000000000002E-2</v>
      </c>
      <c r="O56" s="130">
        <f>IF(COUNT(L56:N56)=0,"",AVERAGE(L56:N56))</f>
        <v>2.4393495934959365E-2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4.4328300425861403E-2</v>
      </c>
      <c r="Y56" s="89" t="s">
        <v>59</v>
      </c>
      <c r="Z56" s="53" t="s">
        <v>128</v>
      </c>
    </row>
    <row r="57" spans="1:26" ht="25.5" customHeight="1" x14ac:dyDescent="0.2">
      <c r="A57" s="44" t="s">
        <v>395</v>
      </c>
      <c r="B57" s="45" t="s">
        <v>396</v>
      </c>
      <c r="C57" s="46" t="s">
        <v>146</v>
      </c>
      <c r="D57" s="46" t="s">
        <v>58</v>
      </c>
      <c r="E57" s="44" t="s">
        <v>504</v>
      </c>
      <c r="F57" s="62">
        <v>1</v>
      </c>
      <c r="G57" s="63">
        <v>1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1</v>
      </c>
      <c r="M57" s="65">
        <v>1</v>
      </c>
      <c r="N57" s="65">
        <v>1</v>
      </c>
      <c r="O57" s="130">
        <f>IF(COUNT(L57:N57)=0,"",AVERAGE(L57:N57))</f>
        <v>1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1</v>
      </c>
      <c r="Y57" s="89" t="s">
        <v>59</v>
      </c>
      <c r="Z57" s="53" t="s">
        <v>128</v>
      </c>
    </row>
    <row r="58" spans="1:26" ht="25.5" customHeight="1" x14ac:dyDescent="0.2">
      <c r="A58" s="44" t="s">
        <v>397</v>
      </c>
      <c r="B58" s="45" t="s">
        <v>398</v>
      </c>
      <c r="C58" s="46" t="s">
        <v>146</v>
      </c>
      <c r="D58" s="46" t="s">
        <v>64</v>
      </c>
      <c r="E58" s="44" t="s">
        <v>504</v>
      </c>
      <c r="F58" s="77">
        <v>2.7E-2</v>
      </c>
      <c r="G58" s="57">
        <v>1.35E-2</v>
      </c>
      <c r="H58" s="56">
        <v>3.1645569620253201E-2</v>
      </c>
      <c r="I58" s="56">
        <v>5.1094890510948898E-2</v>
      </c>
      <c r="J58" s="56">
        <v>0.11229946524064199</v>
      </c>
      <c r="K58" s="132">
        <f>IF(COUNT(H58:J58)=0,"",AVERAGE(H58:J58))</f>
        <v>6.5013308457281357E-2</v>
      </c>
      <c r="L58" s="78">
        <v>7.3170731707317097E-2</v>
      </c>
      <c r="M58" s="78">
        <v>3.1358885017421602E-2</v>
      </c>
      <c r="N58" s="78">
        <v>3.64842454394693E-2</v>
      </c>
      <c r="O58" s="132">
        <f>IF(COUNT(L58:N58)=0,"",AVERAGE(L58:N58))</f>
        <v>4.7004620721402664E-2</v>
      </c>
      <c r="P58" s="78"/>
      <c r="Q58" s="78"/>
      <c r="R58" s="78"/>
      <c r="S58" s="132" t="str">
        <f>IF(COUNT(P58:R58)=0,"",AVERAGE(P58:R58))</f>
        <v/>
      </c>
      <c r="T58" s="78"/>
      <c r="U58" s="78"/>
      <c r="V58" s="78"/>
      <c r="W58" s="132" t="str">
        <f>IF(COUNT(T58:V58)=0,"",AVERAGE(T58:V58))</f>
        <v/>
      </c>
      <c r="X58" s="79">
        <v>6.9092020082299199E-2</v>
      </c>
      <c r="Y58" s="89" t="s">
        <v>67</v>
      </c>
      <c r="Z58" s="53" t="s">
        <v>128</v>
      </c>
    </row>
    <row r="59" spans="1:26" ht="25.5" customHeight="1" x14ac:dyDescent="0.2">
      <c r="A59" s="44" t="s">
        <v>401</v>
      </c>
      <c r="B59" s="45" t="s">
        <v>402</v>
      </c>
      <c r="C59" s="46" t="s">
        <v>146</v>
      </c>
      <c r="D59" s="46" t="s">
        <v>58</v>
      </c>
      <c r="E59" s="44" t="s">
        <v>504</v>
      </c>
      <c r="F59" s="62">
        <v>0.88629999999999998</v>
      </c>
      <c r="G59" s="63">
        <v>0.89380000000000004</v>
      </c>
      <c r="H59" s="64">
        <v>0.90590000000000004</v>
      </c>
      <c r="I59" s="64">
        <v>1</v>
      </c>
      <c r="J59" s="64">
        <v>0.98919999999999997</v>
      </c>
      <c r="K59" s="130">
        <f>IF(COUNT(H59:J59)=0,"",AVERAGE(H59:J59))</f>
        <v>0.9650333333333333</v>
      </c>
      <c r="L59" s="65">
        <v>0.99780000000000002</v>
      </c>
      <c r="M59" s="65">
        <v>1</v>
      </c>
      <c r="N59" s="65">
        <v>0.94289999999999996</v>
      </c>
      <c r="O59" s="130">
        <f>IF(COUNT(L59:N59)=0,"",AVERAGE(L59:N59))</f>
        <v>0.9802333333333334</v>
      </c>
      <c r="P59" s="65"/>
      <c r="Q59" s="65"/>
      <c r="R59" s="65"/>
      <c r="S59" s="130" t="str">
        <f>IF(COUNT(P59:R59)=0,"",AVERAGE(P59:R59))</f>
        <v/>
      </c>
      <c r="T59" s="65"/>
      <c r="U59" s="65"/>
      <c r="V59" s="65"/>
      <c r="W59" s="130" t="str">
        <f>IF(COUNT(T59:V59)=0,"",AVERAGE(T59:V59))</f>
        <v/>
      </c>
      <c r="X59" s="67">
        <v>0.99780000000000002</v>
      </c>
      <c r="Y59" s="89" t="s">
        <v>59</v>
      </c>
      <c r="Z59" s="53" t="s">
        <v>128</v>
      </c>
    </row>
    <row r="60" spans="1:26" ht="25.5" customHeight="1" x14ac:dyDescent="0.2">
      <c r="A60" s="44" t="s">
        <v>403</v>
      </c>
      <c r="B60" s="45" t="s">
        <v>404</v>
      </c>
      <c r="C60" s="46" t="s">
        <v>146</v>
      </c>
      <c r="D60" s="46" t="s">
        <v>58</v>
      </c>
      <c r="E60" s="44" t="s">
        <v>504</v>
      </c>
      <c r="F60" s="62">
        <v>0.90239999999999998</v>
      </c>
      <c r="G60" s="63">
        <v>0.86580000000000001</v>
      </c>
      <c r="H60" s="64">
        <v>0.81659999999999999</v>
      </c>
      <c r="I60" s="65"/>
      <c r="J60" s="65"/>
      <c r="K60" s="130">
        <f>IF(COUNT(H60:J60)=0,"",AVERAGE(H60:J60))</f>
        <v>0.81659999999999999</v>
      </c>
      <c r="L60" s="65"/>
      <c r="M60" s="65"/>
      <c r="N60" s="65" t="s">
        <v>405</v>
      </c>
      <c r="O60" s="130" t="str">
        <f>IF(COUNT(L60:N60)=0,"",AVERAGE(L60:N60))</f>
        <v/>
      </c>
      <c r="P60" s="65"/>
      <c r="Q60" s="65"/>
      <c r="R60" s="65"/>
      <c r="S60" s="130" t="str">
        <f>IF(COUNT(P60:R60)=0,"",AVERAGE(P60:R60))</f>
        <v/>
      </c>
      <c r="T60" s="65"/>
      <c r="U60" s="65"/>
      <c r="V60" s="65"/>
      <c r="W60" s="130" t="str">
        <f>IF(COUNT(T60:V60)=0,"",AVERAGE(T60:V60))</f>
        <v/>
      </c>
      <c r="X60" s="67">
        <v>0.81659999999999999</v>
      </c>
      <c r="Y60" s="89" t="s">
        <v>67</v>
      </c>
      <c r="Z60" s="53" t="s">
        <v>128</v>
      </c>
    </row>
    <row r="61" spans="1:26" ht="25.5" customHeight="1" x14ac:dyDescent="0.2">
      <c r="A61" s="44" t="s">
        <v>406</v>
      </c>
      <c r="B61" s="45" t="s">
        <v>407</v>
      </c>
      <c r="C61" s="46" t="s">
        <v>146</v>
      </c>
      <c r="D61" s="46" t="s">
        <v>58</v>
      </c>
      <c r="E61" s="44" t="s">
        <v>504</v>
      </c>
      <c r="F61" s="62">
        <v>0.78200000000000003</v>
      </c>
      <c r="G61" s="63">
        <v>0.80700000000000005</v>
      </c>
      <c r="H61" s="64">
        <v>0.99019999999999997</v>
      </c>
      <c r="I61" s="64">
        <v>1</v>
      </c>
      <c r="J61" s="64">
        <v>0.999</v>
      </c>
      <c r="K61" s="130">
        <f>IF(COUNT(H61:J61)=0,"",AVERAGE(H61:J61))</f>
        <v>0.99639999999999995</v>
      </c>
      <c r="L61" s="65">
        <v>0.99399999999999999</v>
      </c>
      <c r="M61" s="65">
        <v>1</v>
      </c>
      <c r="N61" s="65">
        <v>0.99660000000000004</v>
      </c>
      <c r="O61" s="130">
        <f>IF(COUNT(L61:N61)=0,"",AVERAGE(L61:N61))</f>
        <v>0.99686666666666668</v>
      </c>
      <c r="P61" s="65"/>
      <c r="Q61" s="65"/>
      <c r="R61" s="65"/>
      <c r="S61" s="130" t="str">
        <f>IF(COUNT(P61:R61)=0,"",AVERAGE(P61:R61))</f>
        <v/>
      </c>
      <c r="T61" s="65"/>
      <c r="U61" s="65"/>
      <c r="V61" s="65"/>
      <c r="W61" s="130" t="str">
        <f>IF(COUNT(T61:V61)=0,"",AVERAGE(T61:V61))</f>
        <v/>
      </c>
      <c r="X61" s="67">
        <v>0.99399999999999999</v>
      </c>
      <c r="Y61" s="89" t="s">
        <v>59</v>
      </c>
      <c r="Z61" s="53" t="s">
        <v>128</v>
      </c>
    </row>
    <row r="62" spans="1:26" ht="25.5" customHeight="1" x14ac:dyDescent="0.2">
      <c r="A62" s="44" t="s">
        <v>408</v>
      </c>
      <c r="B62" s="45" t="s">
        <v>409</v>
      </c>
      <c r="C62" s="46" t="s">
        <v>146</v>
      </c>
      <c r="D62" s="46" t="s">
        <v>58</v>
      </c>
      <c r="E62" s="44" t="s">
        <v>504</v>
      </c>
      <c r="F62" s="62">
        <v>0.82099999999999995</v>
      </c>
      <c r="G62" s="63">
        <v>0.84799999999999998</v>
      </c>
      <c r="H62" s="64">
        <v>0.92500000000000004</v>
      </c>
      <c r="I62" s="64">
        <v>0.91669999999999996</v>
      </c>
      <c r="J62" s="65">
        <v>0.9758</v>
      </c>
      <c r="K62" s="130">
        <f>IF(COUNT(H62:J62)=0,"",AVERAGE(H62:J62))</f>
        <v>0.93916666666666659</v>
      </c>
      <c r="L62" s="65">
        <v>0.92859999999999998</v>
      </c>
      <c r="M62" s="65">
        <v>0.92220000000000002</v>
      </c>
      <c r="N62" s="65">
        <v>0.90910000000000002</v>
      </c>
      <c r="O62" s="130">
        <f>IF(COUNT(L62:N62)=0,"",AVERAGE(L62:N62))</f>
        <v>0.91996666666666671</v>
      </c>
      <c r="P62" s="65"/>
      <c r="Q62" s="65"/>
      <c r="R62" s="65"/>
      <c r="S62" s="130" t="str">
        <f>IF(COUNT(P62:R62)=0,"",AVERAGE(P62:R62))</f>
        <v/>
      </c>
      <c r="T62" s="65"/>
      <c r="U62" s="65"/>
      <c r="V62" s="65"/>
      <c r="W62" s="130" t="str">
        <f>IF(COUNT(T62:V62)=0,"",AVERAGE(T62:V62))</f>
        <v/>
      </c>
      <c r="X62" s="67">
        <v>0.92859999999999998</v>
      </c>
      <c r="Y62" s="89" t="s">
        <v>59</v>
      </c>
      <c r="Z62" s="53" t="s">
        <v>68</v>
      </c>
    </row>
    <row r="63" spans="1:26" ht="25.5" customHeight="1" x14ac:dyDescent="0.2">
      <c r="A63" s="44" t="s">
        <v>421</v>
      </c>
      <c r="B63" s="45" t="s">
        <v>422</v>
      </c>
      <c r="C63" s="46" t="s">
        <v>184</v>
      </c>
      <c r="D63" s="46" t="s">
        <v>58</v>
      </c>
      <c r="E63" s="44" t="s">
        <v>504</v>
      </c>
      <c r="F63" s="62" t="s">
        <v>24</v>
      </c>
      <c r="G63" s="66">
        <v>1</v>
      </c>
      <c r="H63" s="64">
        <v>0</v>
      </c>
      <c r="I63" s="64">
        <v>1</v>
      </c>
      <c r="J63" s="64">
        <v>1</v>
      </c>
      <c r="K63" s="130">
        <f>IF(COUNT(H63:J63)=0,"",LOOKUP(2,1/(H63:J63&lt;&gt;""),H63:J63))</f>
        <v>1</v>
      </c>
      <c r="L63" s="65">
        <v>1</v>
      </c>
      <c r="M63" s="65">
        <v>1</v>
      </c>
      <c r="N63" s="65">
        <v>1</v>
      </c>
      <c r="O63" s="130">
        <f>IF(COUNT(L63:N63)=0,"",LOOKUP(2,1/(L63:N63&lt;&gt;""),L63:N63))</f>
        <v>1</v>
      </c>
      <c r="P63" s="65"/>
      <c r="Q63" s="65"/>
      <c r="R63" s="65"/>
      <c r="S63" s="130" t="str">
        <f>IF(COUNT(P63:R63)=0,"",LOOKUP(2,1/(P63:R63&lt;&gt;""),P63:R63))</f>
        <v/>
      </c>
      <c r="T63" s="65"/>
      <c r="U63" s="65"/>
      <c r="V63" s="65"/>
      <c r="W63" s="130" t="str">
        <f>IF(COUNT(T63:V63)=0,"",LOOKUP(2,1/(T63:V63&lt;&gt;""),T63:V63))</f>
        <v/>
      </c>
      <c r="X63" s="67">
        <v>0.80555555555555602</v>
      </c>
      <c r="Y63" s="89" t="s">
        <v>71</v>
      </c>
      <c r="Z63" s="53" t="s">
        <v>179</v>
      </c>
    </row>
    <row r="64" spans="1:26" ht="25.5" customHeight="1" x14ac:dyDescent="0.2">
      <c r="A64" s="44" t="s">
        <v>56</v>
      </c>
      <c r="B64" s="45" t="s">
        <v>57</v>
      </c>
      <c r="C64" s="46" t="s">
        <v>21</v>
      </c>
      <c r="D64" s="46" t="s">
        <v>58</v>
      </c>
      <c r="E64" s="139" t="s">
        <v>505</v>
      </c>
      <c r="F64" s="62">
        <v>0.33</v>
      </c>
      <c r="G64" s="63">
        <v>0.2</v>
      </c>
      <c r="H64" s="140"/>
      <c r="I64" s="140"/>
      <c r="J64" s="140"/>
      <c r="K64" s="141">
        <v>0.44700000000000001</v>
      </c>
      <c r="L64" s="140"/>
      <c r="M64" s="140"/>
      <c r="N64" s="140"/>
      <c r="O64" s="142">
        <v>0.8</v>
      </c>
      <c r="P64" s="140"/>
      <c r="Q64" s="140"/>
      <c r="R64" s="140"/>
      <c r="S64" s="142"/>
      <c r="T64" s="140"/>
      <c r="U64" s="140"/>
      <c r="V64" s="140"/>
      <c r="W64" s="142"/>
      <c r="X64" s="67">
        <v>0.44700000000000001</v>
      </c>
      <c r="Y64" s="89" t="s">
        <v>59</v>
      </c>
      <c r="Z64" s="53" t="s">
        <v>60</v>
      </c>
    </row>
    <row r="65" spans="1:26" ht="25.5" customHeight="1" x14ac:dyDescent="0.2">
      <c r="A65" s="44" t="s">
        <v>62</v>
      </c>
      <c r="B65" s="45" t="s">
        <v>63</v>
      </c>
      <c r="C65" s="46" t="s">
        <v>21</v>
      </c>
      <c r="D65" s="46" t="s">
        <v>64</v>
      </c>
      <c r="E65" s="139" t="s">
        <v>505</v>
      </c>
      <c r="F65" s="90">
        <v>20.7</v>
      </c>
      <c r="G65" s="91">
        <v>21</v>
      </c>
      <c r="H65" s="140"/>
      <c r="I65" s="140"/>
      <c r="J65" s="140"/>
      <c r="K65" s="143">
        <v>10</v>
      </c>
      <c r="L65" s="140"/>
      <c r="M65" s="140"/>
      <c r="N65" s="140"/>
      <c r="O65" s="143" t="s">
        <v>90</v>
      </c>
      <c r="P65" s="140"/>
      <c r="Q65" s="140"/>
      <c r="R65" s="140"/>
      <c r="S65" s="143"/>
      <c r="T65" s="140"/>
      <c r="U65" s="140"/>
      <c r="V65" s="140"/>
      <c r="W65" s="143"/>
      <c r="X65" s="93">
        <v>10</v>
      </c>
      <c r="Y65" s="89" t="s">
        <v>59</v>
      </c>
      <c r="Z65" s="53" t="s">
        <v>60</v>
      </c>
    </row>
    <row r="66" spans="1:26" ht="25.5" customHeight="1" x14ac:dyDescent="0.2">
      <c r="A66" s="44" t="s">
        <v>69</v>
      </c>
      <c r="B66" s="45" t="s">
        <v>70</v>
      </c>
      <c r="C66" s="46" t="s">
        <v>21</v>
      </c>
      <c r="D66" s="46" t="s">
        <v>58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0.9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0.9</v>
      </c>
      <c r="Y66" s="89" t="s">
        <v>71</v>
      </c>
      <c r="Z66" s="53" t="s">
        <v>72</v>
      </c>
    </row>
    <row r="67" spans="1:26" ht="25.5" customHeight="1" x14ac:dyDescent="0.2">
      <c r="A67" s="44" t="s">
        <v>73</v>
      </c>
      <c r="B67" s="45" t="s">
        <v>74</v>
      </c>
      <c r="C67" s="46" t="s">
        <v>21</v>
      </c>
      <c r="D67" s="46" t="s">
        <v>64</v>
      </c>
      <c r="E67" s="139" t="s">
        <v>505</v>
      </c>
      <c r="F67" s="62">
        <v>0.52</v>
      </c>
      <c r="G67" s="63">
        <v>0.84</v>
      </c>
      <c r="H67" s="140"/>
      <c r="I67" s="140"/>
      <c r="J67" s="140"/>
      <c r="K67" s="141">
        <v>0.48299999999999998</v>
      </c>
      <c r="L67" s="140"/>
      <c r="M67" s="140"/>
      <c r="N67" s="140"/>
      <c r="O67" s="142"/>
      <c r="P67" s="140"/>
      <c r="Q67" s="140"/>
      <c r="R67" s="140"/>
      <c r="S67" s="142"/>
      <c r="T67" s="140"/>
      <c r="U67" s="140"/>
      <c r="V67" s="140"/>
      <c r="W67" s="142"/>
      <c r="X67" s="67">
        <v>0.48299999999999998</v>
      </c>
      <c r="Y67" s="89" t="s">
        <v>59</v>
      </c>
      <c r="Z67" s="53" t="s">
        <v>60</v>
      </c>
    </row>
    <row r="68" spans="1:26" ht="25.5" customHeight="1" x14ac:dyDescent="0.2">
      <c r="A68" s="44" t="s">
        <v>78</v>
      </c>
      <c r="B68" s="45" t="s">
        <v>79</v>
      </c>
      <c r="C68" s="46" t="s">
        <v>21</v>
      </c>
      <c r="D68" s="46" t="s">
        <v>64</v>
      </c>
      <c r="E68" s="139" t="s">
        <v>505</v>
      </c>
      <c r="F68" s="71">
        <v>4.7</v>
      </c>
      <c r="G68" s="94">
        <v>9.8000000000000007</v>
      </c>
      <c r="H68" s="144"/>
      <c r="I68" s="144"/>
      <c r="J68" s="144"/>
      <c r="K68" s="145">
        <v>4.5999999999999996</v>
      </c>
      <c r="L68" s="144"/>
      <c r="M68" s="144"/>
      <c r="N68" s="144"/>
      <c r="O68" s="146"/>
      <c r="P68" s="144"/>
      <c r="Q68" s="144"/>
      <c r="R68" s="144"/>
      <c r="S68" s="146"/>
      <c r="T68" s="144"/>
      <c r="U68" s="144"/>
      <c r="V68" s="144"/>
      <c r="W68" s="146"/>
      <c r="X68" s="75">
        <v>4.5999999999999996</v>
      </c>
      <c r="Y68" s="89" t="s">
        <v>59</v>
      </c>
      <c r="Z68" s="53" t="s">
        <v>60</v>
      </c>
    </row>
    <row r="69" spans="1:26" ht="25.5" customHeight="1" x14ac:dyDescent="0.2">
      <c r="A69" s="44" t="s">
        <v>80</v>
      </c>
      <c r="B69" s="45" t="s">
        <v>81</v>
      </c>
      <c r="C69" s="46" t="s">
        <v>21</v>
      </c>
      <c r="D69" s="46" t="s">
        <v>64</v>
      </c>
      <c r="E69" s="139" t="s">
        <v>505</v>
      </c>
      <c r="F69" s="62">
        <v>2.5000000000000001E-2</v>
      </c>
      <c r="G69" s="63">
        <v>0.04</v>
      </c>
      <c r="H69" s="140"/>
      <c r="I69" s="140"/>
      <c r="J69" s="140"/>
      <c r="K69" s="141">
        <v>2E-3</v>
      </c>
      <c r="L69" s="140"/>
      <c r="M69" s="140"/>
      <c r="N69" s="140"/>
      <c r="O69" s="142"/>
      <c r="P69" s="140"/>
      <c r="Q69" s="140"/>
      <c r="R69" s="140"/>
      <c r="S69" s="142"/>
      <c r="T69" s="140"/>
      <c r="U69" s="140"/>
      <c r="V69" s="140"/>
      <c r="W69" s="142"/>
      <c r="X69" s="67">
        <v>2E-3</v>
      </c>
      <c r="Y69" s="89" t="s">
        <v>59</v>
      </c>
      <c r="Z69" s="53" t="s">
        <v>60</v>
      </c>
    </row>
    <row r="70" spans="1:26" ht="25.5" customHeight="1" x14ac:dyDescent="0.2">
      <c r="A70" s="44" t="s">
        <v>82</v>
      </c>
      <c r="B70" s="45" t="s">
        <v>83</v>
      </c>
      <c r="C70" s="46" t="s">
        <v>21</v>
      </c>
      <c r="D70" s="46" t="s">
        <v>58</v>
      </c>
      <c r="E70" s="139" t="s">
        <v>505</v>
      </c>
      <c r="F70" s="77">
        <v>0.3</v>
      </c>
      <c r="G70" s="57">
        <v>0.9</v>
      </c>
      <c r="H70" s="147"/>
      <c r="I70" s="147"/>
      <c r="J70" s="147"/>
      <c r="K70" s="148">
        <v>0.5</v>
      </c>
      <c r="L70" s="147"/>
      <c r="M70" s="147"/>
      <c r="N70" s="147"/>
      <c r="O70" s="149" t="s">
        <v>528</v>
      </c>
      <c r="P70" s="147"/>
      <c r="Q70" s="147"/>
      <c r="R70" s="147"/>
      <c r="S70" s="149"/>
      <c r="T70" s="147"/>
      <c r="U70" s="147"/>
      <c r="V70" s="147"/>
      <c r="W70" s="149"/>
      <c r="X70" s="79">
        <v>0.5</v>
      </c>
      <c r="Y70" s="89" t="s">
        <v>67</v>
      </c>
      <c r="Z70" s="53" t="s">
        <v>60</v>
      </c>
    </row>
    <row r="71" spans="1:26" ht="25.5" customHeight="1" x14ac:dyDescent="0.2">
      <c r="A71" s="44" t="s">
        <v>85</v>
      </c>
      <c r="B71" s="45" t="s">
        <v>86</v>
      </c>
      <c r="C71" s="46" t="s">
        <v>21</v>
      </c>
      <c r="D71" s="46" t="s">
        <v>58</v>
      </c>
      <c r="E71" s="139" t="s">
        <v>505</v>
      </c>
      <c r="F71" s="62">
        <v>0.58789999999999998</v>
      </c>
      <c r="G71" s="66" t="s">
        <v>24</v>
      </c>
      <c r="H71" s="140"/>
      <c r="I71" s="140"/>
      <c r="J71" s="140"/>
      <c r="K71" s="141">
        <v>0.71870000000000001</v>
      </c>
      <c r="L71" s="140"/>
      <c r="M71" s="140"/>
      <c r="N71" s="140"/>
      <c r="O71" s="142">
        <v>0.83940000000000003</v>
      </c>
      <c r="P71" s="140"/>
      <c r="Q71" s="140"/>
      <c r="R71" s="140"/>
      <c r="S71" s="142"/>
      <c r="T71" s="140"/>
      <c r="U71" s="140"/>
      <c r="V71" s="140"/>
      <c r="W71" s="142"/>
      <c r="X71" s="67">
        <v>0.71870000000000001</v>
      </c>
      <c r="Y71" s="89" t="s">
        <v>71</v>
      </c>
      <c r="Z71" s="53" t="s">
        <v>68</v>
      </c>
    </row>
    <row r="72" spans="1:26" ht="25.5" customHeight="1" x14ac:dyDescent="0.2">
      <c r="A72" s="44" t="s">
        <v>94</v>
      </c>
      <c r="B72" s="45" t="s">
        <v>95</v>
      </c>
      <c r="C72" s="46" t="s">
        <v>19</v>
      </c>
      <c r="D72" s="46" t="s">
        <v>58</v>
      </c>
      <c r="E72" s="139" t="s">
        <v>505</v>
      </c>
      <c r="F72" s="62">
        <v>0.76700000000000002</v>
      </c>
      <c r="G72" s="63">
        <v>0.5</v>
      </c>
      <c r="H72" s="140"/>
      <c r="I72" s="140"/>
      <c r="J72" s="140"/>
      <c r="K72" s="142">
        <v>0.97922279792746103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0.97922279792746103</v>
      </c>
      <c r="Y72" s="89" t="s">
        <v>59</v>
      </c>
      <c r="Z72" s="53" t="s">
        <v>60</v>
      </c>
    </row>
    <row r="73" spans="1:26" ht="25.5" customHeight="1" x14ac:dyDescent="0.2">
      <c r="A73" s="44" t="s">
        <v>96</v>
      </c>
      <c r="B73" s="45" t="s">
        <v>97</v>
      </c>
      <c r="C73" s="46" t="s">
        <v>19</v>
      </c>
      <c r="D73" s="46" t="s">
        <v>58</v>
      </c>
      <c r="E73" s="139" t="s">
        <v>505</v>
      </c>
      <c r="F73" s="62">
        <v>0.77600000000000002</v>
      </c>
      <c r="G73" s="63">
        <v>0.5</v>
      </c>
      <c r="H73" s="140"/>
      <c r="I73" s="140"/>
      <c r="J73" s="140"/>
      <c r="K73" s="142">
        <v>0.98305699481865305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0.98305699481865305</v>
      </c>
      <c r="Y73" s="89" t="s">
        <v>59</v>
      </c>
      <c r="Z73" s="53" t="s">
        <v>60</v>
      </c>
    </row>
    <row r="74" spans="1:26" ht="25.5" customHeight="1" x14ac:dyDescent="0.2">
      <c r="A74" s="44" t="s">
        <v>98</v>
      </c>
      <c r="B74" s="45" t="s">
        <v>99</v>
      </c>
      <c r="C74" s="46" t="s">
        <v>19</v>
      </c>
      <c r="D74" s="46" t="s">
        <v>58</v>
      </c>
      <c r="E74" s="139" t="s">
        <v>505</v>
      </c>
      <c r="F74" s="62">
        <v>0.45400000000000001</v>
      </c>
      <c r="G74" s="63">
        <v>0.3</v>
      </c>
      <c r="H74" s="140"/>
      <c r="I74" s="140"/>
      <c r="J74" s="140"/>
      <c r="K74" s="142">
        <v>0.83960304638818395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0.83960304638818395</v>
      </c>
      <c r="Y74" s="89" t="s">
        <v>59</v>
      </c>
      <c r="Z74" s="53" t="s">
        <v>60</v>
      </c>
    </row>
    <row r="75" spans="1:26" ht="25.5" customHeight="1" x14ac:dyDescent="0.2">
      <c r="A75" s="44" t="s">
        <v>100</v>
      </c>
      <c r="B75" s="45" t="s">
        <v>101</v>
      </c>
      <c r="C75" s="46" t="s">
        <v>19</v>
      </c>
      <c r="D75" s="46" t="s">
        <v>58</v>
      </c>
      <c r="E75" s="139" t="s">
        <v>505</v>
      </c>
      <c r="F75" s="62">
        <v>0.63700000000000001</v>
      </c>
      <c r="G75" s="63">
        <v>0.5</v>
      </c>
      <c r="H75" s="140"/>
      <c r="I75" s="140"/>
      <c r="J75" s="140"/>
      <c r="K75" s="142">
        <v>1.04201101928375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1.04201101928375</v>
      </c>
      <c r="Y75" s="89" t="s">
        <v>59</v>
      </c>
      <c r="Z75" s="53" t="s">
        <v>60</v>
      </c>
    </row>
    <row r="76" spans="1:26" ht="25.5" customHeight="1" x14ac:dyDescent="0.2">
      <c r="A76" s="44" t="s">
        <v>102</v>
      </c>
      <c r="B76" s="45" t="s">
        <v>103</v>
      </c>
      <c r="C76" s="46" t="s">
        <v>19</v>
      </c>
      <c r="D76" s="46" t="s">
        <v>58</v>
      </c>
      <c r="E76" s="139" t="s">
        <v>505</v>
      </c>
      <c r="F76" s="62">
        <v>0.92</v>
      </c>
      <c r="G76" s="63">
        <v>0.3</v>
      </c>
      <c r="H76" s="140"/>
      <c r="I76" s="140"/>
      <c r="J76" s="140"/>
      <c r="K76" s="142">
        <v>1.35135135135135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1.35135135135135</v>
      </c>
      <c r="Y76" s="89" t="s">
        <v>59</v>
      </c>
      <c r="Z76" s="53" t="s">
        <v>60</v>
      </c>
    </row>
    <row r="77" spans="1:26" ht="25.5" customHeight="1" x14ac:dyDescent="0.2">
      <c r="A77" s="44" t="s">
        <v>104</v>
      </c>
      <c r="B77" s="45" t="s">
        <v>105</v>
      </c>
      <c r="C77" s="46" t="s">
        <v>19</v>
      </c>
      <c r="D77" s="46" t="s">
        <v>58</v>
      </c>
      <c r="E77" s="139" t="s">
        <v>505</v>
      </c>
      <c r="F77" s="62">
        <v>0.88</v>
      </c>
      <c r="G77" s="63">
        <v>0.3</v>
      </c>
      <c r="H77" s="140"/>
      <c r="I77" s="140"/>
      <c r="J77" s="140"/>
      <c r="K77" s="142">
        <v>1.03454545454545</v>
      </c>
      <c r="L77" s="140"/>
      <c r="M77" s="140"/>
      <c r="N77" s="140"/>
      <c r="O77" s="142"/>
      <c r="P77" s="140"/>
      <c r="Q77" s="140"/>
      <c r="R77" s="140"/>
      <c r="S77" s="142"/>
      <c r="T77" s="140"/>
      <c r="U77" s="140"/>
      <c r="V77" s="140"/>
      <c r="W77" s="142"/>
      <c r="X77" s="67">
        <v>1.03454545454545</v>
      </c>
      <c r="Y77" s="89" t="s">
        <v>59</v>
      </c>
      <c r="Z77" s="53" t="s">
        <v>60</v>
      </c>
    </row>
    <row r="78" spans="1:26" ht="25.5" customHeight="1" x14ac:dyDescent="0.2">
      <c r="A78" s="44" t="s">
        <v>106</v>
      </c>
      <c r="B78" s="45" t="s">
        <v>107</v>
      </c>
      <c r="C78" s="46" t="s">
        <v>19</v>
      </c>
      <c r="D78" s="46" t="s">
        <v>58</v>
      </c>
      <c r="E78" s="139" t="s">
        <v>505</v>
      </c>
      <c r="F78" s="62">
        <v>0.84099999999999997</v>
      </c>
      <c r="G78" s="63">
        <v>0.3</v>
      </c>
      <c r="H78" s="140"/>
      <c r="I78" s="140"/>
      <c r="J78" s="140"/>
      <c r="K78" s="142">
        <v>0.91400000000000003</v>
      </c>
      <c r="L78" s="140"/>
      <c r="M78" s="140"/>
      <c r="N78" s="140"/>
      <c r="O78" s="142"/>
      <c r="P78" s="140"/>
      <c r="Q78" s="140"/>
      <c r="R78" s="140"/>
      <c r="S78" s="142"/>
      <c r="T78" s="140"/>
      <c r="U78" s="140"/>
      <c r="V78" s="140"/>
      <c r="W78" s="142"/>
      <c r="X78" s="67">
        <v>0.91400000000000003</v>
      </c>
      <c r="Y78" s="89" t="s">
        <v>59</v>
      </c>
      <c r="Z78" s="53" t="s">
        <v>60</v>
      </c>
    </row>
    <row r="79" spans="1:26" ht="25.5" customHeight="1" x14ac:dyDescent="0.2">
      <c r="A79" s="44" t="s">
        <v>108</v>
      </c>
      <c r="B79" s="45" t="s">
        <v>109</v>
      </c>
      <c r="C79" s="46" t="s">
        <v>19</v>
      </c>
      <c r="D79" s="46" t="s">
        <v>58</v>
      </c>
      <c r="E79" s="139" t="s">
        <v>505</v>
      </c>
      <c r="F79" s="62">
        <v>1</v>
      </c>
      <c r="G79" s="63">
        <v>0.9</v>
      </c>
      <c r="H79" s="140"/>
      <c r="I79" s="140"/>
      <c r="J79" s="140"/>
      <c r="K79" s="142">
        <v>0.88081936685288598</v>
      </c>
      <c r="L79" s="140"/>
      <c r="M79" s="140"/>
      <c r="N79" s="140"/>
      <c r="O79" s="142"/>
      <c r="P79" s="140"/>
      <c r="Q79" s="140"/>
      <c r="R79" s="140"/>
      <c r="S79" s="142"/>
      <c r="T79" s="140"/>
      <c r="U79" s="140"/>
      <c r="V79" s="140"/>
      <c r="W79" s="142"/>
      <c r="X79" s="67">
        <v>0.88081936685288598</v>
      </c>
      <c r="Y79" s="89" t="s">
        <v>67</v>
      </c>
      <c r="Z79" s="53" t="s">
        <v>60</v>
      </c>
    </row>
    <row r="80" spans="1:26" ht="25.5" customHeight="1" x14ac:dyDescent="0.2">
      <c r="A80" s="44" t="s">
        <v>110</v>
      </c>
      <c r="B80" s="45" t="s">
        <v>111</v>
      </c>
      <c r="C80" s="46" t="s">
        <v>19</v>
      </c>
      <c r="D80" s="46" t="s">
        <v>58</v>
      </c>
      <c r="E80" s="139" t="s">
        <v>505</v>
      </c>
      <c r="F80" s="62">
        <v>0.93799999999999994</v>
      </c>
      <c r="G80" s="63">
        <v>0.9</v>
      </c>
      <c r="H80" s="140"/>
      <c r="I80" s="140"/>
      <c r="J80" s="140"/>
      <c r="K80" s="142">
        <v>0.95693779904306198</v>
      </c>
      <c r="L80" s="140"/>
      <c r="M80" s="140"/>
      <c r="N80" s="140"/>
      <c r="O80" s="142"/>
      <c r="P80" s="140"/>
      <c r="Q80" s="140"/>
      <c r="R80" s="140"/>
      <c r="S80" s="142"/>
      <c r="T80" s="140"/>
      <c r="U80" s="140"/>
      <c r="V80" s="140"/>
      <c r="W80" s="142"/>
      <c r="X80" s="67">
        <v>0.95693779904306198</v>
      </c>
      <c r="Y80" s="89" t="s">
        <v>59</v>
      </c>
      <c r="Z80" s="53" t="s">
        <v>60</v>
      </c>
    </row>
    <row r="81" spans="1:26" ht="25.5" customHeight="1" x14ac:dyDescent="0.2">
      <c r="A81" s="44" t="s">
        <v>112</v>
      </c>
      <c r="B81" s="45" t="s">
        <v>113</v>
      </c>
      <c r="C81" s="46" t="s">
        <v>19</v>
      </c>
      <c r="D81" s="46" t="s">
        <v>58</v>
      </c>
      <c r="E81" s="139" t="s">
        <v>505</v>
      </c>
      <c r="F81" s="62">
        <v>0.995</v>
      </c>
      <c r="G81" s="66">
        <v>0.6</v>
      </c>
      <c r="H81" s="140"/>
      <c r="I81" s="140"/>
      <c r="J81" s="140"/>
      <c r="K81" s="141">
        <v>1.0096000000000001</v>
      </c>
      <c r="L81" s="140"/>
      <c r="M81" s="140"/>
      <c r="N81" s="140"/>
      <c r="O81" s="142">
        <v>1.04</v>
      </c>
      <c r="P81" s="140"/>
      <c r="Q81" s="140"/>
      <c r="R81" s="140"/>
      <c r="S81" s="142"/>
      <c r="T81" s="140"/>
      <c r="U81" s="140"/>
      <c r="V81" s="140"/>
      <c r="W81" s="142">
        <v>1.12825</v>
      </c>
      <c r="X81" s="67">
        <v>1.0096000000000001</v>
      </c>
      <c r="Y81" s="89" t="s">
        <v>59</v>
      </c>
      <c r="Z81" s="53" t="s">
        <v>60</v>
      </c>
    </row>
    <row r="82" spans="1:26" ht="25.5" customHeight="1" x14ac:dyDescent="0.2">
      <c r="A82" s="44" t="s">
        <v>116</v>
      </c>
      <c r="B82" s="45" t="s">
        <v>117</v>
      </c>
      <c r="C82" s="46" t="s">
        <v>19</v>
      </c>
      <c r="D82" s="46" t="s">
        <v>64</v>
      </c>
      <c r="E82" s="139" t="s">
        <v>505</v>
      </c>
      <c r="F82" s="62" t="s">
        <v>24</v>
      </c>
      <c r="G82" s="66" t="s">
        <v>24</v>
      </c>
      <c r="H82" s="140"/>
      <c r="I82" s="140"/>
      <c r="J82" s="140"/>
      <c r="K82" s="141">
        <v>0.255230125523013</v>
      </c>
      <c r="L82" s="140"/>
      <c r="M82" s="140"/>
      <c r="N82" s="140"/>
      <c r="O82" s="142">
        <v>274</v>
      </c>
      <c r="P82" s="140"/>
      <c r="Q82" s="140"/>
      <c r="R82" s="140"/>
      <c r="S82" s="142"/>
      <c r="T82" s="140"/>
      <c r="U82" s="140"/>
      <c r="V82" s="140"/>
      <c r="W82" s="142"/>
      <c r="X82" s="67">
        <v>0.255230125523013</v>
      </c>
      <c r="Y82" s="89" t="s">
        <v>71</v>
      </c>
      <c r="Z82" s="53" t="s">
        <v>118</v>
      </c>
    </row>
    <row r="83" spans="1:26" ht="25.5" customHeight="1" x14ac:dyDescent="0.2">
      <c r="A83" s="44" t="s">
        <v>119</v>
      </c>
      <c r="B83" s="45" t="s">
        <v>120</v>
      </c>
      <c r="C83" s="46" t="s">
        <v>19</v>
      </c>
      <c r="D83" s="46" t="s">
        <v>64</v>
      </c>
      <c r="E83" s="139" t="s">
        <v>505</v>
      </c>
      <c r="F83" s="77">
        <v>0</v>
      </c>
      <c r="G83" s="96">
        <v>15</v>
      </c>
      <c r="H83" s="147"/>
      <c r="I83" s="147"/>
      <c r="J83" s="147"/>
      <c r="K83" s="148">
        <v>0</v>
      </c>
      <c r="L83" s="147"/>
      <c r="M83" s="147"/>
      <c r="N83" s="147"/>
      <c r="O83" s="149">
        <v>0.1</v>
      </c>
      <c r="P83" s="147"/>
      <c r="Q83" s="147"/>
      <c r="R83" s="147"/>
      <c r="S83" s="149"/>
      <c r="T83" s="147"/>
      <c r="U83" s="147"/>
      <c r="V83" s="147"/>
      <c r="W83" s="149"/>
      <c r="X83" s="79">
        <v>0</v>
      </c>
      <c r="Y83" s="89" t="s">
        <v>59</v>
      </c>
      <c r="Z83" s="53" t="s">
        <v>60</v>
      </c>
    </row>
    <row r="84" spans="1:26" ht="25.5" customHeight="1" x14ac:dyDescent="0.2">
      <c r="A84" s="44" t="s">
        <v>122</v>
      </c>
      <c r="B84" s="45" t="s">
        <v>123</v>
      </c>
      <c r="C84" s="46" t="s">
        <v>19</v>
      </c>
      <c r="D84" s="46" t="s">
        <v>64</v>
      </c>
      <c r="E84" s="139" t="s">
        <v>505</v>
      </c>
      <c r="F84" s="77">
        <v>0.4</v>
      </c>
      <c r="G84" s="50">
        <v>0.7</v>
      </c>
      <c r="H84" s="147"/>
      <c r="I84" s="147"/>
      <c r="J84" s="147"/>
      <c r="K84" s="148">
        <v>0</v>
      </c>
      <c r="L84" s="147"/>
      <c r="M84" s="147"/>
      <c r="N84" s="147"/>
      <c r="O84" s="149">
        <v>0</v>
      </c>
      <c r="P84" s="147"/>
      <c r="Q84" s="147"/>
      <c r="R84" s="147"/>
      <c r="S84" s="149"/>
      <c r="T84" s="147"/>
      <c r="U84" s="147"/>
      <c r="V84" s="147"/>
      <c r="W84" s="149"/>
      <c r="X84" s="79">
        <v>0</v>
      </c>
      <c r="Y84" s="89" t="s">
        <v>59</v>
      </c>
      <c r="Z84" s="53" t="s">
        <v>60</v>
      </c>
    </row>
    <row r="85" spans="1:26" ht="25.5" customHeight="1" x14ac:dyDescent="0.2">
      <c r="A85" s="44" t="s">
        <v>124</v>
      </c>
      <c r="B85" s="45" t="s">
        <v>125</v>
      </c>
      <c r="C85" s="46" t="s">
        <v>19</v>
      </c>
      <c r="D85" s="46" t="s">
        <v>64</v>
      </c>
      <c r="E85" s="139" t="s">
        <v>505</v>
      </c>
      <c r="F85" s="77">
        <v>0.13</v>
      </c>
      <c r="G85" s="97">
        <v>11</v>
      </c>
      <c r="H85" s="147"/>
      <c r="I85" s="147"/>
      <c r="J85" s="147"/>
      <c r="K85" s="148">
        <v>0</v>
      </c>
      <c r="L85" s="147"/>
      <c r="M85" s="147"/>
      <c r="N85" s="147"/>
      <c r="O85" s="149">
        <v>0</v>
      </c>
      <c r="P85" s="147"/>
      <c r="Q85" s="147"/>
      <c r="R85" s="147"/>
      <c r="S85" s="149"/>
      <c r="T85" s="147"/>
      <c r="U85" s="147"/>
      <c r="V85" s="147"/>
      <c r="W85" s="149"/>
      <c r="X85" s="79">
        <v>0</v>
      </c>
      <c r="Y85" s="89" t="s">
        <v>59</v>
      </c>
      <c r="Z85" s="53" t="s">
        <v>60</v>
      </c>
    </row>
    <row r="86" spans="1:26" ht="25.5" customHeight="1" x14ac:dyDescent="0.2">
      <c r="A86" s="44" t="s">
        <v>126</v>
      </c>
      <c r="B86" s="45" t="s">
        <v>127</v>
      </c>
      <c r="C86" s="46" t="s">
        <v>19</v>
      </c>
      <c r="D86" s="46" t="s">
        <v>64</v>
      </c>
      <c r="E86" s="139" t="s">
        <v>505</v>
      </c>
      <c r="F86" s="77">
        <v>0.47</v>
      </c>
      <c r="G86" s="57">
        <v>0.4</v>
      </c>
      <c r="H86" s="147"/>
      <c r="I86" s="147"/>
      <c r="J86" s="147"/>
      <c r="K86" s="148">
        <v>0</v>
      </c>
      <c r="L86" s="147"/>
      <c r="M86" s="147"/>
      <c r="N86" s="147"/>
      <c r="O86" s="149">
        <v>0</v>
      </c>
      <c r="P86" s="147"/>
      <c r="Q86" s="147"/>
      <c r="R86" s="147"/>
      <c r="S86" s="149"/>
      <c r="T86" s="147"/>
      <c r="U86" s="147"/>
      <c r="V86" s="147"/>
      <c r="W86" s="149"/>
      <c r="X86" s="79">
        <v>0</v>
      </c>
      <c r="Y86" s="89" t="s">
        <v>59</v>
      </c>
      <c r="Z86" s="53" t="s">
        <v>128</v>
      </c>
    </row>
    <row r="87" spans="1:26" ht="25.5" customHeight="1" x14ac:dyDescent="0.2">
      <c r="A87" s="44" t="s">
        <v>129</v>
      </c>
      <c r="B87" s="45" t="s">
        <v>130</v>
      </c>
      <c r="C87" s="46" t="s">
        <v>19</v>
      </c>
      <c r="D87" s="46" t="s">
        <v>64</v>
      </c>
      <c r="E87" s="139" t="s">
        <v>505</v>
      </c>
      <c r="F87" s="77">
        <v>0.36</v>
      </c>
      <c r="G87" s="57">
        <v>0.30599999999999999</v>
      </c>
      <c r="H87" s="147"/>
      <c r="I87" s="147"/>
      <c r="J87" s="147"/>
      <c r="K87" s="148">
        <v>0</v>
      </c>
      <c r="L87" s="147"/>
      <c r="M87" s="147"/>
      <c r="N87" s="147"/>
      <c r="O87" s="149">
        <v>0</v>
      </c>
      <c r="P87" s="147"/>
      <c r="Q87" s="147"/>
      <c r="R87" s="147"/>
      <c r="S87" s="149"/>
      <c r="T87" s="147"/>
      <c r="U87" s="147"/>
      <c r="V87" s="147"/>
      <c r="W87" s="149"/>
      <c r="X87" s="79">
        <v>0</v>
      </c>
      <c r="Y87" s="89" t="s">
        <v>59</v>
      </c>
      <c r="Z87" s="53" t="s">
        <v>131</v>
      </c>
    </row>
    <row r="88" spans="1:26" ht="25.5" customHeight="1" x14ac:dyDescent="0.2">
      <c r="A88" s="44" t="s">
        <v>132</v>
      </c>
      <c r="B88" s="45" t="s">
        <v>133</v>
      </c>
      <c r="C88" s="46" t="s">
        <v>19</v>
      </c>
      <c r="D88" s="46" t="s">
        <v>64</v>
      </c>
      <c r="E88" s="139" t="s">
        <v>505</v>
      </c>
      <c r="F88" s="77">
        <v>4.5</v>
      </c>
      <c r="G88" s="50" t="s">
        <v>24</v>
      </c>
      <c r="H88" s="147"/>
      <c r="I88" s="147"/>
      <c r="J88" s="147"/>
      <c r="K88" s="148">
        <v>0</v>
      </c>
      <c r="L88" s="147"/>
      <c r="M88" s="147"/>
      <c r="N88" s="147"/>
      <c r="O88" s="149">
        <v>0</v>
      </c>
      <c r="P88" s="147"/>
      <c r="Q88" s="147"/>
      <c r="R88" s="147"/>
      <c r="S88" s="149"/>
      <c r="T88" s="147"/>
      <c r="U88" s="147"/>
      <c r="V88" s="147"/>
      <c r="W88" s="149"/>
      <c r="X88" s="79">
        <v>0</v>
      </c>
      <c r="Y88" s="89" t="s">
        <v>71</v>
      </c>
      <c r="Z88" s="53" t="s">
        <v>128</v>
      </c>
    </row>
    <row r="89" spans="1:26" ht="25.5" customHeight="1" x14ac:dyDescent="0.2">
      <c r="A89" s="44" t="s">
        <v>134</v>
      </c>
      <c r="B89" s="45" t="s">
        <v>135</v>
      </c>
      <c r="C89" s="46" t="s">
        <v>19</v>
      </c>
      <c r="D89" s="46" t="s">
        <v>64</v>
      </c>
      <c r="E89" s="139" t="s">
        <v>505</v>
      </c>
      <c r="F89" s="77">
        <v>3.1</v>
      </c>
      <c r="G89" s="57">
        <v>2.64</v>
      </c>
      <c r="H89" s="147"/>
      <c r="I89" s="147"/>
      <c r="J89" s="147"/>
      <c r="K89" s="148">
        <v>11.6279069767442</v>
      </c>
      <c r="L89" s="147"/>
      <c r="M89" s="147"/>
      <c r="N89" s="147"/>
      <c r="O89" s="149">
        <v>4.46</v>
      </c>
      <c r="P89" s="147"/>
      <c r="Q89" s="147"/>
      <c r="R89" s="147"/>
      <c r="S89" s="149"/>
      <c r="T89" s="147"/>
      <c r="U89" s="147"/>
      <c r="V89" s="147"/>
      <c r="W89" s="149"/>
      <c r="X89" s="79">
        <v>11.6279069767442</v>
      </c>
      <c r="Y89" s="89" t="s">
        <v>67</v>
      </c>
      <c r="Z89" s="53" t="s">
        <v>128</v>
      </c>
    </row>
    <row r="90" spans="1:26" ht="25.5" customHeight="1" x14ac:dyDescent="0.2">
      <c r="A90" s="44" t="s">
        <v>136</v>
      </c>
      <c r="B90" s="45" t="s">
        <v>137</v>
      </c>
      <c r="C90" s="46" t="s">
        <v>19</v>
      </c>
      <c r="D90" s="46" t="s">
        <v>64</v>
      </c>
      <c r="E90" s="139" t="s">
        <v>505</v>
      </c>
      <c r="F90" s="77">
        <v>0.9</v>
      </c>
      <c r="G90" s="97">
        <v>1.5</v>
      </c>
      <c r="H90" s="147"/>
      <c r="I90" s="147"/>
      <c r="J90" s="147"/>
      <c r="K90" s="148">
        <v>0</v>
      </c>
      <c r="L90" s="147"/>
      <c r="M90" s="147"/>
      <c r="N90" s="147"/>
      <c r="O90" s="149">
        <v>0</v>
      </c>
      <c r="P90" s="147"/>
      <c r="Q90" s="147"/>
      <c r="R90" s="147"/>
      <c r="S90" s="149"/>
      <c r="T90" s="147"/>
      <c r="U90" s="147"/>
      <c r="V90" s="147"/>
      <c r="W90" s="149"/>
      <c r="X90" s="79">
        <v>0</v>
      </c>
      <c r="Y90" s="89" t="s">
        <v>59</v>
      </c>
      <c r="Z90" s="53" t="s">
        <v>60</v>
      </c>
    </row>
    <row r="91" spans="1:26" ht="25.5" customHeight="1" x14ac:dyDescent="0.2">
      <c r="A91" s="44" t="s">
        <v>138</v>
      </c>
      <c r="B91" s="45" t="s">
        <v>139</v>
      </c>
      <c r="C91" s="46" t="s">
        <v>19</v>
      </c>
      <c r="D91" s="46" t="s">
        <v>58</v>
      </c>
      <c r="E91" s="139" t="s">
        <v>505</v>
      </c>
      <c r="F91" s="77">
        <v>0.9</v>
      </c>
      <c r="G91" s="57">
        <v>3</v>
      </c>
      <c r="H91" s="147"/>
      <c r="I91" s="147"/>
      <c r="J91" s="147"/>
      <c r="K91" s="148">
        <v>0.6</v>
      </c>
      <c r="L91" s="147"/>
      <c r="M91" s="147"/>
      <c r="N91" s="147"/>
      <c r="O91" s="149">
        <v>0.6</v>
      </c>
      <c r="P91" s="147"/>
      <c r="Q91" s="147"/>
      <c r="R91" s="147"/>
      <c r="S91" s="149"/>
      <c r="T91" s="147"/>
      <c r="U91" s="147"/>
      <c r="V91" s="147"/>
      <c r="W91" s="149"/>
      <c r="X91" s="79">
        <v>0.6</v>
      </c>
      <c r="Y91" s="89" t="s">
        <v>67</v>
      </c>
      <c r="Z91" s="53" t="s">
        <v>60</v>
      </c>
    </row>
    <row r="92" spans="1:26" ht="25.5" customHeight="1" x14ac:dyDescent="0.2">
      <c r="A92" s="44" t="s">
        <v>140</v>
      </c>
      <c r="B92" s="45" t="s">
        <v>141</v>
      </c>
      <c r="C92" s="46" t="s">
        <v>19</v>
      </c>
      <c r="D92" s="46" t="s">
        <v>58</v>
      </c>
      <c r="E92" s="139" t="s">
        <v>505</v>
      </c>
      <c r="F92" s="62">
        <v>0.77700000000000002</v>
      </c>
      <c r="G92" s="63">
        <v>0.7</v>
      </c>
      <c r="H92" s="140"/>
      <c r="I92" s="140"/>
      <c r="J92" s="140"/>
      <c r="K92" s="141">
        <v>0.69599999999999995</v>
      </c>
      <c r="L92" s="140"/>
      <c r="M92" s="140"/>
      <c r="N92" s="140"/>
      <c r="O92" s="142">
        <v>0.70440000000000003</v>
      </c>
      <c r="P92" s="140"/>
      <c r="Q92" s="140"/>
      <c r="R92" s="140"/>
      <c r="S92" s="142"/>
      <c r="T92" s="140"/>
      <c r="U92" s="140"/>
      <c r="V92" s="140"/>
      <c r="W92" s="142"/>
      <c r="X92" s="67">
        <v>0.69599999999999995</v>
      </c>
      <c r="Y92" s="89" t="s">
        <v>67</v>
      </c>
      <c r="Z92" s="53" t="s">
        <v>60</v>
      </c>
    </row>
    <row r="93" spans="1:26" ht="25.5" customHeight="1" x14ac:dyDescent="0.2">
      <c r="A93" s="44" t="s">
        <v>142</v>
      </c>
      <c r="B93" s="45" t="s">
        <v>143</v>
      </c>
      <c r="C93" s="46" t="s">
        <v>19</v>
      </c>
      <c r="D93" s="46" t="s">
        <v>64</v>
      </c>
      <c r="E93" s="139" t="s">
        <v>505</v>
      </c>
      <c r="F93" s="77">
        <v>28.6</v>
      </c>
      <c r="G93" s="97">
        <v>14.3</v>
      </c>
      <c r="H93" s="147"/>
      <c r="I93" s="147"/>
      <c r="J93" s="147"/>
      <c r="K93" s="148">
        <v>83.3</v>
      </c>
      <c r="L93" s="147"/>
      <c r="M93" s="147"/>
      <c r="N93" s="147"/>
      <c r="O93" s="149">
        <v>6.3E-2</v>
      </c>
      <c r="P93" s="147"/>
      <c r="Q93" s="147"/>
      <c r="R93" s="147"/>
      <c r="S93" s="149"/>
      <c r="T93" s="147"/>
      <c r="U93" s="147"/>
      <c r="V93" s="147"/>
      <c r="W93" s="149"/>
      <c r="X93" s="79">
        <v>83.3</v>
      </c>
      <c r="Y93" s="89" t="s">
        <v>67</v>
      </c>
      <c r="Z93" s="53" t="s">
        <v>60</v>
      </c>
    </row>
    <row r="94" spans="1:26" ht="25.5" customHeight="1" x14ac:dyDescent="0.2">
      <c r="A94" s="44" t="s">
        <v>147</v>
      </c>
      <c r="B94" s="45" t="s">
        <v>148</v>
      </c>
      <c r="C94" s="46" t="s">
        <v>146</v>
      </c>
      <c r="D94" s="46" t="s">
        <v>58</v>
      </c>
      <c r="E94" s="139" t="s">
        <v>505</v>
      </c>
      <c r="F94" s="62">
        <v>0.624</v>
      </c>
      <c r="G94" s="66">
        <v>0.6</v>
      </c>
      <c r="H94" s="140"/>
      <c r="I94" s="140"/>
      <c r="J94" s="140"/>
      <c r="K94" s="142">
        <v>0.92300000000000004</v>
      </c>
      <c r="L94" s="140"/>
      <c r="M94" s="140"/>
      <c r="N94" s="140"/>
      <c r="O94" s="142"/>
      <c r="P94" s="140"/>
      <c r="Q94" s="140"/>
      <c r="R94" s="140"/>
      <c r="S94" s="142"/>
      <c r="T94" s="140"/>
      <c r="U94" s="140"/>
      <c r="V94" s="140"/>
      <c r="W94" s="142"/>
      <c r="X94" s="67">
        <v>0.92300000000000004</v>
      </c>
      <c r="Y94" s="89" t="s">
        <v>59</v>
      </c>
      <c r="Z94" s="53" t="s">
        <v>60</v>
      </c>
    </row>
    <row r="95" spans="1:26" ht="25.5" customHeight="1" x14ac:dyDescent="0.2">
      <c r="A95" s="44" t="s">
        <v>149</v>
      </c>
      <c r="B95" s="45" t="s">
        <v>150</v>
      </c>
      <c r="C95" s="46" t="s">
        <v>146</v>
      </c>
      <c r="D95" s="46" t="s">
        <v>58</v>
      </c>
      <c r="E95" s="139" t="s">
        <v>505</v>
      </c>
      <c r="F95" s="62">
        <v>0.76</v>
      </c>
      <c r="G95" s="66">
        <v>0.7</v>
      </c>
      <c r="H95" s="140"/>
      <c r="I95" s="140"/>
      <c r="J95" s="140"/>
      <c r="K95" s="142"/>
      <c r="L95" s="140"/>
      <c r="M95" s="140"/>
      <c r="N95" s="140"/>
      <c r="O95" s="142"/>
      <c r="P95" s="140"/>
      <c r="Q95" s="140"/>
      <c r="R95" s="140"/>
      <c r="S95" s="142"/>
      <c r="T95" s="140"/>
      <c r="U95" s="140"/>
      <c r="V95" s="140"/>
      <c r="W95" s="142"/>
      <c r="X95" s="67"/>
      <c r="Y95" s="89" t="s">
        <v>91</v>
      </c>
      <c r="Z95" s="53" t="s">
        <v>60</v>
      </c>
    </row>
    <row r="96" spans="1:26" ht="25.5" customHeight="1" x14ac:dyDescent="0.2">
      <c r="A96" s="44" t="s">
        <v>151</v>
      </c>
      <c r="B96" s="45" t="s">
        <v>152</v>
      </c>
      <c r="C96" s="46" t="s">
        <v>146</v>
      </c>
      <c r="D96" s="46" t="s">
        <v>58</v>
      </c>
      <c r="E96" s="139" t="s">
        <v>505</v>
      </c>
      <c r="F96" s="62">
        <v>0.82099999999999995</v>
      </c>
      <c r="G96" s="66">
        <v>0.7</v>
      </c>
      <c r="H96" s="140"/>
      <c r="I96" s="140"/>
      <c r="J96" s="140"/>
      <c r="K96" s="142"/>
      <c r="L96" s="140"/>
      <c r="M96" s="140"/>
      <c r="N96" s="140"/>
      <c r="O96" s="142"/>
      <c r="P96" s="140"/>
      <c r="Q96" s="140"/>
      <c r="R96" s="140"/>
      <c r="S96" s="142"/>
      <c r="T96" s="140"/>
      <c r="U96" s="140"/>
      <c r="V96" s="140"/>
      <c r="W96" s="142"/>
      <c r="X96" s="67"/>
      <c r="Y96" s="89" t="s">
        <v>91</v>
      </c>
      <c r="Z96" s="53" t="s">
        <v>60</v>
      </c>
    </row>
    <row r="97" spans="1:26" ht="25.5" customHeight="1" x14ac:dyDescent="0.2">
      <c r="A97" s="44" t="s">
        <v>153</v>
      </c>
      <c r="B97" s="45" t="s">
        <v>154</v>
      </c>
      <c r="C97" s="46" t="s">
        <v>146</v>
      </c>
      <c r="D97" s="46" t="s">
        <v>58</v>
      </c>
      <c r="E97" s="139" t="s">
        <v>505</v>
      </c>
      <c r="F97" s="62">
        <v>0.91</v>
      </c>
      <c r="G97" s="63">
        <v>0.92</v>
      </c>
      <c r="H97" s="140"/>
      <c r="I97" s="140"/>
      <c r="J97" s="140"/>
      <c r="K97" s="141">
        <v>0.7</v>
      </c>
      <c r="L97" s="140"/>
      <c r="M97" s="140"/>
      <c r="N97" s="140"/>
      <c r="O97" s="142">
        <v>0.7</v>
      </c>
      <c r="P97" s="140"/>
      <c r="Q97" s="140"/>
      <c r="R97" s="140"/>
      <c r="S97" s="142"/>
      <c r="T97" s="140"/>
      <c r="U97" s="140"/>
      <c r="V97" s="140"/>
      <c r="W97" s="142"/>
      <c r="X97" s="67">
        <v>0.7</v>
      </c>
      <c r="Y97" s="89" t="s">
        <v>67</v>
      </c>
      <c r="Z97" s="53" t="s">
        <v>155</v>
      </c>
    </row>
    <row r="98" spans="1:26" ht="25.5" customHeight="1" x14ac:dyDescent="0.2">
      <c r="A98" s="44" t="s">
        <v>156</v>
      </c>
      <c r="B98" s="45" t="s">
        <v>157</v>
      </c>
      <c r="C98" s="46" t="s">
        <v>146</v>
      </c>
      <c r="D98" s="46" t="s">
        <v>58</v>
      </c>
      <c r="E98" s="139" t="s">
        <v>505</v>
      </c>
      <c r="F98" s="62">
        <v>0.78</v>
      </c>
      <c r="G98" s="66">
        <v>0.85</v>
      </c>
      <c r="H98" s="140"/>
      <c r="I98" s="140"/>
      <c r="J98" s="140"/>
      <c r="K98" s="141">
        <v>1</v>
      </c>
      <c r="L98" s="140"/>
      <c r="M98" s="140"/>
      <c r="N98" s="140"/>
      <c r="O98" s="142">
        <v>1</v>
      </c>
      <c r="P98" s="140"/>
      <c r="Q98" s="140"/>
      <c r="R98" s="140"/>
      <c r="S98" s="142"/>
      <c r="T98" s="140"/>
      <c r="U98" s="140"/>
      <c r="V98" s="140"/>
      <c r="W98" s="142"/>
      <c r="X98" s="67">
        <v>1</v>
      </c>
      <c r="Y98" s="89" t="s">
        <v>59</v>
      </c>
      <c r="Z98" s="53" t="s">
        <v>158</v>
      </c>
    </row>
    <row r="99" spans="1:26" ht="25.5" customHeight="1" x14ac:dyDescent="0.2">
      <c r="A99" s="44" t="s">
        <v>159</v>
      </c>
      <c r="B99" s="45" t="s">
        <v>160</v>
      </c>
      <c r="C99" s="46" t="s">
        <v>146</v>
      </c>
      <c r="D99" s="46" t="s">
        <v>58</v>
      </c>
      <c r="E99" s="139" t="s">
        <v>505</v>
      </c>
      <c r="F99" s="62">
        <v>0.78600000000000003</v>
      </c>
      <c r="G99" s="63">
        <v>0.8</v>
      </c>
      <c r="H99" s="140"/>
      <c r="I99" s="140"/>
      <c r="J99" s="140"/>
      <c r="K99" s="141">
        <v>1</v>
      </c>
      <c r="L99" s="140"/>
      <c r="M99" s="140"/>
      <c r="N99" s="140"/>
      <c r="O99" s="142">
        <v>1</v>
      </c>
      <c r="P99" s="140"/>
      <c r="Q99" s="140"/>
      <c r="R99" s="140"/>
      <c r="S99" s="142"/>
      <c r="T99" s="140"/>
      <c r="U99" s="140"/>
      <c r="V99" s="140"/>
      <c r="W99" s="142"/>
      <c r="X99" s="67">
        <v>1</v>
      </c>
      <c r="Y99" s="89" t="s">
        <v>59</v>
      </c>
      <c r="Z99" s="53" t="s">
        <v>60</v>
      </c>
    </row>
    <row r="100" spans="1:26" ht="25.5" customHeight="1" x14ac:dyDescent="0.2">
      <c r="A100" s="44" t="s">
        <v>161</v>
      </c>
      <c r="B100" s="45" t="s">
        <v>162</v>
      </c>
      <c r="C100" s="46" t="s">
        <v>146</v>
      </c>
      <c r="D100" s="46" t="s">
        <v>58</v>
      </c>
      <c r="E100" s="139" t="s">
        <v>505</v>
      </c>
      <c r="F100" s="62">
        <v>0.98</v>
      </c>
      <c r="G100" s="63">
        <v>0.6</v>
      </c>
      <c r="H100" s="140"/>
      <c r="I100" s="140"/>
      <c r="J100" s="140"/>
      <c r="K100" s="141">
        <v>0.98899999999999999</v>
      </c>
      <c r="L100" s="140"/>
      <c r="M100" s="140"/>
      <c r="N100" s="140"/>
      <c r="O100" s="142"/>
      <c r="P100" s="140"/>
      <c r="Q100" s="140"/>
      <c r="R100" s="140"/>
      <c r="S100" s="142"/>
      <c r="T100" s="140"/>
      <c r="U100" s="140"/>
      <c r="V100" s="140"/>
      <c r="W100" s="142"/>
      <c r="X100" s="67">
        <v>0.98899999999999999</v>
      </c>
      <c r="Y100" s="89" t="s">
        <v>59</v>
      </c>
      <c r="Z100" s="53" t="s">
        <v>60</v>
      </c>
    </row>
    <row r="101" spans="1:26" ht="25.5" customHeight="1" x14ac:dyDescent="0.2">
      <c r="A101" s="44" t="s">
        <v>163</v>
      </c>
      <c r="B101" s="45" t="s">
        <v>164</v>
      </c>
      <c r="C101" s="46" t="s">
        <v>146</v>
      </c>
      <c r="D101" s="46" t="s">
        <v>64</v>
      </c>
      <c r="E101" s="139" t="s">
        <v>505</v>
      </c>
      <c r="F101" s="69">
        <v>13.3</v>
      </c>
      <c r="G101" s="84">
        <v>25</v>
      </c>
      <c r="H101" s="150"/>
      <c r="I101" s="150"/>
      <c r="J101" s="150"/>
      <c r="K101" s="151">
        <v>16</v>
      </c>
      <c r="L101" s="150"/>
      <c r="M101" s="150"/>
      <c r="N101" s="150"/>
      <c r="O101" s="152"/>
      <c r="P101" s="150"/>
      <c r="Q101" s="150"/>
      <c r="R101" s="150"/>
      <c r="S101" s="152"/>
      <c r="T101" s="150"/>
      <c r="U101" s="150"/>
      <c r="V101" s="150"/>
      <c r="W101" s="152">
        <v>14.8</v>
      </c>
      <c r="X101" s="100">
        <v>16</v>
      </c>
      <c r="Y101" s="89" t="s">
        <v>59</v>
      </c>
      <c r="Z101" s="53" t="s">
        <v>60</v>
      </c>
    </row>
    <row r="102" spans="1:26" ht="25.5" customHeight="1" x14ac:dyDescent="0.2">
      <c r="A102" s="44" t="s">
        <v>165</v>
      </c>
      <c r="B102" s="45" t="s">
        <v>166</v>
      </c>
      <c r="C102" s="46" t="s">
        <v>146</v>
      </c>
      <c r="D102" s="46" t="s">
        <v>64</v>
      </c>
      <c r="E102" s="139" t="s">
        <v>505</v>
      </c>
      <c r="F102" s="77">
        <v>31.9</v>
      </c>
      <c r="G102" s="97">
        <v>15.95</v>
      </c>
      <c r="H102" s="147"/>
      <c r="I102" s="147"/>
      <c r="J102" s="147"/>
      <c r="K102" s="148">
        <v>0</v>
      </c>
      <c r="L102" s="147"/>
      <c r="M102" s="147"/>
      <c r="N102" s="147"/>
      <c r="O102" s="149">
        <v>0</v>
      </c>
      <c r="P102" s="147"/>
      <c r="Q102" s="147"/>
      <c r="R102" s="147"/>
      <c r="S102" s="149"/>
      <c r="T102" s="147"/>
      <c r="U102" s="147"/>
      <c r="V102" s="147"/>
      <c r="W102" s="149"/>
      <c r="X102" s="79">
        <v>0</v>
      </c>
      <c r="Y102" s="89" t="s">
        <v>59</v>
      </c>
      <c r="Z102" s="53" t="s">
        <v>60</v>
      </c>
    </row>
    <row r="103" spans="1:26" ht="25.5" customHeight="1" x14ac:dyDescent="0.2">
      <c r="A103" s="44" t="s">
        <v>167</v>
      </c>
      <c r="B103" s="45" t="s">
        <v>168</v>
      </c>
      <c r="C103" s="46" t="s">
        <v>146</v>
      </c>
      <c r="D103" s="46" t="s">
        <v>64</v>
      </c>
      <c r="E103" s="139" t="s">
        <v>505</v>
      </c>
      <c r="F103" s="77">
        <v>56.1</v>
      </c>
      <c r="G103" s="97">
        <v>28.05</v>
      </c>
      <c r="H103" s="147"/>
      <c r="I103" s="147"/>
      <c r="J103" s="147"/>
      <c r="K103" s="148">
        <v>20</v>
      </c>
      <c r="L103" s="147"/>
      <c r="M103" s="147"/>
      <c r="N103" s="147"/>
      <c r="O103" s="149">
        <v>13</v>
      </c>
      <c r="P103" s="147"/>
      <c r="Q103" s="147"/>
      <c r="R103" s="147"/>
      <c r="S103" s="149"/>
      <c r="T103" s="147"/>
      <c r="U103" s="147"/>
      <c r="V103" s="147"/>
      <c r="W103" s="149"/>
      <c r="X103" s="79">
        <v>20</v>
      </c>
      <c r="Y103" s="89" t="s">
        <v>59</v>
      </c>
      <c r="Z103" s="53" t="s">
        <v>60</v>
      </c>
    </row>
    <row r="104" spans="1:26" ht="25.5" customHeight="1" x14ac:dyDescent="0.2">
      <c r="A104" s="44" t="s">
        <v>169</v>
      </c>
      <c r="B104" s="45" t="s">
        <v>170</v>
      </c>
      <c r="C104" s="46" t="s">
        <v>146</v>
      </c>
      <c r="D104" s="46" t="s">
        <v>64</v>
      </c>
      <c r="E104" s="139" t="s">
        <v>505</v>
      </c>
      <c r="F104" s="77">
        <v>39.799999999999997</v>
      </c>
      <c r="G104" s="97">
        <v>75</v>
      </c>
      <c r="H104" s="147"/>
      <c r="I104" s="147"/>
      <c r="J104" s="147"/>
      <c r="K104" s="148">
        <v>0</v>
      </c>
      <c r="L104" s="147"/>
      <c r="M104" s="147"/>
      <c r="N104" s="147"/>
      <c r="O104" s="149">
        <v>2</v>
      </c>
      <c r="P104" s="147"/>
      <c r="Q104" s="147"/>
      <c r="R104" s="147"/>
      <c r="S104" s="149"/>
      <c r="T104" s="147"/>
      <c r="U104" s="147"/>
      <c r="V104" s="147"/>
      <c r="W104" s="149"/>
      <c r="X104" s="79">
        <v>0</v>
      </c>
      <c r="Y104" s="89" t="s">
        <v>59</v>
      </c>
      <c r="Z104" s="53" t="s">
        <v>60</v>
      </c>
    </row>
    <row r="105" spans="1:26" ht="25.5" customHeight="1" x14ac:dyDescent="0.2">
      <c r="A105" s="44" t="s">
        <v>171</v>
      </c>
      <c r="B105" s="45" t="s">
        <v>172</v>
      </c>
      <c r="C105" s="46" t="s">
        <v>146</v>
      </c>
      <c r="D105" s="46" t="s">
        <v>64</v>
      </c>
      <c r="E105" s="139" t="s">
        <v>505</v>
      </c>
      <c r="F105" s="77">
        <v>15.7</v>
      </c>
      <c r="G105" s="97">
        <v>7.85</v>
      </c>
      <c r="H105" s="147"/>
      <c r="I105" s="147"/>
      <c r="J105" s="147"/>
      <c r="K105" s="148">
        <v>0</v>
      </c>
      <c r="L105" s="147"/>
      <c r="M105" s="147"/>
      <c r="N105" s="147"/>
      <c r="O105" s="149">
        <v>0</v>
      </c>
      <c r="P105" s="147"/>
      <c r="Q105" s="147"/>
      <c r="R105" s="147"/>
      <c r="S105" s="149"/>
      <c r="T105" s="147"/>
      <c r="U105" s="147"/>
      <c r="V105" s="147"/>
      <c r="W105" s="149"/>
      <c r="X105" s="79">
        <v>0</v>
      </c>
      <c r="Y105" s="89" t="s">
        <v>59</v>
      </c>
      <c r="Z105" s="53" t="s">
        <v>128</v>
      </c>
    </row>
    <row r="106" spans="1:26" ht="25.5" customHeight="1" x14ac:dyDescent="0.2">
      <c r="A106" s="44" t="s">
        <v>173</v>
      </c>
      <c r="B106" s="45" t="s">
        <v>174</v>
      </c>
      <c r="C106" s="46" t="s">
        <v>146</v>
      </c>
      <c r="D106" s="46" t="s">
        <v>64</v>
      </c>
      <c r="E106" s="139" t="s">
        <v>505</v>
      </c>
      <c r="F106" s="77">
        <v>11.7</v>
      </c>
      <c r="G106" s="57">
        <v>5.85</v>
      </c>
      <c r="H106" s="147"/>
      <c r="I106" s="147"/>
      <c r="J106" s="147"/>
      <c r="K106" s="148">
        <v>12.2</v>
      </c>
      <c r="L106" s="147"/>
      <c r="M106" s="147"/>
      <c r="N106" s="147"/>
      <c r="O106" s="149">
        <v>5.9055118110236204</v>
      </c>
      <c r="P106" s="147"/>
      <c r="Q106" s="147"/>
      <c r="R106" s="147"/>
      <c r="S106" s="149"/>
      <c r="T106" s="147"/>
      <c r="U106" s="147"/>
      <c r="V106" s="147"/>
      <c r="W106" s="149"/>
      <c r="X106" s="79">
        <v>12.2</v>
      </c>
      <c r="Y106" s="89" t="s">
        <v>67</v>
      </c>
      <c r="Z106" s="53" t="s">
        <v>60</v>
      </c>
    </row>
    <row r="107" spans="1:26" ht="25.5" customHeight="1" x14ac:dyDescent="0.2">
      <c r="A107" s="44" t="s">
        <v>194</v>
      </c>
      <c r="B107" s="45" t="s">
        <v>195</v>
      </c>
      <c r="C107" s="46" t="s">
        <v>196</v>
      </c>
      <c r="D107" s="46" t="s">
        <v>58</v>
      </c>
      <c r="E107" s="139" t="s">
        <v>505</v>
      </c>
      <c r="F107" s="62">
        <v>0.48299999999999998</v>
      </c>
      <c r="G107" s="63">
        <v>0.56059999999999999</v>
      </c>
      <c r="H107" s="140"/>
      <c r="I107" s="140"/>
      <c r="J107" s="140"/>
      <c r="K107" s="141">
        <v>0.19796954314720799</v>
      </c>
      <c r="L107" s="140"/>
      <c r="M107" s="140"/>
      <c r="N107" s="140"/>
      <c r="O107" s="142">
        <v>0.12554112554112601</v>
      </c>
      <c r="P107" s="140"/>
      <c r="Q107" s="140"/>
      <c r="R107" s="140"/>
      <c r="S107" s="142"/>
      <c r="T107" s="140"/>
      <c r="U107" s="140"/>
      <c r="V107" s="140"/>
      <c r="W107" s="142"/>
      <c r="X107" s="67">
        <v>0.19796954314720799</v>
      </c>
      <c r="Y107" s="89" t="s">
        <v>67</v>
      </c>
      <c r="Z107" s="53" t="s">
        <v>68</v>
      </c>
    </row>
    <row r="108" spans="1:26" ht="25.5" customHeight="1" x14ac:dyDescent="0.2">
      <c r="A108" s="44" t="s">
        <v>197</v>
      </c>
      <c r="B108" s="45" t="s">
        <v>198</v>
      </c>
      <c r="C108" s="46" t="s">
        <v>196</v>
      </c>
      <c r="D108" s="46" t="s">
        <v>64</v>
      </c>
      <c r="E108" s="139" t="s">
        <v>505</v>
      </c>
      <c r="F108" s="62" t="s">
        <v>24</v>
      </c>
      <c r="G108" s="66" t="s">
        <v>24</v>
      </c>
      <c r="H108" s="140"/>
      <c r="I108" s="140"/>
      <c r="J108" s="140"/>
      <c r="K108" s="141">
        <v>0.25609756097560998</v>
      </c>
      <c r="L108" s="140"/>
      <c r="M108" s="140"/>
      <c r="N108" s="140"/>
      <c r="O108" s="142"/>
      <c r="P108" s="140"/>
      <c r="Q108" s="140"/>
      <c r="R108" s="140"/>
      <c r="S108" s="142"/>
      <c r="T108" s="140"/>
      <c r="U108" s="140"/>
      <c r="V108" s="140"/>
      <c r="W108" s="142"/>
      <c r="X108" s="67">
        <v>0.25609756097560998</v>
      </c>
      <c r="Y108" s="89" t="s">
        <v>71</v>
      </c>
      <c r="Z108" s="53" t="s">
        <v>186</v>
      </c>
    </row>
    <row r="109" spans="1:26" ht="25.5" customHeight="1" x14ac:dyDescent="0.2">
      <c r="A109" s="44" t="s">
        <v>200</v>
      </c>
      <c r="B109" s="45" t="s">
        <v>201</v>
      </c>
      <c r="C109" s="46" t="s">
        <v>196</v>
      </c>
      <c r="D109" s="46" t="s">
        <v>64</v>
      </c>
      <c r="E109" s="139" t="s">
        <v>505</v>
      </c>
      <c r="F109" s="62">
        <v>7.0000000000000007E-2</v>
      </c>
      <c r="G109" s="63">
        <v>0.115</v>
      </c>
      <c r="H109" s="140"/>
      <c r="I109" s="140"/>
      <c r="J109" s="140"/>
      <c r="K109" s="141">
        <v>0.17599999999999999</v>
      </c>
      <c r="L109" s="140"/>
      <c r="M109" s="140"/>
      <c r="N109" s="140"/>
      <c r="O109" s="142"/>
      <c r="P109" s="140"/>
      <c r="Q109" s="140"/>
      <c r="R109" s="140"/>
      <c r="S109" s="142"/>
      <c r="T109" s="140"/>
      <c r="U109" s="140"/>
      <c r="V109" s="140"/>
      <c r="W109" s="142"/>
      <c r="X109" s="67">
        <v>0.17599999999999999</v>
      </c>
      <c r="Y109" s="89" t="s">
        <v>67</v>
      </c>
      <c r="Z109" s="53" t="s">
        <v>60</v>
      </c>
    </row>
    <row r="110" spans="1:26" ht="25.5" customHeight="1" x14ac:dyDescent="0.2">
      <c r="A110" s="44" t="s">
        <v>467</v>
      </c>
      <c r="B110" s="45" t="s">
        <v>468</v>
      </c>
      <c r="C110" s="46" t="s">
        <v>196</v>
      </c>
      <c r="D110" s="46" t="s">
        <v>58</v>
      </c>
      <c r="E110" s="139" t="s">
        <v>507</v>
      </c>
      <c r="F110" s="62">
        <v>0.755</v>
      </c>
      <c r="G110" s="66">
        <v>0.7</v>
      </c>
      <c r="H110" s="140"/>
      <c r="I110" s="140"/>
      <c r="J110" s="140"/>
      <c r="K110" s="142"/>
      <c r="L110" s="140"/>
      <c r="M110" s="140"/>
      <c r="N110" s="140"/>
      <c r="O110" s="142"/>
      <c r="P110" s="140"/>
      <c r="Q110" s="140"/>
      <c r="R110" s="140"/>
      <c r="S110" s="142"/>
      <c r="T110" s="140"/>
      <c r="U110" s="140"/>
      <c r="V110" s="140"/>
      <c r="W110" s="142"/>
      <c r="X110" s="67"/>
      <c r="Y110" s="89" t="s">
        <v>91</v>
      </c>
      <c r="Z110" s="53" t="s">
        <v>60</v>
      </c>
    </row>
    <row r="111" spans="1:26" ht="25.5" customHeight="1" x14ac:dyDescent="0.2">
      <c r="A111" s="44" t="s">
        <v>215</v>
      </c>
      <c r="B111" s="45" t="s">
        <v>216</v>
      </c>
      <c r="C111" s="46" t="s">
        <v>21</v>
      </c>
      <c r="D111" s="46" t="s">
        <v>64</v>
      </c>
      <c r="E111" s="139" t="s">
        <v>505</v>
      </c>
      <c r="F111" s="90">
        <v>20.7</v>
      </c>
      <c r="G111" s="91">
        <v>21</v>
      </c>
      <c r="H111" s="140"/>
      <c r="I111" s="140"/>
      <c r="J111" s="140"/>
      <c r="K111" s="143"/>
      <c r="L111" s="140"/>
      <c r="M111" s="140"/>
      <c r="N111" s="140"/>
      <c r="O111" s="143"/>
      <c r="P111" s="140"/>
      <c r="Q111" s="140"/>
      <c r="R111" s="140"/>
      <c r="S111" s="143"/>
      <c r="T111" s="140"/>
      <c r="U111" s="140"/>
      <c r="V111" s="140"/>
      <c r="W111" s="143"/>
      <c r="X111" s="93"/>
      <c r="Y111" s="89" t="s">
        <v>91</v>
      </c>
      <c r="Z111" s="53" t="s">
        <v>60</v>
      </c>
    </row>
    <row r="112" spans="1:26" ht="25.5" customHeight="1" x14ac:dyDescent="0.2">
      <c r="A112" s="44" t="s">
        <v>427</v>
      </c>
      <c r="B112" s="45" t="s">
        <v>428</v>
      </c>
      <c r="C112" s="46" t="s">
        <v>21</v>
      </c>
      <c r="D112" s="46" t="s">
        <v>64</v>
      </c>
      <c r="E112" s="139" t="s">
        <v>504</v>
      </c>
      <c r="F112" s="90">
        <v>6</v>
      </c>
      <c r="G112" s="91">
        <v>5</v>
      </c>
      <c r="H112" s="140"/>
      <c r="I112" s="140"/>
      <c r="J112" s="140"/>
      <c r="K112" s="143" t="str">
        <f>IF(COUNT(H113:J113)=0,"",AVERAGE(H113:J113))</f>
        <v/>
      </c>
      <c r="L112" s="140"/>
      <c r="M112" s="140"/>
      <c r="N112" s="140"/>
      <c r="O112" s="143" t="str">
        <f>IF(COUNT(L113:N113)=0,"",AVERAGE(L113:N113))</f>
        <v/>
      </c>
      <c r="P112" s="140"/>
      <c r="Q112" s="140"/>
      <c r="R112" s="140"/>
      <c r="S112" s="143" t="str">
        <f>IF(COUNT(P113:R113)=0,"",AVERAGE(P113:R113))</f>
        <v/>
      </c>
      <c r="T112" s="140"/>
      <c r="U112" s="140"/>
      <c r="V112" s="140"/>
      <c r="W112" s="143" t="str">
        <f>IF(COUNT(T113:V113)=0,"",AVERAGE(T113:V113))</f>
        <v/>
      </c>
      <c r="X112" s="93"/>
      <c r="Y112" s="89" t="s">
        <v>91</v>
      </c>
      <c r="Z112" s="53" t="s">
        <v>128</v>
      </c>
    </row>
    <row r="113" spans="8:22" ht="25.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>
      <c r="H702" s="88"/>
      <c r="I702" s="88"/>
      <c r="J702" s="88"/>
      <c r="L702" s="88"/>
      <c r="M702" s="88"/>
      <c r="N702" s="88"/>
      <c r="P702" s="88"/>
      <c r="Q702" s="88"/>
      <c r="R702" s="88"/>
      <c r="T702" s="88"/>
      <c r="U702" s="88"/>
      <c r="V702" s="88"/>
    </row>
    <row r="703" spans="8:22" ht="15" customHeight="1" x14ac:dyDescent="0.2">
      <c r="H703" s="88"/>
      <c r="I703" s="88"/>
      <c r="J703" s="88"/>
      <c r="L703" s="88"/>
      <c r="M703" s="88"/>
      <c r="N703" s="88"/>
      <c r="P703" s="88"/>
      <c r="Q703" s="88"/>
      <c r="R703" s="88"/>
      <c r="T703" s="88"/>
      <c r="U703" s="88"/>
      <c r="V703" s="88"/>
    </row>
    <row r="704" spans="8:22" ht="15" customHeight="1" x14ac:dyDescent="0.2">
      <c r="H704" s="88"/>
      <c r="I704" s="88"/>
      <c r="J704" s="88"/>
      <c r="L704" s="88"/>
      <c r="M704" s="88"/>
      <c r="N704" s="88"/>
      <c r="P704" s="88"/>
      <c r="Q704" s="88"/>
      <c r="R704" s="88"/>
      <c r="T704" s="88"/>
      <c r="U704" s="88"/>
      <c r="V704" s="88"/>
    </row>
    <row r="705" spans="8:22" ht="15" customHeight="1" x14ac:dyDescent="0.2">
      <c r="H705" s="88"/>
      <c r="I705" s="88"/>
      <c r="J705" s="88"/>
      <c r="L705" s="88"/>
      <c r="M705" s="88"/>
      <c r="N705" s="88"/>
      <c r="P705" s="88"/>
      <c r="Q705" s="88"/>
      <c r="R705" s="88"/>
      <c r="T705" s="88"/>
      <c r="U705" s="88"/>
      <c r="V705" s="88"/>
    </row>
    <row r="706" spans="8:22" ht="15" customHeight="1" x14ac:dyDescent="0.2">
      <c r="H706" s="88"/>
      <c r="I706" s="88"/>
      <c r="J706" s="88"/>
      <c r="L706" s="88"/>
      <c r="M706" s="88"/>
      <c r="N706" s="88"/>
      <c r="P706" s="88"/>
      <c r="Q706" s="88"/>
      <c r="R706" s="88"/>
      <c r="T706" s="88"/>
      <c r="U706" s="88"/>
      <c r="V706" s="88"/>
    </row>
    <row r="707" spans="8:22" ht="15" customHeight="1" x14ac:dyDescent="0.2">
      <c r="H707" s="88"/>
      <c r="I707" s="88"/>
      <c r="J707" s="88"/>
      <c r="L707" s="88"/>
      <c r="M707" s="88"/>
      <c r="N707" s="88"/>
      <c r="P707" s="88"/>
      <c r="Q707" s="88"/>
      <c r="R707" s="88"/>
      <c r="T707" s="88"/>
      <c r="U707" s="88"/>
      <c r="V707" s="88"/>
    </row>
    <row r="708" spans="8:22" ht="15" customHeight="1" x14ac:dyDescent="0.2">
      <c r="H708" s="88"/>
      <c r="I708" s="88"/>
      <c r="J708" s="88"/>
      <c r="L708" s="88"/>
      <c r="M708" s="88"/>
      <c r="N708" s="88"/>
      <c r="P708" s="88"/>
      <c r="Q708" s="88"/>
      <c r="R708" s="88"/>
      <c r="T708" s="88"/>
      <c r="U708" s="88"/>
      <c r="V708" s="88"/>
    </row>
    <row r="709" spans="8:22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13">
    <cfRule type="expression" dxfId="79" priority="2">
      <formula>AND(ISNUMBER(H36),ISNUMBER($G36),OR(AND($D36="P",H36&gt;=$G36),AND($D36="N",H36&lt;=$G36)))</formula>
    </cfRule>
    <cfRule type="expression" dxfId="78" priority="3">
      <formula>AND(ISNUMBER(H36),ISNUMBER($G36),OR(AND($D36="P",H36&lt;$G36),AND($D36="N",H36&gt;$G36)))</formula>
    </cfRule>
  </conditionalFormatting>
  <conditionalFormatting sqref="X36:X113">
    <cfRule type="expression" dxfId="77" priority="4">
      <formula>$Y36="✓ On Target"</formula>
    </cfRule>
    <cfRule type="expression" dxfId="76" priority="5">
      <formula>$Y36="✗ Off Target"</formula>
    </cfRule>
    <cfRule type="expression" dxfId="75" priority="6">
      <formula>$Y36="— No Data"</formula>
    </cfRule>
    <cfRule type="expression" dxfId="74" priority="7">
      <formula>$Y36="⊘ Non Target"</formula>
    </cfRule>
  </conditionalFormatting>
  <conditionalFormatting sqref="Y36:Y113">
    <cfRule type="expression" dxfId="73" priority="8">
      <formula>Y36="✓ On Target"</formula>
    </cfRule>
    <cfRule type="expression" dxfId="72" priority="9">
      <formula>Y36="✗ Off Target"</formula>
    </cfRule>
    <cfRule type="expression" dxfId="71" priority="10">
      <formula>Y36="— No Data"</formula>
    </cfRule>
    <cfRule type="expression" dxfId="70" priority="11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696"/>
  <sheetViews>
    <sheetView showGridLines="0" topLeftCell="A46" zoomScaleNormal="100" workbookViewId="0">
      <selection activeCell="N54" sqref="N54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529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23</v>
      </c>
      <c r="C12" s="157"/>
      <c r="D12" s="201">
        <v>13</v>
      </c>
      <c r="E12" s="157"/>
      <c r="F12" s="196">
        <v>3</v>
      </c>
      <c r="G12" s="157"/>
      <c r="H12" s="200">
        <v>2</v>
      </c>
      <c r="I12" s="157"/>
      <c r="K12" s="193">
        <v>7</v>
      </c>
      <c r="L12" s="157"/>
      <c r="M12" s="201">
        <v>2</v>
      </c>
      <c r="N12" s="157"/>
      <c r="O12" s="196">
        <v>1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530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30</v>
      </c>
      <c r="C19" s="157"/>
      <c r="D19" s="157"/>
      <c r="E19" s="205">
        <v>15</v>
      </c>
      <c r="F19" s="157"/>
      <c r="G19" s="157"/>
      <c r="I19" s="204">
        <v>4</v>
      </c>
      <c r="J19" s="157"/>
      <c r="K19" s="157"/>
      <c r="M19" s="199">
        <v>2</v>
      </c>
      <c r="N19" s="157"/>
      <c r="O19" s="157"/>
      <c r="Q19" s="194">
        <v>25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531</v>
      </c>
      <c r="F21" s="157"/>
      <c r="G21" s="157"/>
      <c r="I21" s="160" t="s">
        <v>532</v>
      </c>
      <c r="J21" s="157"/>
      <c r="K21" s="157"/>
      <c r="M21" s="160" t="s">
        <v>533</v>
      </c>
      <c r="N21" s="157"/>
      <c r="O21" s="157"/>
      <c r="Q21" s="195" t="s">
        <v>534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535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4</v>
      </c>
      <c r="E25" s="33">
        <v>0</v>
      </c>
      <c r="F25" s="34">
        <v>1</v>
      </c>
      <c r="G25" s="35">
        <v>1</v>
      </c>
    </row>
    <row r="26" spans="2:19" ht="21.75" customHeight="1" x14ac:dyDescent="0.2">
      <c r="B26" s="24" t="s">
        <v>19</v>
      </c>
      <c r="C26" s="41">
        <v>7</v>
      </c>
      <c r="D26" s="26">
        <v>3</v>
      </c>
      <c r="E26" s="27">
        <v>2</v>
      </c>
      <c r="F26" s="28">
        <v>1</v>
      </c>
      <c r="G26" s="29">
        <v>0.6</v>
      </c>
    </row>
    <row r="27" spans="2:19" ht="21.75" customHeight="1" x14ac:dyDescent="0.2">
      <c r="B27" s="30" t="s">
        <v>20</v>
      </c>
      <c r="C27" s="40">
        <v>10</v>
      </c>
      <c r="D27" s="32">
        <v>8</v>
      </c>
      <c r="E27" s="33">
        <v>1</v>
      </c>
      <c r="F27" s="34">
        <v>0</v>
      </c>
      <c r="G27" s="35">
        <v>0.88888888888888895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0</v>
      </c>
      <c r="E29" s="33">
        <v>1</v>
      </c>
      <c r="F29" s="34">
        <v>0</v>
      </c>
      <c r="G29" s="35">
        <v>0</v>
      </c>
    </row>
    <row r="30" spans="2:19" ht="25.5" customHeight="1" x14ac:dyDescent="0.2">
      <c r="B30" s="36" t="s">
        <v>37</v>
      </c>
      <c r="C30" s="38">
        <v>30</v>
      </c>
      <c r="D30" s="38">
        <v>15</v>
      </c>
      <c r="E30" s="38">
        <v>4</v>
      </c>
      <c r="F30" s="38">
        <v>2</v>
      </c>
      <c r="G30" s="39">
        <v>0.78947368421052599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0</v>
      </c>
      <c r="I36" s="64">
        <v>1.06951871657754E-2</v>
      </c>
      <c r="J36" s="64">
        <v>4.4642857142857097E-3</v>
      </c>
      <c r="K36" s="130">
        <f>IF(COUNT(H36:J36)=0,"",AVERAGE(H36:J36))</f>
        <v>5.0531576266870373E-3</v>
      </c>
      <c r="L36" s="65">
        <v>3.3444816053511701E-3</v>
      </c>
      <c r="M36" s="65">
        <v>7.1174377224199302E-3</v>
      </c>
      <c r="N36" s="65">
        <v>1.8726591760299598E-2</v>
      </c>
      <c r="O36" s="130">
        <f>IF(COUNT(L36:N36)=0,"",AVERAGE(L36:N36))</f>
        <v>9.7295036960235656E-3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4.1988196160190998E-3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5.5821025195482203E-2</v>
      </c>
      <c r="I38" s="64">
        <v>3.72171706491859E-2</v>
      </c>
      <c r="J38" s="64">
        <v>2.9455519190717101E-2</v>
      </c>
      <c r="K38" s="130">
        <f>IF(COUNT(H38:J38)=0,"",AVERAGE(H38:J38))</f>
        <v>4.0831238345128397E-2</v>
      </c>
      <c r="L38" s="65">
        <v>4.6450482033304097E-2</v>
      </c>
      <c r="M38" s="65">
        <v>5.9374230105937398E-2</v>
      </c>
      <c r="N38" s="65">
        <v>7.3417097807341694E-2</v>
      </c>
      <c r="O38" s="130">
        <f>IF(COUNT(L38:N38)=0,"",AVERAGE(L38:N38))</f>
        <v>5.9747269982194394E-2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4.3640860189216202E-2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6.4991334488734799E-3</v>
      </c>
      <c r="I39" s="56">
        <v>7.0688030160226201E-3</v>
      </c>
      <c r="J39" s="56">
        <v>5.4565296471444204E-3</v>
      </c>
      <c r="K39" s="132">
        <f>IF(COUNT(H39:J39)=0,"",AVERAGE(H39:J39))</f>
        <v>6.3414887040135065E-3</v>
      </c>
      <c r="L39" s="78">
        <v>5.6904400606980297E-3</v>
      </c>
      <c r="M39" s="78">
        <v>6.9513406156901702E-3</v>
      </c>
      <c r="N39" s="78">
        <v>6.9513406156901702E-3</v>
      </c>
      <c r="O39" s="132">
        <f>IF(COUNT(L39:N39)=0,"",AVERAGE(L39:N39))</f>
        <v>6.5310404306927897E-3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6.0159643823557698E-3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2.8905531467612699E-3</v>
      </c>
      <c r="I40" s="56">
        <v>4.4852191641182497E-3</v>
      </c>
      <c r="J40" s="56">
        <v>3.1791907514450899E-3</v>
      </c>
      <c r="K40" s="132">
        <f>IF(COUNT(H40:J40)=0,"",AVERAGE(H40:J40))</f>
        <v>3.5183210207748697E-3</v>
      </c>
      <c r="L40" s="78">
        <v>3.6850921273031802E-3</v>
      </c>
      <c r="M40" s="78">
        <v>5.1162790697674397E-3</v>
      </c>
      <c r="N40" s="78">
        <v>5.1162790697674397E-3</v>
      </c>
      <c r="O40" s="132">
        <f>IF(COUNT(L40:N40)=0,"",AVERAGE(L40:N40))</f>
        <v>4.639216755612686E-3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3.6017065740390299E-3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0.72491039426523296</v>
      </c>
      <c r="I41" s="64">
        <v>0.53769841269841301</v>
      </c>
      <c r="J41" s="64">
        <v>0.66935483870967705</v>
      </c>
      <c r="K41" s="130">
        <f>IF(COUNT(H41:J41)=0,"",AVERAGE(H41:J41))</f>
        <v>0.64398788189110767</v>
      </c>
      <c r="L41" s="65">
        <v>0.73333333333333295</v>
      </c>
      <c r="M41" s="65">
        <v>0.71082949308755805</v>
      </c>
      <c r="N41" s="65">
        <v>0.75119047619047596</v>
      </c>
      <c r="O41" s="130">
        <f>IF(COUNT(L41:N41)=0,"",AVERAGE(L41:N41))</f>
        <v>0.73178443420378902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0.68866060761222003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3.1434599156118099</v>
      </c>
      <c r="I42" s="95">
        <v>3.10650887573965</v>
      </c>
      <c r="J42" s="95">
        <v>3.4858757062146899</v>
      </c>
      <c r="K42" s="136">
        <f>IF(COUNT(H42:J42)=0,"",AVERAGE(H42:J42))</f>
        <v>3.2452814991887169</v>
      </c>
      <c r="L42" s="73">
        <v>2.7735849056603801</v>
      </c>
      <c r="M42" s="73">
        <v>2.9460580912863099</v>
      </c>
      <c r="N42" s="73">
        <v>2.5872483221476501</v>
      </c>
      <c r="O42" s="136">
        <f>IF(COUNT(L42:N42)=0,"",AVERAGE(L42:N42))</f>
        <v>2.7689637730314467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3.00943320242455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0.24657534246575299</v>
      </c>
      <c r="I43" s="64">
        <v>0.33823529411764702</v>
      </c>
      <c r="J43" s="64">
        <v>0.26373626373626402</v>
      </c>
      <c r="K43" s="130">
        <f>IF(COUNT(H43:J43)=0,"",AVERAGE(H43:J43))</f>
        <v>0.28284896677322136</v>
      </c>
      <c r="L43" s="65">
        <v>0.22535211267605601</v>
      </c>
      <c r="M43" s="65">
        <v>0.15476190476190499</v>
      </c>
      <c r="N43" s="65">
        <v>0.25882352941176501</v>
      </c>
      <c r="O43" s="130">
        <f>IF(COUNT(L43:N43)=0,"",AVERAGE(L43:N43))</f>
        <v>0.212979182283242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0.25410053972463897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0.95637583892617495</v>
      </c>
      <c r="I45" s="64">
        <v>1</v>
      </c>
      <c r="J45" s="64">
        <v>0.90370370370370401</v>
      </c>
      <c r="K45" s="130">
        <f>IF(COUNT(H45:J45)=0,"",AVERAGE(H45:J45))</f>
        <v>0.95335984754329306</v>
      </c>
      <c r="L45" s="65">
        <v>1</v>
      </c>
      <c r="M45" s="65">
        <v>1</v>
      </c>
      <c r="N45" s="65">
        <v>0.99905123339658397</v>
      </c>
      <c r="O45" s="130">
        <f>IF(COUNT(L45:N45)=0,"",AVERAGE(L45:N45))</f>
        <v>0.99968374446552799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0.97667992377164703</v>
      </c>
      <c r="Y45" s="89" t="s">
        <v>67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0</v>
      </c>
      <c r="I47" s="64">
        <v>0</v>
      </c>
      <c r="J47" s="64">
        <v>3.5237855524792401E-3</v>
      </c>
      <c r="K47" s="130">
        <f>IF(COUNT(H47:J47)=0,"",AVERAGE(H47:J47))</f>
        <v>1.1745951841597468E-3</v>
      </c>
      <c r="L47" s="65">
        <v>2.6067122841316398E-3</v>
      </c>
      <c r="M47" s="65">
        <v>7.86369593709043E-3</v>
      </c>
      <c r="N47" s="65">
        <v>1.1146496815286599E-2</v>
      </c>
      <c r="O47" s="130">
        <f>IF(COUNT(L47:N47)=0,"",AVERAGE(L47:N47))</f>
        <v>7.2056350121695563E-3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1.8906537341456899E-3</v>
      </c>
      <c r="Y47" s="89" t="s">
        <v>59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0.90569999999999995</v>
      </c>
      <c r="I48" s="65">
        <v>0.88372093023255804</v>
      </c>
      <c r="J48" s="65">
        <v>0.87880000000000003</v>
      </c>
      <c r="K48" s="130">
        <f>IF(COUNT(H48:J48)=0,"",AVERAGE(H48:J48))</f>
        <v>0.88940697674418601</v>
      </c>
      <c r="L48" s="65">
        <v>0.65959999999999996</v>
      </c>
      <c r="M48" s="65">
        <v>0.78239999999999998</v>
      </c>
      <c r="N48" s="65">
        <v>0.8</v>
      </c>
      <c r="O48" s="130">
        <f>IF(COUNT(L48:N48)=0,"",AVERAGE(L48:N48))</f>
        <v>0.74733333333333329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0.90569999999999995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0.96497695852534604</v>
      </c>
      <c r="I50" s="64">
        <v>1</v>
      </c>
      <c r="J50" s="64">
        <v>1</v>
      </c>
      <c r="K50" s="130">
        <f>IF(COUNT(H50:J50)=0,"",AVERAGE(H50:J50))</f>
        <v>0.98832565284178209</v>
      </c>
      <c r="L50" s="65">
        <v>1</v>
      </c>
      <c r="M50" s="65">
        <v>1</v>
      </c>
      <c r="N50" s="65">
        <v>0.98586239396795505</v>
      </c>
      <c r="O50" s="130">
        <f>IF(COUNT(L50:N50)=0,"",AVERAGE(L50:N50))</f>
        <v>0.99528746465598505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0.996723007933771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0.05</v>
      </c>
      <c r="I52" s="64">
        <v>2.2972972972972999E-2</v>
      </c>
      <c r="J52" s="64">
        <v>1.1829851497608899E-2</v>
      </c>
      <c r="K52" s="130">
        <f>IF(COUNT(H52:J52)=0,"",AVERAGE(H52:J52))</f>
        <v>2.8267608156860635E-2</v>
      </c>
      <c r="L52" s="65">
        <v>1.20560443141088E-2</v>
      </c>
      <c r="M52" s="65">
        <v>9.7999999999999997E-3</v>
      </c>
      <c r="N52" s="65">
        <v>4.2098649073201398E-2</v>
      </c>
      <c r="O52" s="130">
        <f>IF(COUNT(L52:N52)=0,"",AVERAGE(L52:N52))</f>
        <v>2.1318231129103398E-2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2.0161826235484698E-2</v>
      </c>
      <c r="Y52" s="89" t="s">
        <v>67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0</v>
      </c>
      <c r="M53" s="65">
        <v>0</v>
      </c>
      <c r="N53" s="65">
        <v>0</v>
      </c>
      <c r="O53" s="130">
        <f>IF(COUNT(L53:N53)=0,"",AVERAGE(L53:N53))</f>
        <v>0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8.4388185654008397E-3</v>
      </c>
      <c r="I54" s="56">
        <v>5.9171597633136102E-3</v>
      </c>
      <c r="J54" s="56">
        <v>2.82485875706215E-2</v>
      </c>
      <c r="K54" s="132">
        <f>IF(COUNT(H54:J54)=0,"",AVERAGE(H54:J54))</f>
        <v>1.4201521966445316E-2</v>
      </c>
      <c r="L54" s="78">
        <v>8.1300813008130107E-3</v>
      </c>
      <c r="M54" s="78">
        <v>4.4642857142857097E-3</v>
      </c>
      <c r="N54" s="78">
        <v>3.57142857142857E-3</v>
      </c>
      <c r="O54" s="132">
        <f>IF(COUNT(L54:N54)=0,"",AVERAGE(L54:N54))</f>
        <v>5.3885985288424296E-3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1.1165801633629201E-2</v>
      </c>
      <c r="Y54" s="89" t="s">
        <v>59</v>
      </c>
      <c r="Z54" s="53" t="s">
        <v>128</v>
      </c>
    </row>
    <row r="55" spans="1:26" ht="25.5" customHeight="1" x14ac:dyDescent="0.2">
      <c r="A55" s="44" t="s">
        <v>408</v>
      </c>
      <c r="B55" s="45" t="s">
        <v>409</v>
      </c>
      <c r="C55" s="46" t="s">
        <v>146</v>
      </c>
      <c r="D55" s="46" t="s">
        <v>58</v>
      </c>
      <c r="E55" s="44" t="s">
        <v>504</v>
      </c>
      <c r="F55" s="62">
        <v>0.82099999999999995</v>
      </c>
      <c r="G55" s="63">
        <v>0.84799999999999998</v>
      </c>
      <c r="H55" s="64">
        <v>1</v>
      </c>
      <c r="I55" s="64">
        <v>1</v>
      </c>
      <c r="J55" s="65">
        <v>1</v>
      </c>
      <c r="K55" s="130">
        <f>IF(COUNT(H55:J55)=0,"",AVERAGE(H55:J55))</f>
        <v>1</v>
      </c>
      <c r="L55" s="65">
        <v>1</v>
      </c>
      <c r="M55" s="65">
        <v>0.85709999999999997</v>
      </c>
      <c r="N55" s="65">
        <v>1</v>
      </c>
      <c r="O55" s="130">
        <f>IF(COUNT(L55:N55)=0,"",AVERAGE(L55:N55))</f>
        <v>0.95236666666666669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1</v>
      </c>
      <c r="Y55" s="89" t="s">
        <v>59</v>
      </c>
      <c r="Z55" s="53" t="s">
        <v>68</v>
      </c>
    </row>
    <row r="56" spans="1:26" ht="25.5" customHeight="1" x14ac:dyDescent="0.2">
      <c r="A56" s="44" t="s">
        <v>421</v>
      </c>
      <c r="B56" s="45" t="s">
        <v>422</v>
      </c>
      <c r="C56" s="46" t="s">
        <v>184</v>
      </c>
      <c r="D56" s="46" t="s">
        <v>58</v>
      </c>
      <c r="E56" s="44" t="s">
        <v>504</v>
      </c>
      <c r="F56" s="62" t="s">
        <v>24</v>
      </c>
      <c r="G56" s="66">
        <v>1</v>
      </c>
      <c r="H56" s="64">
        <v>0</v>
      </c>
      <c r="I56" s="64">
        <v>0</v>
      </c>
      <c r="J56" s="64">
        <v>1</v>
      </c>
      <c r="K56" s="130">
        <f>IF(COUNT(H56:J56)=0,"",LOOKUP(2,1/(H56:J56&lt;&gt;""),H56:J56))</f>
        <v>1</v>
      </c>
      <c r="L56" s="65">
        <v>1</v>
      </c>
      <c r="M56" s="65">
        <v>1</v>
      </c>
      <c r="N56" s="65">
        <v>1</v>
      </c>
      <c r="O56" s="130">
        <f>IF(COUNT(L56:N56)=0,"",LOOKUP(2,1/(L56:N56&lt;&gt;""),L56:N56))</f>
        <v>1</v>
      </c>
      <c r="P56" s="65"/>
      <c r="Q56" s="65"/>
      <c r="R56" s="65"/>
      <c r="S56" s="130" t="str">
        <f>IF(COUNT(P56:R56)=0,"",LOOKUP(2,1/(P56:R56&lt;&gt;""),P56:R56))</f>
        <v/>
      </c>
      <c r="T56" s="65"/>
      <c r="U56" s="65"/>
      <c r="V56" s="65"/>
      <c r="W56" s="130" t="str">
        <f>IF(COUNT(T56:V56)=0,"",LOOKUP(2,1/(T56:V56&lt;&gt;""),T56:V56))</f>
        <v/>
      </c>
      <c r="X56" s="67">
        <v>0.61111111111111105</v>
      </c>
      <c r="Y56" s="89" t="s">
        <v>71</v>
      </c>
      <c r="Z56" s="53" t="s">
        <v>179</v>
      </c>
    </row>
    <row r="57" spans="1:26" ht="25.5" customHeight="1" x14ac:dyDescent="0.2">
      <c r="A57" s="44" t="s">
        <v>69</v>
      </c>
      <c r="B57" s="45" t="s">
        <v>70</v>
      </c>
      <c r="C57" s="46" t="s">
        <v>21</v>
      </c>
      <c r="D57" s="46" t="s">
        <v>58</v>
      </c>
      <c r="E57" s="139" t="s">
        <v>505</v>
      </c>
      <c r="F57" s="62" t="s">
        <v>24</v>
      </c>
      <c r="G57" s="66" t="s">
        <v>24</v>
      </c>
      <c r="H57" s="140"/>
      <c r="I57" s="140"/>
      <c r="J57" s="140"/>
      <c r="K57" s="141">
        <v>1</v>
      </c>
      <c r="L57" s="140"/>
      <c r="M57" s="140"/>
      <c r="N57" s="140"/>
      <c r="O57" s="142"/>
      <c r="P57" s="140"/>
      <c r="Q57" s="140"/>
      <c r="R57" s="140"/>
      <c r="S57" s="142"/>
      <c r="T57" s="140"/>
      <c r="U57" s="140"/>
      <c r="V57" s="140"/>
      <c r="W57" s="142"/>
      <c r="X57" s="67">
        <v>1</v>
      </c>
      <c r="Y57" s="89" t="s">
        <v>71</v>
      </c>
      <c r="Z57" s="53" t="s">
        <v>72</v>
      </c>
    </row>
    <row r="58" spans="1:26" ht="25.5" customHeight="1" x14ac:dyDescent="0.2">
      <c r="A58" s="44" t="s">
        <v>85</v>
      </c>
      <c r="B58" s="45" t="s">
        <v>86</v>
      </c>
      <c r="C58" s="46" t="s">
        <v>21</v>
      </c>
      <c r="D58" s="46" t="s">
        <v>58</v>
      </c>
      <c r="E58" s="139" t="s">
        <v>505</v>
      </c>
      <c r="F58" s="62">
        <v>0.58789999999999998</v>
      </c>
      <c r="G58" s="66" t="s">
        <v>24</v>
      </c>
      <c r="H58" s="140"/>
      <c r="I58" s="140"/>
      <c r="J58" s="140"/>
      <c r="K58" s="141">
        <v>0.99860000000000004</v>
      </c>
      <c r="L58" s="140"/>
      <c r="M58" s="140"/>
      <c r="N58" s="140"/>
      <c r="O58" s="142">
        <v>0.999</v>
      </c>
      <c r="P58" s="140"/>
      <c r="Q58" s="140"/>
      <c r="R58" s="140"/>
      <c r="S58" s="142"/>
      <c r="T58" s="140"/>
      <c r="U58" s="140"/>
      <c r="V58" s="140"/>
      <c r="W58" s="142"/>
      <c r="X58" s="67">
        <v>0.99860000000000004</v>
      </c>
      <c r="Y58" s="89" t="s">
        <v>71</v>
      </c>
      <c r="Z58" s="53" t="s">
        <v>68</v>
      </c>
    </row>
    <row r="59" spans="1:26" ht="25.5" customHeight="1" x14ac:dyDescent="0.2">
      <c r="A59" s="44" t="s">
        <v>116</v>
      </c>
      <c r="B59" s="45" t="s">
        <v>117</v>
      </c>
      <c r="C59" s="46" t="s">
        <v>19</v>
      </c>
      <c r="D59" s="46" t="s">
        <v>64</v>
      </c>
      <c r="E59" s="139" t="s">
        <v>505</v>
      </c>
      <c r="F59" s="62" t="s">
        <v>24</v>
      </c>
      <c r="G59" s="66" t="s">
        <v>24</v>
      </c>
      <c r="H59" s="140"/>
      <c r="I59" s="140"/>
      <c r="J59" s="140"/>
      <c r="K59" s="141">
        <v>0.28448275862069</v>
      </c>
      <c r="L59" s="140"/>
      <c r="M59" s="140"/>
      <c r="N59" s="140"/>
      <c r="O59" s="142">
        <v>233</v>
      </c>
      <c r="P59" s="140"/>
      <c r="Q59" s="140"/>
      <c r="R59" s="140"/>
      <c r="S59" s="142"/>
      <c r="T59" s="140"/>
      <c r="U59" s="140"/>
      <c r="V59" s="140"/>
      <c r="W59" s="142"/>
      <c r="X59" s="67">
        <v>0.28448275862069</v>
      </c>
      <c r="Y59" s="89" t="s">
        <v>71</v>
      </c>
      <c r="Z59" s="53" t="s">
        <v>118</v>
      </c>
    </row>
    <row r="60" spans="1:26" ht="25.5" customHeight="1" x14ac:dyDescent="0.2">
      <c r="A60" s="44" t="s">
        <v>153</v>
      </c>
      <c r="B60" s="45" t="s">
        <v>154</v>
      </c>
      <c r="C60" s="46" t="s">
        <v>146</v>
      </c>
      <c r="D60" s="46" t="s">
        <v>58</v>
      </c>
      <c r="E60" s="139" t="s">
        <v>505</v>
      </c>
      <c r="F60" s="62">
        <v>0.91</v>
      </c>
      <c r="G60" s="63">
        <v>0.92</v>
      </c>
      <c r="H60" s="140"/>
      <c r="I60" s="140"/>
      <c r="J60" s="140"/>
      <c r="K60" s="141">
        <v>1</v>
      </c>
      <c r="L60" s="140"/>
      <c r="M60" s="140"/>
      <c r="N60" s="140"/>
      <c r="O60" s="142">
        <v>1</v>
      </c>
      <c r="P60" s="140"/>
      <c r="Q60" s="140"/>
      <c r="R60" s="140"/>
      <c r="S60" s="142"/>
      <c r="T60" s="140"/>
      <c r="U60" s="140"/>
      <c r="V60" s="140"/>
      <c r="W60" s="142"/>
      <c r="X60" s="67">
        <v>1</v>
      </c>
      <c r="Y60" s="89" t="s">
        <v>59</v>
      </c>
      <c r="Z60" s="53" t="s">
        <v>155</v>
      </c>
    </row>
    <row r="61" spans="1:26" ht="25.5" customHeight="1" x14ac:dyDescent="0.2">
      <c r="A61" s="44" t="s">
        <v>171</v>
      </c>
      <c r="B61" s="45" t="s">
        <v>172</v>
      </c>
      <c r="C61" s="46" t="s">
        <v>146</v>
      </c>
      <c r="D61" s="46" t="s">
        <v>64</v>
      </c>
      <c r="E61" s="139" t="s">
        <v>505</v>
      </c>
      <c r="F61" s="77">
        <v>15.7</v>
      </c>
      <c r="G61" s="97">
        <v>7.85</v>
      </c>
      <c r="H61" s="147"/>
      <c r="I61" s="147"/>
      <c r="J61" s="147"/>
      <c r="K61" s="149">
        <v>0</v>
      </c>
      <c r="L61" s="147"/>
      <c r="M61" s="147"/>
      <c r="N61" s="147"/>
      <c r="O61" s="149">
        <v>0</v>
      </c>
      <c r="P61" s="147"/>
      <c r="Q61" s="147"/>
      <c r="R61" s="147"/>
      <c r="S61" s="149"/>
      <c r="T61" s="147"/>
      <c r="U61" s="147"/>
      <c r="V61" s="147"/>
      <c r="W61" s="149"/>
      <c r="X61" s="79">
        <v>0</v>
      </c>
      <c r="Y61" s="89" t="s">
        <v>59</v>
      </c>
      <c r="Z61" s="53" t="s">
        <v>128</v>
      </c>
    </row>
    <row r="62" spans="1:26" ht="25.5" customHeight="1" x14ac:dyDescent="0.2">
      <c r="A62" s="44" t="s">
        <v>194</v>
      </c>
      <c r="B62" s="45" t="s">
        <v>195</v>
      </c>
      <c r="C62" s="46" t="s">
        <v>196</v>
      </c>
      <c r="D62" s="46" t="s">
        <v>58</v>
      </c>
      <c r="E62" s="139" t="s">
        <v>505</v>
      </c>
      <c r="F62" s="62">
        <v>0.48299999999999998</v>
      </c>
      <c r="G62" s="63">
        <v>0.56059999999999999</v>
      </c>
      <c r="H62" s="140"/>
      <c r="I62" s="140"/>
      <c r="J62" s="140"/>
      <c r="K62" s="141">
        <v>0.40837696335078499</v>
      </c>
      <c r="L62" s="140"/>
      <c r="M62" s="140"/>
      <c r="N62" s="140"/>
      <c r="O62" s="142">
        <v>0.34027777777777801</v>
      </c>
      <c r="P62" s="140"/>
      <c r="Q62" s="140"/>
      <c r="R62" s="140"/>
      <c r="S62" s="142"/>
      <c r="T62" s="140"/>
      <c r="U62" s="140"/>
      <c r="V62" s="140"/>
      <c r="W62" s="142"/>
      <c r="X62" s="67">
        <v>8.1730769230769204E-2</v>
      </c>
      <c r="Y62" s="89" t="s">
        <v>67</v>
      </c>
      <c r="Z62" s="53" t="s">
        <v>68</v>
      </c>
    </row>
    <row r="63" spans="1:26" ht="25.5" customHeight="1" x14ac:dyDescent="0.2">
      <c r="A63" s="44" t="s">
        <v>197</v>
      </c>
      <c r="B63" s="45" t="s">
        <v>198</v>
      </c>
      <c r="C63" s="46" t="s">
        <v>196</v>
      </c>
      <c r="D63" s="46" t="s">
        <v>64</v>
      </c>
      <c r="E63" s="139" t="s">
        <v>505</v>
      </c>
      <c r="F63" s="62" t="s">
        <v>24</v>
      </c>
      <c r="G63" s="66" t="s">
        <v>24</v>
      </c>
      <c r="H63" s="140"/>
      <c r="I63" s="140"/>
      <c r="J63" s="140"/>
      <c r="K63" s="141">
        <v>0.107861060329068</v>
      </c>
      <c r="L63" s="140"/>
      <c r="M63" s="140"/>
      <c r="N63" s="140"/>
      <c r="O63" s="142"/>
      <c r="P63" s="140"/>
      <c r="Q63" s="140"/>
      <c r="R63" s="140"/>
      <c r="S63" s="142"/>
      <c r="T63" s="140"/>
      <c r="U63" s="140"/>
      <c r="V63" s="140"/>
      <c r="W63" s="142"/>
      <c r="X63" s="67"/>
      <c r="Y63" s="89" t="s">
        <v>71</v>
      </c>
      <c r="Z63" s="53" t="s">
        <v>186</v>
      </c>
    </row>
    <row r="64" spans="1:26" ht="25.5" customHeight="1" x14ac:dyDescent="0.2">
      <c r="A64" s="44" t="s">
        <v>427</v>
      </c>
      <c r="B64" s="45" t="s">
        <v>428</v>
      </c>
      <c r="C64" s="46" t="s">
        <v>21</v>
      </c>
      <c r="D64" s="46" t="s">
        <v>64</v>
      </c>
      <c r="E64" s="139" t="s">
        <v>504</v>
      </c>
      <c r="F64" s="90">
        <v>6</v>
      </c>
      <c r="G64" s="91">
        <v>5</v>
      </c>
      <c r="H64" s="140"/>
      <c r="I64" s="140"/>
      <c r="J64" s="140"/>
      <c r="K64" s="143" t="str">
        <f>IF(COUNT(H64:J64)=0,"",AVERAGE(H64:J64))</f>
        <v/>
      </c>
      <c r="L64" s="140"/>
      <c r="M64" s="140"/>
      <c r="N64" s="140"/>
      <c r="O64" s="143" t="str">
        <f>IF(COUNT(L64:N64)=0,"",AVERAGE(L64:N64))</f>
        <v/>
      </c>
      <c r="P64" s="140"/>
      <c r="Q64" s="140"/>
      <c r="R64" s="140"/>
      <c r="S64" s="143" t="str">
        <f>IF(COUNT(P64:R64)=0,"",AVERAGE(P64:R64))</f>
        <v/>
      </c>
      <c r="T64" s="140"/>
      <c r="U64" s="140"/>
      <c r="V64" s="140"/>
      <c r="W64" s="143" t="str">
        <f>IF(COUNT(T64:V64)=0,"",AVERAGE(T64:V64))</f>
        <v/>
      </c>
      <c r="X64" s="93"/>
      <c r="Y64" s="89" t="s">
        <v>91</v>
      </c>
      <c r="Z64" s="53" t="s">
        <v>128</v>
      </c>
    </row>
    <row r="65" spans="1:26" ht="25.5" customHeight="1" x14ac:dyDescent="0.2">
      <c r="A65" s="44" t="s">
        <v>429</v>
      </c>
      <c r="B65" s="45" t="s">
        <v>430</v>
      </c>
      <c r="C65" s="46" t="s">
        <v>19</v>
      </c>
      <c r="D65" s="46" t="s">
        <v>64</v>
      </c>
      <c r="E65" s="139" t="s">
        <v>504</v>
      </c>
      <c r="F65" s="90">
        <v>0.14000000000000001</v>
      </c>
      <c r="G65" s="91">
        <v>7.0000000000000007E-2</v>
      </c>
      <c r="H65" s="140"/>
      <c r="I65" s="140"/>
      <c r="J65" s="140"/>
      <c r="K65" s="143" t="str">
        <f>IF(COUNT(H65:J65)=0,"",AVERAGE(H65:J65))</f>
        <v/>
      </c>
      <c r="L65" s="140"/>
      <c r="M65" s="140"/>
      <c r="N65" s="140"/>
      <c r="O65" s="143" t="str">
        <f>IF(COUNT(L65:N65)=0,"",AVERAGE(L65:N65))</f>
        <v/>
      </c>
      <c r="P65" s="140"/>
      <c r="Q65" s="140"/>
      <c r="R65" s="140"/>
      <c r="S65" s="143" t="str">
        <f>IF(COUNT(P65:R65)=0,"",AVERAGE(P65:R65))</f>
        <v/>
      </c>
      <c r="T65" s="140"/>
      <c r="U65" s="140"/>
      <c r="V65" s="140"/>
      <c r="W65" s="143" t="str">
        <f>IF(COUNT(T65:V65)=0,"",AVERAGE(T65:V65))</f>
        <v/>
      </c>
      <c r="X65" s="93"/>
      <c r="Y65" s="89" t="s">
        <v>91</v>
      </c>
      <c r="Z65" s="53" t="s">
        <v>131</v>
      </c>
    </row>
    <row r="66" spans="1:26" ht="25.5" customHeight="1" x14ac:dyDescent="0.2">
      <c r="H66" s="88"/>
      <c r="I66" s="88"/>
      <c r="J66" s="88"/>
      <c r="L66" s="88"/>
      <c r="M66" s="88"/>
      <c r="N66" s="88"/>
      <c r="P66" s="88"/>
      <c r="Q66" s="88"/>
      <c r="R66" s="88"/>
      <c r="T66" s="88"/>
      <c r="U66" s="88"/>
      <c r="V66" s="88"/>
    </row>
    <row r="67" spans="1:26" ht="25.5" customHeight="1" x14ac:dyDescent="0.2">
      <c r="H67" s="88"/>
      <c r="I67" s="88"/>
      <c r="J67" s="88"/>
      <c r="L67" s="88"/>
      <c r="M67" s="88"/>
      <c r="N67" s="88"/>
      <c r="P67" s="88"/>
      <c r="Q67" s="88"/>
      <c r="R67" s="88"/>
      <c r="T67" s="88"/>
      <c r="U67" s="88"/>
      <c r="V67" s="88"/>
    </row>
    <row r="68" spans="1:26" ht="25.5" customHeight="1" x14ac:dyDescent="0.2">
      <c r="H68" s="88"/>
      <c r="I68" s="88"/>
      <c r="J68" s="88"/>
      <c r="L68" s="88"/>
      <c r="M68" s="88"/>
      <c r="N68" s="88"/>
      <c r="P68" s="88"/>
      <c r="Q68" s="88"/>
      <c r="R68" s="88"/>
      <c r="T68" s="88"/>
      <c r="U68" s="88"/>
      <c r="V68" s="88"/>
    </row>
    <row r="69" spans="1:26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1:26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1:26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1:26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1:26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1:26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1:26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1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1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1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/>
    <row r="662" spans="8:22" ht="15" customHeight="1" x14ac:dyDescent="0.2"/>
    <row r="663" spans="8:22" ht="15" customHeight="1" x14ac:dyDescent="0.2"/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02">
    <cfRule type="expression" dxfId="69" priority="2">
      <formula>AND(ISNUMBER(H36),ISNUMBER($G36),OR(AND($D36="P",H36&gt;=$G36),AND($D36="N",H36&lt;=$G36)))</formula>
    </cfRule>
    <cfRule type="expression" dxfId="68" priority="3">
      <formula>AND(ISNUMBER(H36),ISNUMBER($G36),OR(AND($D36="P",H36&lt;$G36),AND($D36="N",H36&gt;$G36)))</formula>
    </cfRule>
  </conditionalFormatting>
  <conditionalFormatting sqref="X36:X102">
    <cfRule type="expression" dxfId="67" priority="4">
      <formula>$Y36="✓ On Target"</formula>
    </cfRule>
    <cfRule type="expression" dxfId="66" priority="5">
      <formula>$Y36="✗ Off Target"</formula>
    </cfRule>
    <cfRule type="expression" dxfId="65" priority="6">
      <formula>$Y36="— No Data"</formula>
    </cfRule>
    <cfRule type="expression" dxfId="64" priority="7">
      <formula>$Y36="⊘ Non Target"</formula>
    </cfRule>
  </conditionalFormatting>
  <conditionalFormatting sqref="Y36:Y102">
    <cfRule type="expression" dxfId="63" priority="8">
      <formula>Y36="✓ On Target"</formula>
    </cfRule>
    <cfRule type="expression" dxfId="62" priority="9">
      <formula>Y36="✗ Off Target"</formula>
    </cfRule>
    <cfRule type="expression" dxfId="61" priority="10">
      <formula>Y36="— No Data"</formula>
    </cfRule>
    <cfRule type="expression" dxfId="60" priority="11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702"/>
  <sheetViews>
    <sheetView showGridLines="0" topLeftCell="I43" zoomScaleNormal="100" workbookViewId="0">
      <selection activeCell="N54" sqref="N54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536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25</v>
      </c>
      <c r="C12" s="157"/>
      <c r="D12" s="201">
        <v>17</v>
      </c>
      <c r="E12" s="157"/>
      <c r="F12" s="196">
        <v>1</v>
      </c>
      <c r="G12" s="157"/>
      <c r="H12" s="200">
        <v>2</v>
      </c>
      <c r="I12" s="157"/>
      <c r="K12" s="193">
        <v>45</v>
      </c>
      <c r="L12" s="157"/>
      <c r="M12" s="201">
        <v>28</v>
      </c>
      <c r="N12" s="157"/>
      <c r="O12" s="196">
        <v>4</v>
      </c>
      <c r="P12" s="157"/>
      <c r="Q12" s="200">
        <v>9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537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71</v>
      </c>
      <c r="C19" s="157"/>
      <c r="D19" s="157"/>
      <c r="E19" s="205">
        <v>45</v>
      </c>
      <c r="F19" s="157"/>
      <c r="G19" s="157"/>
      <c r="I19" s="204">
        <v>5</v>
      </c>
      <c r="J19" s="157"/>
      <c r="K19" s="157"/>
      <c r="M19" s="199">
        <v>12</v>
      </c>
      <c r="N19" s="157"/>
      <c r="O19" s="157"/>
      <c r="Q19" s="194">
        <v>28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538</v>
      </c>
      <c r="F21" s="157"/>
      <c r="G21" s="157"/>
      <c r="I21" s="160" t="s">
        <v>539</v>
      </c>
      <c r="J21" s="157"/>
      <c r="K21" s="157"/>
      <c r="M21" s="160" t="s">
        <v>540</v>
      </c>
      <c r="N21" s="157"/>
      <c r="O21" s="157"/>
      <c r="Q21" s="195" t="s">
        <v>541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542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9</v>
      </c>
      <c r="E25" s="33">
        <v>1</v>
      </c>
      <c r="F25" s="34">
        <v>2</v>
      </c>
      <c r="G25" s="35">
        <v>0.9</v>
      </c>
    </row>
    <row r="26" spans="2:19" ht="21.75" customHeight="1" x14ac:dyDescent="0.2">
      <c r="B26" s="24" t="s">
        <v>19</v>
      </c>
      <c r="C26" s="41">
        <v>25</v>
      </c>
      <c r="D26" s="26">
        <v>19</v>
      </c>
      <c r="E26" s="27">
        <v>3</v>
      </c>
      <c r="F26" s="28">
        <v>2</v>
      </c>
      <c r="G26" s="29">
        <v>0.86363636363636398</v>
      </c>
    </row>
    <row r="27" spans="2:19" ht="21.75" customHeight="1" x14ac:dyDescent="0.2">
      <c r="B27" s="30" t="s">
        <v>20</v>
      </c>
      <c r="C27" s="40">
        <v>24</v>
      </c>
      <c r="D27" s="32">
        <v>16</v>
      </c>
      <c r="E27" s="33">
        <v>0</v>
      </c>
      <c r="F27" s="34">
        <v>7</v>
      </c>
      <c r="G27" s="35">
        <v>1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1</v>
      </c>
      <c r="E29" s="33">
        <v>1</v>
      </c>
      <c r="F29" s="34">
        <v>1</v>
      </c>
      <c r="G29" s="35">
        <v>0.5</v>
      </c>
    </row>
    <row r="30" spans="2:19" ht="25.5" customHeight="1" x14ac:dyDescent="0.2">
      <c r="B30" s="36" t="s">
        <v>34</v>
      </c>
      <c r="C30" s="38">
        <v>71</v>
      </c>
      <c r="D30" s="38">
        <v>45</v>
      </c>
      <c r="E30" s="38">
        <v>5</v>
      </c>
      <c r="F30" s="38">
        <v>12</v>
      </c>
      <c r="G30" s="39">
        <v>0.9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1.47783251231527E-2</v>
      </c>
      <c r="I36" s="64">
        <v>0</v>
      </c>
      <c r="J36" s="64">
        <v>0</v>
      </c>
      <c r="K36" s="130">
        <f>IF(COUNT(H36:J36)=0,"",AVERAGE(H36:J36))</f>
        <v>4.926108374384233E-3</v>
      </c>
      <c r="L36" s="65">
        <v>0</v>
      </c>
      <c r="M36" s="65">
        <v>4.8309178743961402E-3</v>
      </c>
      <c r="N36" s="65">
        <v>5.9880239520958096E-3</v>
      </c>
      <c r="O36" s="130">
        <f>IF(COUNT(L36:N36)=0,"",AVERAGE(L36:N36))</f>
        <v>3.6063139421639834E-3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2.46305418719212E-3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3.0325553738665099E-2</v>
      </c>
      <c r="I38" s="64">
        <v>2.28483319315952E-2</v>
      </c>
      <c r="J38" s="64">
        <v>3.1888155827835399E-2</v>
      </c>
      <c r="K38" s="130">
        <f>IF(COUNT(H38:J38)=0,"",AVERAGE(H38:J38))</f>
        <v>2.8354013832698564E-2</v>
      </c>
      <c r="L38" s="65">
        <v>2.7565084226646299E-2</v>
      </c>
      <c r="M38" s="65">
        <v>2.6111283804787101E-2</v>
      </c>
      <c r="N38" s="65">
        <v>2.9530618588747299E-2</v>
      </c>
      <c r="O38" s="130">
        <f>IF(COUNT(L38:N38)=0,"",AVERAGE(L38:N38))</f>
        <v>2.7735662206726897E-2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2.79595490296724E-2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3.35672871528837E-3</v>
      </c>
      <c r="I39" s="56">
        <v>7.8403421240199594E-3</v>
      </c>
      <c r="J39" s="56">
        <v>8.5803432137285494E-3</v>
      </c>
      <c r="K39" s="132">
        <f>IF(COUNT(H39:J39)=0,"",AVERAGE(H39:J39))</f>
        <v>6.5924713510122938E-3</v>
      </c>
      <c r="L39" s="78">
        <v>5.9267241379310298E-3</v>
      </c>
      <c r="M39" s="78">
        <v>7.9479768786127197E-3</v>
      </c>
      <c r="N39" s="78">
        <v>7.9479768786127197E-3</v>
      </c>
      <c r="O39" s="132">
        <f>IF(COUNT(L39:N39)=0,"",AVERAGE(L39:N39))</f>
        <v>7.2742259650521559E-3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6.2595977444716601E-3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3.6069831193189998E-3</v>
      </c>
      <c r="I40" s="56">
        <v>3.4260655063724798E-3</v>
      </c>
      <c r="J40" s="56">
        <v>3.8057543005023601E-3</v>
      </c>
      <c r="K40" s="132">
        <f>IF(COUNT(H40:J40)=0,"",AVERAGE(H40:J40))</f>
        <v>3.6129343087312801E-3</v>
      </c>
      <c r="L40" s="78">
        <v>3.3870749220972799E-3</v>
      </c>
      <c r="M40" s="78">
        <v>3.7867312935474101E-3</v>
      </c>
      <c r="N40" s="78">
        <v>3.7867312935474101E-3</v>
      </c>
      <c r="O40" s="132">
        <f>IF(COUNT(L40:N40)=0,"",AVERAGE(L40:N40))</f>
        <v>3.6535125030640338E-3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3.50000461541428E-3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0.30230414746543799</v>
      </c>
      <c r="I41" s="64">
        <v>0.35969387755102</v>
      </c>
      <c r="J41" s="64">
        <v>0.375</v>
      </c>
      <c r="K41" s="130">
        <f>IF(COUNT(H41:J41)=0,"",AVERAGE(H41:J41))</f>
        <v>0.34566600833881928</v>
      </c>
      <c r="L41" s="65">
        <v>0.49375000000000002</v>
      </c>
      <c r="M41" s="65">
        <v>0.55493951612903203</v>
      </c>
      <c r="N41" s="65">
        <v>0.390625</v>
      </c>
      <c r="O41" s="130">
        <f>IF(COUNT(L41:N41)=0,"",AVERAGE(L41:N41))</f>
        <v>0.479771505376344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0.41970800416941001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3.24861878453039</v>
      </c>
      <c r="I42" s="95">
        <v>4.2253521126760596</v>
      </c>
      <c r="J42" s="95">
        <v>3.8023255813953498</v>
      </c>
      <c r="K42" s="136">
        <f>IF(COUNT(H42:J42)=0,"",AVERAGE(H42:J42))</f>
        <v>3.758765492867266</v>
      </c>
      <c r="L42" s="73">
        <v>4.8030303030303001</v>
      </c>
      <c r="M42" s="73">
        <v>5.9512195121951201</v>
      </c>
      <c r="N42" s="73">
        <v>3.3157894736842102</v>
      </c>
      <c r="O42" s="136">
        <f>IF(COUNT(L42:N42)=0,"",AVERAGE(L42:N42))</f>
        <v>4.6900130963032103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4.2808978979487797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0.217391304347826</v>
      </c>
      <c r="I43" s="64">
        <v>0.125</v>
      </c>
      <c r="J43" s="64">
        <v>0.29729729729729698</v>
      </c>
      <c r="K43" s="130">
        <f>IF(COUNT(H43:J43)=0,"",AVERAGE(H43:J43))</f>
        <v>0.21322953388170765</v>
      </c>
      <c r="L43" s="65">
        <v>0.33333333333333298</v>
      </c>
      <c r="M43" s="65">
        <v>0.25531914893617003</v>
      </c>
      <c r="N43" s="65">
        <v>0.36363636363636398</v>
      </c>
      <c r="O43" s="130">
        <f>IF(COUNT(L43:N43)=0,"",AVERAGE(L43:N43))</f>
        <v>0.31742961530195563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0.27328143360752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4.3746271624577502E-3</v>
      </c>
      <c r="I47" s="64">
        <v>4.8435171385991099E-3</v>
      </c>
      <c r="J47" s="64">
        <v>5.7041699449252598E-3</v>
      </c>
      <c r="K47" s="130">
        <f>IF(COUNT(H47:J47)=0,"",AVERAGE(H47:J47))</f>
        <v>4.9741047486607072E-3</v>
      </c>
      <c r="L47" s="65">
        <v>6.9457480758400598E-3</v>
      </c>
      <c r="M47" s="65">
        <v>6.73267326732673E-3</v>
      </c>
      <c r="N47" s="65">
        <v>4.7709923664122098E-4</v>
      </c>
      <c r="O47" s="130">
        <f>IF(COUNT(L47:N47)=0,"",AVERAGE(L47:N47))</f>
        <v>4.7185068599360034E-3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5.9599264122503796E-3</v>
      </c>
      <c r="Y47" s="89" t="s">
        <v>59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0.91180000000000005</v>
      </c>
      <c r="I48" s="65">
        <v>0.93617021276595802</v>
      </c>
      <c r="J48" s="65">
        <v>0.86960000000000004</v>
      </c>
      <c r="K48" s="130">
        <f>IF(COUNT(H48:J48)=0,"",AVERAGE(H48:J48))</f>
        <v>0.90585673758865271</v>
      </c>
      <c r="L48" s="65">
        <v>0.88890000000000002</v>
      </c>
      <c r="M48" s="65">
        <v>0.88170000000000004</v>
      </c>
      <c r="N48" s="65">
        <v>0.92679999999999996</v>
      </c>
      <c r="O48" s="130">
        <f>IF(COUNT(L48:N48)=0,"",AVERAGE(L48:N48))</f>
        <v>0.89913333333333334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0.91180000000000005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0.97434877709286105</v>
      </c>
      <c r="I50" s="64">
        <v>0.99031296572280203</v>
      </c>
      <c r="J50" s="64">
        <v>0.98760818253343796</v>
      </c>
      <c r="K50" s="130">
        <f>IF(COUNT(H50:J50)=0,"",AVERAGE(H50:J50))</f>
        <v>0.98408997511636709</v>
      </c>
      <c r="L50" s="65">
        <v>0.99418058944997201</v>
      </c>
      <c r="M50" s="65">
        <v>0.98750000000000004</v>
      </c>
      <c r="N50" s="65">
        <v>0.98899237933954298</v>
      </c>
      <c r="O50" s="130">
        <f>IF(COUNT(L50:N50)=0,"",AVERAGE(L50:N50))</f>
        <v>0.99022432292983831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0.98920966685856904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0.01</v>
      </c>
      <c r="I52" s="64">
        <v>9.3144560357675101E-4</v>
      </c>
      <c r="J52" s="64">
        <v>3.9339103068450001E-4</v>
      </c>
      <c r="K52" s="130">
        <f>IF(COUNT(H52:J52)=0,"",AVERAGE(H52:J52))</f>
        <v>3.7749455447537504E-3</v>
      </c>
      <c r="L52" s="65">
        <v>1.1263375258118999E-3</v>
      </c>
      <c r="M52" s="65">
        <v>5.9999999999999995E-4</v>
      </c>
      <c r="N52" s="65">
        <v>4.0220152413209097E-3</v>
      </c>
      <c r="O52" s="130">
        <f>IF(COUNT(L52:N52)=0,"",AVERAGE(L52:N52))</f>
        <v>1.9161175890442699E-3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2.4506415352828301E-3</v>
      </c>
      <c r="Y52" s="89" t="s">
        <v>59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0.11111111111111099</v>
      </c>
      <c r="I53" s="64">
        <v>0</v>
      </c>
      <c r="J53" s="64">
        <v>0</v>
      </c>
      <c r="K53" s="130">
        <f>IF(COUNT(H53:J53)=0,"",AVERAGE(H53:J53))</f>
        <v>3.7037037037037E-2</v>
      </c>
      <c r="L53" s="65">
        <v>0</v>
      </c>
      <c r="M53" s="65">
        <v>0.11111111111111099</v>
      </c>
      <c r="N53" s="65">
        <v>0.18179999999999999</v>
      </c>
      <c r="O53" s="130">
        <f>IF(COUNT(L53:N53)=0,"",AVERAGE(L53:N53))</f>
        <v>9.7637037037037008E-2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1.85185185185185E-2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1.6574585635359101E-2</v>
      </c>
      <c r="I54" s="56">
        <v>6.8965517241379301E-3</v>
      </c>
      <c r="J54" s="56">
        <v>5.74712643678161E-3</v>
      </c>
      <c r="K54" s="132">
        <f>IF(COUNT(H54:J54)=0,"",AVERAGE(H54:J54))</f>
        <v>9.7394212654262138E-3</v>
      </c>
      <c r="L54" s="78">
        <v>1.6483516483516501E-2</v>
      </c>
      <c r="M54" s="78">
        <v>1.63934426229508E-2</v>
      </c>
      <c r="N54" s="78">
        <v>1.1111111111111099E-2</v>
      </c>
      <c r="O54" s="132">
        <f>IF(COUNT(L54:N54)=0,"",AVERAGE(L54:N54))</f>
        <v>1.4662690072526135E-2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1.3111468874471399E-2</v>
      </c>
      <c r="Y54" s="89" t="s">
        <v>59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1</v>
      </c>
      <c r="I55" s="64">
        <v>1</v>
      </c>
      <c r="J55" s="64">
        <v>1</v>
      </c>
      <c r="K55" s="130">
        <f>IF(COUNT(H55:J55)=0,"",AVERAGE(H55:J55))</f>
        <v>1</v>
      </c>
      <c r="L55" s="65">
        <v>0.997</v>
      </c>
      <c r="M55" s="65">
        <v>0.98799999999999999</v>
      </c>
      <c r="N55" s="65">
        <v>0.96689999999999998</v>
      </c>
      <c r="O55" s="130">
        <f>IF(COUNT(L55:N55)=0,"",AVERAGE(L55:N55))</f>
        <v>0.98396666666666655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0.997</v>
      </c>
      <c r="Y55" s="89" t="s">
        <v>59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5"/>
      <c r="I56" s="65"/>
      <c r="J56" s="65"/>
      <c r="K56" s="130" t="str">
        <f>IF(COUNT(H56:J56)=0,"",AVERAGE(H56:J56))</f>
        <v/>
      </c>
      <c r="L56" s="65"/>
      <c r="M56" s="65"/>
      <c r="N56" s="65" t="s">
        <v>405</v>
      </c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/>
      <c r="Y56" s="89" t="s">
        <v>91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0.91869999999999996</v>
      </c>
      <c r="M57" s="65">
        <v>0.99439999999999995</v>
      </c>
      <c r="N57" s="65">
        <v>1</v>
      </c>
      <c r="O57" s="130">
        <f>IF(COUNT(L57:N57)=0,"",AVERAGE(L57:N57))</f>
        <v>0.9710333333333333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0.91869999999999996</v>
      </c>
      <c r="Y57" s="89" t="s">
        <v>59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1</v>
      </c>
      <c r="I58" s="64">
        <v>0.95450000000000002</v>
      </c>
      <c r="J58" s="65">
        <v>1</v>
      </c>
      <c r="K58" s="130">
        <f>IF(COUNT(H58:J58)=0,"",AVERAGE(H58:J58))</f>
        <v>0.98483333333333334</v>
      </c>
      <c r="L58" s="65">
        <v>1</v>
      </c>
      <c r="M58" s="65">
        <v>1</v>
      </c>
      <c r="N58" s="65">
        <v>0.92310000000000003</v>
      </c>
      <c r="O58" s="130">
        <f>IF(COUNT(L58:N58)=0,"",AVERAGE(L58:N58))</f>
        <v>0.9743666666666666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1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56</v>
      </c>
      <c r="B60" s="45" t="s">
        <v>57</v>
      </c>
      <c r="C60" s="46" t="s">
        <v>21</v>
      </c>
      <c r="D60" s="46" t="s">
        <v>58</v>
      </c>
      <c r="E60" s="139" t="s">
        <v>505</v>
      </c>
      <c r="F60" s="62">
        <v>0.33</v>
      </c>
      <c r="G60" s="63">
        <v>0.2</v>
      </c>
      <c r="H60" s="140"/>
      <c r="I60" s="140"/>
      <c r="J60" s="140"/>
      <c r="K60" s="141">
        <v>1.3216382853787401</v>
      </c>
      <c r="L60" s="140"/>
      <c r="M60" s="140"/>
      <c r="N60" s="140"/>
      <c r="O60" s="142">
        <v>1.29</v>
      </c>
      <c r="P60" s="140"/>
      <c r="Q60" s="140"/>
      <c r="R60" s="140"/>
      <c r="S60" s="142"/>
      <c r="T60" s="140"/>
      <c r="U60" s="140"/>
      <c r="V60" s="140"/>
      <c r="W60" s="142"/>
      <c r="X60" s="67">
        <v>1.3216382853787401</v>
      </c>
      <c r="Y60" s="89" t="s">
        <v>59</v>
      </c>
      <c r="Z60" s="53" t="s">
        <v>60</v>
      </c>
    </row>
    <row r="61" spans="1:26" ht="25.5" customHeight="1" x14ac:dyDescent="0.2">
      <c r="A61" s="44" t="s">
        <v>62</v>
      </c>
      <c r="B61" s="45" t="s">
        <v>63</v>
      </c>
      <c r="C61" s="46" t="s">
        <v>21</v>
      </c>
      <c r="D61" s="46" t="s">
        <v>64</v>
      </c>
      <c r="E61" s="139" t="s">
        <v>505</v>
      </c>
      <c r="F61" s="90">
        <v>20.7</v>
      </c>
      <c r="G61" s="91">
        <v>21</v>
      </c>
      <c r="H61" s="140"/>
      <c r="I61" s="140"/>
      <c r="J61" s="140"/>
      <c r="K61" s="143">
        <v>10</v>
      </c>
      <c r="L61" s="140"/>
      <c r="M61" s="140"/>
      <c r="N61" s="140"/>
      <c r="O61" s="143" t="s">
        <v>90</v>
      </c>
      <c r="P61" s="140"/>
      <c r="Q61" s="140"/>
      <c r="R61" s="140"/>
      <c r="S61" s="143"/>
      <c r="T61" s="140"/>
      <c r="U61" s="140"/>
      <c r="V61" s="140"/>
      <c r="W61" s="143"/>
      <c r="X61" s="93">
        <v>10</v>
      </c>
      <c r="Y61" s="89" t="s">
        <v>59</v>
      </c>
      <c r="Z61" s="53" t="s">
        <v>60</v>
      </c>
    </row>
    <row r="62" spans="1:26" ht="25.5" customHeight="1" x14ac:dyDescent="0.2">
      <c r="A62" s="44" t="s">
        <v>69</v>
      </c>
      <c r="B62" s="45" t="s">
        <v>70</v>
      </c>
      <c r="C62" s="46" t="s">
        <v>21</v>
      </c>
      <c r="D62" s="46" t="s">
        <v>58</v>
      </c>
      <c r="E62" s="139" t="s">
        <v>505</v>
      </c>
      <c r="F62" s="62" t="s">
        <v>24</v>
      </c>
      <c r="G62" s="66" t="s">
        <v>24</v>
      </c>
      <c r="H62" s="140"/>
      <c r="I62" s="140"/>
      <c r="J62" s="140"/>
      <c r="K62" s="141">
        <v>1</v>
      </c>
      <c r="L62" s="140"/>
      <c r="M62" s="140"/>
      <c r="N62" s="140"/>
      <c r="O62" s="142"/>
      <c r="P62" s="140"/>
      <c r="Q62" s="140"/>
      <c r="R62" s="140"/>
      <c r="S62" s="142"/>
      <c r="T62" s="140"/>
      <c r="U62" s="140"/>
      <c r="V62" s="140"/>
      <c r="W62" s="142"/>
      <c r="X62" s="67">
        <v>1</v>
      </c>
      <c r="Y62" s="89" t="s">
        <v>71</v>
      </c>
      <c r="Z62" s="53" t="s">
        <v>72</v>
      </c>
    </row>
    <row r="63" spans="1:26" ht="25.5" customHeight="1" x14ac:dyDescent="0.2">
      <c r="A63" s="44" t="s">
        <v>73</v>
      </c>
      <c r="B63" s="45" t="s">
        <v>74</v>
      </c>
      <c r="C63" s="46" t="s">
        <v>21</v>
      </c>
      <c r="D63" s="46" t="s">
        <v>64</v>
      </c>
      <c r="E63" s="139" t="s">
        <v>505</v>
      </c>
      <c r="F63" s="62">
        <v>0.52</v>
      </c>
      <c r="G63" s="63">
        <v>0.84</v>
      </c>
      <c r="H63" s="140"/>
      <c r="I63" s="140"/>
      <c r="J63" s="140"/>
      <c r="K63" s="141">
        <v>1.1111111111111099E-2</v>
      </c>
      <c r="L63" s="140"/>
      <c r="M63" s="140"/>
      <c r="N63" s="140"/>
      <c r="O63" s="142"/>
      <c r="P63" s="140"/>
      <c r="Q63" s="140"/>
      <c r="R63" s="140"/>
      <c r="S63" s="142"/>
      <c r="T63" s="140"/>
      <c r="U63" s="140"/>
      <c r="V63" s="140"/>
      <c r="W63" s="142"/>
      <c r="X63" s="67">
        <v>1.1111111111111099E-2</v>
      </c>
      <c r="Y63" s="89" t="s">
        <v>59</v>
      </c>
      <c r="Z63" s="53" t="s">
        <v>60</v>
      </c>
    </row>
    <row r="64" spans="1:26" ht="25.5" customHeight="1" x14ac:dyDescent="0.2">
      <c r="A64" s="44" t="s">
        <v>78</v>
      </c>
      <c r="B64" s="45" t="s">
        <v>79</v>
      </c>
      <c r="C64" s="46" t="s">
        <v>21</v>
      </c>
      <c r="D64" s="46" t="s">
        <v>64</v>
      </c>
      <c r="E64" s="139" t="s">
        <v>505</v>
      </c>
      <c r="F64" s="71">
        <v>4.7</v>
      </c>
      <c r="G64" s="94">
        <v>9.8000000000000007</v>
      </c>
      <c r="H64" s="144"/>
      <c r="I64" s="144"/>
      <c r="J64" s="144"/>
      <c r="K64" s="145">
        <v>3.7</v>
      </c>
      <c r="L64" s="144"/>
      <c r="M64" s="144"/>
      <c r="N64" s="144"/>
      <c r="O64" s="146"/>
      <c r="P64" s="144"/>
      <c r="Q64" s="144"/>
      <c r="R64" s="144"/>
      <c r="S64" s="146"/>
      <c r="T64" s="144"/>
      <c r="U64" s="144"/>
      <c r="V64" s="144"/>
      <c r="W64" s="146"/>
      <c r="X64" s="75">
        <v>3.7</v>
      </c>
      <c r="Y64" s="89" t="s">
        <v>59</v>
      </c>
      <c r="Z64" s="53" t="s">
        <v>60</v>
      </c>
    </row>
    <row r="65" spans="1:26" ht="25.5" customHeight="1" x14ac:dyDescent="0.2">
      <c r="A65" s="44" t="s">
        <v>80</v>
      </c>
      <c r="B65" s="45" t="s">
        <v>81</v>
      </c>
      <c r="C65" s="46" t="s">
        <v>21</v>
      </c>
      <c r="D65" s="46" t="s">
        <v>64</v>
      </c>
      <c r="E65" s="139" t="s">
        <v>505</v>
      </c>
      <c r="F65" s="62">
        <v>2.5000000000000001E-2</v>
      </c>
      <c r="G65" s="63">
        <v>0.04</v>
      </c>
      <c r="H65" s="140"/>
      <c r="I65" s="140"/>
      <c r="J65" s="140"/>
      <c r="K65" s="141">
        <v>6.0000000000000001E-3</v>
      </c>
      <c r="L65" s="140"/>
      <c r="M65" s="140"/>
      <c r="N65" s="140"/>
      <c r="O65" s="142"/>
      <c r="P65" s="140"/>
      <c r="Q65" s="140"/>
      <c r="R65" s="140"/>
      <c r="S65" s="142"/>
      <c r="T65" s="140"/>
      <c r="U65" s="140"/>
      <c r="V65" s="140"/>
      <c r="W65" s="142"/>
      <c r="X65" s="67">
        <v>6.0000000000000001E-3</v>
      </c>
      <c r="Y65" s="89" t="s">
        <v>59</v>
      </c>
      <c r="Z65" s="53" t="s">
        <v>60</v>
      </c>
    </row>
    <row r="66" spans="1:26" ht="25.5" customHeight="1" x14ac:dyDescent="0.2">
      <c r="A66" s="44" t="s">
        <v>82</v>
      </c>
      <c r="B66" s="45" t="s">
        <v>83</v>
      </c>
      <c r="C66" s="46" t="s">
        <v>21</v>
      </c>
      <c r="D66" s="46" t="s">
        <v>58</v>
      </c>
      <c r="E66" s="139" t="s">
        <v>505</v>
      </c>
      <c r="F66" s="77">
        <v>0.3</v>
      </c>
      <c r="G66" s="57">
        <v>0.9</v>
      </c>
      <c r="H66" s="147"/>
      <c r="I66" s="147"/>
      <c r="J66" s="147"/>
      <c r="K66" s="148">
        <v>0.4</v>
      </c>
      <c r="L66" s="147"/>
      <c r="M66" s="147"/>
      <c r="N66" s="147"/>
      <c r="O66" s="149" t="s">
        <v>543</v>
      </c>
      <c r="P66" s="147"/>
      <c r="Q66" s="147"/>
      <c r="R66" s="147"/>
      <c r="S66" s="149"/>
      <c r="T66" s="147"/>
      <c r="U66" s="147"/>
      <c r="V66" s="147"/>
      <c r="W66" s="149"/>
      <c r="X66" s="79">
        <v>0.4</v>
      </c>
      <c r="Y66" s="89" t="s">
        <v>67</v>
      </c>
      <c r="Z66" s="53" t="s">
        <v>60</v>
      </c>
    </row>
    <row r="67" spans="1:26" ht="25.5" customHeight="1" x14ac:dyDescent="0.2">
      <c r="A67" s="44" t="s">
        <v>85</v>
      </c>
      <c r="B67" s="45" t="s">
        <v>86</v>
      </c>
      <c r="C67" s="46" t="s">
        <v>21</v>
      </c>
      <c r="D67" s="46" t="s">
        <v>58</v>
      </c>
      <c r="E67" s="139" t="s">
        <v>505</v>
      </c>
      <c r="F67" s="62">
        <v>0.58789999999999998</v>
      </c>
      <c r="G67" s="66" t="s">
        <v>24</v>
      </c>
      <c r="H67" s="140"/>
      <c r="I67" s="140"/>
      <c r="J67" s="140"/>
      <c r="K67" s="141">
        <v>0.66479999999999995</v>
      </c>
      <c r="L67" s="140"/>
      <c r="M67" s="140"/>
      <c r="N67" s="140"/>
      <c r="O67" s="142">
        <v>1</v>
      </c>
      <c r="P67" s="140"/>
      <c r="Q67" s="140"/>
      <c r="R67" s="140"/>
      <c r="S67" s="142"/>
      <c r="T67" s="140"/>
      <c r="U67" s="140"/>
      <c r="V67" s="140"/>
      <c r="W67" s="142"/>
      <c r="X67" s="67">
        <v>0.66479999999999995</v>
      </c>
      <c r="Y67" s="89" t="s">
        <v>71</v>
      </c>
      <c r="Z67" s="53" t="s">
        <v>68</v>
      </c>
    </row>
    <row r="68" spans="1:26" ht="25.5" customHeight="1" x14ac:dyDescent="0.2">
      <c r="A68" s="44" t="s">
        <v>94</v>
      </c>
      <c r="B68" s="45" t="s">
        <v>95</v>
      </c>
      <c r="C68" s="46" t="s">
        <v>19</v>
      </c>
      <c r="D68" s="46" t="s">
        <v>58</v>
      </c>
      <c r="E68" s="139" t="s">
        <v>505</v>
      </c>
      <c r="F68" s="62">
        <v>0.76700000000000002</v>
      </c>
      <c r="G68" s="63">
        <v>0.5</v>
      </c>
      <c r="H68" s="140"/>
      <c r="I68" s="140"/>
      <c r="J68" s="140"/>
      <c r="K68" s="142">
        <v>0.97922279792746103</v>
      </c>
      <c r="L68" s="140"/>
      <c r="M68" s="140"/>
      <c r="N68" s="140"/>
      <c r="O68" s="142"/>
      <c r="P68" s="140"/>
      <c r="Q68" s="140"/>
      <c r="R68" s="140"/>
      <c r="S68" s="142"/>
      <c r="T68" s="140"/>
      <c r="U68" s="140"/>
      <c r="V68" s="140"/>
      <c r="W68" s="142"/>
      <c r="X68" s="67">
        <v>0.97922279792746103</v>
      </c>
      <c r="Y68" s="89" t="s">
        <v>59</v>
      </c>
      <c r="Z68" s="53" t="s">
        <v>60</v>
      </c>
    </row>
    <row r="69" spans="1:26" ht="25.5" customHeight="1" x14ac:dyDescent="0.2">
      <c r="A69" s="44" t="s">
        <v>96</v>
      </c>
      <c r="B69" s="45" t="s">
        <v>97</v>
      </c>
      <c r="C69" s="46" t="s">
        <v>19</v>
      </c>
      <c r="D69" s="46" t="s">
        <v>58</v>
      </c>
      <c r="E69" s="139" t="s">
        <v>505</v>
      </c>
      <c r="F69" s="62">
        <v>0.77600000000000002</v>
      </c>
      <c r="G69" s="63">
        <v>0.5</v>
      </c>
      <c r="H69" s="140"/>
      <c r="I69" s="140"/>
      <c r="J69" s="140"/>
      <c r="K69" s="142">
        <v>0.98305699481865305</v>
      </c>
      <c r="L69" s="140"/>
      <c r="M69" s="140"/>
      <c r="N69" s="140"/>
      <c r="O69" s="142"/>
      <c r="P69" s="140"/>
      <c r="Q69" s="140"/>
      <c r="R69" s="140"/>
      <c r="S69" s="142"/>
      <c r="T69" s="140"/>
      <c r="U69" s="140"/>
      <c r="V69" s="140"/>
      <c r="W69" s="142"/>
      <c r="X69" s="67">
        <v>0.98305699481865305</v>
      </c>
      <c r="Y69" s="89" t="s">
        <v>59</v>
      </c>
      <c r="Z69" s="53" t="s">
        <v>60</v>
      </c>
    </row>
    <row r="70" spans="1:26" ht="25.5" customHeight="1" x14ac:dyDescent="0.2">
      <c r="A70" s="44" t="s">
        <v>98</v>
      </c>
      <c r="B70" s="45" t="s">
        <v>99</v>
      </c>
      <c r="C70" s="46" t="s">
        <v>19</v>
      </c>
      <c r="D70" s="46" t="s">
        <v>58</v>
      </c>
      <c r="E70" s="139" t="s">
        <v>505</v>
      </c>
      <c r="F70" s="62">
        <v>0.45400000000000001</v>
      </c>
      <c r="G70" s="63">
        <v>0.3</v>
      </c>
      <c r="H70" s="140"/>
      <c r="I70" s="140"/>
      <c r="J70" s="140"/>
      <c r="K70" s="142">
        <v>0.83960304638818395</v>
      </c>
      <c r="L70" s="140"/>
      <c r="M70" s="140"/>
      <c r="N70" s="140"/>
      <c r="O70" s="142"/>
      <c r="P70" s="140"/>
      <c r="Q70" s="140"/>
      <c r="R70" s="140"/>
      <c r="S70" s="142"/>
      <c r="T70" s="140"/>
      <c r="U70" s="140"/>
      <c r="V70" s="140"/>
      <c r="W70" s="142"/>
      <c r="X70" s="67">
        <v>0.83960304638818395</v>
      </c>
      <c r="Y70" s="89" t="s">
        <v>59</v>
      </c>
      <c r="Z70" s="53" t="s">
        <v>60</v>
      </c>
    </row>
    <row r="71" spans="1:26" ht="25.5" customHeight="1" x14ac:dyDescent="0.2">
      <c r="A71" s="44" t="s">
        <v>100</v>
      </c>
      <c r="B71" s="45" t="s">
        <v>101</v>
      </c>
      <c r="C71" s="46" t="s">
        <v>19</v>
      </c>
      <c r="D71" s="46" t="s">
        <v>58</v>
      </c>
      <c r="E71" s="139" t="s">
        <v>505</v>
      </c>
      <c r="F71" s="62">
        <v>0.63700000000000001</v>
      </c>
      <c r="G71" s="63">
        <v>0.5</v>
      </c>
      <c r="H71" s="140"/>
      <c r="I71" s="140"/>
      <c r="J71" s="140"/>
      <c r="K71" s="142">
        <v>1.04201101928375</v>
      </c>
      <c r="L71" s="140"/>
      <c r="M71" s="140"/>
      <c r="N71" s="140"/>
      <c r="O71" s="142"/>
      <c r="P71" s="140"/>
      <c r="Q71" s="140"/>
      <c r="R71" s="140"/>
      <c r="S71" s="142"/>
      <c r="T71" s="140"/>
      <c r="U71" s="140"/>
      <c r="V71" s="140"/>
      <c r="W71" s="142"/>
      <c r="X71" s="67">
        <v>1.04201101928375</v>
      </c>
      <c r="Y71" s="89" t="s">
        <v>59</v>
      </c>
      <c r="Z71" s="53" t="s">
        <v>60</v>
      </c>
    </row>
    <row r="72" spans="1:26" ht="25.5" customHeight="1" x14ac:dyDescent="0.2">
      <c r="A72" s="44" t="s">
        <v>102</v>
      </c>
      <c r="B72" s="45" t="s">
        <v>103</v>
      </c>
      <c r="C72" s="46" t="s">
        <v>19</v>
      </c>
      <c r="D72" s="46" t="s">
        <v>58</v>
      </c>
      <c r="E72" s="139" t="s">
        <v>505</v>
      </c>
      <c r="F72" s="62">
        <v>0.92</v>
      </c>
      <c r="G72" s="63">
        <v>0.3</v>
      </c>
      <c r="H72" s="140"/>
      <c r="I72" s="140"/>
      <c r="J72" s="140"/>
      <c r="K72" s="142">
        <v>1.35135135135135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1.35135135135135</v>
      </c>
      <c r="Y72" s="89" t="s">
        <v>59</v>
      </c>
      <c r="Z72" s="53" t="s">
        <v>60</v>
      </c>
    </row>
    <row r="73" spans="1:26" ht="25.5" customHeight="1" x14ac:dyDescent="0.2">
      <c r="A73" s="44" t="s">
        <v>104</v>
      </c>
      <c r="B73" s="45" t="s">
        <v>105</v>
      </c>
      <c r="C73" s="46" t="s">
        <v>19</v>
      </c>
      <c r="D73" s="46" t="s">
        <v>58</v>
      </c>
      <c r="E73" s="139" t="s">
        <v>505</v>
      </c>
      <c r="F73" s="62">
        <v>0.88</v>
      </c>
      <c r="G73" s="63">
        <v>0.3</v>
      </c>
      <c r="H73" s="140"/>
      <c r="I73" s="140"/>
      <c r="J73" s="140"/>
      <c r="K73" s="142">
        <v>1.03454545454545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1.03454545454545</v>
      </c>
      <c r="Y73" s="89" t="s">
        <v>59</v>
      </c>
      <c r="Z73" s="53" t="s">
        <v>60</v>
      </c>
    </row>
    <row r="74" spans="1:26" ht="25.5" customHeight="1" x14ac:dyDescent="0.2">
      <c r="A74" s="44" t="s">
        <v>106</v>
      </c>
      <c r="B74" s="45" t="s">
        <v>107</v>
      </c>
      <c r="C74" s="46" t="s">
        <v>19</v>
      </c>
      <c r="D74" s="46" t="s">
        <v>58</v>
      </c>
      <c r="E74" s="139" t="s">
        <v>505</v>
      </c>
      <c r="F74" s="62">
        <v>0.84099999999999997</v>
      </c>
      <c r="G74" s="63">
        <v>0.3</v>
      </c>
      <c r="H74" s="140"/>
      <c r="I74" s="140"/>
      <c r="J74" s="140"/>
      <c r="K74" s="142">
        <v>0.91400000000000003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0.91400000000000003</v>
      </c>
      <c r="Y74" s="89" t="s">
        <v>59</v>
      </c>
      <c r="Z74" s="53" t="s">
        <v>60</v>
      </c>
    </row>
    <row r="75" spans="1:26" ht="25.5" customHeight="1" x14ac:dyDescent="0.2">
      <c r="A75" s="44" t="s">
        <v>108</v>
      </c>
      <c r="B75" s="45" t="s">
        <v>109</v>
      </c>
      <c r="C75" s="46" t="s">
        <v>19</v>
      </c>
      <c r="D75" s="46" t="s">
        <v>58</v>
      </c>
      <c r="E75" s="139" t="s">
        <v>505</v>
      </c>
      <c r="F75" s="62">
        <v>1</v>
      </c>
      <c r="G75" s="63">
        <v>0.9</v>
      </c>
      <c r="H75" s="140"/>
      <c r="I75" s="140"/>
      <c r="J75" s="140"/>
      <c r="K75" s="142">
        <v>0.88081936685288598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0.88081936685288598</v>
      </c>
      <c r="Y75" s="89" t="s">
        <v>67</v>
      </c>
      <c r="Z75" s="53" t="s">
        <v>60</v>
      </c>
    </row>
    <row r="76" spans="1:26" ht="25.5" customHeight="1" x14ac:dyDescent="0.2">
      <c r="A76" s="44" t="s">
        <v>110</v>
      </c>
      <c r="B76" s="45" t="s">
        <v>111</v>
      </c>
      <c r="C76" s="46" t="s">
        <v>19</v>
      </c>
      <c r="D76" s="46" t="s">
        <v>58</v>
      </c>
      <c r="E76" s="139" t="s">
        <v>505</v>
      </c>
      <c r="F76" s="62">
        <v>0.93799999999999994</v>
      </c>
      <c r="G76" s="63">
        <v>0.9</v>
      </c>
      <c r="H76" s="140"/>
      <c r="I76" s="140"/>
      <c r="J76" s="140"/>
      <c r="K76" s="142">
        <v>0.95693779904306198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0.95693779904306198</v>
      </c>
      <c r="Y76" s="89" t="s">
        <v>59</v>
      </c>
      <c r="Z76" s="53" t="s">
        <v>60</v>
      </c>
    </row>
    <row r="77" spans="1:26" ht="25.5" customHeight="1" x14ac:dyDescent="0.2">
      <c r="A77" s="44" t="s">
        <v>112</v>
      </c>
      <c r="B77" s="45" t="s">
        <v>113</v>
      </c>
      <c r="C77" s="46" t="s">
        <v>19</v>
      </c>
      <c r="D77" s="46" t="s">
        <v>58</v>
      </c>
      <c r="E77" s="139" t="s">
        <v>505</v>
      </c>
      <c r="F77" s="62">
        <v>0.995</v>
      </c>
      <c r="G77" s="66">
        <v>0.6</v>
      </c>
      <c r="H77" s="140"/>
      <c r="I77" s="140"/>
      <c r="J77" s="140"/>
      <c r="K77" s="141">
        <v>0.99439999999999995</v>
      </c>
      <c r="L77" s="140"/>
      <c r="M77" s="140"/>
      <c r="N77" s="140"/>
      <c r="O77" s="142">
        <v>1</v>
      </c>
      <c r="P77" s="140"/>
      <c r="Q77" s="140"/>
      <c r="R77" s="140"/>
      <c r="S77" s="142"/>
      <c r="T77" s="140"/>
      <c r="U77" s="140"/>
      <c r="V77" s="140"/>
      <c r="W77" s="142">
        <v>1.1656500000000001</v>
      </c>
      <c r="X77" s="67">
        <v>0.99439999999999995</v>
      </c>
      <c r="Y77" s="89" t="s">
        <v>59</v>
      </c>
      <c r="Z77" s="53" t="s">
        <v>60</v>
      </c>
    </row>
    <row r="78" spans="1:26" ht="25.5" customHeight="1" x14ac:dyDescent="0.2">
      <c r="A78" s="44" t="s">
        <v>116</v>
      </c>
      <c r="B78" s="45" t="s">
        <v>117</v>
      </c>
      <c r="C78" s="46" t="s">
        <v>19</v>
      </c>
      <c r="D78" s="46" t="s">
        <v>64</v>
      </c>
      <c r="E78" s="139" t="s">
        <v>505</v>
      </c>
      <c r="F78" s="62" t="s">
        <v>24</v>
      </c>
      <c r="G78" s="66" t="s">
        <v>24</v>
      </c>
      <c r="H78" s="140"/>
      <c r="I78" s="140"/>
      <c r="J78" s="140"/>
      <c r="K78" s="141">
        <v>0.25</v>
      </c>
      <c r="L78" s="140"/>
      <c r="M78" s="140"/>
      <c r="N78" s="140"/>
      <c r="O78" s="142">
        <v>301</v>
      </c>
      <c r="P78" s="140"/>
      <c r="Q78" s="140"/>
      <c r="R78" s="140"/>
      <c r="S78" s="142"/>
      <c r="T78" s="140"/>
      <c r="U78" s="140"/>
      <c r="V78" s="140"/>
      <c r="W78" s="142"/>
      <c r="X78" s="67">
        <v>0.25</v>
      </c>
      <c r="Y78" s="89" t="s">
        <v>71</v>
      </c>
      <c r="Z78" s="53" t="s">
        <v>118</v>
      </c>
    </row>
    <row r="79" spans="1:26" ht="25.5" customHeight="1" x14ac:dyDescent="0.2">
      <c r="A79" s="44" t="s">
        <v>119</v>
      </c>
      <c r="B79" s="45" t="s">
        <v>120</v>
      </c>
      <c r="C79" s="46" t="s">
        <v>19</v>
      </c>
      <c r="D79" s="46" t="s">
        <v>64</v>
      </c>
      <c r="E79" s="139" t="s">
        <v>505</v>
      </c>
      <c r="F79" s="77">
        <v>0</v>
      </c>
      <c r="G79" s="96">
        <v>15</v>
      </c>
      <c r="H79" s="147"/>
      <c r="I79" s="147"/>
      <c r="J79" s="147"/>
      <c r="K79" s="148">
        <v>0</v>
      </c>
      <c r="L79" s="147"/>
      <c r="M79" s="147"/>
      <c r="N79" s="147"/>
      <c r="O79" s="149">
        <v>0</v>
      </c>
      <c r="P79" s="147"/>
      <c r="Q79" s="147"/>
      <c r="R79" s="147"/>
      <c r="S79" s="149"/>
      <c r="T79" s="147"/>
      <c r="U79" s="147"/>
      <c r="V79" s="147"/>
      <c r="W79" s="149"/>
      <c r="X79" s="79">
        <v>0</v>
      </c>
      <c r="Y79" s="89" t="s">
        <v>59</v>
      </c>
      <c r="Z79" s="53" t="s">
        <v>60</v>
      </c>
    </row>
    <row r="80" spans="1:26" ht="25.5" customHeight="1" x14ac:dyDescent="0.2">
      <c r="A80" s="44" t="s">
        <v>122</v>
      </c>
      <c r="B80" s="45" t="s">
        <v>123</v>
      </c>
      <c r="C80" s="46" t="s">
        <v>19</v>
      </c>
      <c r="D80" s="46" t="s">
        <v>64</v>
      </c>
      <c r="E80" s="139" t="s">
        <v>505</v>
      </c>
      <c r="F80" s="77">
        <v>0.4</v>
      </c>
      <c r="G80" s="50">
        <v>0.7</v>
      </c>
      <c r="H80" s="147"/>
      <c r="I80" s="147"/>
      <c r="J80" s="147"/>
      <c r="K80" s="148">
        <v>0</v>
      </c>
      <c r="L80" s="147"/>
      <c r="M80" s="147"/>
      <c r="N80" s="147"/>
      <c r="O80" s="149">
        <v>0</v>
      </c>
      <c r="P80" s="147"/>
      <c r="Q80" s="147"/>
      <c r="R80" s="147"/>
      <c r="S80" s="149"/>
      <c r="T80" s="147"/>
      <c r="U80" s="147"/>
      <c r="V80" s="147"/>
      <c r="W80" s="149"/>
      <c r="X80" s="79">
        <v>0</v>
      </c>
      <c r="Y80" s="89" t="s">
        <v>59</v>
      </c>
      <c r="Z80" s="53" t="s">
        <v>60</v>
      </c>
    </row>
    <row r="81" spans="1:26" ht="25.5" customHeight="1" x14ac:dyDescent="0.2">
      <c r="A81" s="44" t="s">
        <v>124</v>
      </c>
      <c r="B81" s="45" t="s">
        <v>125</v>
      </c>
      <c r="C81" s="46" t="s">
        <v>19</v>
      </c>
      <c r="D81" s="46" t="s">
        <v>64</v>
      </c>
      <c r="E81" s="139" t="s">
        <v>505</v>
      </c>
      <c r="F81" s="77">
        <v>0.13</v>
      </c>
      <c r="G81" s="97">
        <v>11</v>
      </c>
      <c r="H81" s="147"/>
      <c r="I81" s="147"/>
      <c r="J81" s="147"/>
      <c r="K81" s="148">
        <v>0</v>
      </c>
      <c r="L81" s="147"/>
      <c r="M81" s="147"/>
      <c r="N81" s="147"/>
      <c r="O81" s="149">
        <v>0</v>
      </c>
      <c r="P81" s="147"/>
      <c r="Q81" s="147"/>
      <c r="R81" s="147"/>
      <c r="S81" s="149"/>
      <c r="T81" s="147"/>
      <c r="U81" s="147"/>
      <c r="V81" s="147"/>
      <c r="W81" s="149"/>
      <c r="X81" s="79">
        <v>0</v>
      </c>
      <c r="Y81" s="89" t="s">
        <v>59</v>
      </c>
      <c r="Z81" s="53" t="s">
        <v>60</v>
      </c>
    </row>
    <row r="82" spans="1:26" ht="25.5" customHeight="1" x14ac:dyDescent="0.2">
      <c r="A82" s="44" t="s">
        <v>126</v>
      </c>
      <c r="B82" s="45" t="s">
        <v>127</v>
      </c>
      <c r="C82" s="46" t="s">
        <v>19</v>
      </c>
      <c r="D82" s="46" t="s">
        <v>64</v>
      </c>
      <c r="E82" s="139" t="s">
        <v>505</v>
      </c>
      <c r="F82" s="77">
        <v>0.47</v>
      </c>
      <c r="G82" s="57">
        <v>0.4</v>
      </c>
      <c r="H82" s="147"/>
      <c r="I82" s="147"/>
      <c r="J82" s="147"/>
      <c r="K82" s="148">
        <v>0</v>
      </c>
      <c r="L82" s="147"/>
      <c r="M82" s="147"/>
      <c r="N82" s="147"/>
      <c r="O82" s="149">
        <v>0</v>
      </c>
      <c r="P82" s="147"/>
      <c r="Q82" s="147"/>
      <c r="R82" s="147"/>
      <c r="S82" s="149"/>
      <c r="T82" s="147"/>
      <c r="U82" s="147"/>
      <c r="V82" s="147"/>
      <c r="W82" s="149"/>
      <c r="X82" s="79">
        <v>0</v>
      </c>
      <c r="Y82" s="89" t="s">
        <v>59</v>
      </c>
      <c r="Z82" s="53" t="s">
        <v>128</v>
      </c>
    </row>
    <row r="83" spans="1:26" ht="25.5" customHeight="1" x14ac:dyDescent="0.2">
      <c r="A83" s="44" t="s">
        <v>136</v>
      </c>
      <c r="B83" s="45" t="s">
        <v>137</v>
      </c>
      <c r="C83" s="46" t="s">
        <v>19</v>
      </c>
      <c r="D83" s="46" t="s">
        <v>64</v>
      </c>
      <c r="E83" s="139" t="s">
        <v>505</v>
      </c>
      <c r="F83" s="77">
        <v>0.9</v>
      </c>
      <c r="G83" s="97">
        <v>1.5</v>
      </c>
      <c r="H83" s="147"/>
      <c r="I83" s="147"/>
      <c r="J83" s="147"/>
      <c r="K83" s="149"/>
      <c r="L83" s="147"/>
      <c r="M83" s="147"/>
      <c r="N83" s="147"/>
      <c r="O83" s="149">
        <v>0</v>
      </c>
      <c r="P83" s="147"/>
      <c r="Q83" s="147"/>
      <c r="R83" s="147"/>
      <c r="S83" s="149"/>
      <c r="T83" s="147"/>
      <c r="U83" s="147"/>
      <c r="V83" s="147"/>
      <c r="W83" s="149"/>
      <c r="X83" s="79"/>
      <c r="Y83" s="89" t="s">
        <v>91</v>
      </c>
      <c r="Z83" s="53" t="s">
        <v>60</v>
      </c>
    </row>
    <row r="84" spans="1:26" ht="25.5" customHeight="1" x14ac:dyDescent="0.2">
      <c r="A84" s="44" t="s">
        <v>138</v>
      </c>
      <c r="B84" s="45" t="s">
        <v>139</v>
      </c>
      <c r="C84" s="46" t="s">
        <v>19</v>
      </c>
      <c r="D84" s="46" t="s">
        <v>58</v>
      </c>
      <c r="E84" s="139" t="s">
        <v>505</v>
      </c>
      <c r="F84" s="77">
        <v>0.9</v>
      </c>
      <c r="G84" s="57">
        <v>3</v>
      </c>
      <c r="H84" s="147"/>
      <c r="I84" s="147"/>
      <c r="J84" s="147"/>
      <c r="K84" s="148">
        <v>0.3</v>
      </c>
      <c r="L84" s="147"/>
      <c r="M84" s="147"/>
      <c r="N84" s="147"/>
      <c r="O84" s="149">
        <v>0.41</v>
      </c>
      <c r="P84" s="147"/>
      <c r="Q84" s="147"/>
      <c r="R84" s="147"/>
      <c r="S84" s="149"/>
      <c r="T84" s="147"/>
      <c r="U84" s="147"/>
      <c r="V84" s="147"/>
      <c r="W84" s="149"/>
      <c r="X84" s="79">
        <v>0.3</v>
      </c>
      <c r="Y84" s="89" t="s">
        <v>67</v>
      </c>
      <c r="Z84" s="53" t="s">
        <v>60</v>
      </c>
    </row>
    <row r="85" spans="1:26" ht="25.5" customHeight="1" x14ac:dyDescent="0.2">
      <c r="A85" s="44" t="s">
        <v>140</v>
      </c>
      <c r="B85" s="45" t="s">
        <v>141</v>
      </c>
      <c r="C85" s="46" t="s">
        <v>19</v>
      </c>
      <c r="D85" s="46" t="s">
        <v>58</v>
      </c>
      <c r="E85" s="139" t="s">
        <v>505</v>
      </c>
      <c r="F85" s="62">
        <v>0.77700000000000002</v>
      </c>
      <c r="G85" s="63">
        <v>0.7</v>
      </c>
      <c r="H85" s="140"/>
      <c r="I85" s="140"/>
      <c r="J85" s="140"/>
      <c r="K85" s="141">
        <v>0.72099999999999997</v>
      </c>
      <c r="L85" s="140"/>
      <c r="M85" s="140"/>
      <c r="N85" s="140"/>
      <c r="O85" s="142">
        <v>0.75</v>
      </c>
      <c r="P85" s="140"/>
      <c r="Q85" s="140"/>
      <c r="R85" s="140"/>
      <c r="S85" s="142"/>
      <c r="T85" s="140"/>
      <c r="U85" s="140"/>
      <c r="V85" s="140"/>
      <c r="W85" s="142"/>
      <c r="X85" s="67">
        <v>0.72099999999999997</v>
      </c>
      <c r="Y85" s="89" t="s">
        <v>59</v>
      </c>
      <c r="Z85" s="53" t="s">
        <v>60</v>
      </c>
    </row>
    <row r="86" spans="1:26" ht="25.5" customHeight="1" x14ac:dyDescent="0.2">
      <c r="A86" s="44" t="s">
        <v>142</v>
      </c>
      <c r="B86" s="45" t="s">
        <v>143</v>
      </c>
      <c r="C86" s="46" t="s">
        <v>19</v>
      </c>
      <c r="D86" s="46" t="s">
        <v>64</v>
      </c>
      <c r="E86" s="139" t="s">
        <v>505</v>
      </c>
      <c r="F86" s="77">
        <v>28.6</v>
      </c>
      <c r="G86" s="97">
        <v>14.3</v>
      </c>
      <c r="H86" s="147"/>
      <c r="I86" s="147"/>
      <c r="J86" s="147"/>
      <c r="K86" s="149"/>
      <c r="L86" s="147"/>
      <c r="M86" s="147"/>
      <c r="N86" s="147"/>
      <c r="O86" s="149">
        <v>0</v>
      </c>
      <c r="P86" s="147"/>
      <c r="Q86" s="147"/>
      <c r="R86" s="147"/>
      <c r="S86" s="149"/>
      <c r="T86" s="147"/>
      <c r="U86" s="147"/>
      <c r="V86" s="147"/>
      <c r="W86" s="149"/>
      <c r="X86" s="79"/>
      <c r="Y86" s="89" t="s">
        <v>91</v>
      </c>
      <c r="Z86" s="53" t="s">
        <v>60</v>
      </c>
    </row>
    <row r="87" spans="1:26" ht="25.5" customHeight="1" x14ac:dyDescent="0.2">
      <c r="A87" s="44" t="s">
        <v>147</v>
      </c>
      <c r="B87" s="45" t="s">
        <v>148</v>
      </c>
      <c r="C87" s="46" t="s">
        <v>146</v>
      </c>
      <c r="D87" s="46" t="s">
        <v>58</v>
      </c>
      <c r="E87" s="139" t="s">
        <v>505</v>
      </c>
      <c r="F87" s="62">
        <v>0.624</v>
      </c>
      <c r="G87" s="66">
        <v>0.6</v>
      </c>
      <c r="H87" s="140"/>
      <c r="I87" s="140"/>
      <c r="J87" s="140"/>
      <c r="K87" s="142"/>
      <c r="L87" s="140"/>
      <c r="M87" s="140"/>
      <c r="N87" s="140"/>
      <c r="O87" s="142"/>
      <c r="P87" s="140"/>
      <c r="Q87" s="140"/>
      <c r="R87" s="140"/>
      <c r="S87" s="142"/>
      <c r="T87" s="140"/>
      <c r="U87" s="140"/>
      <c r="V87" s="140"/>
      <c r="W87" s="142"/>
      <c r="X87" s="67"/>
      <c r="Y87" s="89" t="s">
        <v>91</v>
      </c>
      <c r="Z87" s="53" t="s">
        <v>60</v>
      </c>
    </row>
    <row r="88" spans="1:26" ht="25.5" customHeight="1" x14ac:dyDescent="0.2">
      <c r="A88" s="44" t="s">
        <v>149</v>
      </c>
      <c r="B88" s="45" t="s">
        <v>150</v>
      </c>
      <c r="C88" s="46" t="s">
        <v>146</v>
      </c>
      <c r="D88" s="46" t="s">
        <v>58</v>
      </c>
      <c r="E88" s="139" t="s">
        <v>505</v>
      </c>
      <c r="F88" s="62">
        <v>0.76</v>
      </c>
      <c r="G88" s="66">
        <v>0.7</v>
      </c>
      <c r="H88" s="140"/>
      <c r="I88" s="140"/>
      <c r="J88" s="140"/>
      <c r="K88" s="142"/>
      <c r="L88" s="140"/>
      <c r="M88" s="140"/>
      <c r="N88" s="140"/>
      <c r="O88" s="142"/>
      <c r="P88" s="140"/>
      <c r="Q88" s="140"/>
      <c r="R88" s="140"/>
      <c r="S88" s="142"/>
      <c r="T88" s="140"/>
      <c r="U88" s="140"/>
      <c r="V88" s="140"/>
      <c r="W88" s="142"/>
      <c r="X88" s="67"/>
      <c r="Y88" s="89" t="s">
        <v>91</v>
      </c>
      <c r="Z88" s="53" t="s">
        <v>60</v>
      </c>
    </row>
    <row r="89" spans="1:26" ht="25.5" customHeight="1" x14ac:dyDescent="0.2">
      <c r="A89" s="44" t="s">
        <v>151</v>
      </c>
      <c r="B89" s="45" t="s">
        <v>152</v>
      </c>
      <c r="C89" s="46" t="s">
        <v>146</v>
      </c>
      <c r="D89" s="46" t="s">
        <v>58</v>
      </c>
      <c r="E89" s="139" t="s">
        <v>505</v>
      </c>
      <c r="F89" s="62">
        <v>0.82099999999999995</v>
      </c>
      <c r="G89" s="66">
        <v>0.7</v>
      </c>
      <c r="H89" s="140"/>
      <c r="I89" s="140"/>
      <c r="J89" s="140"/>
      <c r="K89" s="142"/>
      <c r="L89" s="140"/>
      <c r="M89" s="140"/>
      <c r="N89" s="140"/>
      <c r="O89" s="142"/>
      <c r="P89" s="140"/>
      <c r="Q89" s="140"/>
      <c r="R89" s="140"/>
      <c r="S89" s="142"/>
      <c r="T89" s="140"/>
      <c r="U89" s="140"/>
      <c r="V89" s="140"/>
      <c r="W89" s="142"/>
      <c r="X89" s="67"/>
      <c r="Y89" s="89" t="s">
        <v>91</v>
      </c>
      <c r="Z89" s="53" t="s">
        <v>60</v>
      </c>
    </row>
    <row r="90" spans="1:26" ht="25.5" customHeight="1" x14ac:dyDescent="0.2">
      <c r="A90" s="44" t="s">
        <v>153</v>
      </c>
      <c r="B90" s="45" t="s">
        <v>154</v>
      </c>
      <c r="C90" s="46" t="s">
        <v>146</v>
      </c>
      <c r="D90" s="46" t="s">
        <v>58</v>
      </c>
      <c r="E90" s="139" t="s">
        <v>505</v>
      </c>
      <c r="F90" s="62">
        <v>0.91</v>
      </c>
      <c r="G90" s="63">
        <v>0.92</v>
      </c>
      <c r="H90" s="140"/>
      <c r="I90" s="140"/>
      <c r="J90" s="140"/>
      <c r="K90" s="141">
        <v>1</v>
      </c>
      <c r="L90" s="140"/>
      <c r="M90" s="140"/>
      <c r="N90" s="140"/>
      <c r="O90" s="142">
        <v>1</v>
      </c>
      <c r="P90" s="140"/>
      <c r="Q90" s="140"/>
      <c r="R90" s="140"/>
      <c r="S90" s="142"/>
      <c r="T90" s="140"/>
      <c r="U90" s="140"/>
      <c r="V90" s="140"/>
      <c r="W90" s="142"/>
      <c r="X90" s="67">
        <v>1</v>
      </c>
      <c r="Y90" s="89" t="s">
        <v>59</v>
      </c>
      <c r="Z90" s="53" t="s">
        <v>155</v>
      </c>
    </row>
    <row r="91" spans="1:26" ht="25.5" customHeight="1" x14ac:dyDescent="0.2">
      <c r="A91" s="44" t="s">
        <v>156</v>
      </c>
      <c r="B91" s="45" t="s">
        <v>157</v>
      </c>
      <c r="C91" s="46" t="s">
        <v>146</v>
      </c>
      <c r="D91" s="46" t="s">
        <v>58</v>
      </c>
      <c r="E91" s="139" t="s">
        <v>505</v>
      </c>
      <c r="F91" s="62">
        <v>0.78</v>
      </c>
      <c r="G91" s="66">
        <v>0.85</v>
      </c>
      <c r="H91" s="140"/>
      <c r="I91" s="140"/>
      <c r="J91" s="140"/>
      <c r="K91" s="141">
        <v>1</v>
      </c>
      <c r="L91" s="140"/>
      <c r="M91" s="140"/>
      <c r="N91" s="140"/>
      <c r="O91" s="142">
        <v>1</v>
      </c>
      <c r="P91" s="140"/>
      <c r="Q91" s="140"/>
      <c r="R91" s="140"/>
      <c r="S91" s="142"/>
      <c r="T91" s="140"/>
      <c r="U91" s="140"/>
      <c r="V91" s="140"/>
      <c r="W91" s="142"/>
      <c r="X91" s="67">
        <v>1</v>
      </c>
      <c r="Y91" s="89" t="s">
        <v>59</v>
      </c>
      <c r="Z91" s="53" t="s">
        <v>158</v>
      </c>
    </row>
    <row r="92" spans="1:26" ht="25.5" customHeight="1" x14ac:dyDescent="0.2">
      <c r="A92" s="44" t="s">
        <v>159</v>
      </c>
      <c r="B92" s="45" t="s">
        <v>160</v>
      </c>
      <c r="C92" s="46" t="s">
        <v>146</v>
      </c>
      <c r="D92" s="46" t="s">
        <v>58</v>
      </c>
      <c r="E92" s="139" t="s">
        <v>505</v>
      </c>
      <c r="F92" s="62">
        <v>0.78600000000000003</v>
      </c>
      <c r="G92" s="63">
        <v>0.8</v>
      </c>
      <c r="H92" s="140"/>
      <c r="I92" s="140"/>
      <c r="J92" s="140"/>
      <c r="K92" s="141">
        <v>1</v>
      </c>
      <c r="L92" s="140"/>
      <c r="M92" s="140"/>
      <c r="N92" s="140"/>
      <c r="O92" s="142">
        <v>1</v>
      </c>
      <c r="P92" s="140"/>
      <c r="Q92" s="140"/>
      <c r="R92" s="140"/>
      <c r="S92" s="142"/>
      <c r="T92" s="140"/>
      <c r="U92" s="140"/>
      <c r="V92" s="140"/>
      <c r="W92" s="142"/>
      <c r="X92" s="67">
        <v>1</v>
      </c>
      <c r="Y92" s="89" t="s">
        <v>59</v>
      </c>
      <c r="Z92" s="53" t="s">
        <v>60</v>
      </c>
    </row>
    <row r="93" spans="1:26" ht="25.5" customHeight="1" x14ac:dyDescent="0.2">
      <c r="A93" s="44" t="s">
        <v>161</v>
      </c>
      <c r="B93" s="45" t="s">
        <v>162</v>
      </c>
      <c r="C93" s="46" t="s">
        <v>146</v>
      </c>
      <c r="D93" s="46" t="s">
        <v>58</v>
      </c>
      <c r="E93" s="139" t="s">
        <v>505</v>
      </c>
      <c r="F93" s="62">
        <v>0.98</v>
      </c>
      <c r="G93" s="63">
        <v>0.6</v>
      </c>
      <c r="H93" s="140"/>
      <c r="I93" s="140"/>
      <c r="J93" s="140"/>
      <c r="K93" s="141">
        <v>1</v>
      </c>
      <c r="L93" s="140"/>
      <c r="M93" s="140"/>
      <c r="N93" s="140"/>
      <c r="O93" s="142"/>
      <c r="P93" s="140"/>
      <c r="Q93" s="140"/>
      <c r="R93" s="140"/>
      <c r="S93" s="142"/>
      <c r="T93" s="140"/>
      <c r="U93" s="140"/>
      <c r="V93" s="140"/>
      <c r="W93" s="142"/>
      <c r="X93" s="67">
        <v>1</v>
      </c>
      <c r="Y93" s="89" t="s">
        <v>59</v>
      </c>
      <c r="Z93" s="53" t="s">
        <v>60</v>
      </c>
    </row>
    <row r="94" spans="1:26" ht="25.5" customHeight="1" x14ac:dyDescent="0.2">
      <c r="A94" s="44" t="s">
        <v>163</v>
      </c>
      <c r="B94" s="45" t="s">
        <v>164</v>
      </c>
      <c r="C94" s="46" t="s">
        <v>146</v>
      </c>
      <c r="D94" s="46" t="s">
        <v>64</v>
      </c>
      <c r="E94" s="139" t="s">
        <v>505</v>
      </c>
      <c r="F94" s="69">
        <v>13.3</v>
      </c>
      <c r="G94" s="84">
        <v>25</v>
      </c>
      <c r="H94" s="150"/>
      <c r="I94" s="150"/>
      <c r="J94" s="150"/>
      <c r="K94" s="151">
        <v>9.3000000000000007</v>
      </c>
      <c r="L94" s="150"/>
      <c r="M94" s="150"/>
      <c r="N94" s="150"/>
      <c r="O94" s="152"/>
      <c r="P94" s="150"/>
      <c r="Q94" s="150"/>
      <c r="R94" s="150"/>
      <c r="S94" s="152"/>
      <c r="T94" s="150"/>
      <c r="U94" s="150"/>
      <c r="V94" s="150"/>
      <c r="W94" s="152">
        <v>22</v>
      </c>
      <c r="X94" s="100">
        <v>9.3000000000000007</v>
      </c>
      <c r="Y94" s="89" t="s">
        <v>59</v>
      </c>
      <c r="Z94" s="53" t="s">
        <v>60</v>
      </c>
    </row>
    <row r="95" spans="1:26" ht="25.5" customHeight="1" x14ac:dyDescent="0.2">
      <c r="A95" s="44" t="s">
        <v>165</v>
      </c>
      <c r="B95" s="45" t="s">
        <v>166</v>
      </c>
      <c r="C95" s="46" t="s">
        <v>146</v>
      </c>
      <c r="D95" s="46" t="s">
        <v>64</v>
      </c>
      <c r="E95" s="139" t="s">
        <v>505</v>
      </c>
      <c r="F95" s="77">
        <v>31.9</v>
      </c>
      <c r="G95" s="97">
        <v>15.95</v>
      </c>
      <c r="H95" s="147"/>
      <c r="I95" s="147"/>
      <c r="J95" s="147"/>
      <c r="K95" s="148"/>
      <c r="L95" s="147"/>
      <c r="M95" s="147"/>
      <c r="N95" s="147"/>
      <c r="O95" s="149">
        <v>0</v>
      </c>
      <c r="P95" s="147"/>
      <c r="Q95" s="147"/>
      <c r="R95" s="147"/>
      <c r="S95" s="149"/>
      <c r="T95" s="147"/>
      <c r="U95" s="147"/>
      <c r="V95" s="147"/>
      <c r="W95" s="149"/>
      <c r="X95" s="79"/>
      <c r="Y95" s="89" t="s">
        <v>91</v>
      </c>
      <c r="Z95" s="53" t="s">
        <v>60</v>
      </c>
    </row>
    <row r="96" spans="1:26" ht="25.5" customHeight="1" x14ac:dyDescent="0.2">
      <c r="A96" s="44" t="s">
        <v>167</v>
      </c>
      <c r="B96" s="45" t="s">
        <v>168</v>
      </c>
      <c r="C96" s="46" t="s">
        <v>146</v>
      </c>
      <c r="D96" s="46" t="s">
        <v>64</v>
      </c>
      <c r="E96" s="139" t="s">
        <v>505</v>
      </c>
      <c r="F96" s="77">
        <v>56.1</v>
      </c>
      <c r="G96" s="97">
        <v>28.05</v>
      </c>
      <c r="H96" s="147"/>
      <c r="I96" s="147"/>
      <c r="J96" s="147"/>
      <c r="K96" s="149"/>
      <c r="L96" s="147"/>
      <c r="M96" s="147"/>
      <c r="N96" s="147"/>
      <c r="O96" s="149">
        <v>8</v>
      </c>
      <c r="P96" s="147"/>
      <c r="Q96" s="147"/>
      <c r="R96" s="147"/>
      <c r="S96" s="149"/>
      <c r="T96" s="147"/>
      <c r="U96" s="147"/>
      <c r="V96" s="147"/>
      <c r="W96" s="149"/>
      <c r="X96" s="79"/>
      <c r="Y96" s="89" t="s">
        <v>91</v>
      </c>
      <c r="Z96" s="53" t="s">
        <v>60</v>
      </c>
    </row>
    <row r="97" spans="1:26" ht="25.5" customHeight="1" x14ac:dyDescent="0.2">
      <c r="A97" s="44" t="s">
        <v>169</v>
      </c>
      <c r="B97" s="45" t="s">
        <v>170</v>
      </c>
      <c r="C97" s="46" t="s">
        <v>146</v>
      </c>
      <c r="D97" s="46" t="s">
        <v>64</v>
      </c>
      <c r="E97" s="139" t="s">
        <v>505</v>
      </c>
      <c r="F97" s="77">
        <v>39.799999999999997</v>
      </c>
      <c r="G97" s="97">
        <v>75</v>
      </c>
      <c r="H97" s="147"/>
      <c r="I97" s="147"/>
      <c r="J97" s="147"/>
      <c r="K97" s="148"/>
      <c r="L97" s="147"/>
      <c r="M97" s="147"/>
      <c r="N97" s="147"/>
      <c r="O97" s="149">
        <v>0</v>
      </c>
      <c r="P97" s="147"/>
      <c r="Q97" s="147"/>
      <c r="R97" s="147"/>
      <c r="S97" s="149"/>
      <c r="T97" s="147"/>
      <c r="U97" s="147"/>
      <c r="V97" s="147"/>
      <c r="W97" s="149"/>
      <c r="X97" s="79"/>
      <c r="Y97" s="89" t="s">
        <v>91</v>
      </c>
      <c r="Z97" s="53" t="s">
        <v>60</v>
      </c>
    </row>
    <row r="98" spans="1:26" ht="25.5" customHeight="1" x14ac:dyDescent="0.2">
      <c r="A98" s="44" t="s">
        <v>171</v>
      </c>
      <c r="B98" s="45" t="s">
        <v>172</v>
      </c>
      <c r="C98" s="46" t="s">
        <v>146</v>
      </c>
      <c r="D98" s="46" t="s">
        <v>64</v>
      </c>
      <c r="E98" s="139" t="s">
        <v>505</v>
      </c>
      <c r="F98" s="77">
        <v>15.7</v>
      </c>
      <c r="G98" s="97">
        <v>7.85</v>
      </c>
      <c r="H98" s="147"/>
      <c r="I98" s="147"/>
      <c r="J98" s="147"/>
      <c r="K98" s="148">
        <v>0</v>
      </c>
      <c r="L98" s="147"/>
      <c r="M98" s="147"/>
      <c r="N98" s="147"/>
      <c r="O98" s="149">
        <v>0</v>
      </c>
      <c r="P98" s="147"/>
      <c r="Q98" s="147"/>
      <c r="R98" s="147"/>
      <c r="S98" s="149"/>
      <c r="T98" s="147"/>
      <c r="U98" s="147"/>
      <c r="V98" s="147"/>
      <c r="W98" s="149"/>
      <c r="X98" s="79">
        <v>0</v>
      </c>
      <c r="Y98" s="89" t="s">
        <v>59</v>
      </c>
      <c r="Z98" s="53" t="s">
        <v>128</v>
      </c>
    </row>
    <row r="99" spans="1:26" ht="25.5" customHeight="1" x14ac:dyDescent="0.2">
      <c r="A99" s="44" t="s">
        <v>173</v>
      </c>
      <c r="B99" s="45" t="s">
        <v>174</v>
      </c>
      <c r="C99" s="46" t="s">
        <v>146</v>
      </c>
      <c r="D99" s="46" t="s">
        <v>64</v>
      </c>
      <c r="E99" s="139" t="s">
        <v>505</v>
      </c>
      <c r="F99" s="77">
        <v>11.7</v>
      </c>
      <c r="G99" s="57">
        <v>5.85</v>
      </c>
      <c r="H99" s="147"/>
      <c r="I99" s="147"/>
      <c r="J99" s="147"/>
      <c r="K99" s="148">
        <v>0</v>
      </c>
      <c r="L99" s="147"/>
      <c r="M99" s="147"/>
      <c r="N99" s="147"/>
      <c r="O99" s="149">
        <v>10.752688172042999</v>
      </c>
      <c r="P99" s="147"/>
      <c r="Q99" s="147"/>
      <c r="R99" s="147"/>
      <c r="S99" s="149"/>
      <c r="T99" s="147"/>
      <c r="U99" s="147"/>
      <c r="V99" s="147"/>
      <c r="W99" s="149"/>
      <c r="X99" s="79">
        <v>0</v>
      </c>
      <c r="Y99" s="89" t="s">
        <v>59</v>
      </c>
      <c r="Z99" s="53" t="s">
        <v>60</v>
      </c>
    </row>
    <row r="100" spans="1:26" ht="25.5" customHeight="1" x14ac:dyDescent="0.2">
      <c r="A100" s="44" t="s">
        <v>194</v>
      </c>
      <c r="B100" s="45" t="s">
        <v>195</v>
      </c>
      <c r="C100" s="46" t="s">
        <v>196</v>
      </c>
      <c r="D100" s="46" t="s">
        <v>58</v>
      </c>
      <c r="E100" s="139" t="s">
        <v>505</v>
      </c>
      <c r="F100" s="62">
        <v>0.48299999999999998</v>
      </c>
      <c r="G100" s="63">
        <v>0.56059999999999999</v>
      </c>
      <c r="H100" s="140"/>
      <c r="I100" s="140"/>
      <c r="J100" s="140"/>
      <c r="K100" s="141">
        <v>0.54</v>
      </c>
      <c r="L100" s="140"/>
      <c r="M100" s="140"/>
      <c r="N100" s="140"/>
      <c r="O100" s="142">
        <v>0.56617647058823495</v>
      </c>
      <c r="P100" s="140"/>
      <c r="Q100" s="140"/>
      <c r="R100" s="140"/>
      <c r="S100" s="142"/>
      <c r="T100" s="140"/>
      <c r="U100" s="140"/>
      <c r="V100" s="140"/>
      <c r="W100" s="142"/>
      <c r="X100" s="67">
        <v>0.54</v>
      </c>
      <c r="Y100" s="89" t="s">
        <v>67</v>
      </c>
      <c r="Z100" s="53" t="s">
        <v>68</v>
      </c>
    </row>
    <row r="101" spans="1:26" ht="25.5" customHeight="1" x14ac:dyDescent="0.2">
      <c r="A101" s="44" t="s">
        <v>197</v>
      </c>
      <c r="B101" s="45" t="s">
        <v>198</v>
      </c>
      <c r="C101" s="46" t="s">
        <v>196</v>
      </c>
      <c r="D101" s="46" t="s">
        <v>64</v>
      </c>
      <c r="E101" s="139" t="s">
        <v>505</v>
      </c>
      <c r="F101" s="62" t="s">
        <v>24</v>
      </c>
      <c r="G101" s="66" t="s">
        <v>24</v>
      </c>
      <c r="H101" s="140"/>
      <c r="I101" s="140"/>
      <c r="J101" s="140"/>
      <c r="K101" s="141">
        <v>8.4745762711864403E-2</v>
      </c>
      <c r="L101" s="140"/>
      <c r="M101" s="140"/>
      <c r="N101" s="140"/>
      <c r="O101" s="142"/>
      <c r="P101" s="140"/>
      <c r="Q101" s="140"/>
      <c r="R101" s="140"/>
      <c r="S101" s="142"/>
      <c r="T101" s="140"/>
      <c r="U101" s="140"/>
      <c r="V101" s="140"/>
      <c r="W101" s="142"/>
      <c r="X101" s="67">
        <v>8.4745762711864403E-2</v>
      </c>
      <c r="Y101" s="89" t="s">
        <v>71</v>
      </c>
      <c r="Z101" s="53" t="s">
        <v>186</v>
      </c>
    </row>
    <row r="102" spans="1:26" ht="25.5" customHeight="1" x14ac:dyDescent="0.2">
      <c r="A102" s="44" t="s">
        <v>200</v>
      </c>
      <c r="B102" s="45" t="s">
        <v>201</v>
      </c>
      <c r="C102" s="46" t="s">
        <v>196</v>
      </c>
      <c r="D102" s="46" t="s">
        <v>64</v>
      </c>
      <c r="E102" s="139" t="s">
        <v>505</v>
      </c>
      <c r="F102" s="62">
        <v>7.0000000000000007E-2</v>
      </c>
      <c r="G102" s="63">
        <v>0.115</v>
      </c>
      <c r="H102" s="140"/>
      <c r="I102" s="140"/>
      <c r="J102" s="140"/>
      <c r="K102" s="141">
        <v>9.6000000000000002E-2</v>
      </c>
      <c r="L102" s="140"/>
      <c r="M102" s="140"/>
      <c r="N102" s="140"/>
      <c r="O102" s="142"/>
      <c r="P102" s="140"/>
      <c r="Q102" s="140"/>
      <c r="R102" s="140"/>
      <c r="S102" s="142"/>
      <c r="T102" s="140"/>
      <c r="U102" s="140"/>
      <c r="V102" s="140"/>
      <c r="W102" s="142"/>
      <c r="X102" s="67">
        <v>9.6000000000000002E-2</v>
      </c>
      <c r="Y102" s="89" t="s">
        <v>59</v>
      </c>
      <c r="Z102" s="53" t="s">
        <v>60</v>
      </c>
    </row>
    <row r="103" spans="1:26" ht="25.5" customHeight="1" x14ac:dyDescent="0.2">
      <c r="A103" s="44" t="s">
        <v>467</v>
      </c>
      <c r="B103" s="45" t="s">
        <v>468</v>
      </c>
      <c r="C103" s="46" t="s">
        <v>196</v>
      </c>
      <c r="D103" s="46" t="s">
        <v>58</v>
      </c>
      <c r="E103" s="139" t="s">
        <v>507</v>
      </c>
      <c r="F103" s="62">
        <v>0.755</v>
      </c>
      <c r="G103" s="66">
        <v>0.7</v>
      </c>
      <c r="H103" s="140"/>
      <c r="I103" s="140"/>
      <c r="J103" s="140"/>
      <c r="K103" s="142"/>
      <c r="L103" s="140"/>
      <c r="M103" s="140"/>
      <c r="N103" s="140"/>
      <c r="O103" s="142"/>
      <c r="P103" s="140"/>
      <c r="Q103" s="140"/>
      <c r="R103" s="140"/>
      <c r="S103" s="142"/>
      <c r="T103" s="140"/>
      <c r="U103" s="140"/>
      <c r="V103" s="140"/>
      <c r="W103" s="142"/>
      <c r="X103" s="67"/>
      <c r="Y103" s="89" t="s">
        <v>91</v>
      </c>
      <c r="Z103" s="53" t="s">
        <v>60</v>
      </c>
    </row>
    <row r="104" spans="1:26" ht="25.5" customHeight="1" x14ac:dyDescent="0.2">
      <c r="A104" s="44" t="s">
        <v>215</v>
      </c>
      <c r="B104" s="45" t="s">
        <v>216</v>
      </c>
      <c r="C104" s="46" t="s">
        <v>21</v>
      </c>
      <c r="D104" s="46" t="s">
        <v>64</v>
      </c>
      <c r="E104" s="139" t="s">
        <v>505</v>
      </c>
      <c r="F104" s="90">
        <v>20.7</v>
      </c>
      <c r="G104" s="91">
        <v>21</v>
      </c>
      <c r="H104" s="140"/>
      <c r="I104" s="140"/>
      <c r="J104" s="140"/>
      <c r="K104" s="143"/>
      <c r="L104" s="140"/>
      <c r="M104" s="140"/>
      <c r="N104" s="140"/>
      <c r="O104" s="143"/>
      <c r="P104" s="140"/>
      <c r="Q104" s="140"/>
      <c r="R104" s="140"/>
      <c r="S104" s="143"/>
      <c r="T104" s="140"/>
      <c r="U104" s="140"/>
      <c r="V104" s="140"/>
      <c r="W104" s="143"/>
      <c r="X104" s="93"/>
      <c r="Y104" s="89" t="s">
        <v>91</v>
      </c>
      <c r="Z104" s="53" t="s">
        <v>60</v>
      </c>
    </row>
    <row r="105" spans="1:26" ht="25.5" customHeight="1" x14ac:dyDescent="0.2">
      <c r="A105" s="44" t="s">
        <v>427</v>
      </c>
      <c r="B105" s="45" t="s">
        <v>428</v>
      </c>
      <c r="C105" s="46" t="s">
        <v>21</v>
      </c>
      <c r="D105" s="46" t="s">
        <v>64</v>
      </c>
      <c r="E105" s="139" t="s">
        <v>504</v>
      </c>
      <c r="F105" s="90">
        <v>6</v>
      </c>
      <c r="G105" s="91">
        <v>5</v>
      </c>
      <c r="H105" s="140"/>
      <c r="I105" s="140"/>
      <c r="J105" s="140"/>
      <c r="K105" s="143" t="str">
        <f>IF(COUNT(H106:J106)=0,"",AVERAGE(H106:J106))</f>
        <v/>
      </c>
      <c r="L105" s="140"/>
      <c r="M105" s="140"/>
      <c r="N105" s="140"/>
      <c r="O105" s="143" t="str">
        <f>IF(COUNT(L106:N106)=0,"",AVERAGE(L106:N106))</f>
        <v/>
      </c>
      <c r="P105" s="140"/>
      <c r="Q105" s="140"/>
      <c r="R105" s="140"/>
      <c r="S105" s="143" t="str">
        <f>IF(COUNT(P106:R106)=0,"",AVERAGE(P106:R106))</f>
        <v/>
      </c>
      <c r="T105" s="140"/>
      <c r="U105" s="140"/>
      <c r="V105" s="140"/>
      <c r="W105" s="143" t="str">
        <f>IF(COUNT(T106:V106)=0,"",AVERAGE(T106:V106))</f>
        <v/>
      </c>
      <c r="X105" s="93"/>
      <c r="Y105" s="89" t="s">
        <v>91</v>
      </c>
      <c r="Z105" s="53" t="s">
        <v>128</v>
      </c>
    </row>
    <row r="106" spans="1:26" ht="25.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1:26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1:26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1:26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1:26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1:26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1:26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06">
    <cfRule type="expression" dxfId="59" priority="2">
      <formula>AND(ISNUMBER(H36),ISNUMBER($G36),OR(AND($D36="P",H36&gt;=$G36),AND($D36="N",H36&lt;=$G36)))</formula>
    </cfRule>
    <cfRule type="expression" dxfId="58" priority="3">
      <formula>AND(ISNUMBER(H36),ISNUMBER($G36),OR(AND($D36="P",H36&lt;$G36),AND($D36="N",H36&gt;$G36)))</formula>
    </cfRule>
  </conditionalFormatting>
  <conditionalFormatting sqref="X36:X106">
    <cfRule type="expression" dxfId="57" priority="4">
      <formula>$Y36="✓ On Target"</formula>
    </cfRule>
    <cfRule type="expression" dxfId="56" priority="5">
      <formula>$Y36="✗ Off Target"</formula>
    </cfRule>
    <cfRule type="expression" dxfId="55" priority="6">
      <formula>$Y36="— No Data"</formula>
    </cfRule>
    <cfRule type="expression" dxfId="54" priority="7">
      <formula>$Y36="⊘ Non Target"</formula>
    </cfRule>
  </conditionalFormatting>
  <conditionalFormatting sqref="Y36:Y106">
    <cfRule type="expression" dxfId="53" priority="8">
      <formula>Y36="✓ On Target"</formula>
    </cfRule>
    <cfRule type="expression" dxfId="52" priority="9">
      <formula>Y36="✗ Off Target"</formula>
    </cfRule>
    <cfRule type="expression" dxfId="51" priority="10">
      <formula>Y36="— No Data"</formula>
    </cfRule>
    <cfRule type="expression" dxfId="50" priority="11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695"/>
  <sheetViews>
    <sheetView showGridLines="0" topLeftCell="I40" zoomScaleNormal="100" workbookViewId="0">
      <selection activeCell="N53" sqref="N53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544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24</v>
      </c>
      <c r="C12" s="157"/>
      <c r="D12" s="201">
        <v>10</v>
      </c>
      <c r="E12" s="157"/>
      <c r="F12" s="196">
        <v>8</v>
      </c>
      <c r="G12" s="157"/>
      <c r="H12" s="200">
        <v>1</v>
      </c>
      <c r="I12" s="157"/>
      <c r="K12" s="193">
        <v>5</v>
      </c>
      <c r="L12" s="157"/>
      <c r="M12" s="201">
        <v>1</v>
      </c>
      <c r="N12" s="157"/>
      <c r="O12" s="196">
        <v>1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545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29</v>
      </c>
      <c r="C19" s="157"/>
      <c r="D19" s="157"/>
      <c r="E19" s="205">
        <v>11</v>
      </c>
      <c r="F19" s="157"/>
      <c r="G19" s="157"/>
      <c r="I19" s="204">
        <v>9</v>
      </c>
      <c r="J19" s="157"/>
      <c r="K19" s="157"/>
      <c r="M19" s="199">
        <v>1</v>
      </c>
      <c r="N19" s="157"/>
      <c r="O19" s="157"/>
      <c r="Q19" s="194">
        <v>26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546</v>
      </c>
      <c r="F21" s="157"/>
      <c r="G21" s="157"/>
      <c r="I21" s="160" t="s">
        <v>547</v>
      </c>
      <c r="J21" s="157"/>
      <c r="K21" s="157"/>
      <c r="M21" s="160" t="s">
        <v>548</v>
      </c>
      <c r="N21" s="157"/>
      <c r="O21" s="157"/>
      <c r="Q21" s="195" t="s">
        <v>531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549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2</v>
      </c>
      <c r="E25" s="33">
        <v>2</v>
      </c>
      <c r="F25" s="34">
        <v>1</v>
      </c>
      <c r="G25" s="35">
        <v>0.5</v>
      </c>
    </row>
    <row r="26" spans="2:19" ht="21.75" customHeight="1" x14ac:dyDescent="0.2">
      <c r="B26" s="24" t="s">
        <v>19</v>
      </c>
      <c r="C26" s="41">
        <v>4</v>
      </c>
      <c r="D26" s="26">
        <v>3</v>
      </c>
      <c r="E26" s="27">
        <v>1</v>
      </c>
      <c r="F26" s="28">
        <v>0</v>
      </c>
      <c r="G26" s="29">
        <v>0.75</v>
      </c>
    </row>
    <row r="27" spans="2:19" ht="21.75" customHeight="1" x14ac:dyDescent="0.2">
      <c r="B27" s="30" t="s">
        <v>20</v>
      </c>
      <c r="C27" s="40">
        <v>12</v>
      </c>
      <c r="D27" s="32">
        <v>6</v>
      </c>
      <c r="E27" s="33">
        <v>5</v>
      </c>
      <c r="F27" s="34">
        <v>0</v>
      </c>
      <c r="G27" s="35">
        <v>0.54545454545454497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0</v>
      </c>
      <c r="E29" s="33">
        <v>1</v>
      </c>
      <c r="F29" s="34">
        <v>0</v>
      </c>
      <c r="G29" s="35">
        <v>0</v>
      </c>
    </row>
    <row r="30" spans="2:19" ht="25.5" customHeight="1" x14ac:dyDescent="0.2">
      <c r="B30" s="36" t="s">
        <v>38</v>
      </c>
      <c r="C30" s="38">
        <v>29</v>
      </c>
      <c r="D30" s="38">
        <v>11</v>
      </c>
      <c r="E30" s="38">
        <v>9</v>
      </c>
      <c r="F30" s="38">
        <v>1</v>
      </c>
      <c r="G30" s="39">
        <v>0.55000000000000004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0</v>
      </c>
      <c r="I36" s="64">
        <v>8.3333333333333301E-2</v>
      </c>
      <c r="J36" s="64">
        <v>0</v>
      </c>
      <c r="K36" s="130">
        <f>IF(COUNT(H36:J36)=0,"",AVERAGE(H36:J36))</f>
        <v>2.7777777777777766E-2</v>
      </c>
      <c r="L36" s="65">
        <v>4.1666666666666699E-2</v>
      </c>
      <c r="M36" s="65">
        <v>0</v>
      </c>
      <c r="N36" s="65">
        <v>0</v>
      </c>
      <c r="O36" s="130">
        <f>IF(COUNT(L36:N36)=0,"",AVERAGE(L36:N36))</f>
        <v>1.38888888888889E-2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3.4722222222222203E-2</v>
      </c>
      <c r="Y36" s="89" t="s">
        <v>67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7.7220077220077196E-3</v>
      </c>
      <c r="I38" s="64">
        <v>3.6587714230695199E-3</v>
      </c>
      <c r="J38" s="64">
        <v>6.7882901994060297E-3</v>
      </c>
      <c r="K38" s="130">
        <f>IF(COUNT(H38:J38)=0,"",AVERAGE(H38:J38))</f>
        <v>6.0563564481610896E-3</v>
      </c>
      <c r="L38" s="65">
        <v>6.1452513966480399E-3</v>
      </c>
      <c r="M38" s="65">
        <v>7.4898352236250796E-3</v>
      </c>
      <c r="N38" s="65">
        <v>2.5679435052428801E-3</v>
      </c>
      <c r="O38" s="130">
        <f>IF(COUNT(L38:N38)=0,"",AVERAGE(L38:N38))</f>
        <v>5.4010100418386666E-3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6.10080392240456E-3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6.1213132999443504E-3</v>
      </c>
      <c r="I39" s="56">
        <v>1.1482254697286001E-2</v>
      </c>
      <c r="J39" s="56">
        <v>1.5449438202247199E-2</v>
      </c>
      <c r="K39" s="132">
        <f>IF(COUNT(H39:J39)=0,"",AVERAGE(H39:J39))</f>
        <v>1.1017668733159182E-2</v>
      </c>
      <c r="L39" s="78">
        <v>8.6750788643533104E-3</v>
      </c>
      <c r="M39" s="78">
        <v>1.1714589989350399E-2</v>
      </c>
      <c r="N39" s="78">
        <v>1.1714589989350399E-2</v>
      </c>
      <c r="O39" s="132">
        <f>IF(COUNT(L39:N39)=0,"",AVERAGE(L39:N39))</f>
        <v>1.070141961435137E-2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9.8463737987562507E-3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3.0481996570775401E-3</v>
      </c>
      <c r="I40" s="56">
        <v>3.0698388334612402E-3</v>
      </c>
      <c r="J40" s="56">
        <v>3.3712600084281502E-3</v>
      </c>
      <c r="K40" s="132">
        <f>IF(COUNT(H40:J40)=0,"",AVERAGE(H40:J40))</f>
        <v>3.1630994996556436E-3</v>
      </c>
      <c r="L40" s="78">
        <v>2.9613177864149598E-3</v>
      </c>
      <c r="M40" s="78">
        <v>3.3984706881903101E-3</v>
      </c>
      <c r="N40" s="78">
        <v>3.3984706881903101E-3</v>
      </c>
      <c r="O40" s="132">
        <f>IF(COUNT(L40:N40)=0,"",AVERAGE(L40:N40))</f>
        <v>3.2527530542651936E-3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3.0622086430353002E-3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0.155425219941349</v>
      </c>
      <c r="I41" s="64">
        <v>0.207792207792208</v>
      </c>
      <c r="J41" s="64">
        <v>0.31578947368421101</v>
      </c>
      <c r="K41" s="130">
        <f>IF(COUNT(H41:J41)=0,"",AVERAGE(H41:J41))</f>
        <v>0.22633563380592267</v>
      </c>
      <c r="L41" s="65">
        <v>0.214035087719298</v>
      </c>
      <c r="M41" s="65">
        <v>0.27334465195246199</v>
      </c>
      <c r="N41" s="65">
        <v>0.18421052631578899</v>
      </c>
      <c r="O41" s="130">
        <f>IF(COUNT(L41:N41)=0,"",AVERAGE(L41:N41))</f>
        <v>0.22386342199584966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0.22018536076261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4</v>
      </c>
      <c r="I42" s="95">
        <v>5.4666666666666703</v>
      </c>
      <c r="J42" s="95">
        <v>7.5</v>
      </c>
      <c r="K42" s="136">
        <f>IF(COUNT(H42:J42)=0,"",AVERAGE(H42:J42))</f>
        <v>5.6555555555555559</v>
      </c>
      <c r="L42" s="73">
        <v>3.7878787878787898</v>
      </c>
      <c r="M42" s="73">
        <v>4.3529411764705896</v>
      </c>
      <c r="N42" s="73">
        <v>6.5</v>
      </c>
      <c r="O42" s="136">
        <f>IF(COUNT(L42:N42)=0,"",AVERAGE(L42:N42))</f>
        <v>4.8802733214497929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4.7217171717171702</v>
      </c>
      <c r="Y42" s="89" t="s">
        <v>67</v>
      </c>
      <c r="Z42" s="53" t="s">
        <v>128</v>
      </c>
    </row>
    <row r="43" spans="1:26" ht="25.5" customHeight="1" x14ac:dyDescent="0.2">
      <c r="A43" s="44" t="s">
        <v>367</v>
      </c>
      <c r="B43" s="45" t="s">
        <v>368</v>
      </c>
      <c r="C43" s="46" t="s">
        <v>19</v>
      </c>
      <c r="D43" s="46" t="s">
        <v>64</v>
      </c>
      <c r="E43" s="44" t="s">
        <v>504</v>
      </c>
      <c r="F43" s="77">
        <v>0.18</v>
      </c>
      <c r="G43" s="57">
        <v>0</v>
      </c>
      <c r="H43" s="78"/>
      <c r="I43" s="78"/>
      <c r="J43" s="56">
        <v>0</v>
      </c>
      <c r="K43" s="132">
        <f>IF(COUNT(H43:J43)=0,"",SUM(H43:J43))</f>
        <v>0</v>
      </c>
      <c r="L43" s="49">
        <v>0</v>
      </c>
      <c r="M43" s="78">
        <v>0</v>
      </c>
      <c r="N43" s="78">
        <v>0</v>
      </c>
      <c r="O43" s="132">
        <f>IF(COUNT(L43:N43)=0,"",SUM(L43:N43))</f>
        <v>0</v>
      </c>
      <c r="P43" s="78"/>
      <c r="Q43" s="78"/>
      <c r="R43" s="78"/>
      <c r="S43" s="132">
        <v>0</v>
      </c>
      <c r="T43" s="78"/>
      <c r="U43" s="78"/>
      <c r="V43" s="78"/>
      <c r="W43" s="132">
        <v>0</v>
      </c>
      <c r="X43" s="79">
        <v>0</v>
      </c>
      <c r="Y43" s="89" t="s">
        <v>59</v>
      </c>
      <c r="Z43" s="53" t="s">
        <v>128</v>
      </c>
    </row>
    <row r="44" spans="1:26" ht="25.5" customHeight="1" x14ac:dyDescent="0.2">
      <c r="A44" s="44" t="s">
        <v>369</v>
      </c>
      <c r="B44" s="45" t="s">
        <v>370</v>
      </c>
      <c r="C44" s="46" t="s">
        <v>19</v>
      </c>
      <c r="D44" s="46" t="s">
        <v>58</v>
      </c>
      <c r="E44" s="44" t="s">
        <v>504</v>
      </c>
      <c r="F44" s="62">
        <v>0.97399999999999998</v>
      </c>
      <c r="G44" s="63">
        <v>0.98</v>
      </c>
      <c r="H44" s="64">
        <v>0.97062023939064201</v>
      </c>
      <c r="I44" s="64">
        <v>0.97845691382765498</v>
      </c>
      <c r="J44" s="64">
        <v>0.96134020618556704</v>
      </c>
      <c r="K44" s="130">
        <f>IF(COUNT(H44:J44)=0,"",AVERAGE(H44:J44))</f>
        <v>0.97013911980128809</v>
      </c>
      <c r="L44" s="65">
        <v>0.98027613412228798</v>
      </c>
      <c r="M44" s="65">
        <v>0.98545807077072201</v>
      </c>
      <c r="N44" s="65">
        <v>0.99596774193548399</v>
      </c>
      <c r="O44" s="130">
        <f>IF(COUNT(L44:N44)=0,"",AVERAGE(L44:N44))</f>
        <v>0.98723398227616466</v>
      </c>
      <c r="P44" s="65"/>
      <c r="Q44" s="65"/>
      <c r="R44" s="65"/>
      <c r="S44" s="130" t="str">
        <f>IF(COUNT(P44:R44)=0,"",AVERAGE(P44:R44))</f>
        <v/>
      </c>
      <c r="T44" s="65"/>
      <c r="U44" s="65"/>
      <c r="V44" s="65"/>
      <c r="W44" s="130" t="str">
        <f>IF(COUNT(T44:V44)=0,"",AVERAGE(T44:V44))</f>
        <v/>
      </c>
      <c r="X44" s="67">
        <v>0.97520762696178798</v>
      </c>
      <c r="Y44" s="89" t="s">
        <v>67</v>
      </c>
      <c r="Z44" s="53" t="s">
        <v>128</v>
      </c>
    </row>
    <row r="45" spans="1:26" ht="25.5" customHeight="1" x14ac:dyDescent="0.2">
      <c r="A45" s="44" t="s">
        <v>373</v>
      </c>
      <c r="B45" s="45" t="s">
        <v>374</v>
      </c>
      <c r="C45" s="46" t="s">
        <v>19</v>
      </c>
      <c r="D45" s="46" t="s">
        <v>58</v>
      </c>
      <c r="E45" s="44" t="s">
        <v>504</v>
      </c>
      <c r="F45" s="62">
        <v>1</v>
      </c>
      <c r="G45" s="63">
        <v>1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375</v>
      </c>
      <c r="B46" s="45" t="s">
        <v>376</v>
      </c>
      <c r="C46" s="46" t="s">
        <v>19</v>
      </c>
      <c r="D46" s="46" t="s">
        <v>64</v>
      </c>
      <c r="E46" s="44" t="s">
        <v>504</v>
      </c>
      <c r="F46" s="62">
        <v>0.01</v>
      </c>
      <c r="G46" s="63">
        <v>1.2E-2</v>
      </c>
      <c r="H46" s="64">
        <v>2.7322404371584699E-3</v>
      </c>
      <c r="I46" s="64">
        <v>2.5201612903225801E-3</v>
      </c>
      <c r="J46" s="64">
        <v>1.9990004997501301E-3</v>
      </c>
      <c r="K46" s="130">
        <f>IF(COUNT(H46:J46)=0,"",AVERAGE(H46:J46))</f>
        <v>2.4171340757437264E-3</v>
      </c>
      <c r="L46" s="65">
        <v>2.1940516821062901E-3</v>
      </c>
      <c r="M46" s="65">
        <v>3.21371183717193E-3</v>
      </c>
      <c r="N46" s="65">
        <v>1.0649627263045801E-3</v>
      </c>
      <c r="O46" s="130">
        <f>IF(COUNT(L46:N46)=0,"",AVERAGE(L46:N46))</f>
        <v>2.1575754151942667E-3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2.30559287892501E-3</v>
      </c>
      <c r="Y46" s="89" t="s">
        <v>59</v>
      </c>
      <c r="Z46" s="53" t="s">
        <v>128</v>
      </c>
    </row>
    <row r="47" spans="1:26" ht="25.5" customHeight="1" x14ac:dyDescent="0.2">
      <c r="A47" s="44" t="s">
        <v>377</v>
      </c>
      <c r="B47" s="45" t="s">
        <v>378</v>
      </c>
      <c r="C47" s="46" t="s">
        <v>146</v>
      </c>
      <c r="D47" s="46" t="s">
        <v>58</v>
      </c>
      <c r="E47" s="44" t="s">
        <v>504</v>
      </c>
      <c r="F47" s="62">
        <v>0.78800000000000003</v>
      </c>
      <c r="G47" s="63">
        <v>0.9</v>
      </c>
      <c r="H47" s="64">
        <v>0.73209999999999997</v>
      </c>
      <c r="I47" s="65">
        <v>0.8</v>
      </c>
      <c r="J47" s="65">
        <v>0.69569999999999999</v>
      </c>
      <c r="K47" s="130">
        <f>IF(COUNT(H47:J47)=0,"",AVERAGE(H47:J47))</f>
        <v>0.74260000000000004</v>
      </c>
      <c r="L47" s="65">
        <v>7.2700000000000001E-2</v>
      </c>
      <c r="M47" s="65">
        <v>0.69140000000000001</v>
      </c>
      <c r="N47" s="65">
        <v>0.79369999999999996</v>
      </c>
      <c r="O47" s="130">
        <f>IF(COUNT(L47:N47)=0,"",AVERAGE(L47:N47))</f>
        <v>0.51926666666666665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0.73209999999999997</v>
      </c>
      <c r="Y47" s="89" t="s">
        <v>67</v>
      </c>
      <c r="Z47" s="53" t="s">
        <v>186</v>
      </c>
    </row>
    <row r="48" spans="1:26" ht="25.5" customHeight="1" x14ac:dyDescent="0.2">
      <c r="A48" s="44" t="s">
        <v>379</v>
      </c>
      <c r="B48" s="45" t="s">
        <v>380</v>
      </c>
      <c r="C48" s="46" t="s">
        <v>146</v>
      </c>
      <c r="D48" s="46" t="s">
        <v>58</v>
      </c>
      <c r="E48" s="44" t="s">
        <v>504</v>
      </c>
      <c r="F48" s="62">
        <v>0.98799999999999999</v>
      </c>
      <c r="G48" s="63">
        <v>0.99</v>
      </c>
      <c r="H48" s="64">
        <v>1</v>
      </c>
      <c r="I48" s="64">
        <v>1</v>
      </c>
      <c r="J48" s="64">
        <v>1</v>
      </c>
      <c r="K48" s="130">
        <f>IF(COUNT(H48:J48)=0,"",AVERAGE(H48:J48))</f>
        <v>1</v>
      </c>
      <c r="L48" s="65">
        <v>1</v>
      </c>
      <c r="M48" s="65">
        <v>1</v>
      </c>
      <c r="N48" s="65"/>
      <c r="O48" s="130">
        <f>IF(COUNT(L48:N48)=0,"",AVERAGE(L48:N48))</f>
        <v>1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1</v>
      </c>
      <c r="Y48" s="89" t="s">
        <v>59</v>
      </c>
      <c r="Z48" s="53" t="s">
        <v>128</v>
      </c>
    </row>
    <row r="49" spans="1:26" ht="25.5" customHeight="1" x14ac:dyDescent="0.2">
      <c r="A49" s="44" t="s">
        <v>381</v>
      </c>
      <c r="B49" s="45" t="s">
        <v>382</v>
      </c>
      <c r="C49" s="46" t="s">
        <v>146</v>
      </c>
      <c r="D49" s="46" t="s">
        <v>58</v>
      </c>
      <c r="E49" s="44" t="s">
        <v>504</v>
      </c>
      <c r="F49" s="62">
        <v>0.92</v>
      </c>
      <c r="G49" s="63">
        <v>0.93</v>
      </c>
      <c r="H49" s="64">
        <v>0.96870621205044405</v>
      </c>
      <c r="I49" s="64">
        <v>0.98450596901193799</v>
      </c>
      <c r="J49" s="64">
        <v>0.92553723138430799</v>
      </c>
      <c r="K49" s="130">
        <f>IF(COUNT(H49:J49)=0,"",AVERAGE(H49:J49))</f>
        <v>0.95958313748223001</v>
      </c>
      <c r="L49" s="65">
        <v>0.95855680156021505</v>
      </c>
      <c r="M49" s="65">
        <v>0.96950000000000003</v>
      </c>
      <c r="N49" s="65">
        <v>0.971364402021336</v>
      </c>
      <c r="O49" s="130">
        <f>IF(COUNT(L49:N49)=0,"",AVERAGE(L49:N49))</f>
        <v>0.96647373452718366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0.95910820194204205</v>
      </c>
      <c r="Y49" s="89" t="s">
        <v>59</v>
      </c>
      <c r="Z49" s="53" t="s">
        <v>128</v>
      </c>
    </row>
    <row r="50" spans="1:26" ht="25.5" customHeight="1" x14ac:dyDescent="0.2">
      <c r="A50" s="44" t="s">
        <v>383</v>
      </c>
      <c r="B50" s="45" t="s">
        <v>384</v>
      </c>
      <c r="C50" s="46" t="s">
        <v>146</v>
      </c>
      <c r="D50" s="46" t="s">
        <v>64</v>
      </c>
      <c r="E50" s="44" t="s">
        <v>504</v>
      </c>
      <c r="F50" s="47">
        <v>0.55000000000000004</v>
      </c>
      <c r="G50" s="48" t="s">
        <v>24</v>
      </c>
      <c r="H50" s="81">
        <v>0</v>
      </c>
      <c r="I50" s="81">
        <v>0</v>
      </c>
      <c r="J50" s="81">
        <v>0</v>
      </c>
      <c r="K50" s="138">
        <f>IF(COUNT(H50:J50)=0,"",SUM(H50:J50))</f>
        <v>0</v>
      </c>
      <c r="L50" s="49">
        <v>0</v>
      </c>
      <c r="M50" s="49">
        <v>0</v>
      </c>
      <c r="N50" s="49">
        <v>0</v>
      </c>
      <c r="O50" s="138">
        <f>IF(COUNT(L50:N50)=0,"",SUM(L50:N50))</f>
        <v>0</v>
      </c>
      <c r="P50" s="49"/>
      <c r="Q50" s="49"/>
      <c r="R50" s="49"/>
      <c r="S50" s="138">
        <v>0</v>
      </c>
      <c r="T50" s="49"/>
      <c r="U50" s="49"/>
      <c r="V50" s="49"/>
      <c r="W50" s="138">
        <v>0</v>
      </c>
      <c r="X50" s="51">
        <v>0</v>
      </c>
      <c r="Y50" s="89" t="s">
        <v>71</v>
      </c>
      <c r="Z50" s="53" t="s">
        <v>128</v>
      </c>
    </row>
    <row r="51" spans="1:26" ht="25.5" customHeight="1" x14ac:dyDescent="0.2">
      <c r="A51" s="44" t="s">
        <v>389</v>
      </c>
      <c r="B51" s="45" t="s">
        <v>390</v>
      </c>
      <c r="C51" s="46" t="s">
        <v>146</v>
      </c>
      <c r="D51" s="46" t="s">
        <v>64</v>
      </c>
      <c r="E51" s="44" t="s">
        <v>504</v>
      </c>
      <c r="F51" s="62">
        <v>1.9E-2</v>
      </c>
      <c r="G51" s="63">
        <v>1.6199999999999999E-2</v>
      </c>
      <c r="H51" s="64">
        <v>0.02</v>
      </c>
      <c r="I51" s="64">
        <v>2.0574041148082301E-2</v>
      </c>
      <c r="J51" s="64">
        <v>2.8735632183908E-2</v>
      </c>
      <c r="K51" s="130">
        <f>IF(COUNT(H51:J51)=0,"",AVERAGE(H51:J51))</f>
        <v>2.3103224443996765E-2</v>
      </c>
      <c r="L51" s="65">
        <v>2.7303754266211601E-2</v>
      </c>
      <c r="M51" s="65">
        <v>3.5400000000000001E-2</v>
      </c>
      <c r="N51" s="65">
        <v>3.9023020774845603E-2</v>
      </c>
      <c r="O51" s="130">
        <f>IF(COUNT(L51:N51)=0,"",AVERAGE(L51:N51))</f>
        <v>3.3908925013685733E-2</v>
      </c>
      <c r="P51" s="65"/>
      <c r="Q51" s="65"/>
      <c r="R51" s="65"/>
      <c r="S51" s="130" t="str">
        <f>IF(COUNT(P51:R51)=0,"",AVERAGE(P51:R51))</f>
        <v/>
      </c>
      <c r="T51" s="65"/>
      <c r="U51" s="65"/>
      <c r="V51" s="65"/>
      <c r="W51" s="130" t="str">
        <f>IF(COUNT(T51:V51)=0,"",AVERAGE(T51:V51))</f>
        <v/>
      </c>
      <c r="X51" s="67">
        <v>2.5203489355104199E-2</v>
      </c>
      <c r="Y51" s="89" t="s">
        <v>67</v>
      </c>
      <c r="Z51" s="53" t="s">
        <v>128</v>
      </c>
    </row>
    <row r="52" spans="1:26" ht="25.5" customHeight="1" x14ac:dyDescent="0.2">
      <c r="A52" s="44" t="s">
        <v>393</v>
      </c>
      <c r="B52" s="45" t="s">
        <v>394</v>
      </c>
      <c r="C52" s="46" t="s">
        <v>146</v>
      </c>
      <c r="D52" s="46" t="s">
        <v>64</v>
      </c>
      <c r="E52" s="44" t="s">
        <v>504</v>
      </c>
      <c r="F52" s="62">
        <v>7.1999999999999995E-2</v>
      </c>
      <c r="G52" s="63">
        <v>6.1199999999999997E-2</v>
      </c>
      <c r="H52" s="64">
        <v>4.1666666666666699E-2</v>
      </c>
      <c r="I52" s="64">
        <v>0</v>
      </c>
      <c r="J52" s="64">
        <v>0</v>
      </c>
      <c r="K52" s="130">
        <f>IF(COUNT(H52:J52)=0,"",AVERAGE(H52:J52))</f>
        <v>1.38888888888889E-2</v>
      </c>
      <c r="L52" s="65">
        <v>0</v>
      </c>
      <c r="M52" s="65">
        <v>0</v>
      </c>
      <c r="N52" s="65">
        <v>0</v>
      </c>
      <c r="O52" s="130">
        <f>IF(COUNT(L52:N52)=0,"",AVERAGE(L52:N52))</f>
        <v>0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6.9444444444444501E-3</v>
      </c>
      <c r="Y52" s="89" t="s">
        <v>59</v>
      </c>
      <c r="Z52" s="53" t="s">
        <v>128</v>
      </c>
    </row>
    <row r="53" spans="1:26" ht="25.5" customHeight="1" x14ac:dyDescent="0.2">
      <c r="A53" s="44" t="s">
        <v>397</v>
      </c>
      <c r="B53" s="45" t="s">
        <v>398</v>
      </c>
      <c r="C53" s="46" t="s">
        <v>146</v>
      </c>
      <c r="D53" s="46" t="s">
        <v>64</v>
      </c>
      <c r="E53" s="44" t="s">
        <v>504</v>
      </c>
      <c r="F53" s="77">
        <v>2.7E-2</v>
      </c>
      <c r="G53" s="57">
        <v>1.35E-2</v>
      </c>
      <c r="H53" s="56">
        <v>0.11764705882352899</v>
      </c>
      <c r="I53" s="56">
        <v>0.2</v>
      </c>
      <c r="J53" s="56">
        <v>0.45</v>
      </c>
      <c r="K53" s="132">
        <f>IF(COUNT(H53:J53)=0,"",AVERAGE(H53:J53))</f>
        <v>0.25588235294117634</v>
      </c>
      <c r="L53" s="78">
        <v>4.1666666666666699E-2</v>
      </c>
      <c r="M53" s="78">
        <v>2.9411764705882401E-2</v>
      </c>
      <c r="N53" s="78">
        <v>0</v>
      </c>
      <c r="O53" s="132">
        <f>IF(COUNT(L53:N53)=0,"",AVERAGE(L53:N53))</f>
        <v>2.3692810457516367E-2</v>
      </c>
      <c r="P53" s="78"/>
      <c r="Q53" s="78"/>
      <c r="R53" s="78"/>
      <c r="S53" s="132" t="str">
        <f>IF(COUNT(P53:R53)=0,"",AVERAGE(P53:R53))</f>
        <v/>
      </c>
      <c r="T53" s="78"/>
      <c r="U53" s="78"/>
      <c r="V53" s="78"/>
      <c r="W53" s="132" t="str">
        <f>IF(COUNT(T53:V53)=0,"",AVERAGE(T53:V53))</f>
        <v/>
      </c>
      <c r="X53" s="79">
        <v>0.14877450980392201</v>
      </c>
      <c r="Y53" s="89" t="s">
        <v>67</v>
      </c>
      <c r="Z53" s="53" t="s">
        <v>128</v>
      </c>
    </row>
    <row r="54" spans="1:26" ht="25.5" customHeight="1" x14ac:dyDescent="0.2">
      <c r="A54" s="44" t="s">
        <v>401</v>
      </c>
      <c r="B54" s="45" t="s">
        <v>402</v>
      </c>
      <c r="C54" s="46" t="s">
        <v>146</v>
      </c>
      <c r="D54" s="46" t="s">
        <v>58</v>
      </c>
      <c r="E54" s="44" t="s">
        <v>504</v>
      </c>
      <c r="F54" s="62">
        <v>0.88629999999999998</v>
      </c>
      <c r="G54" s="63">
        <v>0.89380000000000004</v>
      </c>
      <c r="H54" s="64">
        <v>0.89559999999999995</v>
      </c>
      <c r="I54" s="64">
        <v>0.84179999999999999</v>
      </c>
      <c r="J54" s="64">
        <v>0.81769999999999998</v>
      </c>
      <c r="K54" s="130">
        <f>IF(COUNT(H54:J54)=0,"",AVERAGE(H54:J54))</f>
        <v>0.85170000000000001</v>
      </c>
      <c r="L54" s="65">
        <v>0.86450000000000005</v>
      </c>
      <c r="M54" s="65">
        <v>0.86609999999999998</v>
      </c>
      <c r="N54" s="65">
        <v>0.84630000000000005</v>
      </c>
      <c r="O54" s="130">
        <f>IF(COUNT(L54:N54)=0,"",AVERAGE(L54:N54))</f>
        <v>0.85896666666666677</v>
      </c>
      <c r="P54" s="65"/>
      <c r="Q54" s="65"/>
      <c r="R54" s="65"/>
      <c r="S54" s="130" t="str">
        <f>IF(COUNT(P54:R54)=0,"",AVERAGE(P54:R54))</f>
        <v/>
      </c>
      <c r="T54" s="65"/>
      <c r="U54" s="65"/>
      <c r="V54" s="65"/>
      <c r="W54" s="130" t="str">
        <f>IF(COUNT(T54:V54)=0,"",AVERAGE(T54:V54))</f>
        <v/>
      </c>
      <c r="X54" s="67">
        <v>0.86450000000000005</v>
      </c>
      <c r="Y54" s="89" t="s">
        <v>67</v>
      </c>
      <c r="Z54" s="53" t="s">
        <v>128</v>
      </c>
    </row>
    <row r="55" spans="1:26" ht="25.5" customHeight="1" x14ac:dyDescent="0.2">
      <c r="A55" s="44" t="s">
        <v>403</v>
      </c>
      <c r="B55" s="45" t="s">
        <v>404</v>
      </c>
      <c r="C55" s="46" t="s">
        <v>146</v>
      </c>
      <c r="D55" s="46" t="s">
        <v>58</v>
      </c>
      <c r="E55" s="44" t="s">
        <v>504</v>
      </c>
      <c r="F55" s="62">
        <v>0.90239999999999998</v>
      </c>
      <c r="G55" s="63">
        <v>0.86580000000000001</v>
      </c>
      <c r="H55" s="64">
        <v>0.86639999999999995</v>
      </c>
      <c r="I55" s="65"/>
      <c r="J55" s="65"/>
      <c r="K55" s="130">
        <f>IF(COUNT(H55:J55)=0,"",AVERAGE(H55:J55))</f>
        <v>0.86639999999999995</v>
      </c>
      <c r="L55" s="65"/>
      <c r="M55" s="65"/>
      <c r="N55" s="65" t="s">
        <v>405</v>
      </c>
      <c r="O55" s="130" t="str">
        <f>IF(COUNT(L55:N55)=0,"",AVERAGE(L55:N55))</f>
        <v/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0.86639999999999995</v>
      </c>
      <c r="Y55" s="89" t="s">
        <v>67</v>
      </c>
      <c r="Z55" s="53" t="s">
        <v>128</v>
      </c>
    </row>
    <row r="56" spans="1:26" ht="25.5" customHeight="1" x14ac:dyDescent="0.2">
      <c r="A56" s="44" t="s">
        <v>406</v>
      </c>
      <c r="B56" s="45" t="s">
        <v>407</v>
      </c>
      <c r="C56" s="46" t="s">
        <v>146</v>
      </c>
      <c r="D56" s="46" t="s">
        <v>58</v>
      </c>
      <c r="E56" s="44" t="s">
        <v>504</v>
      </c>
      <c r="F56" s="62">
        <v>0.78200000000000003</v>
      </c>
      <c r="G56" s="63">
        <v>0.80700000000000005</v>
      </c>
      <c r="H56" s="64">
        <v>0.78800000000000003</v>
      </c>
      <c r="I56" s="64">
        <v>0.7853</v>
      </c>
      <c r="J56" s="64">
        <v>0.74650000000000005</v>
      </c>
      <c r="K56" s="130">
        <f>IF(COUNT(H56:J56)=0,"",AVERAGE(H56:J56))</f>
        <v>0.77326666666666677</v>
      </c>
      <c r="L56" s="65">
        <v>0.78900000000000003</v>
      </c>
      <c r="M56" s="65">
        <v>0.88470000000000004</v>
      </c>
      <c r="N56" s="65">
        <v>0.81979999999999997</v>
      </c>
      <c r="O56" s="130">
        <f>IF(COUNT(L56:N56)=0,"",AVERAGE(L56:N56))</f>
        <v>0.83116666666666672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0.78900000000000003</v>
      </c>
      <c r="Y56" s="89" t="s">
        <v>59</v>
      </c>
      <c r="Z56" s="53" t="s">
        <v>128</v>
      </c>
    </row>
    <row r="57" spans="1:26" ht="25.5" customHeight="1" x14ac:dyDescent="0.2">
      <c r="A57" s="44" t="s">
        <v>408</v>
      </c>
      <c r="B57" s="45" t="s">
        <v>409</v>
      </c>
      <c r="C57" s="46" t="s">
        <v>146</v>
      </c>
      <c r="D57" s="46" t="s">
        <v>58</v>
      </c>
      <c r="E57" s="44" t="s">
        <v>504</v>
      </c>
      <c r="F57" s="62">
        <v>0.82099999999999995</v>
      </c>
      <c r="G57" s="63">
        <v>0.84799999999999998</v>
      </c>
      <c r="H57" s="64">
        <v>0.9375</v>
      </c>
      <c r="I57" s="64">
        <v>0.75</v>
      </c>
      <c r="J57" s="65">
        <v>1</v>
      </c>
      <c r="K57" s="130">
        <f>IF(COUNT(H57:J57)=0,"",AVERAGE(H57:J57))</f>
        <v>0.89583333333333337</v>
      </c>
      <c r="L57" s="65">
        <v>0.94440000000000002</v>
      </c>
      <c r="M57" s="65">
        <v>0.875</v>
      </c>
      <c r="N57" s="65">
        <v>0.96430000000000005</v>
      </c>
      <c r="O57" s="130">
        <f>IF(COUNT(L57:N57)=0,"",AVERAGE(L57:N57))</f>
        <v>0.92790000000000006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0.94440000000000002</v>
      </c>
      <c r="Y57" s="89" t="s">
        <v>59</v>
      </c>
      <c r="Z57" s="53" t="s">
        <v>68</v>
      </c>
    </row>
    <row r="58" spans="1:26" ht="25.5" customHeight="1" x14ac:dyDescent="0.2">
      <c r="A58" s="44" t="s">
        <v>421</v>
      </c>
      <c r="B58" s="45" t="s">
        <v>422</v>
      </c>
      <c r="C58" s="46" t="s">
        <v>184</v>
      </c>
      <c r="D58" s="46" t="s">
        <v>58</v>
      </c>
      <c r="E58" s="44" t="s">
        <v>504</v>
      </c>
      <c r="F58" s="62" t="s">
        <v>24</v>
      </c>
      <c r="G58" s="66">
        <v>1</v>
      </c>
      <c r="H58" s="64">
        <v>0</v>
      </c>
      <c r="I58" s="64">
        <v>1</v>
      </c>
      <c r="J58" s="64">
        <v>1</v>
      </c>
      <c r="K58" s="130">
        <f>IF(COUNT(H58:J58)=0,"",LOOKUP(2,1/(H58:J58&lt;&gt;""),H58:J58))</f>
        <v>1</v>
      </c>
      <c r="L58" s="65">
        <v>1</v>
      </c>
      <c r="M58" s="65">
        <v>1</v>
      </c>
      <c r="N58" s="65">
        <v>1</v>
      </c>
      <c r="O58" s="130">
        <f>IF(COUNT(L58:N58)=0,"",LOOKUP(2,1/(L58:N58&lt;&gt;""),L58:N58))</f>
        <v>1</v>
      </c>
      <c r="P58" s="65"/>
      <c r="Q58" s="65"/>
      <c r="R58" s="65"/>
      <c r="S58" s="130" t="str">
        <f>IF(COUNT(P58:R58)=0,"",LOOKUP(2,1/(P58:R58&lt;&gt;""),P58:R58))</f>
        <v/>
      </c>
      <c r="T58" s="65"/>
      <c r="U58" s="65"/>
      <c r="V58" s="65"/>
      <c r="W58" s="130" t="str">
        <f>IF(COUNT(T58:V58)=0,"",LOOKUP(2,1/(T58:V58&lt;&gt;""),T58:V58))</f>
        <v/>
      </c>
      <c r="X58" s="67">
        <v>0.80555555555555602</v>
      </c>
      <c r="Y58" s="89" t="s">
        <v>71</v>
      </c>
      <c r="Z58" s="53" t="s">
        <v>179</v>
      </c>
    </row>
    <row r="59" spans="1:26" ht="25.5" customHeight="1" x14ac:dyDescent="0.2">
      <c r="A59" s="44" t="s">
        <v>69</v>
      </c>
      <c r="B59" s="45" t="s">
        <v>70</v>
      </c>
      <c r="C59" s="46" t="s">
        <v>21</v>
      </c>
      <c r="D59" s="46" t="s">
        <v>58</v>
      </c>
      <c r="E59" s="139" t="s">
        <v>505</v>
      </c>
      <c r="F59" s="62" t="s">
        <v>24</v>
      </c>
      <c r="G59" s="66" t="s">
        <v>24</v>
      </c>
      <c r="H59" s="140"/>
      <c r="I59" s="140"/>
      <c r="J59" s="140"/>
      <c r="K59" s="141">
        <v>1</v>
      </c>
      <c r="L59" s="140"/>
      <c r="M59" s="140"/>
      <c r="N59" s="140"/>
      <c r="O59" s="142"/>
      <c r="P59" s="140"/>
      <c r="Q59" s="140"/>
      <c r="R59" s="140"/>
      <c r="S59" s="142"/>
      <c r="T59" s="140"/>
      <c r="U59" s="140"/>
      <c r="V59" s="140"/>
      <c r="W59" s="142"/>
      <c r="X59" s="67">
        <v>1</v>
      </c>
      <c r="Y59" s="89" t="s">
        <v>71</v>
      </c>
      <c r="Z59" s="53" t="s">
        <v>72</v>
      </c>
    </row>
    <row r="60" spans="1:26" ht="25.5" customHeight="1" x14ac:dyDescent="0.2">
      <c r="A60" s="44" t="s">
        <v>85</v>
      </c>
      <c r="B60" s="45" t="s">
        <v>86</v>
      </c>
      <c r="C60" s="46" t="s">
        <v>21</v>
      </c>
      <c r="D60" s="46" t="s">
        <v>58</v>
      </c>
      <c r="E60" s="139" t="s">
        <v>505</v>
      </c>
      <c r="F60" s="62">
        <v>0.58789999999999998</v>
      </c>
      <c r="G60" s="66" t="s">
        <v>24</v>
      </c>
      <c r="H60" s="140"/>
      <c r="I60" s="140"/>
      <c r="J60" s="140"/>
      <c r="K60" s="141">
        <v>0.79549999999999998</v>
      </c>
      <c r="L60" s="140"/>
      <c r="M60" s="140"/>
      <c r="N60" s="140"/>
      <c r="O60" s="142">
        <v>0.9577</v>
      </c>
      <c r="P60" s="140"/>
      <c r="Q60" s="140"/>
      <c r="R60" s="140"/>
      <c r="S60" s="142"/>
      <c r="T60" s="140"/>
      <c r="U60" s="140"/>
      <c r="V60" s="140"/>
      <c r="W60" s="142"/>
      <c r="X60" s="67">
        <v>0.79549999999999998</v>
      </c>
      <c r="Y60" s="89" t="s">
        <v>71</v>
      </c>
      <c r="Z60" s="53" t="s">
        <v>68</v>
      </c>
    </row>
    <row r="61" spans="1:26" ht="25.5" customHeight="1" x14ac:dyDescent="0.2">
      <c r="A61" s="44" t="s">
        <v>153</v>
      </c>
      <c r="B61" s="45" t="s">
        <v>154</v>
      </c>
      <c r="C61" s="46" t="s">
        <v>146</v>
      </c>
      <c r="D61" s="46" t="s">
        <v>58</v>
      </c>
      <c r="E61" s="139" t="s">
        <v>505</v>
      </c>
      <c r="F61" s="62">
        <v>0.91</v>
      </c>
      <c r="G61" s="63">
        <v>0.92</v>
      </c>
      <c r="H61" s="140"/>
      <c r="I61" s="140"/>
      <c r="J61" s="140"/>
      <c r="K61" s="141">
        <v>1</v>
      </c>
      <c r="L61" s="140"/>
      <c r="M61" s="140"/>
      <c r="N61" s="140"/>
      <c r="O61" s="142">
        <v>1</v>
      </c>
      <c r="P61" s="140"/>
      <c r="Q61" s="140"/>
      <c r="R61" s="140"/>
      <c r="S61" s="142"/>
      <c r="T61" s="140"/>
      <c r="U61" s="140"/>
      <c r="V61" s="140"/>
      <c r="W61" s="142"/>
      <c r="X61" s="67">
        <v>1</v>
      </c>
      <c r="Y61" s="89" t="s">
        <v>59</v>
      </c>
      <c r="Z61" s="53" t="s">
        <v>155</v>
      </c>
    </row>
    <row r="62" spans="1:26" ht="25.5" customHeight="1" x14ac:dyDescent="0.2">
      <c r="A62" s="44" t="s">
        <v>194</v>
      </c>
      <c r="B62" s="45" t="s">
        <v>195</v>
      </c>
      <c r="C62" s="46" t="s">
        <v>196</v>
      </c>
      <c r="D62" s="46" t="s">
        <v>58</v>
      </c>
      <c r="E62" s="139" t="s">
        <v>505</v>
      </c>
      <c r="F62" s="62">
        <v>0.48299999999999998</v>
      </c>
      <c r="G62" s="63">
        <v>0.56059999999999999</v>
      </c>
      <c r="H62" s="140"/>
      <c r="I62" s="140"/>
      <c r="J62" s="140"/>
      <c r="K62" s="141">
        <v>0.5</v>
      </c>
      <c r="L62" s="140"/>
      <c r="M62" s="140"/>
      <c r="N62" s="140"/>
      <c r="O62" s="142">
        <v>0.73825503355704702</v>
      </c>
      <c r="P62" s="140"/>
      <c r="Q62" s="140"/>
      <c r="R62" s="140"/>
      <c r="S62" s="142"/>
      <c r="T62" s="140"/>
      <c r="U62" s="140"/>
      <c r="V62" s="140"/>
      <c r="W62" s="142"/>
      <c r="X62" s="67">
        <v>0.5</v>
      </c>
      <c r="Y62" s="89" t="s">
        <v>67</v>
      </c>
      <c r="Z62" s="53" t="s">
        <v>68</v>
      </c>
    </row>
    <row r="63" spans="1:26" ht="25.5" customHeight="1" x14ac:dyDescent="0.2">
      <c r="A63" s="44" t="s">
        <v>197</v>
      </c>
      <c r="B63" s="45" t="s">
        <v>198</v>
      </c>
      <c r="C63" s="46" t="s">
        <v>196</v>
      </c>
      <c r="D63" s="46" t="s">
        <v>64</v>
      </c>
      <c r="E63" s="139" t="s">
        <v>505</v>
      </c>
      <c r="F63" s="62" t="s">
        <v>24</v>
      </c>
      <c r="G63" s="66" t="s">
        <v>24</v>
      </c>
      <c r="H63" s="140"/>
      <c r="I63" s="140"/>
      <c r="J63" s="140"/>
      <c r="K63" s="141">
        <v>7.7433628318584094E-2</v>
      </c>
      <c r="L63" s="140"/>
      <c r="M63" s="140"/>
      <c r="N63" s="140"/>
      <c r="O63" s="142"/>
      <c r="P63" s="140"/>
      <c r="Q63" s="140"/>
      <c r="R63" s="140"/>
      <c r="S63" s="142"/>
      <c r="T63" s="140"/>
      <c r="U63" s="140"/>
      <c r="V63" s="140"/>
      <c r="W63" s="142"/>
      <c r="X63" s="67">
        <v>7.7433628318584094E-2</v>
      </c>
      <c r="Y63" s="89" t="s">
        <v>71</v>
      </c>
      <c r="Z63" s="53" t="s">
        <v>186</v>
      </c>
    </row>
    <row r="64" spans="1:26" ht="25.5" customHeight="1" x14ac:dyDescent="0.2">
      <c r="A64" s="44" t="s">
        <v>427</v>
      </c>
      <c r="B64" s="45" t="s">
        <v>428</v>
      </c>
      <c r="C64" s="46" t="s">
        <v>21</v>
      </c>
      <c r="D64" s="46" t="s">
        <v>64</v>
      </c>
      <c r="E64" s="139" t="s">
        <v>504</v>
      </c>
      <c r="F64" s="90">
        <v>6</v>
      </c>
      <c r="G64" s="91">
        <v>5</v>
      </c>
      <c r="H64" s="140"/>
      <c r="I64" s="140"/>
      <c r="J64" s="140"/>
      <c r="K64" s="143" t="str">
        <f>IF(COUNT(H64:J64)=0,"",AVERAGE(H64:J64))</f>
        <v/>
      </c>
      <c r="L64" s="140"/>
      <c r="M64" s="140"/>
      <c r="N64" s="140"/>
      <c r="O64" s="143" t="str">
        <f>IF(COUNT(L64:N64)=0,"",AVERAGE(L64:N64))</f>
        <v/>
      </c>
      <c r="P64" s="140"/>
      <c r="Q64" s="140"/>
      <c r="R64" s="140"/>
      <c r="S64" s="143" t="str">
        <f>IF(COUNT(P64:R64)=0,"",AVERAGE(P64:R64))</f>
        <v/>
      </c>
      <c r="T64" s="140"/>
      <c r="U64" s="140"/>
      <c r="V64" s="140"/>
      <c r="W64" s="143" t="str">
        <f>IF(COUNT(T64:V64)=0,"",AVERAGE(T64:V64))</f>
        <v/>
      </c>
      <c r="X64" s="93"/>
      <c r="Y64" s="89" t="s">
        <v>91</v>
      </c>
      <c r="Z64" s="53" t="s">
        <v>128</v>
      </c>
    </row>
    <row r="65" spans="8:22" ht="25.5" customHeight="1" x14ac:dyDescent="0.2">
      <c r="H65" s="88"/>
      <c r="I65" s="88"/>
      <c r="J65" s="88"/>
      <c r="L65" s="88"/>
      <c r="M65" s="88"/>
      <c r="N65" s="88"/>
      <c r="P65" s="88"/>
      <c r="Q65" s="88"/>
      <c r="R65" s="88"/>
      <c r="T65" s="88"/>
      <c r="U65" s="88"/>
      <c r="V65" s="88"/>
    </row>
    <row r="66" spans="8:22" ht="25.5" customHeight="1" x14ac:dyDescent="0.2">
      <c r="H66" s="88"/>
      <c r="I66" s="88"/>
      <c r="J66" s="88"/>
      <c r="L66" s="88"/>
      <c r="M66" s="88"/>
      <c r="N66" s="88"/>
      <c r="P66" s="88"/>
      <c r="Q66" s="88"/>
      <c r="R66" s="88"/>
      <c r="T66" s="88"/>
      <c r="U66" s="88"/>
      <c r="V66" s="88"/>
    </row>
    <row r="67" spans="8:22" ht="25.5" customHeight="1" x14ac:dyDescent="0.2">
      <c r="H67" s="88"/>
      <c r="I67" s="88"/>
      <c r="J67" s="88"/>
      <c r="L67" s="88"/>
      <c r="M67" s="88"/>
      <c r="N67" s="88"/>
      <c r="P67" s="88"/>
      <c r="Q67" s="88"/>
      <c r="R67" s="88"/>
      <c r="T67" s="88"/>
      <c r="U67" s="88"/>
      <c r="V67" s="88"/>
    </row>
    <row r="68" spans="8:22" ht="25.5" customHeight="1" x14ac:dyDescent="0.2">
      <c r="H68" s="88"/>
      <c r="I68" s="88"/>
      <c r="J68" s="88"/>
      <c r="L68" s="88"/>
      <c r="M68" s="88"/>
      <c r="N68" s="88"/>
      <c r="P68" s="88"/>
      <c r="Q68" s="88"/>
      <c r="R68" s="88"/>
      <c r="T68" s="88"/>
      <c r="U68" s="88"/>
      <c r="V68" s="88"/>
    </row>
    <row r="69" spans="8:22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8:22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8:22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8:22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8:22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8:22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8:22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8:22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8:22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8:22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8:22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8:22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25.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1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1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/>
    <row r="662" spans="8:22" ht="15" customHeight="1" x14ac:dyDescent="0.2"/>
    <row r="663" spans="8:22" ht="15" customHeight="1" x14ac:dyDescent="0.2"/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03">
    <cfRule type="expression" dxfId="49" priority="8">
      <formula>AND(ISNUMBER(H36),ISNUMBER($G36),OR(AND($D36="P",H36&gt;=$G36),AND($D36="N",H36&lt;=$G36)))</formula>
    </cfRule>
    <cfRule type="expression" dxfId="48" priority="9">
      <formula>AND(ISNUMBER(H36),ISNUMBER($G36),OR(AND($D36="P",H36&lt;$G36),AND($D36="N",H36&gt;$G36)))</formula>
    </cfRule>
  </conditionalFormatting>
  <conditionalFormatting sqref="X36:X99">
    <cfRule type="expression" dxfId="47" priority="11">
      <formula>$Y36="⊘ Non Target"</formula>
    </cfRule>
  </conditionalFormatting>
  <conditionalFormatting sqref="X36:X103">
    <cfRule type="expression" dxfId="46" priority="2">
      <formula>$Y36="✓ On Target"</formula>
    </cfRule>
    <cfRule type="expression" dxfId="45" priority="3">
      <formula>$Y36="✗ Off Target"</formula>
    </cfRule>
    <cfRule type="expression" dxfId="44" priority="4">
      <formula>$Y36="— No Data"</formula>
    </cfRule>
  </conditionalFormatting>
  <conditionalFormatting sqref="Y36:Y99">
    <cfRule type="expression" dxfId="43" priority="10">
      <formula>Y36="⊘ Non Target"</formula>
    </cfRule>
  </conditionalFormatting>
  <conditionalFormatting sqref="Y36:Y103">
    <cfRule type="expression" dxfId="42" priority="5">
      <formula>Y36="✓ On Target"</formula>
    </cfRule>
    <cfRule type="expression" dxfId="41" priority="6">
      <formula>Y36="✗ Off Target"</formula>
    </cfRule>
    <cfRule type="expression" dxfId="40" priority="7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702"/>
  <sheetViews>
    <sheetView showGridLines="0" topLeftCell="A41" zoomScaleNormal="100" workbookViewId="0">
      <selection activeCell="N54" sqref="N54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550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25</v>
      </c>
      <c r="C12" s="157"/>
      <c r="D12" s="201">
        <v>13</v>
      </c>
      <c r="E12" s="157"/>
      <c r="F12" s="196">
        <v>6</v>
      </c>
      <c r="G12" s="157"/>
      <c r="H12" s="200">
        <v>1</v>
      </c>
      <c r="I12" s="157"/>
      <c r="K12" s="193">
        <v>8</v>
      </c>
      <c r="L12" s="157"/>
      <c r="M12" s="201">
        <v>3</v>
      </c>
      <c r="N12" s="157"/>
      <c r="O12" s="196">
        <v>1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551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33</v>
      </c>
      <c r="C19" s="157"/>
      <c r="D19" s="157"/>
      <c r="E19" s="205">
        <v>16</v>
      </c>
      <c r="F19" s="157"/>
      <c r="G19" s="157"/>
      <c r="I19" s="204">
        <v>7</v>
      </c>
      <c r="J19" s="157"/>
      <c r="K19" s="157"/>
      <c r="M19" s="199">
        <v>1</v>
      </c>
      <c r="N19" s="157"/>
      <c r="O19" s="157"/>
      <c r="Q19" s="194">
        <v>28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518</v>
      </c>
      <c r="F21" s="157"/>
      <c r="G21" s="157"/>
      <c r="I21" s="160" t="s">
        <v>519</v>
      </c>
      <c r="J21" s="157"/>
      <c r="K21" s="157"/>
      <c r="M21" s="160" t="s">
        <v>548</v>
      </c>
      <c r="N21" s="157"/>
      <c r="O21" s="157"/>
      <c r="Q21" s="195" t="s">
        <v>552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553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4</v>
      </c>
      <c r="E25" s="33">
        <v>0</v>
      </c>
      <c r="F25" s="34">
        <v>1</v>
      </c>
      <c r="G25" s="35">
        <v>1</v>
      </c>
    </row>
    <row r="26" spans="2:19" ht="21.75" customHeight="1" x14ac:dyDescent="0.2">
      <c r="B26" s="24" t="s">
        <v>19</v>
      </c>
      <c r="C26" s="41">
        <v>7</v>
      </c>
      <c r="D26" s="26">
        <v>4</v>
      </c>
      <c r="E26" s="27">
        <v>2</v>
      </c>
      <c r="F26" s="28">
        <v>0</v>
      </c>
      <c r="G26" s="29">
        <v>0.66666666666666696</v>
      </c>
    </row>
    <row r="27" spans="2:19" ht="21.75" customHeight="1" x14ac:dyDescent="0.2">
      <c r="B27" s="30" t="s">
        <v>20</v>
      </c>
      <c r="C27" s="40">
        <v>13</v>
      </c>
      <c r="D27" s="32">
        <v>7</v>
      </c>
      <c r="E27" s="33">
        <v>5</v>
      </c>
      <c r="F27" s="34">
        <v>0</v>
      </c>
      <c r="G27" s="35">
        <v>0.58333333333333304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1</v>
      </c>
      <c r="E29" s="33">
        <v>0</v>
      </c>
      <c r="F29" s="34">
        <v>0</v>
      </c>
      <c r="G29" s="35">
        <v>1</v>
      </c>
    </row>
    <row r="30" spans="2:19" ht="25.5" customHeight="1" x14ac:dyDescent="0.2">
      <c r="B30" s="36" t="s">
        <v>31</v>
      </c>
      <c r="C30" s="38">
        <v>33</v>
      </c>
      <c r="D30" s="38">
        <v>16</v>
      </c>
      <c r="E30" s="38">
        <v>7</v>
      </c>
      <c r="F30" s="38">
        <v>1</v>
      </c>
      <c r="G30" s="39">
        <v>0.69565217391304401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0</v>
      </c>
      <c r="I36" s="64">
        <v>0</v>
      </c>
      <c r="J36" s="64">
        <v>0</v>
      </c>
      <c r="K36" s="130">
        <f>IF(COUNT(H36:J36)=0,"",AVERAGE(H36:J36))</f>
        <v>0</v>
      </c>
      <c r="L36" s="65">
        <v>4.1666666666666699E-2</v>
      </c>
      <c r="M36" s="65">
        <v>3.03030303030303E-2</v>
      </c>
      <c r="N36" s="65">
        <v>2.9411764705882401E-2</v>
      </c>
      <c r="O36" s="130">
        <f>IF(COUNT(L36:N36)=0,"",AVERAGE(L36:N36))</f>
        <v>3.379382055852647E-2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2.0833333333333402E-2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2.2499999999999999E-2</v>
      </c>
      <c r="I38" s="64">
        <v>2.0494273658830602E-2</v>
      </c>
      <c r="J38" s="64">
        <v>2.38907849829352E-2</v>
      </c>
      <c r="K38" s="130">
        <f>IF(COUNT(H38:J38)=0,"",AVERAGE(H38:J38))</f>
        <v>2.2295019547255268E-2</v>
      </c>
      <c r="L38" s="65">
        <v>2.3715415019762799E-2</v>
      </c>
      <c r="M38" s="65">
        <v>2.1818181818181799E-2</v>
      </c>
      <c r="N38" s="65">
        <v>2.02597402597403E-2</v>
      </c>
      <c r="O38" s="130">
        <f>IF(COUNT(L38:N38)=0,"",AVERAGE(L38:N38))</f>
        <v>2.1931112365894966E-2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2.3005217283508999E-2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1.1111111111111099E-2</v>
      </c>
      <c r="I39" s="56">
        <v>1.9230769230769201E-2</v>
      </c>
      <c r="J39" s="56">
        <v>2.5862068965517199E-2</v>
      </c>
      <c r="K39" s="132">
        <f>IF(COUNT(H39:J39)=0,"",AVERAGE(H39:J39))</f>
        <v>1.87346497691325E-2</v>
      </c>
      <c r="L39" s="78">
        <v>1.3062409288824401E-2</v>
      </c>
      <c r="M39" s="78">
        <v>1.51260504201681E-2</v>
      </c>
      <c r="N39" s="78">
        <v>1.51260504201681E-2</v>
      </c>
      <c r="O39" s="132">
        <f>IF(COUNT(L39:N39)=0,"",AVERAGE(L39:N39))</f>
        <v>1.4438170043053533E-2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1.5898529528978501E-2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5.5624227441285496E-3</v>
      </c>
      <c r="I40" s="56">
        <v>5.3160070880094498E-3</v>
      </c>
      <c r="J40" s="56">
        <v>5.0000000000000001E-3</v>
      </c>
      <c r="K40" s="132">
        <f>IF(COUNT(H40:J40)=0,"",AVERAGE(H40:J40))</f>
        <v>5.2928099440460001E-3</v>
      </c>
      <c r="L40" s="78">
        <v>4.3436293436293402E-3</v>
      </c>
      <c r="M40" s="78">
        <v>4.5754956786985303E-3</v>
      </c>
      <c r="N40" s="78">
        <v>4.5754956786985303E-3</v>
      </c>
      <c r="O40" s="132">
        <f>IF(COUNT(L40:N40)=0,"",AVERAGE(L40:N40))</f>
        <v>4.4982069003421336E-3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4.8182196438376701E-3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8.6368366285119694E-2</v>
      </c>
      <c r="I41" s="64">
        <v>6.5668202764976993E-2</v>
      </c>
      <c r="J41" s="64">
        <v>9.4384707287933106E-2</v>
      </c>
      <c r="K41" s="130">
        <f>IF(COUNT(H41:J41)=0,"",AVERAGE(H41:J41))</f>
        <v>8.2140425446009926E-2</v>
      </c>
      <c r="L41" s="65">
        <v>0.12716049382716099</v>
      </c>
      <c r="M41" s="65">
        <v>0.10752688172043</v>
      </c>
      <c r="N41" s="65">
        <v>9.0123456790123499E-2</v>
      </c>
      <c r="O41" s="130">
        <f>IF(COUNT(L41:N41)=0,"",AVERAGE(L41:N41))</f>
        <v>0.10827027744590484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0.10465045963658499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2.3333333333333299</v>
      </c>
      <c r="I42" s="95">
        <v>1.71875</v>
      </c>
      <c r="J42" s="95">
        <v>2.0238095238095202</v>
      </c>
      <c r="K42" s="136">
        <f>IF(COUNT(H42:J42)=0,"",AVERAGE(H42:J42))</f>
        <v>2.0252976190476168</v>
      </c>
      <c r="L42" s="73">
        <v>2.1666666666666701</v>
      </c>
      <c r="M42" s="73">
        <v>2.1666666666666701</v>
      </c>
      <c r="N42" s="73">
        <v>1.94871794871795</v>
      </c>
      <c r="O42" s="136">
        <f>IF(COUNT(L42:N42)=0,"",AVERAGE(L42:N42))</f>
        <v>2.0940170940170968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2.0959821428571401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0.5</v>
      </c>
      <c r="I43" s="65"/>
      <c r="J43" s="65"/>
      <c r="K43" s="130">
        <f>IF(COUNT(H43:J43)=0,"",AVERAGE(H43:J43))</f>
        <v>0.5</v>
      </c>
      <c r="L43" s="65">
        <v>0</v>
      </c>
      <c r="M43" s="65"/>
      <c r="N43" s="65">
        <v>0</v>
      </c>
      <c r="O43" s="130">
        <f>IF(COUNT(L43:N43)=0,"",AVERAGE(L43:N43))</f>
        <v>0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0.25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8.7040618955512607E-3</v>
      </c>
      <c r="I47" s="64">
        <v>8.9285714285714298E-3</v>
      </c>
      <c r="J47" s="64">
        <v>1.48936170212766E-2</v>
      </c>
      <c r="K47" s="130">
        <f>IF(COUNT(H47:J47)=0,"",AVERAGE(H47:J47))</f>
        <v>1.0842083448466428E-2</v>
      </c>
      <c r="L47" s="65">
        <v>1.1985018726591801E-2</v>
      </c>
      <c r="M47" s="65">
        <v>6.7669172932330801E-3</v>
      </c>
      <c r="N47" s="65">
        <v>1.14226375908619E-2</v>
      </c>
      <c r="O47" s="130">
        <f>IF(COUNT(L47:N47)=0,"",AVERAGE(L47:N47))</f>
        <v>1.005819120356226E-2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1.1413551087529099E-2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0.8</v>
      </c>
      <c r="I48" s="65">
        <v>1</v>
      </c>
      <c r="J48" s="65">
        <v>0.8</v>
      </c>
      <c r="K48" s="130">
        <f>IF(COUNT(H48:J48)=0,"",AVERAGE(H48:J48))</f>
        <v>0.8666666666666667</v>
      </c>
      <c r="L48" s="65">
        <v>0.55559999999999998</v>
      </c>
      <c r="M48" s="65">
        <v>0.75529999999999997</v>
      </c>
      <c r="N48" s="65">
        <v>0.625</v>
      </c>
      <c r="O48" s="130">
        <f>IF(COUNT(L48:N48)=0,"",AVERAGE(L48:N48))</f>
        <v>0.64529999999999998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0.8</v>
      </c>
      <c r="Y48" s="89" t="s">
        <v>67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1</v>
      </c>
      <c r="I50" s="64">
        <v>1</v>
      </c>
      <c r="J50" s="64">
        <v>1</v>
      </c>
      <c r="K50" s="130">
        <f>IF(COUNT(H50:J50)=0,"",AVERAGE(H50:J50))</f>
        <v>1</v>
      </c>
      <c r="L50" s="65">
        <v>1</v>
      </c>
      <c r="M50" s="65">
        <v>1</v>
      </c>
      <c r="N50" s="65">
        <v>1</v>
      </c>
      <c r="O50" s="130">
        <f>IF(COUNT(L50:N50)=0,"",AVERAGE(L50:N50))</f>
        <v>1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1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0.01</v>
      </c>
      <c r="I52" s="64">
        <v>4.4642857142857097E-3</v>
      </c>
      <c r="J52" s="64">
        <v>4.3971631205673802E-2</v>
      </c>
      <c r="K52" s="130">
        <f>IF(COUNT(H52:J52)=0,"",AVERAGE(H52:J52))</f>
        <v>1.9478638973319837E-2</v>
      </c>
      <c r="L52" s="65">
        <v>5.5430711610486898E-2</v>
      </c>
      <c r="M52" s="65">
        <v>4.6600000000000003E-2</v>
      </c>
      <c r="N52" s="65">
        <v>1.3477088948787099E-2</v>
      </c>
      <c r="O52" s="130">
        <f>IF(COUNT(L52:N52)=0,"",AVERAGE(L52:N52))</f>
        <v>3.8502600186424672E-2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3.7454675291903397E-2</v>
      </c>
      <c r="Y52" s="89" t="s">
        <v>67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0</v>
      </c>
      <c r="M53" s="65">
        <v>0.16666666666666699</v>
      </c>
      <c r="N53" s="65">
        <v>0</v>
      </c>
      <c r="O53" s="130">
        <f>IF(COUNT(L53:N53)=0,"",AVERAGE(L53:N53))</f>
        <v>5.5555555555555663E-2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0</v>
      </c>
      <c r="I54" s="56">
        <v>3.8461538461538498E-2</v>
      </c>
      <c r="J54" s="56">
        <v>0</v>
      </c>
      <c r="K54" s="132">
        <f>IF(COUNT(H54:J54)=0,"",AVERAGE(H54:J54))</f>
        <v>1.2820512820512832E-2</v>
      </c>
      <c r="L54" s="78">
        <v>4.4444444444444502E-2</v>
      </c>
      <c r="M54" s="78">
        <v>2.7027027027027001E-2</v>
      </c>
      <c r="N54" s="78">
        <v>3.03030303030303E-2</v>
      </c>
      <c r="O54" s="132">
        <f>IF(COUNT(L54:N54)=0,"",AVERAGE(L54:N54))</f>
        <v>3.392483392483394E-2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2.8632478632478701E-2</v>
      </c>
      <c r="Y54" s="89" t="s">
        <v>59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0.86339999999999995</v>
      </c>
      <c r="I55" s="64">
        <v>0.87350000000000005</v>
      </c>
      <c r="J55" s="64">
        <v>0.79359999999999997</v>
      </c>
      <c r="K55" s="130">
        <f>IF(COUNT(H55:J55)=0,"",AVERAGE(H55:J55))</f>
        <v>0.84350000000000003</v>
      </c>
      <c r="L55" s="65">
        <v>0.78149999999999997</v>
      </c>
      <c r="M55" s="65">
        <v>0.95350000000000001</v>
      </c>
      <c r="N55" s="65">
        <v>0.84619999999999995</v>
      </c>
      <c r="O55" s="130">
        <f>IF(COUNT(L55:N55)=0,"",AVERAGE(L55:N55))</f>
        <v>0.86039999999999994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0.78149999999999997</v>
      </c>
      <c r="Y55" s="89" t="s">
        <v>67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4">
        <v>0.85780000000000001</v>
      </c>
      <c r="I56" s="64">
        <v>0.83750000000000002</v>
      </c>
      <c r="J56" s="65"/>
      <c r="K56" s="130">
        <f>IF(COUNT(H56:J56)=0,"",AVERAGE(H56:J56))</f>
        <v>0.84765000000000001</v>
      </c>
      <c r="L56" s="65"/>
      <c r="M56" s="65"/>
      <c r="N56" s="65" t="s">
        <v>405</v>
      </c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0.84765000000000001</v>
      </c>
      <c r="Y56" s="89" t="s">
        <v>67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0.82599999999999996</v>
      </c>
      <c r="I57" s="64">
        <v>0.98040000000000005</v>
      </c>
      <c r="J57" s="64">
        <v>0.8458</v>
      </c>
      <c r="K57" s="130">
        <f>IF(COUNT(H57:J57)=0,"",AVERAGE(H57:J57))</f>
        <v>0.88406666666666667</v>
      </c>
      <c r="L57" s="65">
        <v>0.86299999999999999</v>
      </c>
      <c r="M57" s="65">
        <v>0.876</v>
      </c>
      <c r="N57" s="65">
        <v>0.86350000000000005</v>
      </c>
      <c r="O57" s="130">
        <f>IF(COUNT(L57:N57)=0,"",AVERAGE(L57:N57))</f>
        <v>0.86750000000000005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0.86299999999999999</v>
      </c>
      <c r="Y57" s="89" t="s">
        <v>59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1</v>
      </c>
      <c r="I58" s="64">
        <v>1</v>
      </c>
      <c r="J58" s="64">
        <v>1</v>
      </c>
      <c r="K58" s="130">
        <f>IF(COUNT(H58:J58)=0,"",AVERAGE(H58:J58))</f>
        <v>1</v>
      </c>
      <c r="L58" s="65">
        <v>1</v>
      </c>
      <c r="M58" s="65">
        <v>1</v>
      </c>
      <c r="N58" s="65">
        <v>1</v>
      </c>
      <c r="O58" s="130">
        <f>IF(COUNT(L58:N58)=0,"",AVERAGE(L58:N58))</f>
        <v>1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1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69</v>
      </c>
      <c r="B60" s="45" t="s">
        <v>70</v>
      </c>
      <c r="C60" s="46" t="s">
        <v>21</v>
      </c>
      <c r="D60" s="46" t="s">
        <v>58</v>
      </c>
      <c r="E60" s="139" t="s">
        <v>505</v>
      </c>
      <c r="F60" s="62" t="s">
        <v>24</v>
      </c>
      <c r="G60" s="66" t="s">
        <v>24</v>
      </c>
      <c r="H60" s="140"/>
      <c r="I60" s="140"/>
      <c r="J60" s="140"/>
      <c r="K60" s="141">
        <v>0.9</v>
      </c>
      <c r="L60" s="140"/>
      <c r="M60" s="140"/>
      <c r="N60" s="140"/>
      <c r="O60" s="142"/>
      <c r="P60" s="140"/>
      <c r="Q60" s="140"/>
      <c r="R60" s="140"/>
      <c r="S60" s="142"/>
      <c r="T60" s="140"/>
      <c r="U60" s="140"/>
      <c r="V60" s="140"/>
      <c r="W60" s="142"/>
      <c r="X60" s="67">
        <v>0.9</v>
      </c>
      <c r="Y60" s="89" t="s">
        <v>71</v>
      </c>
      <c r="Z60" s="53" t="s">
        <v>72</v>
      </c>
    </row>
    <row r="61" spans="1:26" ht="25.5" customHeight="1" x14ac:dyDescent="0.2">
      <c r="A61" s="44" t="s">
        <v>85</v>
      </c>
      <c r="B61" s="45" t="s">
        <v>86</v>
      </c>
      <c r="C61" s="46" t="s">
        <v>21</v>
      </c>
      <c r="D61" s="46" t="s">
        <v>58</v>
      </c>
      <c r="E61" s="139" t="s">
        <v>505</v>
      </c>
      <c r="F61" s="62">
        <v>0.58789999999999998</v>
      </c>
      <c r="G61" s="66" t="s">
        <v>24</v>
      </c>
      <c r="H61" s="140"/>
      <c r="I61" s="140"/>
      <c r="J61" s="140"/>
      <c r="K61" s="141">
        <v>0.58509999999999995</v>
      </c>
      <c r="L61" s="140"/>
      <c r="M61" s="140"/>
      <c r="N61" s="140"/>
      <c r="O61" s="142">
        <v>0.77390000000000003</v>
      </c>
      <c r="P61" s="140"/>
      <c r="Q61" s="140"/>
      <c r="R61" s="140"/>
      <c r="S61" s="142"/>
      <c r="T61" s="140"/>
      <c r="U61" s="140"/>
      <c r="V61" s="140"/>
      <c r="W61" s="142"/>
      <c r="X61" s="67">
        <v>0.58509999999999995</v>
      </c>
      <c r="Y61" s="89" t="s">
        <v>71</v>
      </c>
      <c r="Z61" s="53" t="s">
        <v>68</v>
      </c>
    </row>
    <row r="62" spans="1:26" ht="25.5" customHeight="1" x14ac:dyDescent="0.2">
      <c r="A62" s="44" t="s">
        <v>116</v>
      </c>
      <c r="B62" s="45" t="s">
        <v>117</v>
      </c>
      <c r="C62" s="46" t="s">
        <v>19</v>
      </c>
      <c r="D62" s="46" t="s">
        <v>64</v>
      </c>
      <c r="E62" s="139" t="s">
        <v>505</v>
      </c>
      <c r="F62" s="62" t="s">
        <v>24</v>
      </c>
      <c r="G62" s="66" t="s">
        <v>24</v>
      </c>
      <c r="H62" s="140"/>
      <c r="I62" s="140"/>
      <c r="J62" s="140"/>
      <c r="K62" s="141">
        <v>0.5</v>
      </c>
      <c r="L62" s="140"/>
      <c r="M62" s="140"/>
      <c r="N62" s="140"/>
      <c r="O62" s="142">
        <v>0</v>
      </c>
      <c r="P62" s="140"/>
      <c r="Q62" s="140"/>
      <c r="R62" s="140"/>
      <c r="S62" s="142"/>
      <c r="T62" s="140"/>
      <c r="U62" s="140"/>
      <c r="V62" s="140"/>
      <c r="W62" s="142"/>
      <c r="X62" s="67">
        <v>0.5</v>
      </c>
      <c r="Y62" s="89" t="s">
        <v>71</v>
      </c>
      <c r="Z62" s="53" t="s">
        <v>118</v>
      </c>
    </row>
    <row r="63" spans="1:26" ht="25.5" customHeight="1" x14ac:dyDescent="0.2">
      <c r="A63" s="44" t="s">
        <v>126</v>
      </c>
      <c r="B63" s="45" t="s">
        <v>127</v>
      </c>
      <c r="C63" s="46" t="s">
        <v>19</v>
      </c>
      <c r="D63" s="46" t="s">
        <v>64</v>
      </c>
      <c r="E63" s="139" t="s">
        <v>505</v>
      </c>
      <c r="F63" s="77">
        <v>0.47</v>
      </c>
      <c r="G63" s="57">
        <v>0.4</v>
      </c>
      <c r="H63" s="147"/>
      <c r="I63" s="147"/>
      <c r="J63" s="147"/>
      <c r="K63" s="148">
        <v>0</v>
      </c>
      <c r="L63" s="147"/>
      <c r="M63" s="147"/>
      <c r="N63" s="147"/>
      <c r="O63" s="149">
        <v>0</v>
      </c>
      <c r="P63" s="147"/>
      <c r="Q63" s="147"/>
      <c r="R63" s="147"/>
      <c r="S63" s="149"/>
      <c r="T63" s="147"/>
      <c r="U63" s="147"/>
      <c r="V63" s="147"/>
      <c r="W63" s="149"/>
      <c r="X63" s="79">
        <v>0</v>
      </c>
      <c r="Y63" s="89" t="s">
        <v>59</v>
      </c>
      <c r="Z63" s="53" t="s">
        <v>128</v>
      </c>
    </row>
    <row r="64" spans="1:26" ht="25.5" customHeight="1" x14ac:dyDescent="0.2">
      <c r="A64" s="44" t="s">
        <v>153</v>
      </c>
      <c r="B64" s="45" t="s">
        <v>154</v>
      </c>
      <c r="C64" s="46" t="s">
        <v>146</v>
      </c>
      <c r="D64" s="46" t="s">
        <v>58</v>
      </c>
      <c r="E64" s="139" t="s">
        <v>505</v>
      </c>
      <c r="F64" s="62">
        <v>0.91</v>
      </c>
      <c r="G64" s="63">
        <v>0.92</v>
      </c>
      <c r="H64" s="140"/>
      <c r="I64" s="140"/>
      <c r="J64" s="140"/>
      <c r="K64" s="141">
        <v>0.875</v>
      </c>
      <c r="L64" s="140"/>
      <c r="M64" s="140"/>
      <c r="N64" s="140"/>
      <c r="O64" s="142">
        <v>0.875</v>
      </c>
      <c r="P64" s="140"/>
      <c r="Q64" s="140"/>
      <c r="R64" s="140"/>
      <c r="S64" s="142"/>
      <c r="T64" s="140"/>
      <c r="U64" s="140"/>
      <c r="V64" s="140"/>
      <c r="W64" s="142"/>
      <c r="X64" s="67">
        <v>0.875</v>
      </c>
      <c r="Y64" s="89" t="s">
        <v>67</v>
      </c>
      <c r="Z64" s="53" t="s">
        <v>155</v>
      </c>
    </row>
    <row r="65" spans="1:26" ht="25.5" customHeight="1" x14ac:dyDescent="0.2">
      <c r="A65" s="44" t="s">
        <v>171</v>
      </c>
      <c r="B65" s="45" t="s">
        <v>172</v>
      </c>
      <c r="C65" s="46" t="s">
        <v>146</v>
      </c>
      <c r="D65" s="46" t="s">
        <v>64</v>
      </c>
      <c r="E65" s="139" t="s">
        <v>505</v>
      </c>
      <c r="F65" s="77">
        <v>15.7</v>
      </c>
      <c r="G65" s="97">
        <v>7.85</v>
      </c>
      <c r="H65" s="147"/>
      <c r="I65" s="147"/>
      <c r="J65" s="147"/>
      <c r="K65" s="148">
        <v>0</v>
      </c>
      <c r="L65" s="147"/>
      <c r="M65" s="147"/>
      <c r="N65" s="147"/>
      <c r="O65" s="149">
        <v>0</v>
      </c>
      <c r="P65" s="147"/>
      <c r="Q65" s="147"/>
      <c r="R65" s="147"/>
      <c r="S65" s="149"/>
      <c r="T65" s="147"/>
      <c r="U65" s="147"/>
      <c r="V65" s="147"/>
      <c r="W65" s="149"/>
      <c r="X65" s="79">
        <v>0</v>
      </c>
      <c r="Y65" s="89" t="s">
        <v>59</v>
      </c>
      <c r="Z65" s="53" t="s">
        <v>128</v>
      </c>
    </row>
    <row r="66" spans="1:26" ht="25.5" customHeight="1" x14ac:dyDescent="0.2">
      <c r="A66" s="44" t="s">
        <v>194</v>
      </c>
      <c r="B66" s="45" t="s">
        <v>195</v>
      </c>
      <c r="C66" s="46" t="s">
        <v>196</v>
      </c>
      <c r="D66" s="46" t="s">
        <v>58</v>
      </c>
      <c r="E66" s="139" t="s">
        <v>505</v>
      </c>
      <c r="F66" s="62">
        <v>0.48299999999999998</v>
      </c>
      <c r="G66" s="63">
        <v>0.56059999999999999</v>
      </c>
      <c r="H66" s="140"/>
      <c r="I66" s="140"/>
      <c r="J66" s="140"/>
      <c r="K66" s="141">
        <v>0.59740259740259705</v>
      </c>
      <c r="L66" s="140"/>
      <c r="M66" s="140"/>
      <c r="N66" s="140"/>
      <c r="O66" s="142">
        <v>0.47368421052631599</v>
      </c>
      <c r="P66" s="140"/>
      <c r="Q66" s="140"/>
      <c r="R66" s="140"/>
      <c r="S66" s="142"/>
      <c r="T66" s="140"/>
      <c r="U66" s="140"/>
      <c r="V66" s="140"/>
      <c r="W66" s="142"/>
      <c r="X66" s="67">
        <v>0.59740259740259705</v>
      </c>
      <c r="Y66" s="89" t="s">
        <v>59</v>
      </c>
      <c r="Z66" s="53" t="s">
        <v>68</v>
      </c>
    </row>
    <row r="67" spans="1:26" ht="25.5" customHeight="1" x14ac:dyDescent="0.2">
      <c r="A67" s="44" t="s">
        <v>197</v>
      </c>
      <c r="B67" s="45" t="s">
        <v>198</v>
      </c>
      <c r="C67" s="46" t="s">
        <v>196</v>
      </c>
      <c r="D67" s="46" t="s">
        <v>64</v>
      </c>
      <c r="E67" s="139" t="s">
        <v>505</v>
      </c>
      <c r="F67" s="62" t="s">
        <v>24</v>
      </c>
      <c r="G67" s="66" t="s">
        <v>24</v>
      </c>
      <c r="H67" s="140"/>
      <c r="I67" s="140"/>
      <c r="J67" s="140"/>
      <c r="K67" s="141">
        <v>0.20065789473684201</v>
      </c>
      <c r="L67" s="140"/>
      <c r="M67" s="140"/>
      <c r="N67" s="140"/>
      <c r="O67" s="142"/>
      <c r="P67" s="140"/>
      <c r="Q67" s="140"/>
      <c r="R67" s="140"/>
      <c r="S67" s="142"/>
      <c r="T67" s="140"/>
      <c r="U67" s="140"/>
      <c r="V67" s="140"/>
      <c r="W67" s="142"/>
      <c r="X67" s="67">
        <v>0.20065789473684201</v>
      </c>
      <c r="Y67" s="89" t="s">
        <v>71</v>
      </c>
      <c r="Z67" s="53" t="s">
        <v>186</v>
      </c>
    </row>
    <row r="68" spans="1:26" ht="25.5" customHeight="1" x14ac:dyDescent="0.2">
      <c r="A68" s="44" t="s">
        <v>427</v>
      </c>
      <c r="B68" s="45" t="s">
        <v>428</v>
      </c>
      <c r="C68" s="46" t="s">
        <v>21</v>
      </c>
      <c r="D68" s="46" t="s">
        <v>64</v>
      </c>
      <c r="E68" s="139" t="s">
        <v>504</v>
      </c>
      <c r="F68" s="90">
        <v>6</v>
      </c>
      <c r="G68" s="91">
        <v>5</v>
      </c>
      <c r="H68" s="140"/>
      <c r="I68" s="140"/>
      <c r="J68" s="140"/>
      <c r="K68" s="143" t="str">
        <f>IF(COUNT(H68:J68)=0,"",AVERAGE(H68:J68))</f>
        <v/>
      </c>
      <c r="L68" s="140"/>
      <c r="M68" s="140"/>
      <c r="N68" s="140"/>
      <c r="O68" s="143" t="str">
        <f>IF(COUNT(L68:N68)=0,"",AVERAGE(L68:N68))</f>
        <v/>
      </c>
      <c r="P68" s="140"/>
      <c r="Q68" s="140"/>
      <c r="R68" s="140"/>
      <c r="S68" s="143" t="str">
        <f>IF(COUNT(P68:R68)=0,"",AVERAGE(P68:R68))</f>
        <v/>
      </c>
      <c r="T68" s="140"/>
      <c r="U68" s="140"/>
      <c r="V68" s="140"/>
      <c r="W68" s="143" t="str">
        <f>IF(COUNT(T68:V68)=0,"",AVERAGE(T68:V68))</f>
        <v/>
      </c>
      <c r="X68" s="93"/>
      <c r="Y68" s="89" t="s">
        <v>91</v>
      </c>
      <c r="Z68" s="53" t="s">
        <v>128</v>
      </c>
    </row>
    <row r="69" spans="1:26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1:26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1:26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1:26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1:26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1:26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1:26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25.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25.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25.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25.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  <row r="697" ht="15" customHeight="1" x14ac:dyDescent="0.2"/>
    <row r="698" ht="15" customHeight="1" x14ac:dyDescent="0.2"/>
    <row r="699" ht="15" customHeight="1" x14ac:dyDescent="0.2"/>
    <row r="700" ht="15" customHeight="1" x14ac:dyDescent="0.2"/>
    <row r="701" ht="15" customHeight="1" x14ac:dyDescent="0.2"/>
    <row r="702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06">
    <cfRule type="expression" dxfId="39" priority="2">
      <formula>AND(ISNUMBER(H36),ISNUMBER($G36),OR(AND($D36="P",H36&gt;=$G36),AND($D36="N",H36&lt;=$G36)))</formula>
    </cfRule>
    <cfRule type="expression" dxfId="38" priority="3">
      <formula>AND(ISNUMBER(H36),ISNUMBER($G36),OR(AND($D36="P",H36&lt;$G36),AND($D36="N",H36&gt;$G36)))</formula>
    </cfRule>
  </conditionalFormatting>
  <conditionalFormatting sqref="X36:X106">
    <cfRule type="expression" dxfId="37" priority="6">
      <formula>$Y36="✓ On Target"</formula>
    </cfRule>
    <cfRule type="expression" dxfId="36" priority="7">
      <formula>$Y36="✗ Off Target"</formula>
    </cfRule>
    <cfRule type="expression" dxfId="35" priority="8">
      <formula>$Y36="— No Data"</formula>
    </cfRule>
    <cfRule type="expression" dxfId="34" priority="9">
      <formula>$Y36="⊘ Non Target"</formula>
    </cfRule>
  </conditionalFormatting>
  <conditionalFormatting sqref="Y36:Y106">
    <cfRule type="expression" dxfId="33" priority="10">
      <formula>Y36="✓ On Target"</formula>
    </cfRule>
    <cfRule type="expression" dxfId="32" priority="11">
      <formula>Y36="✗ Off Target"</formula>
    </cfRule>
    <cfRule type="expression" dxfId="31" priority="12">
      <formula>Y36="— No Data"</formula>
    </cfRule>
    <cfRule type="expression" dxfId="30" priority="13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701"/>
  <sheetViews>
    <sheetView showGridLines="0" topLeftCell="I43" zoomScaleNormal="100" workbookViewId="0">
      <selection activeCell="N54" sqref="N54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554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25</v>
      </c>
      <c r="C12" s="157"/>
      <c r="D12" s="201">
        <v>15</v>
      </c>
      <c r="E12" s="157"/>
      <c r="F12" s="196">
        <v>4</v>
      </c>
      <c r="G12" s="157"/>
      <c r="H12" s="200">
        <v>1</v>
      </c>
      <c r="I12" s="157"/>
      <c r="K12" s="193">
        <v>7</v>
      </c>
      <c r="L12" s="157"/>
      <c r="M12" s="201">
        <v>1</v>
      </c>
      <c r="N12" s="157"/>
      <c r="O12" s="196">
        <v>2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555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32</v>
      </c>
      <c r="C19" s="157"/>
      <c r="D19" s="157"/>
      <c r="E19" s="205">
        <v>16</v>
      </c>
      <c r="F19" s="157"/>
      <c r="G19" s="157"/>
      <c r="I19" s="204">
        <v>6</v>
      </c>
      <c r="J19" s="157"/>
      <c r="K19" s="157"/>
      <c r="M19" s="199">
        <v>1</v>
      </c>
      <c r="N19" s="157"/>
      <c r="O19" s="157"/>
      <c r="Q19" s="194">
        <v>27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556</v>
      </c>
      <c r="F21" s="157"/>
      <c r="G21" s="157"/>
      <c r="I21" s="160" t="s">
        <v>557</v>
      </c>
      <c r="J21" s="157"/>
      <c r="K21" s="157"/>
      <c r="M21" s="160" t="s">
        <v>548</v>
      </c>
      <c r="N21" s="157"/>
      <c r="O21" s="157"/>
      <c r="Q21" s="195" t="s">
        <v>558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559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3</v>
      </c>
      <c r="E25" s="33">
        <v>1</v>
      </c>
      <c r="F25" s="34">
        <v>1</v>
      </c>
      <c r="G25" s="35">
        <v>0.75</v>
      </c>
    </row>
    <row r="26" spans="2:19" ht="21.75" customHeight="1" x14ac:dyDescent="0.2">
      <c r="B26" s="24" t="s">
        <v>19</v>
      </c>
      <c r="C26" s="41">
        <v>6</v>
      </c>
      <c r="D26" s="26">
        <v>5</v>
      </c>
      <c r="E26" s="27">
        <v>0</v>
      </c>
      <c r="F26" s="28">
        <v>0</v>
      </c>
      <c r="G26" s="29">
        <v>1</v>
      </c>
    </row>
    <row r="27" spans="2:19" ht="21.75" customHeight="1" x14ac:dyDescent="0.2">
      <c r="B27" s="30" t="s">
        <v>20</v>
      </c>
      <c r="C27" s="40">
        <v>13</v>
      </c>
      <c r="D27" s="32">
        <v>8</v>
      </c>
      <c r="E27" s="33">
        <v>4</v>
      </c>
      <c r="F27" s="34">
        <v>0</v>
      </c>
      <c r="G27" s="35">
        <v>0.66666666666666696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0</v>
      </c>
      <c r="E29" s="33">
        <v>1</v>
      </c>
      <c r="F29" s="34">
        <v>0</v>
      </c>
      <c r="G29" s="35">
        <v>0</v>
      </c>
    </row>
    <row r="30" spans="2:19" ht="25.5" customHeight="1" x14ac:dyDescent="0.2">
      <c r="B30" s="36" t="s">
        <v>36</v>
      </c>
      <c r="C30" s="38">
        <v>32</v>
      </c>
      <c r="D30" s="38">
        <v>16</v>
      </c>
      <c r="E30" s="38">
        <v>6</v>
      </c>
      <c r="F30" s="38">
        <v>1</v>
      </c>
      <c r="G30" s="39">
        <v>0.72727272727272696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1.01010101010101E-2</v>
      </c>
      <c r="I36" s="64">
        <v>8.5470085470085496E-3</v>
      </c>
      <c r="J36" s="64">
        <v>1.2500000000000001E-2</v>
      </c>
      <c r="K36" s="130">
        <f>IF(COUNT(H36:J36)=0,"",AVERAGE(H36:J36))</f>
        <v>1.0382672882672883E-2</v>
      </c>
      <c r="L36" s="65">
        <v>3.1250000000000002E-3</v>
      </c>
      <c r="M36" s="65">
        <v>8.2644628099173608E-3</v>
      </c>
      <c r="N36" s="65">
        <v>8.2644628099173608E-3</v>
      </c>
      <c r="O36" s="130">
        <f>IF(COUNT(L36:N36)=0,"",AVERAGE(L36:N36))</f>
        <v>6.551308539944907E-3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6.7538364413364397E-3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4.84913793103448E-2</v>
      </c>
      <c r="I38" s="64">
        <v>1.02171136653895E-3</v>
      </c>
      <c r="J38" s="64">
        <v>2.5017869907076498E-3</v>
      </c>
      <c r="K38" s="130">
        <f>IF(COUNT(H38:J38)=0,"",AVERAGE(H38:J38))</f>
        <v>1.7338292555863801E-2</v>
      </c>
      <c r="L38" s="65">
        <v>2.4482301336325599E-3</v>
      </c>
      <c r="M38" s="65">
        <v>8.3244143179926297E-4</v>
      </c>
      <c r="N38" s="65">
        <v>3.56760613628255E-4</v>
      </c>
      <c r="O38" s="130">
        <f>IF(COUNT(L38:N38)=0,"",AVERAGE(L38:N38))</f>
        <v>1.212477393020026E-3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9.8932613447481801E-3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3.70218017276841E-3</v>
      </c>
      <c r="I39" s="56">
        <v>6.1517429938482597E-3</v>
      </c>
      <c r="J39" s="56">
        <v>7.09219858156028E-3</v>
      </c>
      <c r="K39" s="132">
        <f>IF(COUNT(H39:J39)=0,"",AVERAGE(H39:J39))</f>
        <v>5.648707249392316E-3</v>
      </c>
      <c r="L39" s="78">
        <v>4.4139283962726797E-3</v>
      </c>
      <c r="M39" s="78">
        <v>5.9093893630991498E-3</v>
      </c>
      <c r="N39" s="78">
        <v>5.9093893630991498E-3</v>
      </c>
      <c r="O39" s="132">
        <f>IF(COUNT(L39:N39)=0,"",AVERAGE(L39:N39))</f>
        <v>5.4109023741569931E-3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5.0313178228324996E-3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1.5513126491646799E-3</v>
      </c>
      <c r="I40" s="56">
        <v>1.65858637407502E-3</v>
      </c>
      <c r="J40" s="56">
        <v>1.5448603683897799E-3</v>
      </c>
      <c r="K40" s="132">
        <f>IF(COUNT(H40:J40)=0,"",AVERAGE(H40:J40))</f>
        <v>1.5849197972098265E-3</v>
      </c>
      <c r="L40" s="78">
        <v>1.3228859265289499E-3</v>
      </c>
      <c r="M40" s="78">
        <v>1.54467680608365E-3</v>
      </c>
      <c r="N40" s="78">
        <v>1.54467680608365E-3</v>
      </c>
      <c r="O40" s="132">
        <f>IF(COUNT(L40:N40)=0,"",AVERAGE(L40:N40))</f>
        <v>1.4707465128987497E-3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1.4539028618693901E-3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5.8651026392961903E-3</v>
      </c>
      <c r="I41" s="64">
        <v>3.6525974025974003E-2</v>
      </c>
      <c r="J41" s="64">
        <v>0.105026256564141</v>
      </c>
      <c r="K41" s="130">
        <f>IF(COUNT(H41:J41)=0,"",AVERAGE(H41:J41))</f>
        <v>4.9139111076470399E-2</v>
      </c>
      <c r="L41" s="65">
        <v>7.2093023255814001E-2</v>
      </c>
      <c r="M41" s="65">
        <v>2.7006751687922E-2</v>
      </c>
      <c r="N41" s="65">
        <v>1.31782945736434E-2</v>
      </c>
      <c r="O41" s="130">
        <f>IF(COUNT(L41:N41)=0,"",AVERAGE(L41:N41))</f>
        <v>3.7426023172459806E-2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6.06160671661422E-2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8</v>
      </c>
      <c r="I42" s="95">
        <v>5.625</v>
      </c>
      <c r="J42" s="95">
        <v>7.7333333333333298</v>
      </c>
      <c r="K42" s="136">
        <f>IF(COUNT(H42:J42)=0,"",AVERAGE(H42:J42))</f>
        <v>7.1194444444444436</v>
      </c>
      <c r="L42" s="73">
        <v>3.875</v>
      </c>
      <c r="M42" s="73">
        <v>5.1428571428571397</v>
      </c>
      <c r="N42" s="73">
        <v>5.6666666666666696</v>
      </c>
      <c r="O42" s="136">
        <f>IF(COUNT(L42:N42)=0,"",AVERAGE(L42:N42))</f>
        <v>4.8948412698412698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5.49722222222222</v>
      </c>
      <c r="Y42" s="89" t="s">
        <v>67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8.3333333333333301E-2</v>
      </c>
      <c r="I43" s="64">
        <v>0.173913043478261</v>
      </c>
      <c r="J43" s="64">
        <v>0.26470588235294101</v>
      </c>
      <c r="K43" s="130">
        <f>IF(COUNT(H43:J43)=0,"",AVERAGE(H43:J43))</f>
        <v>0.17398408638817844</v>
      </c>
      <c r="L43" s="65">
        <v>0.14893617021276601</v>
      </c>
      <c r="M43" s="65">
        <v>9.7560975609756101E-2</v>
      </c>
      <c r="N43" s="65">
        <v>8.8235294117647106E-2</v>
      </c>
      <c r="O43" s="130">
        <f>IF(COUNT(L43:N43)=0,"",AVERAGE(L43:N43))</f>
        <v>0.1115774799800564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0.16146012830047199</v>
      </c>
      <c r="Y43" s="89" t="s">
        <v>59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0.99921875000000004</v>
      </c>
      <c r="I45" s="64">
        <v>1</v>
      </c>
      <c r="J45" s="64">
        <v>1</v>
      </c>
      <c r="K45" s="130">
        <f>IF(COUNT(H45:J45)=0,"",AVERAGE(H45:J45))</f>
        <v>0.99973958333333324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0.99986979166666701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3.0147723846849601E-4</v>
      </c>
      <c r="I47" s="64">
        <v>2.6260504201680698E-4</v>
      </c>
      <c r="J47" s="64">
        <v>2.80701754385965E-4</v>
      </c>
      <c r="K47" s="130">
        <f>IF(COUNT(H47:J47)=0,"",AVERAGE(H47:J47))</f>
        <v>2.8159467829042266E-4</v>
      </c>
      <c r="L47" s="65">
        <v>2.5759917568263799E-4</v>
      </c>
      <c r="M47" s="65">
        <v>2.9044437990124902E-4</v>
      </c>
      <c r="N47" s="65">
        <v>0</v>
      </c>
      <c r="O47" s="130">
        <f>IF(COUNT(L47:N47)=0,"",AVERAGE(L47:N47))</f>
        <v>1.8268118519462902E-4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2.6959692698653E-4</v>
      </c>
      <c r="Y47" s="89" t="s">
        <v>59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0.83720000000000006</v>
      </c>
      <c r="I48" s="65">
        <v>0.78</v>
      </c>
      <c r="J48" s="65">
        <v>0.73399999999999999</v>
      </c>
      <c r="K48" s="130">
        <f>IF(COUNT(H48:J48)=0,"",AVERAGE(H48:J48))</f>
        <v>0.78373333333333328</v>
      </c>
      <c r="L48" s="65">
        <v>0.79069999999999996</v>
      </c>
      <c r="M48" s="65">
        <v>0.75</v>
      </c>
      <c r="N48" s="65">
        <v>0.76190000000000002</v>
      </c>
      <c r="O48" s="130">
        <f>IF(COUNT(L48:N48)=0,"",AVERAGE(L48:N48))</f>
        <v>0.76753333333333329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0.83720000000000006</v>
      </c>
      <c r="Y48" s="89" t="s">
        <v>67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1</v>
      </c>
      <c r="I50" s="64">
        <v>1</v>
      </c>
      <c r="J50" s="64">
        <v>1</v>
      </c>
      <c r="K50" s="130">
        <f>IF(COUNT(H50:J50)=0,"",AVERAGE(H50:J50))</f>
        <v>1</v>
      </c>
      <c r="L50" s="65">
        <v>1</v>
      </c>
      <c r="M50" s="65">
        <v>0.97689999999999999</v>
      </c>
      <c r="N50" s="65">
        <v>1</v>
      </c>
      <c r="O50" s="130">
        <f>IF(COUNT(L50:N50)=0,"",AVERAGE(L50:N50))</f>
        <v>0.99230000000000007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1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0.01</v>
      </c>
      <c r="I52" s="64">
        <v>2.62605042016807E-3</v>
      </c>
      <c r="J52" s="64">
        <v>8.42105263157895E-4</v>
      </c>
      <c r="K52" s="130">
        <f>IF(COUNT(H52:J52)=0,"",AVERAGE(H52:J52))</f>
        <v>4.4893852277753223E-3</v>
      </c>
      <c r="L52" s="65">
        <v>1.28799587841319E-3</v>
      </c>
      <c r="M52" s="65">
        <v>4.4999999999999997E-3</v>
      </c>
      <c r="N52" s="65">
        <v>5.0794477728575201E-3</v>
      </c>
      <c r="O52" s="130">
        <f>IF(COUNT(L52:N52)=0,"",AVERAGE(L52:N52))</f>
        <v>3.6224812170902367E-3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2.8886905530942598E-3</v>
      </c>
      <c r="Y52" s="89" t="s">
        <v>59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0.25</v>
      </c>
      <c r="J53" s="64">
        <v>0.16666666666666699</v>
      </c>
      <c r="K53" s="130">
        <f>IF(COUNT(H53:J53)=0,"",AVERAGE(H53:J53))</f>
        <v>0.13888888888888898</v>
      </c>
      <c r="L53" s="65">
        <v>0.16666666666666699</v>
      </c>
      <c r="M53" s="65">
        <v>0</v>
      </c>
      <c r="N53" s="65">
        <v>0</v>
      </c>
      <c r="O53" s="130">
        <f>IF(COUNT(L53:N53)=0,"",AVERAGE(L53:N53))</f>
        <v>5.5555555555555663E-2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0.15277777777777801</v>
      </c>
      <c r="Y53" s="89" t="s">
        <v>67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0.06</v>
      </c>
      <c r="I54" s="56">
        <v>0.25</v>
      </c>
      <c r="J54" s="56">
        <v>0.73333333333333295</v>
      </c>
      <c r="K54" s="132">
        <f>IF(COUNT(H54:J54)=0,"",AVERAGE(H54:J54))</f>
        <v>0.34777777777777769</v>
      </c>
      <c r="L54" s="78">
        <v>0.13043478260869601</v>
      </c>
      <c r="M54" s="78">
        <v>0.71428571428571397</v>
      </c>
      <c r="N54" s="78">
        <v>0</v>
      </c>
      <c r="O54" s="132">
        <f>IF(COUNT(L54:N54)=0,"",AVERAGE(L54:N54))</f>
        <v>0.28157349896480333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0.23910628019323699</v>
      </c>
      <c r="Y54" s="89" t="s">
        <v>67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1</v>
      </c>
      <c r="I55" s="64">
        <v>0.85129999999999995</v>
      </c>
      <c r="J55" s="64">
        <v>0.93630000000000002</v>
      </c>
      <c r="K55" s="130">
        <f>IF(COUNT(H55:J55)=0,"",AVERAGE(H55:J55))</f>
        <v>0.92919999999999991</v>
      </c>
      <c r="L55" s="65">
        <v>0.91659999999999997</v>
      </c>
      <c r="M55" s="65">
        <v>1</v>
      </c>
      <c r="N55" s="65">
        <v>1</v>
      </c>
      <c r="O55" s="130">
        <f>IF(COUNT(L55:N55)=0,"",AVERAGE(L55:N55))</f>
        <v>0.97219999999999995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0.91659999999999997</v>
      </c>
      <c r="Y55" s="89" t="s">
        <v>59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4">
        <v>0.99790000000000001</v>
      </c>
      <c r="I56" s="65"/>
      <c r="J56" s="65"/>
      <c r="K56" s="130">
        <f>IF(COUNT(H56:J56)=0,"",AVERAGE(H56:J56))</f>
        <v>0.99790000000000001</v>
      </c>
      <c r="L56" s="65"/>
      <c r="M56" s="65"/>
      <c r="N56" s="65" t="s">
        <v>405</v>
      </c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0.99790000000000001</v>
      </c>
      <c r="Y56" s="89" t="s">
        <v>59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1</v>
      </c>
      <c r="M57" s="65">
        <v>1</v>
      </c>
      <c r="N57" s="65">
        <v>1</v>
      </c>
      <c r="O57" s="130">
        <f>IF(COUNT(L57:N57)=0,"",AVERAGE(L57:N57))</f>
        <v>1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1</v>
      </c>
      <c r="Y57" s="89" t="s">
        <v>59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0.91759999999999997</v>
      </c>
      <c r="I58" s="64">
        <v>0.83330000000000004</v>
      </c>
      <c r="J58" s="65">
        <v>1</v>
      </c>
      <c r="K58" s="130">
        <f>IF(COUNT(H58:J58)=0,"",AVERAGE(H58:J58))</f>
        <v>0.91696666666666671</v>
      </c>
      <c r="L58" s="65">
        <v>0.95440000000000003</v>
      </c>
      <c r="M58" s="65">
        <v>1</v>
      </c>
      <c r="N58" s="65">
        <v>1</v>
      </c>
      <c r="O58" s="130">
        <f>IF(COUNT(L58:N58)=0,"",AVERAGE(L58:N58))</f>
        <v>0.98480000000000001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0.95440000000000003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69</v>
      </c>
      <c r="B60" s="45" t="s">
        <v>70</v>
      </c>
      <c r="C60" s="46" t="s">
        <v>21</v>
      </c>
      <c r="D60" s="46" t="s">
        <v>58</v>
      </c>
      <c r="E60" s="139" t="s">
        <v>505</v>
      </c>
      <c r="F60" s="62" t="s">
        <v>24</v>
      </c>
      <c r="G60" s="66" t="s">
        <v>24</v>
      </c>
      <c r="H60" s="140"/>
      <c r="I60" s="140"/>
      <c r="J60" s="140"/>
      <c r="K60" s="141">
        <v>1</v>
      </c>
      <c r="L60" s="140"/>
      <c r="M60" s="140"/>
      <c r="N60" s="140"/>
      <c r="O60" s="142"/>
      <c r="P60" s="140"/>
      <c r="Q60" s="140"/>
      <c r="R60" s="140"/>
      <c r="S60" s="142"/>
      <c r="T60" s="140"/>
      <c r="U60" s="140"/>
      <c r="V60" s="140"/>
      <c r="W60" s="142"/>
      <c r="X60" s="67">
        <v>1</v>
      </c>
      <c r="Y60" s="89" t="s">
        <v>71</v>
      </c>
      <c r="Z60" s="53" t="s">
        <v>72</v>
      </c>
    </row>
    <row r="61" spans="1:26" ht="25.5" customHeight="1" x14ac:dyDescent="0.2">
      <c r="A61" s="44" t="s">
        <v>85</v>
      </c>
      <c r="B61" s="45" t="s">
        <v>86</v>
      </c>
      <c r="C61" s="46" t="s">
        <v>21</v>
      </c>
      <c r="D61" s="46" t="s">
        <v>58</v>
      </c>
      <c r="E61" s="139" t="s">
        <v>505</v>
      </c>
      <c r="F61" s="62">
        <v>0.58789999999999998</v>
      </c>
      <c r="G61" s="66" t="s">
        <v>24</v>
      </c>
      <c r="H61" s="140"/>
      <c r="I61" s="140"/>
      <c r="J61" s="140"/>
      <c r="K61" s="141">
        <v>0.94510000000000005</v>
      </c>
      <c r="L61" s="140"/>
      <c r="M61" s="140"/>
      <c r="N61" s="140"/>
      <c r="O61" s="142">
        <v>1</v>
      </c>
      <c r="P61" s="140"/>
      <c r="Q61" s="140"/>
      <c r="R61" s="140"/>
      <c r="S61" s="142"/>
      <c r="T61" s="140"/>
      <c r="U61" s="140"/>
      <c r="V61" s="140"/>
      <c r="W61" s="142"/>
      <c r="X61" s="67">
        <v>0.94510000000000005</v>
      </c>
      <c r="Y61" s="89" t="s">
        <v>71</v>
      </c>
      <c r="Z61" s="53" t="s">
        <v>68</v>
      </c>
    </row>
    <row r="62" spans="1:26" ht="25.5" customHeight="1" x14ac:dyDescent="0.2">
      <c r="A62" s="44" t="s">
        <v>116</v>
      </c>
      <c r="B62" s="45" t="s">
        <v>117</v>
      </c>
      <c r="C62" s="46" t="s">
        <v>19</v>
      </c>
      <c r="D62" s="46" t="s">
        <v>64</v>
      </c>
      <c r="E62" s="139" t="s">
        <v>505</v>
      </c>
      <c r="F62" s="62" t="s">
        <v>24</v>
      </c>
      <c r="G62" s="66" t="s">
        <v>24</v>
      </c>
      <c r="H62" s="140"/>
      <c r="I62" s="140"/>
      <c r="J62" s="140"/>
      <c r="K62" s="141">
        <v>0.25423728813559299</v>
      </c>
      <c r="L62" s="140"/>
      <c r="M62" s="140"/>
      <c r="N62" s="140"/>
      <c r="O62" s="142">
        <v>180</v>
      </c>
      <c r="P62" s="140"/>
      <c r="Q62" s="140"/>
      <c r="R62" s="140"/>
      <c r="S62" s="142"/>
      <c r="T62" s="140"/>
      <c r="U62" s="140"/>
      <c r="V62" s="140"/>
      <c r="W62" s="142"/>
      <c r="X62" s="67">
        <v>0.25423728813559299</v>
      </c>
      <c r="Y62" s="89" t="s">
        <v>71</v>
      </c>
      <c r="Z62" s="53" t="s">
        <v>118</v>
      </c>
    </row>
    <row r="63" spans="1:26" ht="25.5" customHeight="1" x14ac:dyDescent="0.2">
      <c r="A63" s="44" t="s">
        <v>153</v>
      </c>
      <c r="B63" s="45" t="s">
        <v>154</v>
      </c>
      <c r="C63" s="46" t="s">
        <v>146</v>
      </c>
      <c r="D63" s="46" t="s">
        <v>58</v>
      </c>
      <c r="E63" s="139" t="s">
        <v>505</v>
      </c>
      <c r="F63" s="62">
        <v>0.91</v>
      </c>
      <c r="G63" s="63">
        <v>0.92</v>
      </c>
      <c r="H63" s="140"/>
      <c r="I63" s="140"/>
      <c r="J63" s="140"/>
      <c r="K63" s="141">
        <v>0.85714285714285698</v>
      </c>
      <c r="L63" s="140"/>
      <c r="M63" s="140"/>
      <c r="N63" s="140"/>
      <c r="O63" s="142">
        <v>0.85709999999999997</v>
      </c>
      <c r="P63" s="140"/>
      <c r="Q63" s="140"/>
      <c r="R63" s="140"/>
      <c r="S63" s="142"/>
      <c r="T63" s="140"/>
      <c r="U63" s="140"/>
      <c r="V63" s="140"/>
      <c r="W63" s="142"/>
      <c r="X63" s="67">
        <v>0.85714285714285698</v>
      </c>
      <c r="Y63" s="89" t="s">
        <v>67</v>
      </c>
      <c r="Z63" s="53" t="s">
        <v>155</v>
      </c>
    </row>
    <row r="64" spans="1:26" ht="25.5" customHeight="1" x14ac:dyDescent="0.2">
      <c r="A64" s="44" t="s">
        <v>171</v>
      </c>
      <c r="B64" s="45" t="s">
        <v>172</v>
      </c>
      <c r="C64" s="46" t="s">
        <v>146</v>
      </c>
      <c r="D64" s="46" t="s">
        <v>64</v>
      </c>
      <c r="E64" s="139" t="s">
        <v>505</v>
      </c>
      <c r="F64" s="77">
        <v>15.7</v>
      </c>
      <c r="G64" s="97">
        <v>7.85</v>
      </c>
      <c r="H64" s="147"/>
      <c r="I64" s="147"/>
      <c r="J64" s="147"/>
      <c r="K64" s="148">
        <v>0</v>
      </c>
      <c r="L64" s="147"/>
      <c r="M64" s="147"/>
      <c r="N64" s="147"/>
      <c r="O64" s="149">
        <v>0</v>
      </c>
      <c r="P64" s="147"/>
      <c r="Q64" s="147"/>
      <c r="R64" s="147"/>
      <c r="S64" s="149"/>
      <c r="T64" s="147"/>
      <c r="U64" s="147"/>
      <c r="V64" s="147"/>
      <c r="W64" s="149"/>
      <c r="X64" s="79">
        <v>0</v>
      </c>
      <c r="Y64" s="89" t="s">
        <v>59</v>
      </c>
      <c r="Z64" s="53" t="s">
        <v>128</v>
      </c>
    </row>
    <row r="65" spans="1:26" ht="25.5" customHeight="1" x14ac:dyDescent="0.2">
      <c r="A65" s="44" t="s">
        <v>194</v>
      </c>
      <c r="B65" s="45" t="s">
        <v>195</v>
      </c>
      <c r="C65" s="46" t="s">
        <v>196</v>
      </c>
      <c r="D65" s="46" t="s">
        <v>58</v>
      </c>
      <c r="E65" s="139" t="s">
        <v>505</v>
      </c>
      <c r="F65" s="62">
        <v>0.48299999999999998</v>
      </c>
      <c r="G65" s="63">
        <v>0.56059999999999999</v>
      </c>
      <c r="H65" s="140"/>
      <c r="I65" s="140"/>
      <c r="J65" s="140"/>
      <c r="K65" s="141">
        <v>0.44444444444444398</v>
      </c>
      <c r="L65" s="140"/>
      <c r="M65" s="140"/>
      <c r="N65" s="140"/>
      <c r="O65" s="142">
        <v>0.34615384615384598</v>
      </c>
      <c r="P65" s="140"/>
      <c r="Q65" s="140"/>
      <c r="R65" s="140"/>
      <c r="S65" s="142"/>
      <c r="T65" s="140"/>
      <c r="U65" s="140"/>
      <c r="V65" s="140"/>
      <c r="W65" s="142"/>
      <c r="X65" s="67">
        <v>0.44444444444444398</v>
      </c>
      <c r="Y65" s="89" t="s">
        <v>67</v>
      </c>
      <c r="Z65" s="53" t="s">
        <v>68</v>
      </c>
    </row>
    <row r="66" spans="1:26" ht="25.5" customHeight="1" x14ac:dyDescent="0.2">
      <c r="A66" s="44" t="s">
        <v>197</v>
      </c>
      <c r="B66" s="45" t="s">
        <v>198</v>
      </c>
      <c r="C66" s="46" t="s">
        <v>196</v>
      </c>
      <c r="D66" s="46" t="s">
        <v>64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0.13358778625954201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0.13358778625954201</v>
      </c>
      <c r="Y66" s="89" t="s">
        <v>71</v>
      </c>
      <c r="Z66" s="53" t="s">
        <v>186</v>
      </c>
    </row>
    <row r="67" spans="1:26" ht="25.5" customHeight="1" x14ac:dyDescent="0.2">
      <c r="A67" s="44" t="s">
        <v>427</v>
      </c>
      <c r="B67" s="45" t="s">
        <v>428</v>
      </c>
      <c r="C67" s="46" t="s">
        <v>21</v>
      </c>
      <c r="D67" s="46" t="s">
        <v>64</v>
      </c>
      <c r="E67" s="139" t="s">
        <v>504</v>
      </c>
      <c r="F67" s="90">
        <v>6</v>
      </c>
      <c r="G67" s="91">
        <v>5</v>
      </c>
      <c r="H67" s="140"/>
      <c r="I67" s="140"/>
      <c r="J67" s="140"/>
      <c r="K67" s="143" t="str">
        <f>IF(COUNT(H67:J67)=0,"",AVERAGE(H67:J67))</f>
        <v/>
      </c>
      <c r="L67" s="140"/>
      <c r="M67" s="140"/>
      <c r="N67" s="140"/>
      <c r="O67" s="143" t="str">
        <f>IF(COUNT(L67:N67)=0,"",AVERAGE(L67:N67))</f>
        <v/>
      </c>
      <c r="P67" s="140"/>
      <c r="Q67" s="140"/>
      <c r="R67" s="140"/>
      <c r="S67" s="143" t="str">
        <f>IF(COUNT(P67:R67)=0,"",AVERAGE(P67:R67))</f>
        <v/>
      </c>
      <c r="T67" s="140"/>
      <c r="U67" s="140"/>
      <c r="V67" s="140"/>
      <c r="W67" s="143" t="str">
        <f>IF(COUNT(T67:V67)=0,"",AVERAGE(T67:V67))</f>
        <v/>
      </c>
      <c r="X67" s="93"/>
      <c r="Y67" s="89" t="s">
        <v>91</v>
      </c>
      <c r="Z67" s="53" t="s">
        <v>128</v>
      </c>
    </row>
    <row r="68" spans="1:26" ht="25.5" customHeight="1" x14ac:dyDescent="0.2">
      <c r="H68" s="88"/>
      <c r="I68" s="88"/>
      <c r="J68" s="88"/>
      <c r="L68" s="88"/>
      <c r="M68" s="88"/>
      <c r="N68" s="88"/>
      <c r="P68" s="88"/>
      <c r="Q68" s="88"/>
      <c r="R68" s="88"/>
      <c r="T68" s="88"/>
      <c r="U68" s="88"/>
      <c r="V68" s="88"/>
    </row>
    <row r="69" spans="1:26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1:26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1:26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1:26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1:26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1:26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1:26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25.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25.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25.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  <row r="697" ht="15" customHeight="1" x14ac:dyDescent="0.2"/>
    <row r="698" ht="15" customHeight="1" x14ac:dyDescent="0.2"/>
    <row r="699" ht="15" customHeight="1" x14ac:dyDescent="0.2"/>
    <row r="700" ht="15" customHeight="1" x14ac:dyDescent="0.2"/>
    <row r="701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05">
    <cfRule type="expression" dxfId="29" priority="2">
      <formula>AND(ISNUMBER(H36),ISNUMBER($G36),OR(AND($D36="P",H36&gt;=$G36),AND($D36="N",H36&lt;=$G36)))</formula>
    </cfRule>
    <cfRule type="expression" dxfId="28" priority="3">
      <formula>AND(ISNUMBER(H36),ISNUMBER($G36),OR(AND($D36="P",H36&lt;$G36),AND($D36="N",H36&gt;$G36)))</formula>
    </cfRule>
  </conditionalFormatting>
  <conditionalFormatting sqref="X36:X105">
    <cfRule type="expression" dxfId="27" priority="6">
      <formula>$Y36="✓ On Target"</formula>
    </cfRule>
    <cfRule type="expression" dxfId="26" priority="7">
      <formula>$Y36="✗ Off Target"</formula>
    </cfRule>
    <cfRule type="expression" dxfId="25" priority="8">
      <formula>$Y36="— No Data"</formula>
    </cfRule>
    <cfRule type="expression" dxfId="24" priority="9">
      <formula>$Y36="⊘ Non Target"</formula>
    </cfRule>
  </conditionalFormatting>
  <conditionalFormatting sqref="Y36:Y105">
    <cfRule type="expression" dxfId="23" priority="10">
      <formula>Y36="✓ On Target"</formula>
    </cfRule>
    <cfRule type="expression" dxfId="22" priority="11">
      <formula>Y36="✗ Off Target"</formula>
    </cfRule>
    <cfRule type="expression" dxfId="21" priority="12">
      <formula>Y36="— No Data"</formula>
    </cfRule>
    <cfRule type="expression" dxfId="20" priority="13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700"/>
  <sheetViews>
    <sheetView showGridLines="0" topLeftCell="I48" zoomScaleNormal="100" workbookViewId="0">
      <selection activeCell="N54" sqref="N54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560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25</v>
      </c>
      <c r="C12" s="157"/>
      <c r="D12" s="201">
        <v>14</v>
      </c>
      <c r="E12" s="157"/>
      <c r="F12" s="196">
        <v>5</v>
      </c>
      <c r="G12" s="157"/>
      <c r="H12" s="200">
        <v>1</v>
      </c>
      <c r="I12" s="157"/>
      <c r="K12" s="193">
        <v>7</v>
      </c>
      <c r="L12" s="157"/>
      <c r="M12" s="201">
        <v>2</v>
      </c>
      <c r="N12" s="157"/>
      <c r="O12" s="196">
        <v>1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561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32</v>
      </c>
      <c r="C19" s="157"/>
      <c r="D19" s="157"/>
      <c r="E19" s="205">
        <v>16</v>
      </c>
      <c r="F19" s="157"/>
      <c r="G19" s="157"/>
      <c r="I19" s="204">
        <v>6</v>
      </c>
      <c r="J19" s="157"/>
      <c r="K19" s="157"/>
      <c r="M19" s="199">
        <v>1</v>
      </c>
      <c r="N19" s="157"/>
      <c r="O19" s="157"/>
      <c r="Q19" s="194">
        <v>26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556</v>
      </c>
      <c r="F21" s="157"/>
      <c r="G21" s="157"/>
      <c r="I21" s="160" t="s">
        <v>557</v>
      </c>
      <c r="J21" s="157"/>
      <c r="K21" s="157"/>
      <c r="M21" s="160" t="s">
        <v>548</v>
      </c>
      <c r="N21" s="157"/>
      <c r="O21" s="157"/>
      <c r="Q21" s="195" t="s">
        <v>562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563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4</v>
      </c>
      <c r="E25" s="33">
        <v>0</v>
      </c>
      <c r="F25" s="34">
        <v>1</v>
      </c>
      <c r="G25" s="35">
        <v>1</v>
      </c>
    </row>
    <row r="26" spans="2:19" ht="21.75" customHeight="1" x14ac:dyDescent="0.2">
      <c r="B26" s="24" t="s">
        <v>19</v>
      </c>
      <c r="C26" s="41">
        <v>6</v>
      </c>
      <c r="D26" s="26">
        <v>4</v>
      </c>
      <c r="E26" s="27">
        <v>1</v>
      </c>
      <c r="F26" s="28">
        <v>0</v>
      </c>
      <c r="G26" s="29">
        <v>0.8</v>
      </c>
    </row>
    <row r="27" spans="2:19" ht="21.75" customHeight="1" x14ac:dyDescent="0.2">
      <c r="B27" s="30" t="s">
        <v>20</v>
      </c>
      <c r="C27" s="40">
        <v>13</v>
      </c>
      <c r="D27" s="32">
        <v>7</v>
      </c>
      <c r="E27" s="33">
        <v>5</v>
      </c>
      <c r="F27" s="34">
        <v>0</v>
      </c>
      <c r="G27" s="35">
        <v>0.58333333333333304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1</v>
      </c>
      <c r="E29" s="33">
        <v>0</v>
      </c>
      <c r="F29" s="34">
        <v>0</v>
      </c>
      <c r="G29" s="35">
        <v>1</v>
      </c>
    </row>
    <row r="30" spans="2:19" ht="25.5" customHeight="1" x14ac:dyDescent="0.2">
      <c r="B30" s="36" t="s">
        <v>33</v>
      </c>
      <c r="C30" s="38">
        <v>32</v>
      </c>
      <c r="D30" s="38">
        <v>16</v>
      </c>
      <c r="E30" s="38">
        <v>6</v>
      </c>
      <c r="F30" s="38">
        <v>1</v>
      </c>
      <c r="G30" s="39">
        <v>0.72727272727272696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0</v>
      </c>
      <c r="I36" s="64">
        <v>0</v>
      </c>
      <c r="J36" s="64">
        <v>0</v>
      </c>
      <c r="K36" s="130">
        <f>IF(COUNT(H36:J36)=0,"",AVERAGE(H36:J36))</f>
        <v>0</v>
      </c>
      <c r="L36" s="65">
        <v>0</v>
      </c>
      <c r="M36" s="65">
        <v>4.1666666666666699E-2</v>
      </c>
      <c r="N36" s="65">
        <v>2.9411764705882401E-2</v>
      </c>
      <c r="O36" s="130">
        <f>IF(COUNT(L36:N36)=0,"",AVERAGE(L36:N36))</f>
        <v>2.3692810457516367E-2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0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5.4009140008309097E-3</v>
      </c>
      <c r="I38" s="64">
        <v>3.2967032967033002E-3</v>
      </c>
      <c r="J38" s="64">
        <v>9.90783410138249E-3</v>
      </c>
      <c r="K38" s="130">
        <f>IF(COUNT(H38:J38)=0,"",AVERAGE(H38:J38))</f>
        <v>6.2018171329722331E-3</v>
      </c>
      <c r="L38" s="65">
        <v>6.5958226456577498E-3</v>
      </c>
      <c r="M38" s="65">
        <v>7.6070419474027397E-3</v>
      </c>
      <c r="N38" s="65">
        <v>7.6070419474027397E-3</v>
      </c>
      <c r="O38" s="130">
        <f>IF(COUNT(L38:N38)=0,"",AVERAGE(L38:N38))</f>
        <v>7.2699688468210759E-3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6.3988198893149897E-3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5.1252847380409998E-3</v>
      </c>
      <c r="I39" s="56">
        <v>5.0818746470920398E-3</v>
      </c>
      <c r="J39" s="56">
        <v>6.23700623700624E-3</v>
      </c>
      <c r="K39" s="132">
        <f>IF(COUNT(H39:J39)=0,"",AVERAGE(H39:J39))</f>
        <v>5.4813885407130935E-3</v>
      </c>
      <c r="L39" s="78">
        <v>3.30760749724366E-3</v>
      </c>
      <c r="M39" s="78">
        <v>4.3478260869565201E-3</v>
      </c>
      <c r="N39" s="78">
        <v>4.3478260869565201E-3</v>
      </c>
      <c r="O39" s="132">
        <f>IF(COUNT(L39:N39)=0,"",AVERAGE(L39:N39))</f>
        <v>4.0010865570522334E-3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4.3944980189783798E-3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2.2436616558223002E-3</v>
      </c>
      <c r="I40" s="56">
        <v>2.1905805038335202E-3</v>
      </c>
      <c r="J40" s="56">
        <v>2.2815423226100798E-3</v>
      </c>
      <c r="K40" s="132">
        <f>IF(COUNT(H40:J40)=0,"",AVERAGE(H40:J40))</f>
        <v>2.2385948274219664E-3</v>
      </c>
      <c r="L40" s="78">
        <v>1.8201674554059E-3</v>
      </c>
      <c r="M40" s="78">
        <v>2.1570319240724798E-3</v>
      </c>
      <c r="N40" s="78">
        <v>2.1570319240724798E-3</v>
      </c>
      <c r="O40" s="132">
        <f>IF(COUNT(L40:N40)=0,"",AVERAGE(L40:N40))</f>
        <v>2.0447437678502867E-3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2.0293811414139299E-3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6.6876475216365097E-2</v>
      </c>
      <c r="I41" s="64">
        <v>4.0940766550522603E-2</v>
      </c>
      <c r="J41" s="64">
        <v>8.4972462627852102E-2</v>
      </c>
      <c r="K41" s="130">
        <f>IF(COUNT(H41:J41)=0,"",AVERAGE(H41:J41))</f>
        <v>6.4263234798246596E-2</v>
      </c>
      <c r="L41" s="65">
        <v>8.4552845528455295E-2</v>
      </c>
      <c r="M41" s="65">
        <v>7.5531077891424103E-2</v>
      </c>
      <c r="N41" s="65">
        <v>7.3983739837398393E-2</v>
      </c>
      <c r="O41" s="130">
        <f>IF(COUNT(L41:N41)=0,"",AVERAGE(L41:N41))</f>
        <v>7.8022554419092602E-2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7.4408040163350994E-2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3.125</v>
      </c>
      <c r="I42" s="95">
        <v>3</v>
      </c>
      <c r="J42" s="95">
        <v>2.5365853658536599</v>
      </c>
      <c r="K42" s="136">
        <f>IF(COUNT(H42:J42)=0,"",AVERAGE(H42:J42))</f>
        <v>2.8871951219512204</v>
      </c>
      <c r="L42" s="73">
        <v>2.8888888888888902</v>
      </c>
      <c r="M42" s="73">
        <v>2.7428571428571402</v>
      </c>
      <c r="N42" s="73">
        <v>2.6</v>
      </c>
      <c r="O42" s="136">
        <f>IF(COUNT(L42:N42)=0,"",AVERAGE(L42:N42))</f>
        <v>2.7439153439153436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2.88804200542006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</v>
      </c>
      <c r="I43" s="64">
        <v>0</v>
      </c>
      <c r="J43" s="64">
        <v>0</v>
      </c>
      <c r="K43" s="130">
        <f>IF(COUNT(H43:J43)=0,"",AVERAGE(H43:J43))</f>
        <v>0</v>
      </c>
      <c r="L43" s="65">
        <v>0</v>
      </c>
      <c r="M43" s="65"/>
      <c r="N43" s="65">
        <v>0</v>
      </c>
      <c r="O43" s="130">
        <f>IF(COUNT(L43:N43)=0,"",AVERAGE(L43:N43))</f>
        <v>0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</v>
      </c>
      <c r="Y43" s="89" t="s">
        <v>59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3.6678758565094699E-2</v>
      </c>
      <c r="I47" s="64">
        <v>3.2140248356464597E-2</v>
      </c>
      <c r="J47" s="64">
        <v>3.5208836727649302E-2</v>
      </c>
      <c r="K47" s="130">
        <f>IF(COUNT(H47:J47)=0,"",AVERAGE(H47:J47))</f>
        <v>3.4675947883069526E-2</v>
      </c>
      <c r="L47" s="65">
        <v>3.6170990135184503E-2</v>
      </c>
      <c r="M47" s="65">
        <v>1.5804030027657099E-2</v>
      </c>
      <c r="N47" s="65">
        <v>6.2893081761006301E-3</v>
      </c>
      <c r="O47" s="130">
        <f>IF(COUNT(L47:N47)=0,"",AVERAGE(L47:N47))</f>
        <v>1.942144277964741E-2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3.5423469009126997E-2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0.81820000000000004</v>
      </c>
      <c r="I48" s="65">
        <v>0.83333333333333304</v>
      </c>
      <c r="J48" s="65">
        <v>0.9</v>
      </c>
      <c r="K48" s="130">
        <f>IF(COUNT(H48:J48)=0,"",AVERAGE(H48:J48))</f>
        <v>0.850511111111111</v>
      </c>
      <c r="L48" s="65">
        <v>0.6875</v>
      </c>
      <c r="M48" s="65">
        <v>0.74629999999999996</v>
      </c>
      <c r="N48" s="65">
        <v>0.875</v>
      </c>
      <c r="O48" s="130">
        <f>IF(COUNT(L48:N48)=0,"",AVERAGE(L48:N48))</f>
        <v>0.76959999999999995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0.81820000000000004</v>
      </c>
      <c r="Y48" s="89" t="s">
        <v>67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0.98842018196856896</v>
      </c>
      <c r="I50" s="64">
        <v>1</v>
      </c>
      <c r="J50" s="64">
        <v>0.93337935795650695</v>
      </c>
      <c r="K50" s="130">
        <f>IF(COUNT(H50:J50)=0,"",AVERAGE(H50:J50))</f>
        <v>0.97393317997502526</v>
      </c>
      <c r="L50" s="65">
        <v>1</v>
      </c>
      <c r="M50" s="65">
        <v>1</v>
      </c>
      <c r="N50" s="65">
        <v>1</v>
      </c>
      <c r="O50" s="130">
        <f>IF(COUNT(L50:N50)=0,"",AVERAGE(L50:N50))</f>
        <v>1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0.98598604946100199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0.02</v>
      </c>
      <c r="I52" s="64">
        <v>3.2684824902723703E-2</v>
      </c>
      <c r="J52" s="64">
        <v>3.1756989989644498E-2</v>
      </c>
      <c r="K52" s="130">
        <f>IF(COUNT(H52:J52)=0,"",AVERAGE(H52:J52))</f>
        <v>2.8147271630789405E-2</v>
      </c>
      <c r="L52" s="65">
        <v>2.4113993423456302E-2</v>
      </c>
      <c r="M52" s="65">
        <v>3.8699999999999998E-2</v>
      </c>
      <c r="N52" s="65">
        <v>3.3288349077822799E-2</v>
      </c>
      <c r="O52" s="130">
        <f>IF(COUNT(L52:N52)=0,"",AVERAGE(L52:N52))</f>
        <v>3.2034114167093029E-2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2.6130632527122898E-2</v>
      </c>
      <c r="Y52" s="89" t="s">
        <v>67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0</v>
      </c>
      <c r="M53" s="65">
        <v>0</v>
      </c>
      <c r="N53" s="65">
        <v>0</v>
      </c>
      <c r="O53" s="130">
        <f>IF(COUNT(L53:N53)=0,"",AVERAGE(L53:N53))</f>
        <v>0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0</v>
      </c>
      <c r="I54" s="56">
        <v>7.1428571428571397E-2</v>
      </c>
      <c r="J54" s="56">
        <v>4.8780487804878099E-2</v>
      </c>
      <c r="K54" s="132">
        <f>IF(COUNT(H54:J54)=0,"",AVERAGE(H54:J54))</f>
        <v>4.006968641114983E-2</v>
      </c>
      <c r="L54" s="78">
        <v>0</v>
      </c>
      <c r="M54" s="78">
        <v>0</v>
      </c>
      <c r="N54" s="78">
        <v>0</v>
      </c>
      <c r="O54" s="132">
        <f>IF(COUNT(L54:N54)=0,"",AVERAGE(L54:N54))</f>
        <v>0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2.0034843205574901E-2</v>
      </c>
      <c r="Y54" s="89" t="s">
        <v>67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0.875</v>
      </c>
      <c r="I55" s="64">
        <v>0.96450000000000002</v>
      </c>
      <c r="J55" s="64">
        <v>1</v>
      </c>
      <c r="K55" s="130">
        <f>IF(COUNT(H55:J55)=0,"",AVERAGE(H55:J55))</f>
        <v>0.94650000000000001</v>
      </c>
      <c r="L55" s="65">
        <v>0.96799999999999997</v>
      </c>
      <c r="M55" s="65">
        <v>0.65349999999999997</v>
      </c>
      <c r="N55" s="65">
        <v>0.94910000000000005</v>
      </c>
      <c r="O55" s="130">
        <f>IF(COUNT(L55:N55)=0,"",AVERAGE(L55:N55))</f>
        <v>0.85686666666666655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0.96799999999999997</v>
      </c>
      <c r="Y55" s="89" t="s">
        <v>59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4">
        <v>0.92220000000000002</v>
      </c>
      <c r="I56" s="65"/>
      <c r="J56" s="65"/>
      <c r="K56" s="130">
        <f>IF(COUNT(H56:J56)=0,"",AVERAGE(H56:J56))</f>
        <v>0.92220000000000002</v>
      </c>
      <c r="L56" s="65"/>
      <c r="M56" s="65"/>
      <c r="N56" s="65" t="s">
        <v>405</v>
      </c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0.92220000000000002</v>
      </c>
      <c r="Y56" s="89" t="s">
        <v>59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0.76600000000000001</v>
      </c>
      <c r="I57" s="64">
        <v>0.88500000000000001</v>
      </c>
      <c r="J57" s="64">
        <v>0.73399999999999999</v>
      </c>
      <c r="K57" s="130">
        <f>IF(COUNT(H57:J57)=0,"",AVERAGE(H57:J57))</f>
        <v>0.79499999999999993</v>
      </c>
      <c r="L57" s="65">
        <v>0.69689999999999996</v>
      </c>
      <c r="M57" s="65">
        <v>0.60350000000000004</v>
      </c>
      <c r="N57" s="65">
        <v>0.78369999999999995</v>
      </c>
      <c r="O57" s="130">
        <f>IF(COUNT(L57:N57)=0,"",AVERAGE(L57:N57))</f>
        <v>0.69469999999999998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0.69689999999999996</v>
      </c>
      <c r="Y57" s="89" t="s">
        <v>67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1</v>
      </c>
      <c r="I58" s="64">
        <v>1</v>
      </c>
      <c r="J58" s="65">
        <v>1</v>
      </c>
      <c r="K58" s="130">
        <f>IF(COUNT(H58:J58)=0,"",AVERAGE(H58:J58))</f>
        <v>1</v>
      </c>
      <c r="L58" s="65">
        <v>1</v>
      </c>
      <c r="M58" s="65">
        <v>0.75</v>
      </c>
      <c r="N58" s="65">
        <v>1</v>
      </c>
      <c r="O58" s="130">
        <f>IF(COUNT(L58:N58)=0,"",AVERAGE(L58:N58))</f>
        <v>0.91666666666666663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1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69</v>
      </c>
      <c r="B60" s="45" t="s">
        <v>70</v>
      </c>
      <c r="C60" s="46" t="s">
        <v>21</v>
      </c>
      <c r="D60" s="46" t="s">
        <v>58</v>
      </c>
      <c r="E60" s="139" t="s">
        <v>505</v>
      </c>
      <c r="F60" s="62" t="s">
        <v>24</v>
      </c>
      <c r="G60" s="66" t="s">
        <v>24</v>
      </c>
      <c r="H60" s="140"/>
      <c r="I60" s="140"/>
      <c r="J60" s="140"/>
      <c r="K60" s="141">
        <v>1</v>
      </c>
      <c r="L60" s="140"/>
      <c r="M60" s="140"/>
      <c r="N60" s="140"/>
      <c r="O60" s="142"/>
      <c r="P60" s="140"/>
      <c r="Q60" s="140"/>
      <c r="R60" s="140"/>
      <c r="S60" s="142"/>
      <c r="T60" s="140"/>
      <c r="U60" s="140"/>
      <c r="V60" s="140"/>
      <c r="W60" s="142"/>
      <c r="X60" s="67">
        <v>1</v>
      </c>
      <c r="Y60" s="89" t="s">
        <v>71</v>
      </c>
      <c r="Z60" s="53" t="s">
        <v>72</v>
      </c>
    </row>
    <row r="61" spans="1:26" ht="25.5" customHeight="1" x14ac:dyDescent="0.2">
      <c r="A61" s="44" t="s">
        <v>85</v>
      </c>
      <c r="B61" s="45" t="s">
        <v>86</v>
      </c>
      <c r="C61" s="46" t="s">
        <v>21</v>
      </c>
      <c r="D61" s="46" t="s">
        <v>58</v>
      </c>
      <c r="E61" s="139" t="s">
        <v>505</v>
      </c>
      <c r="F61" s="62">
        <v>0.58789999999999998</v>
      </c>
      <c r="G61" s="66" t="s">
        <v>24</v>
      </c>
      <c r="H61" s="140"/>
      <c r="I61" s="140"/>
      <c r="J61" s="140"/>
      <c r="K61" s="141">
        <v>0.77229999999999999</v>
      </c>
      <c r="L61" s="140"/>
      <c r="M61" s="140"/>
      <c r="N61" s="140"/>
      <c r="O61" s="142">
        <v>0.96909999999999996</v>
      </c>
      <c r="P61" s="140"/>
      <c r="Q61" s="140"/>
      <c r="R61" s="140"/>
      <c r="S61" s="142"/>
      <c r="T61" s="140"/>
      <c r="U61" s="140"/>
      <c r="V61" s="140"/>
      <c r="W61" s="142"/>
      <c r="X61" s="67">
        <v>0.77229999999999999</v>
      </c>
      <c r="Y61" s="89" t="s">
        <v>71</v>
      </c>
      <c r="Z61" s="53" t="s">
        <v>68</v>
      </c>
    </row>
    <row r="62" spans="1:26" ht="25.5" customHeight="1" x14ac:dyDescent="0.2">
      <c r="A62" s="44" t="s">
        <v>116</v>
      </c>
      <c r="B62" s="45" t="s">
        <v>117</v>
      </c>
      <c r="C62" s="46" t="s">
        <v>19</v>
      </c>
      <c r="D62" s="46" t="s">
        <v>64</v>
      </c>
      <c r="E62" s="139" t="s">
        <v>505</v>
      </c>
      <c r="F62" s="62" t="s">
        <v>24</v>
      </c>
      <c r="G62" s="66" t="s">
        <v>24</v>
      </c>
      <c r="H62" s="140"/>
      <c r="I62" s="140"/>
      <c r="J62" s="140"/>
      <c r="K62" s="141">
        <v>0</v>
      </c>
      <c r="L62" s="140"/>
      <c r="M62" s="140"/>
      <c r="N62" s="140"/>
      <c r="O62" s="142">
        <v>0</v>
      </c>
      <c r="P62" s="140"/>
      <c r="Q62" s="140"/>
      <c r="R62" s="140"/>
      <c r="S62" s="142"/>
      <c r="T62" s="140"/>
      <c r="U62" s="140"/>
      <c r="V62" s="140"/>
      <c r="W62" s="142"/>
      <c r="X62" s="67">
        <v>0</v>
      </c>
      <c r="Y62" s="89" t="s">
        <v>71</v>
      </c>
      <c r="Z62" s="53" t="s">
        <v>118</v>
      </c>
    </row>
    <row r="63" spans="1:26" ht="25.5" customHeight="1" x14ac:dyDescent="0.2">
      <c r="A63" s="44" t="s">
        <v>153</v>
      </c>
      <c r="B63" s="45" t="s">
        <v>154</v>
      </c>
      <c r="C63" s="46" t="s">
        <v>146</v>
      </c>
      <c r="D63" s="46" t="s">
        <v>58</v>
      </c>
      <c r="E63" s="139" t="s">
        <v>505</v>
      </c>
      <c r="F63" s="62">
        <v>0.91</v>
      </c>
      <c r="G63" s="63">
        <v>0.92</v>
      </c>
      <c r="H63" s="140"/>
      <c r="I63" s="140"/>
      <c r="J63" s="140"/>
      <c r="K63" s="141">
        <v>0.88888888888888895</v>
      </c>
      <c r="L63" s="140"/>
      <c r="M63" s="140"/>
      <c r="N63" s="140"/>
      <c r="O63" s="142">
        <v>0.88980000000000004</v>
      </c>
      <c r="P63" s="140"/>
      <c r="Q63" s="140"/>
      <c r="R63" s="140"/>
      <c r="S63" s="142"/>
      <c r="T63" s="140"/>
      <c r="U63" s="140"/>
      <c r="V63" s="140"/>
      <c r="W63" s="142"/>
      <c r="X63" s="67">
        <v>0.88888888888888895</v>
      </c>
      <c r="Y63" s="89" t="s">
        <v>67</v>
      </c>
      <c r="Z63" s="53" t="s">
        <v>155</v>
      </c>
    </row>
    <row r="64" spans="1:26" ht="25.5" customHeight="1" x14ac:dyDescent="0.2">
      <c r="A64" s="44" t="s">
        <v>171</v>
      </c>
      <c r="B64" s="45" t="s">
        <v>172</v>
      </c>
      <c r="C64" s="46" t="s">
        <v>146</v>
      </c>
      <c r="D64" s="46" t="s">
        <v>64</v>
      </c>
      <c r="E64" s="139" t="s">
        <v>505</v>
      </c>
      <c r="F64" s="77">
        <v>15.7</v>
      </c>
      <c r="G64" s="97">
        <v>7.85</v>
      </c>
      <c r="H64" s="147"/>
      <c r="I64" s="147"/>
      <c r="J64" s="147"/>
      <c r="K64" s="148">
        <v>0</v>
      </c>
      <c r="L64" s="147"/>
      <c r="M64" s="147"/>
      <c r="N64" s="147"/>
      <c r="O64" s="149">
        <v>0</v>
      </c>
      <c r="P64" s="147"/>
      <c r="Q64" s="147"/>
      <c r="R64" s="147"/>
      <c r="S64" s="149"/>
      <c r="T64" s="147"/>
      <c r="U64" s="147"/>
      <c r="V64" s="147"/>
      <c r="W64" s="149"/>
      <c r="X64" s="79">
        <v>0</v>
      </c>
      <c r="Y64" s="89" t="s">
        <v>59</v>
      </c>
      <c r="Z64" s="53" t="s">
        <v>128</v>
      </c>
    </row>
    <row r="65" spans="1:26" ht="25.5" customHeight="1" x14ac:dyDescent="0.2">
      <c r="A65" s="44" t="s">
        <v>194</v>
      </c>
      <c r="B65" s="45" t="s">
        <v>195</v>
      </c>
      <c r="C65" s="46" t="s">
        <v>196</v>
      </c>
      <c r="D65" s="46" t="s">
        <v>58</v>
      </c>
      <c r="E65" s="139" t="s">
        <v>505</v>
      </c>
      <c r="F65" s="62">
        <v>0.48299999999999998</v>
      </c>
      <c r="G65" s="63">
        <v>0.56059999999999999</v>
      </c>
      <c r="H65" s="140"/>
      <c r="I65" s="140"/>
      <c r="J65" s="140"/>
      <c r="K65" s="141">
        <v>0.64705882352941202</v>
      </c>
      <c r="L65" s="140"/>
      <c r="M65" s="140"/>
      <c r="N65" s="140"/>
      <c r="O65" s="142">
        <v>0.61643835616438403</v>
      </c>
      <c r="P65" s="140"/>
      <c r="Q65" s="140"/>
      <c r="R65" s="140"/>
      <c r="S65" s="142"/>
      <c r="T65" s="140"/>
      <c r="U65" s="140"/>
      <c r="V65" s="140"/>
      <c r="W65" s="142"/>
      <c r="X65" s="67">
        <v>0.64705882352941202</v>
      </c>
      <c r="Y65" s="89" t="s">
        <v>59</v>
      </c>
      <c r="Z65" s="53" t="s">
        <v>68</v>
      </c>
    </row>
    <row r="66" spans="1:26" ht="25.5" customHeight="1" x14ac:dyDescent="0.2">
      <c r="A66" s="44" t="s">
        <v>197</v>
      </c>
      <c r="B66" s="45" t="s">
        <v>198</v>
      </c>
      <c r="C66" s="46" t="s">
        <v>196</v>
      </c>
      <c r="D66" s="46" t="s">
        <v>64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0.122340425531915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0.122340425531915</v>
      </c>
      <c r="Y66" s="89" t="s">
        <v>71</v>
      </c>
      <c r="Z66" s="53" t="s">
        <v>186</v>
      </c>
    </row>
    <row r="67" spans="1:26" ht="25.5" customHeight="1" x14ac:dyDescent="0.2">
      <c r="A67" s="44" t="s">
        <v>427</v>
      </c>
      <c r="B67" s="45" t="s">
        <v>428</v>
      </c>
      <c r="C67" s="46" t="s">
        <v>21</v>
      </c>
      <c r="D67" s="46" t="s">
        <v>64</v>
      </c>
      <c r="E67" s="139" t="s">
        <v>504</v>
      </c>
      <c r="F67" s="90">
        <v>6</v>
      </c>
      <c r="G67" s="91">
        <v>5</v>
      </c>
      <c r="H67" s="140"/>
      <c r="I67" s="140"/>
      <c r="J67" s="140"/>
      <c r="K67" s="143" t="str">
        <f>IF(COUNT(H67:J67)=0,"",AVERAGE(H67:J67))</f>
        <v/>
      </c>
      <c r="L67" s="140"/>
      <c r="M67" s="140"/>
      <c r="N67" s="140"/>
      <c r="O67" s="143" t="str">
        <f>IF(COUNT(L67:N67)=0,"",AVERAGE(L67:N67))</f>
        <v/>
      </c>
      <c r="P67" s="140"/>
      <c r="Q67" s="140"/>
      <c r="R67" s="140"/>
      <c r="S67" s="143" t="str">
        <f>IF(COUNT(P67:R67)=0,"",AVERAGE(P67:R67))</f>
        <v/>
      </c>
      <c r="T67" s="140"/>
      <c r="U67" s="140"/>
      <c r="V67" s="140"/>
      <c r="W67" s="143" t="str">
        <f>IF(COUNT(T67:V67)=0,"",AVERAGE(T67:V67))</f>
        <v/>
      </c>
      <c r="X67" s="93"/>
      <c r="Y67" s="89" t="s">
        <v>91</v>
      </c>
      <c r="Z67" s="53" t="s">
        <v>128</v>
      </c>
    </row>
    <row r="68" spans="1:26" ht="25.5" customHeight="1" x14ac:dyDescent="0.2">
      <c r="H68" s="88"/>
      <c r="I68" s="88"/>
      <c r="J68" s="88"/>
      <c r="L68" s="88"/>
      <c r="M68" s="88"/>
      <c r="N68" s="88"/>
      <c r="P68" s="88"/>
      <c r="Q68" s="88"/>
      <c r="R68" s="88"/>
      <c r="T68" s="88"/>
      <c r="U68" s="88"/>
      <c r="V68" s="88"/>
    </row>
    <row r="69" spans="1:26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1:26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1:26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1:26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1:26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1:26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1:26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25.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25.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25.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  <row r="697" ht="15" customHeight="1" x14ac:dyDescent="0.2"/>
    <row r="698" ht="15" customHeight="1" x14ac:dyDescent="0.2"/>
    <row r="699" ht="15" customHeight="1" x14ac:dyDescent="0.2"/>
    <row r="700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05">
    <cfRule type="expression" dxfId="19" priority="2">
      <formula>AND(ISNUMBER(H36),ISNUMBER($G36),OR(AND($D36="P",H36&gt;=$G36),AND($D36="N",H36&lt;=$G36)))</formula>
    </cfRule>
    <cfRule type="expression" dxfId="18" priority="3">
      <formula>AND(ISNUMBER(H36),ISNUMBER($G36),OR(AND($D36="P",H36&lt;$G36),AND($D36="N",H36&gt;$G36)))</formula>
    </cfRule>
  </conditionalFormatting>
  <conditionalFormatting sqref="X36:X104">
    <cfRule type="expression" dxfId="17" priority="15">
      <formula>$Y36="⊘ Non Target"</formula>
    </cfRule>
  </conditionalFormatting>
  <conditionalFormatting sqref="X36:X105">
    <cfRule type="expression" dxfId="16" priority="6">
      <formula>$Y36="✓ On Target"</formula>
    </cfRule>
    <cfRule type="expression" dxfId="15" priority="7">
      <formula>$Y36="✗ Off Target"</formula>
    </cfRule>
    <cfRule type="expression" dxfId="14" priority="8">
      <formula>$Y36="— No Data"</formula>
    </cfRule>
  </conditionalFormatting>
  <conditionalFormatting sqref="Y36:Y104">
    <cfRule type="expression" dxfId="13" priority="14">
      <formula>Y36="⊘ Non Target"</formula>
    </cfRule>
  </conditionalFormatting>
  <conditionalFormatting sqref="Y36:Y105">
    <cfRule type="expression" dxfId="12" priority="9">
      <formula>Y36="✓ On Target"</formula>
    </cfRule>
    <cfRule type="expression" dxfId="11" priority="10">
      <formula>Y36="✗ Off Target"</formula>
    </cfRule>
    <cfRule type="expression" dxfId="10" priority="11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671"/>
  <sheetViews>
    <sheetView showGridLines="0" tabSelected="1" topLeftCell="G42" zoomScaleNormal="100" workbookViewId="0">
      <selection activeCell="N54" sqref="N54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564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25</v>
      </c>
      <c r="C12" s="157"/>
      <c r="D12" s="201">
        <v>17</v>
      </c>
      <c r="E12" s="157"/>
      <c r="F12" s="196">
        <v>1</v>
      </c>
      <c r="G12" s="157"/>
      <c r="H12" s="200">
        <v>1</v>
      </c>
      <c r="I12" s="157"/>
      <c r="K12" s="193">
        <v>14</v>
      </c>
      <c r="L12" s="157"/>
      <c r="M12" s="201">
        <v>9</v>
      </c>
      <c r="N12" s="157"/>
      <c r="O12" s="196">
        <v>2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565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64" t="s">
        <v>566</v>
      </c>
      <c r="R18" s="157"/>
      <c r="S18" s="157"/>
    </row>
    <row r="19" spans="2:19" ht="27.75" customHeight="1" x14ac:dyDescent="0.2">
      <c r="B19" s="197">
        <v>40</v>
      </c>
      <c r="C19" s="157"/>
      <c r="D19" s="157"/>
      <c r="E19" s="205">
        <v>26</v>
      </c>
      <c r="F19" s="157"/>
      <c r="G19" s="157"/>
      <c r="I19" s="204">
        <v>3</v>
      </c>
      <c r="J19" s="157"/>
      <c r="K19" s="157"/>
      <c r="M19" s="199">
        <v>2</v>
      </c>
      <c r="N19" s="157"/>
      <c r="O19" s="157"/>
      <c r="Q19" s="206">
        <v>12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538</v>
      </c>
      <c r="F21" s="157"/>
      <c r="G21" s="157"/>
      <c r="I21" s="160" t="s">
        <v>539</v>
      </c>
      <c r="J21" s="157"/>
      <c r="K21" s="157"/>
      <c r="M21" s="160" t="s">
        <v>567</v>
      </c>
      <c r="N21" s="157"/>
      <c r="O21" s="157"/>
      <c r="Q21" s="160" t="s">
        <v>541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568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13</v>
      </c>
      <c r="D25" s="32">
        <v>5</v>
      </c>
      <c r="E25" s="33">
        <v>1</v>
      </c>
      <c r="F25" s="34">
        <v>1</v>
      </c>
      <c r="G25" s="35">
        <v>0.83333333333333304</v>
      </c>
    </row>
    <row r="26" spans="2:19" ht="21.75" customHeight="1" x14ac:dyDescent="0.2">
      <c r="B26" s="24" t="s">
        <v>19</v>
      </c>
      <c r="C26" s="41">
        <v>9</v>
      </c>
      <c r="D26" s="26">
        <v>7</v>
      </c>
      <c r="E26" s="27">
        <v>2</v>
      </c>
      <c r="F26" s="28">
        <v>0</v>
      </c>
      <c r="G26" s="29">
        <v>0.77777777777777801</v>
      </c>
    </row>
    <row r="27" spans="2:19" ht="21.75" customHeight="1" x14ac:dyDescent="0.2">
      <c r="B27" s="30" t="s">
        <v>20</v>
      </c>
      <c r="C27" s="40">
        <v>13</v>
      </c>
      <c r="D27" s="32">
        <v>12</v>
      </c>
      <c r="E27" s="33">
        <v>0</v>
      </c>
      <c r="F27" s="34">
        <v>0</v>
      </c>
      <c r="G27" s="35">
        <v>1</v>
      </c>
    </row>
    <row r="28" spans="2:19" ht="21.75" customHeight="1" x14ac:dyDescent="0.2">
      <c r="B28" s="24" t="s">
        <v>25</v>
      </c>
      <c r="C28" s="41">
        <v>1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2</v>
      </c>
      <c r="E29" s="33">
        <v>0</v>
      </c>
      <c r="F29" s="34">
        <v>1</v>
      </c>
      <c r="G29" s="35">
        <v>1</v>
      </c>
    </row>
    <row r="30" spans="2:19" ht="25.5" customHeight="1" x14ac:dyDescent="0.2">
      <c r="B30" s="36" t="s">
        <v>32</v>
      </c>
      <c r="C30" s="38">
        <v>0</v>
      </c>
      <c r="D30" s="38">
        <v>0</v>
      </c>
      <c r="E30" s="38">
        <v>0</v>
      </c>
      <c r="F30" s="38">
        <v>0</v>
      </c>
      <c r="G30" s="39" t="s">
        <v>24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322</v>
      </c>
      <c r="B36" s="45" t="s">
        <v>323</v>
      </c>
      <c r="C36" s="46" t="s">
        <v>21</v>
      </c>
      <c r="D36" s="46" t="s">
        <v>64</v>
      </c>
      <c r="E36" s="44" t="s">
        <v>504</v>
      </c>
      <c r="F36" s="69">
        <v>5</v>
      </c>
      <c r="G36" s="72">
        <v>4.25</v>
      </c>
      <c r="H36" s="133">
        <v>0.921875</v>
      </c>
      <c r="I36" s="133">
        <v>0.921875</v>
      </c>
      <c r="J36" s="133">
        <v>0.921875</v>
      </c>
      <c r="K36" s="134">
        <f>IF(COUNT(H36:J36)=0,"",AVERAGE(H36:J36))</f>
        <v>0.921875</v>
      </c>
      <c r="L36" s="135">
        <v>0.98823529411764699</v>
      </c>
      <c r="M36" s="135">
        <v>4</v>
      </c>
      <c r="N36" s="135">
        <v>4</v>
      </c>
      <c r="O36" s="134">
        <f>IF(COUNT(L36:N36)=0,"",AVERAGE(L36:N36))</f>
        <v>2.996078431372549</v>
      </c>
      <c r="P36" s="135"/>
      <c r="Q36" s="135"/>
      <c r="R36" s="135"/>
      <c r="S36" s="134" t="str">
        <f>IF(COUNT(P36:R36)=0,"",AVERAGE(P36:R36))</f>
        <v/>
      </c>
      <c r="T36" s="135"/>
      <c r="U36" s="135"/>
      <c r="V36" s="135"/>
      <c r="W36" s="134" t="str">
        <f>IF(COUNT(T36:V36)=0,"",AVERAGE(T36:V36))</f>
        <v/>
      </c>
      <c r="X36" s="153">
        <v>0.95505514705882399</v>
      </c>
      <c r="Y36" s="89" t="s">
        <v>59</v>
      </c>
      <c r="Z36" s="53" t="s">
        <v>186</v>
      </c>
    </row>
    <row r="37" spans="1:26" ht="25.5" customHeight="1" x14ac:dyDescent="0.2">
      <c r="A37" s="44" t="s">
        <v>332</v>
      </c>
      <c r="B37" s="45" t="s">
        <v>333</v>
      </c>
      <c r="C37" s="46" t="s">
        <v>21</v>
      </c>
      <c r="D37" s="46" t="s">
        <v>64</v>
      </c>
      <c r="E37" s="44" t="s">
        <v>504</v>
      </c>
      <c r="F37" s="62" t="s">
        <v>24</v>
      </c>
      <c r="G37" s="66" t="s">
        <v>24</v>
      </c>
      <c r="H37" s="64">
        <v>4.6125461254612497E-2</v>
      </c>
      <c r="I37" s="64">
        <v>3.0946977511863E-2</v>
      </c>
      <c r="J37" s="64">
        <v>4.1490486257928103E-2</v>
      </c>
      <c r="K37" s="130">
        <f>IF(COUNT(H37:J37)=0,"",AVERAGE(H37:J37))</f>
        <v>3.9520975008134535E-2</v>
      </c>
      <c r="L37" s="65">
        <v>3.5838401390095601E-2</v>
      </c>
      <c r="M37" s="65">
        <v>4.1413459374296697E-2</v>
      </c>
      <c r="N37" s="65">
        <v>3.3085752869682697E-2</v>
      </c>
      <c r="O37" s="130">
        <f>IF(COUNT(L37:N37)=0,"",AVERAGE(L37:N37))</f>
        <v>3.677920454469167E-2</v>
      </c>
      <c r="P37" s="65"/>
      <c r="Q37" s="65"/>
      <c r="R37" s="65"/>
      <c r="S37" s="130" t="str">
        <f>IF(COUNT(P37:R37)=0,"",AVERAGE(P37:R37))</f>
        <v/>
      </c>
      <c r="T37" s="65"/>
      <c r="U37" s="65"/>
      <c r="V37" s="65"/>
      <c r="W37" s="130" t="str">
        <f>IF(COUNT(T37:V37)=0,"",AVERAGE(T37:V37))</f>
        <v/>
      </c>
      <c r="X37" s="67">
        <v>3.7679688199115102E-2</v>
      </c>
      <c r="Y37" s="89" t="s">
        <v>71</v>
      </c>
      <c r="Z37" s="53" t="s">
        <v>128</v>
      </c>
    </row>
    <row r="38" spans="1:26" ht="25.5" customHeight="1" x14ac:dyDescent="0.2">
      <c r="A38" s="44" t="s">
        <v>334</v>
      </c>
      <c r="B38" s="45" t="s">
        <v>335</v>
      </c>
      <c r="C38" s="46" t="s">
        <v>21</v>
      </c>
      <c r="D38" s="46" t="s">
        <v>64</v>
      </c>
      <c r="E38" s="44" t="s">
        <v>504</v>
      </c>
      <c r="F38" s="71">
        <v>23.2</v>
      </c>
      <c r="G38" s="72">
        <v>19.72</v>
      </c>
      <c r="H38" s="95">
        <v>12.955882352941201</v>
      </c>
      <c r="I38" s="95">
        <v>12.176470588235301</v>
      </c>
      <c r="J38" s="95">
        <v>11.7916666666667</v>
      </c>
      <c r="K38" s="136">
        <f>IF(COUNT(H38:J38)=0,"",AVERAGE(H38:J38))</f>
        <v>12.308006535947733</v>
      </c>
      <c r="L38" s="73">
        <v>15.927272727272699</v>
      </c>
      <c r="M38" s="73">
        <v>14.1576086956522</v>
      </c>
      <c r="N38" s="73">
        <v>15.473333333333301</v>
      </c>
      <c r="O38" s="136">
        <f>IF(COUNT(L38:N38)=0,"",AVERAGE(L38:N38))</f>
        <v>15.1860715854194</v>
      </c>
      <c r="P38" s="73"/>
      <c r="Q38" s="73"/>
      <c r="R38" s="73"/>
      <c r="S38" s="136" t="str">
        <f>IF(COUNT(P38:R38)=0,"",AVERAGE(P38:R38))</f>
        <v/>
      </c>
      <c r="T38" s="73"/>
      <c r="U38" s="73"/>
      <c r="V38" s="73"/>
      <c r="W38" s="136" t="str">
        <f>IF(COUNT(T38:V38)=0,"",AVERAGE(T38:V38))</f>
        <v/>
      </c>
      <c r="X38" s="75">
        <v>14.117639631610199</v>
      </c>
      <c r="Y38" s="89" t="s">
        <v>59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6.4738886491152404E-3</v>
      </c>
      <c r="I39" s="56">
        <v>3.44906875143711E-3</v>
      </c>
      <c r="J39" s="56">
        <v>4.5885591924135797E-3</v>
      </c>
      <c r="K39" s="132">
        <f>IF(COUNT(H39:J39)=0,"",AVERAGE(H39:J39))</f>
        <v>4.8371721976553103E-3</v>
      </c>
      <c r="L39" s="78">
        <v>3.7434489643124501E-3</v>
      </c>
      <c r="M39" s="78">
        <v>3.8819875776397502E-3</v>
      </c>
      <c r="N39" s="78">
        <v>3.8819875776397502E-3</v>
      </c>
      <c r="O39" s="132">
        <f>IF(COUNT(L39:N39)=0,"",AVERAGE(L39:N39))</f>
        <v>3.8358080398639832E-3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4.2903105809838802E-3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3.4793814432989699E-2</v>
      </c>
      <c r="I40" s="56">
        <v>5.4032419451670996E-3</v>
      </c>
      <c r="J40" s="56">
        <v>6.8510530322253198E-3</v>
      </c>
      <c r="K40" s="132">
        <f>IF(COUNT(H40:J40)=0,"",AVERAGE(H40:J40))</f>
        <v>1.5682703136794041E-2</v>
      </c>
      <c r="L40" s="78">
        <v>5.66156426923883E-3</v>
      </c>
      <c r="M40" s="78">
        <v>5.8353144586124903E-3</v>
      </c>
      <c r="N40" s="78">
        <v>5.8353144586124903E-3</v>
      </c>
      <c r="O40" s="132">
        <f>IF(COUNT(L40:N40)=0,"",AVERAGE(L40:N40))</f>
        <v>5.7773977288212699E-3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1.0672133703016401E-2</v>
      </c>
      <c r="Y40" s="89" t="s">
        <v>71</v>
      </c>
      <c r="Z40" s="53" t="s">
        <v>128</v>
      </c>
    </row>
    <row r="41" spans="1:26" ht="25.5" customHeight="1" x14ac:dyDescent="0.2">
      <c r="A41" s="44" t="s">
        <v>345</v>
      </c>
      <c r="B41" s="45" t="s">
        <v>346</v>
      </c>
      <c r="C41" s="46" t="s">
        <v>21</v>
      </c>
      <c r="D41" s="46" t="s">
        <v>64</v>
      </c>
      <c r="E41" s="44" t="s">
        <v>504</v>
      </c>
      <c r="F41" s="77" t="s">
        <v>24</v>
      </c>
      <c r="G41" s="50" t="s">
        <v>24</v>
      </c>
      <c r="H41" s="78"/>
      <c r="I41" s="78"/>
      <c r="J41" s="56">
        <v>3.0590394616090597E-4</v>
      </c>
      <c r="K41" s="132">
        <f>IF(COUNT(H41:J41)=0,"",AVERAGE(H41:J41))</f>
        <v>3.0590394616090597E-4</v>
      </c>
      <c r="L41" s="78"/>
      <c r="M41" s="78"/>
      <c r="N41" s="78"/>
      <c r="O41" s="132" t="str">
        <f>IF(COUNT(L41:N41)=0,"",AVERAGE(L41:N41))</f>
        <v/>
      </c>
      <c r="P41" s="78"/>
      <c r="Q41" s="78"/>
      <c r="R41" s="78"/>
      <c r="S41" s="132" t="str">
        <f>IF(COUNT(P41:R41)=0,"",AVERAGE(P41:R41))</f>
        <v/>
      </c>
      <c r="T41" s="78"/>
      <c r="U41" s="78"/>
      <c r="V41" s="78"/>
      <c r="W41" s="132" t="str">
        <f>IF(COUNT(T41:V41)=0,"",AVERAGE(T41:V41))</f>
        <v/>
      </c>
      <c r="X41" s="79">
        <v>3.0590394616090597E-4</v>
      </c>
      <c r="Y41" s="89" t="s">
        <v>71</v>
      </c>
      <c r="Z41" s="53" t="s">
        <v>128</v>
      </c>
    </row>
    <row r="42" spans="1:26" ht="25.5" customHeight="1" x14ac:dyDescent="0.2">
      <c r="A42" s="44" t="s">
        <v>352</v>
      </c>
      <c r="B42" s="45" t="s">
        <v>353</v>
      </c>
      <c r="C42" s="46" t="s">
        <v>21</v>
      </c>
      <c r="D42" s="46" t="s">
        <v>64</v>
      </c>
      <c r="E42" s="44" t="s">
        <v>504</v>
      </c>
      <c r="F42" s="62">
        <v>0.64600000000000002</v>
      </c>
      <c r="G42" s="63" t="s">
        <v>354</v>
      </c>
      <c r="H42" s="64">
        <v>0.52951917224589196</v>
      </c>
      <c r="I42" s="64">
        <v>0.54986522911051205</v>
      </c>
      <c r="J42" s="64">
        <v>0.49746398863866897</v>
      </c>
      <c r="K42" s="130">
        <f>IF(COUNT(H42:J42)=0,"",AVERAGE(H42:J42))</f>
        <v>0.52561612999835761</v>
      </c>
      <c r="L42" s="65">
        <v>0.55094339622641497</v>
      </c>
      <c r="M42" s="65">
        <v>0.52850476770135901</v>
      </c>
      <c r="N42" s="65">
        <v>0.48658280922431901</v>
      </c>
      <c r="O42" s="130">
        <f>IF(COUNT(L42:N42)=0,"",AVERAGE(L42:N42))</f>
        <v>0.52201032438403094</v>
      </c>
      <c r="P42" s="65"/>
      <c r="Q42" s="65"/>
      <c r="R42" s="65"/>
      <c r="S42" s="130" t="str">
        <f>IF(COUNT(P42:R42)=0,"",AVERAGE(P42:R42))</f>
        <v/>
      </c>
      <c r="T42" s="65"/>
      <c r="U42" s="65"/>
      <c r="V42" s="65"/>
      <c r="W42" s="130" t="str">
        <f>IF(COUNT(T42:V42)=0,"",AVERAGE(T42:V42))</f>
        <v/>
      </c>
      <c r="X42" s="67">
        <v>0.53827976311238601</v>
      </c>
      <c r="Y42" s="89" t="s">
        <v>59</v>
      </c>
      <c r="Z42" s="53" t="s">
        <v>128</v>
      </c>
    </row>
    <row r="43" spans="1:26" ht="25.5" customHeight="1" x14ac:dyDescent="0.2">
      <c r="A43" s="44" t="s">
        <v>357</v>
      </c>
      <c r="B43" s="45" t="s">
        <v>358</v>
      </c>
      <c r="C43" s="46" t="s">
        <v>21</v>
      </c>
      <c r="D43" s="46" t="s">
        <v>64</v>
      </c>
      <c r="E43" s="44" t="s">
        <v>504</v>
      </c>
      <c r="F43" s="62">
        <v>8.6999999999999994E-2</v>
      </c>
      <c r="G43" s="63">
        <v>7.3800000000000004E-2</v>
      </c>
      <c r="H43" s="64">
        <v>3.0769230769230799E-2</v>
      </c>
      <c r="I43" s="64">
        <v>7.1428571428571397E-2</v>
      </c>
      <c r="J43" s="64">
        <v>8.8235294117647106E-2</v>
      </c>
      <c r="K43" s="130">
        <f>IF(COUNT(H43:J43)=0,"",AVERAGE(H43:J43))</f>
        <v>6.3477698771816429E-2</v>
      </c>
      <c r="L43" s="65">
        <v>7.4074074074074098E-2</v>
      </c>
      <c r="M43" s="65">
        <v>4.3956043956044001E-2</v>
      </c>
      <c r="N43" s="65">
        <v>3.7974683544303799E-2</v>
      </c>
      <c r="O43" s="130">
        <f>IF(COUNT(L43:N43)=0,"",AVERAGE(L43:N43))</f>
        <v>5.2001600524807297E-2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6.8775886422945298E-2</v>
      </c>
      <c r="Y43" s="89" t="s">
        <v>59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>
        <v>0</v>
      </c>
      <c r="I44" s="78">
        <v>0</v>
      </c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0.99325084364454397</v>
      </c>
      <c r="J45" s="64">
        <v>0.99099099099099097</v>
      </c>
      <c r="K45" s="130">
        <f>IF(COUNT(H45:J45)=0,"",AVERAGE(H45:J45))</f>
        <v>0.99474727821184494</v>
      </c>
      <c r="L45" s="65">
        <v>0.99440089585666303</v>
      </c>
      <c r="M45" s="65">
        <v>0.99591836734693895</v>
      </c>
      <c r="N45" s="65">
        <v>0.99949418310571603</v>
      </c>
      <c r="O45" s="130">
        <f>IF(COUNT(L45:N45)=0,"",AVERAGE(L45:N45))</f>
        <v>0.99660448210310604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0.99457408703425398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2.7237354085603099E-2</v>
      </c>
      <c r="I47" s="64">
        <v>1.0482180293501E-2</v>
      </c>
      <c r="J47" s="64">
        <v>3.6893203883495103E-2</v>
      </c>
      <c r="K47" s="130">
        <f>IF(COUNT(H47:J47)=0,"",AVERAGE(H47:J47))</f>
        <v>2.4870912754199736E-2</v>
      </c>
      <c r="L47" s="65">
        <v>4.6901172529313202E-2</v>
      </c>
      <c r="M47" s="65">
        <v>4.3177892918825601E-2</v>
      </c>
      <c r="N47" s="65">
        <v>3.6968576709796697E-2</v>
      </c>
      <c r="O47" s="130">
        <f>IF(COUNT(L47:N47)=0,"",AVERAGE(L47:N47))</f>
        <v>4.2349214052645169E-2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3.5886042641756502E-2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</v>
      </c>
      <c r="I48" s="65">
        <v>0.96430000000000005</v>
      </c>
      <c r="J48" s="65">
        <v>1</v>
      </c>
      <c r="K48" s="130">
        <f>IF(COUNT(H48:J48)=0,"",AVERAGE(H48:J48))</f>
        <v>0.95476666666666665</v>
      </c>
      <c r="L48" s="65">
        <v>0.90239999999999998</v>
      </c>
      <c r="M48" s="65">
        <v>0.91210000000000002</v>
      </c>
      <c r="N48" s="65">
        <v>0.82809999999999995</v>
      </c>
      <c r="O48" s="130">
        <f>IF(COUNT(L48:N48)=0,"",AVERAGE(L48:N48))</f>
        <v>0.88086666666666658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0.99221789883268496</v>
      </c>
      <c r="I50" s="64">
        <v>0.99161425576519902</v>
      </c>
      <c r="J50" s="64">
        <v>0.990291262135922</v>
      </c>
      <c r="K50" s="130">
        <f>IF(COUNT(H50:J50)=0,"",AVERAGE(H50:J50))</f>
        <v>0.99137447224460196</v>
      </c>
      <c r="L50" s="65">
        <v>0.98492462311557805</v>
      </c>
      <c r="M50" s="65">
        <v>0.995</v>
      </c>
      <c r="N50" s="65">
        <v>0.99397590361445798</v>
      </c>
      <c r="O50" s="130">
        <f>IF(COUNT(L50:N50)=0,"",AVERAGE(L50:N50))</f>
        <v>0.99130017557667871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0.98814954768009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</v>
      </c>
      <c r="I52" s="64">
        <v>4.1928721174004204E-3</v>
      </c>
      <c r="J52" s="64">
        <v>0</v>
      </c>
      <c r="K52" s="130">
        <f>IF(COUNT(H52:J52)=0,"",AVERAGE(H52:J52))</f>
        <v>1.3976240391334735E-3</v>
      </c>
      <c r="L52" s="65">
        <v>1.6750418760468999E-3</v>
      </c>
      <c r="M52" s="65">
        <v>3.3999999999999998E-3</v>
      </c>
      <c r="N52" s="65">
        <v>4.3674698795180697E-2</v>
      </c>
      <c r="O52" s="130">
        <f>IF(COUNT(L52:N52)=0,"",AVERAGE(L52:N52))</f>
        <v>1.6249913557075866E-2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1.5363329575901899E-3</v>
      </c>
      <c r="Y52" s="89" t="s">
        <v>59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0</v>
      </c>
      <c r="M53" s="65">
        <v>0</v>
      </c>
      <c r="N53" s="65">
        <v>0</v>
      </c>
      <c r="O53" s="130">
        <f>IF(COUNT(L53:N53)=0,"",AVERAGE(L53:N53))</f>
        <v>0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0</v>
      </c>
      <c r="I54" s="56">
        <v>0</v>
      </c>
      <c r="J54" s="56">
        <v>0</v>
      </c>
      <c r="K54" s="132">
        <f>IF(COUNT(H54:J54)=0,"",AVERAGE(H54:J54))</f>
        <v>0</v>
      </c>
      <c r="L54" s="78">
        <v>0</v>
      </c>
      <c r="M54" s="78">
        <v>0</v>
      </c>
      <c r="N54" s="78">
        <v>0</v>
      </c>
      <c r="O54" s="132">
        <f>IF(COUNT(L54:N54)=0,"",AVERAGE(L54:N54))</f>
        <v>0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0</v>
      </c>
      <c r="Y54" s="89" t="s">
        <v>59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0.95820000000000005</v>
      </c>
      <c r="I55" s="64">
        <v>0.95209999999999995</v>
      </c>
      <c r="J55" s="64">
        <v>0.96679999999999999</v>
      </c>
      <c r="K55" s="130">
        <f>IF(COUNT(H55:J55)=0,"",AVERAGE(H55:J55))</f>
        <v>0.95903333333333329</v>
      </c>
      <c r="L55" s="65">
        <v>0.95509999999999995</v>
      </c>
      <c r="M55" s="65">
        <v>0.91379999999999995</v>
      </c>
      <c r="N55" s="65">
        <v>0.97250000000000003</v>
      </c>
      <c r="O55" s="130">
        <f>IF(COUNT(L55:N55)=0,"",AVERAGE(L55:N55))</f>
        <v>0.94713333333333338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0.95509999999999995</v>
      </c>
      <c r="Y55" s="89" t="s">
        <v>59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5"/>
      <c r="I56" s="64">
        <v>0.95209999999999995</v>
      </c>
      <c r="J56" s="65"/>
      <c r="K56" s="130">
        <f>IF(COUNT(H56:J56)=0,"",AVERAGE(H56:J56))</f>
        <v>0.95209999999999995</v>
      </c>
      <c r="L56" s="65"/>
      <c r="M56" s="65"/>
      <c r="N56" s="65"/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0.95209999999999995</v>
      </c>
      <c r="Y56" s="89" t="s">
        <v>59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0.86450000000000005</v>
      </c>
      <c r="I57" s="64">
        <v>0.95209999999999995</v>
      </c>
      <c r="J57" s="65"/>
      <c r="K57" s="130">
        <f>IF(COUNT(H57:J57)=0,"",AVERAGE(H57:J57))</f>
        <v>0.9083</v>
      </c>
      <c r="L57" s="65"/>
      <c r="M57" s="65"/>
      <c r="N57" s="65"/>
      <c r="O57" s="130" t="str">
        <f>IF(COUNT(L57:N57)=0,"",AVERAGE(L57:N57))</f>
        <v/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0.9083</v>
      </c>
      <c r="Y57" s="89" t="s">
        <v>59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1</v>
      </c>
      <c r="I58" s="64">
        <v>1</v>
      </c>
      <c r="J58" s="65">
        <v>1</v>
      </c>
      <c r="K58" s="130">
        <f>IF(COUNT(H58:J58)=0,"",AVERAGE(H58:J58))</f>
        <v>1</v>
      </c>
      <c r="L58" s="65">
        <v>0.90910000000000002</v>
      </c>
      <c r="M58" s="65">
        <v>1</v>
      </c>
      <c r="N58" s="65">
        <v>1</v>
      </c>
      <c r="O58" s="130">
        <f>IF(COUNT(L58:N58)=0,"",AVERAGE(L58:N58))</f>
        <v>0.96970000000000001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0.90910000000000002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56</v>
      </c>
      <c r="B60" s="45" t="s">
        <v>57</v>
      </c>
      <c r="C60" s="46" t="s">
        <v>21</v>
      </c>
      <c r="D60" s="46" t="s">
        <v>58</v>
      </c>
      <c r="E60" s="139" t="s">
        <v>505</v>
      </c>
      <c r="F60" s="62">
        <v>0.33</v>
      </c>
      <c r="G60" s="63">
        <v>0.2</v>
      </c>
      <c r="H60" s="140"/>
      <c r="I60" s="140"/>
      <c r="J60" s="140"/>
      <c r="K60" s="141">
        <v>0.94444444444444398</v>
      </c>
      <c r="L60" s="140"/>
      <c r="M60" s="140"/>
      <c r="N60" s="140"/>
      <c r="O60" s="142">
        <v>1.06</v>
      </c>
      <c r="P60" s="140"/>
      <c r="Q60" s="140"/>
      <c r="R60" s="140"/>
      <c r="S60" s="142"/>
      <c r="T60" s="140"/>
      <c r="U60" s="140"/>
      <c r="V60" s="140"/>
      <c r="W60" s="142"/>
      <c r="X60" s="67">
        <v>0.94444444444444398</v>
      </c>
      <c r="Y60" s="89" t="s">
        <v>59</v>
      </c>
      <c r="Z60" s="53" t="s">
        <v>60</v>
      </c>
    </row>
    <row r="61" spans="1:26" ht="25.5" customHeight="1" x14ac:dyDescent="0.2">
      <c r="A61" s="44" t="s">
        <v>69</v>
      </c>
      <c r="B61" s="45" t="s">
        <v>70</v>
      </c>
      <c r="C61" s="46" t="s">
        <v>21</v>
      </c>
      <c r="D61" s="46" t="s">
        <v>58</v>
      </c>
      <c r="E61" s="139" t="s">
        <v>505</v>
      </c>
      <c r="F61" s="62" t="s">
        <v>24</v>
      </c>
      <c r="G61" s="66" t="s">
        <v>24</v>
      </c>
      <c r="H61" s="140"/>
      <c r="I61" s="140"/>
      <c r="J61" s="140"/>
      <c r="K61" s="141">
        <v>1</v>
      </c>
      <c r="L61" s="140"/>
      <c r="M61" s="140"/>
      <c r="N61" s="140"/>
      <c r="O61" s="142"/>
      <c r="P61" s="140"/>
      <c r="Q61" s="140"/>
      <c r="R61" s="140"/>
      <c r="S61" s="142"/>
      <c r="T61" s="140"/>
      <c r="U61" s="140"/>
      <c r="V61" s="140"/>
      <c r="W61" s="142"/>
      <c r="X61" s="67">
        <v>1</v>
      </c>
      <c r="Y61" s="89" t="s">
        <v>71</v>
      </c>
      <c r="Z61" s="53" t="s">
        <v>72</v>
      </c>
    </row>
    <row r="62" spans="1:26" ht="25.5" customHeight="1" x14ac:dyDescent="0.2">
      <c r="A62" s="44" t="s">
        <v>82</v>
      </c>
      <c r="B62" s="45" t="s">
        <v>83</v>
      </c>
      <c r="C62" s="46" t="s">
        <v>21</v>
      </c>
      <c r="D62" s="46" t="s">
        <v>58</v>
      </c>
      <c r="E62" s="139" t="s">
        <v>505</v>
      </c>
      <c r="F62" s="77">
        <v>0.3</v>
      </c>
      <c r="G62" s="57">
        <v>0.9</v>
      </c>
      <c r="H62" s="147"/>
      <c r="I62" s="147"/>
      <c r="J62" s="147"/>
      <c r="K62" s="148">
        <v>0.169811320754717</v>
      </c>
      <c r="L62" s="147"/>
      <c r="M62" s="147"/>
      <c r="N62" s="147"/>
      <c r="O62" s="149" t="s">
        <v>569</v>
      </c>
      <c r="P62" s="147"/>
      <c r="Q62" s="147"/>
      <c r="R62" s="147"/>
      <c r="S62" s="149"/>
      <c r="T62" s="147"/>
      <c r="U62" s="147"/>
      <c r="V62" s="147"/>
      <c r="W62" s="149"/>
      <c r="X62" s="79">
        <v>0.169811320754717</v>
      </c>
      <c r="Y62" s="89" t="s">
        <v>67</v>
      </c>
      <c r="Z62" s="53" t="s">
        <v>60</v>
      </c>
    </row>
    <row r="63" spans="1:26" ht="25.5" customHeight="1" x14ac:dyDescent="0.2">
      <c r="A63" s="44" t="s">
        <v>85</v>
      </c>
      <c r="B63" s="45" t="s">
        <v>86</v>
      </c>
      <c r="C63" s="46" t="s">
        <v>21</v>
      </c>
      <c r="D63" s="46" t="s">
        <v>58</v>
      </c>
      <c r="E63" s="139" t="s">
        <v>505</v>
      </c>
      <c r="F63" s="62">
        <v>0.58789999999999998</v>
      </c>
      <c r="G63" s="66" t="s">
        <v>24</v>
      </c>
      <c r="H63" s="140"/>
      <c r="I63" s="140"/>
      <c r="J63" s="140"/>
      <c r="K63" s="141">
        <v>1</v>
      </c>
      <c r="L63" s="140"/>
      <c r="M63" s="140"/>
      <c r="N63" s="140"/>
      <c r="O63" s="142">
        <v>1</v>
      </c>
      <c r="P63" s="140"/>
      <c r="Q63" s="140"/>
      <c r="R63" s="140"/>
      <c r="S63" s="142"/>
      <c r="T63" s="140"/>
      <c r="U63" s="140"/>
      <c r="V63" s="140"/>
      <c r="W63" s="142"/>
      <c r="X63" s="67">
        <v>1</v>
      </c>
      <c r="Y63" s="89" t="s">
        <v>71</v>
      </c>
      <c r="Z63" s="53" t="s">
        <v>68</v>
      </c>
    </row>
    <row r="64" spans="1:26" ht="25.5" customHeight="1" x14ac:dyDescent="0.2">
      <c r="A64" s="44" t="s">
        <v>112</v>
      </c>
      <c r="B64" s="45" t="s">
        <v>113</v>
      </c>
      <c r="C64" s="46" t="s">
        <v>19</v>
      </c>
      <c r="D64" s="46" t="s">
        <v>58</v>
      </c>
      <c r="E64" s="139" t="s">
        <v>505</v>
      </c>
      <c r="F64" s="62">
        <v>0.995</v>
      </c>
      <c r="G64" s="66">
        <v>0.6</v>
      </c>
      <c r="H64" s="140"/>
      <c r="I64" s="140"/>
      <c r="J64" s="140"/>
      <c r="K64" s="141">
        <v>1.0232142857142901</v>
      </c>
      <c r="L64" s="140"/>
      <c r="M64" s="140"/>
      <c r="N64" s="140"/>
      <c r="O64" s="142">
        <v>1.1599999999999999</v>
      </c>
      <c r="P64" s="140"/>
      <c r="Q64" s="140"/>
      <c r="R64" s="140"/>
      <c r="S64" s="142"/>
      <c r="T64" s="140"/>
      <c r="U64" s="140"/>
      <c r="V64" s="140"/>
      <c r="W64" s="142"/>
      <c r="X64" s="67">
        <v>1.0232142857142901</v>
      </c>
      <c r="Y64" s="89" t="s">
        <v>59</v>
      </c>
      <c r="Z64" s="53" t="s">
        <v>60</v>
      </c>
    </row>
    <row r="65" spans="1:26" ht="25.5" customHeight="1" x14ac:dyDescent="0.2">
      <c r="A65" s="44" t="s">
        <v>124</v>
      </c>
      <c r="B65" s="45" t="s">
        <v>125</v>
      </c>
      <c r="C65" s="46" t="s">
        <v>19</v>
      </c>
      <c r="D65" s="46" t="s">
        <v>64</v>
      </c>
      <c r="E65" s="139" t="s">
        <v>505</v>
      </c>
      <c r="F65" s="77">
        <v>0.13</v>
      </c>
      <c r="G65" s="97">
        <v>11</v>
      </c>
      <c r="H65" s="147"/>
      <c r="I65" s="147"/>
      <c r="J65" s="147"/>
      <c r="K65" s="148">
        <v>0</v>
      </c>
      <c r="L65" s="147"/>
      <c r="M65" s="147"/>
      <c r="N65" s="147"/>
      <c r="O65" s="149">
        <v>0</v>
      </c>
      <c r="P65" s="147"/>
      <c r="Q65" s="147"/>
      <c r="R65" s="147"/>
      <c r="S65" s="149"/>
      <c r="T65" s="147"/>
      <c r="U65" s="147"/>
      <c r="V65" s="147"/>
      <c r="W65" s="149"/>
      <c r="X65" s="79">
        <v>0</v>
      </c>
      <c r="Y65" s="89" t="s">
        <v>59</v>
      </c>
      <c r="Z65" s="53" t="s">
        <v>60</v>
      </c>
    </row>
    <row r="66" spans="1:26" ht="25.5" customHeight="1" x14ac:dyDescent="0.2">
      <c r="A66" s="44" t="s">
        <v>138</v>
      </c>
      <c r="B66" s="45" t="s">
        <v>139</v>
      </c>
      <c r="C66" s="46" t="s">
        <v>19</v>
      </c>
      <c r="D66" s="46" t="s">
        <v>58</v>
      </c>
      <c r="E66" s="139" t="s">
        <v>505</v>
      </c>
      <c r="F66" s="77">
        <v>0.9</v>
      </c>
      <c r="G66" s="57">
        <v>3</v>
      </c>
      <c r="H66" s="147"/>
      <c r="I66" s="147"/>
      <c r="J66" s="147"/>
      <c r="K66" s="148">
        <v>0.64</v>
      </c>
      <c r="L66" s="147"/>
      <c r="M66" s="147"/>
      <c r="N66" s="147"/>
      <c r="O66" s="149">
        <v>0.62</v>
      </c>
      <c r="P66" s="147"/>
      <c r="Q66" s="147"/>
      <c r="R66" s="147"/>
      <c r="S66" s="149"/>
      <c r="T66" s="147"/>
      <c r="U66" s="147"/>
      <c r="V66" s="147"/>
      <c r="W66" s="149"/>
      <c r="X66" s="79">
        <v>0.64</v>
      </c>
      <c r="Y66" s="89" t="s">
        <v>67</v>
      </c>
      <c r="Z66" s="53" t="s">
        <v>60</v>
      </c>
    </row>
    <row r="67" spans="1:26" ht="25.5" customHeight="1" x14ac:dyDescent="0.2">
      <c r="A67" s="44" t="s">
        <v>140</v>
      </c>
      <c r="B67" s="45" t="s">
        <v>141</v>
      </c>
      <c r="C67" s="46" t="s">
        <v>19</v>
      </c>
      <c r="D67" s="46" t="s">
        <v>58</v>
      </c>
      <c r="E67" s="139" t="s">
        <v>505</v>
      </c>
      <c r="F67" s="62">
        <v>0.77700000000000002</v>
      </c>
      <c r="G67" s="63">
        <v>0.7</v>
      </c>
      <c r="H67" s="140"/>
      <c r="I67" s="140"/>
      <c r="J67" s="140"/>
      <c r="K67" s="141">
        <v>0.71660000000000001</v>
      </c>
      <c r="L67" s="140"/>
      <c r="M67" s="140"/>
      <c r="N67" s="140"/>
      <c r="O67" s="142">
        <v>0.74229999999999996</v>
      </c>
      <c r="P67" s="140"/>
      <c r="Q67" s="140"/>
      <c r="R67" s="140"/>
      <c r="S67" s="142"/>
      <c r="T67" s="140"/>
      <c r="U67" s="140"/>
      <c r="V67" s="140"/>
      <c r="W67" s="142"/>
      <c r="X67" s="67">
        <v>0.71660000000000001</v>
      </c>
      <c r="Y67" s="89" t="s">
        <v>59</v>
      </c>
      <c r="Z67" s="53" t="s">
        <v>60</v>
      </c>
    </row>
    <row r="68" spans="1:26" ht="25.5" customHeight="1" x14ac:dyDescent="0.2">
      <c r="A68" s="44" t="s">
        <v>156</v>
      </c>
      <c r="B68" s="45" t="s">
        <v>157</v>
      </c>
      <c r="C68" s="46" t="s">
        <v>146</v>
      </c>
      <c r="D68" s="46" t="s">
        <v>58</v>
      </c>
      <c r="E68" s="139" t="s">
        <v>505</v>
      </c>
      <c r="F68" s="62">
        <v>0.78</v>
      </c>
      <c r="G68" s="66">
        <v>0.85</v>
      </c>
      <c r="H68" s="140"/>
      <c r="I68" s="140"/>
      <c r="J68" s="140"/>
      <c r="K68" s="141">
        <v>1</v>
      </c>
      <c r="L68" s="140"/>
      <c r="M68" s="140"/>
      <c r="N68" s="140"/>
      <c r="O68" s="142">
        <v>1</v>
      </c>
      <c r="P68" s="140"/>
      <c r="Q68" s="140"/>
      <c r="R68" s="140"/>
      <c r="S68" s="142"/>
      <c r="T68" s="140"/>
      <c r="U68" s="140"/>
      <c r="V68" s="140"/>
      <c r="W68" s="142"/>
      <c r="X68" s="67">
        <v>1</v>
      </c>
      <c r="Y68" s="89" t="s">
        <v>59</v>
      </c>
      <c r="Z68" s="53" t="s">
        <v>158</v>
      </c>
    </row>
    <row r="69" spans="1:26" ht="25.5" customHeight="1" x14ac:dyDescent="0.2">
      <c r="A69" s="44" t="s">
        <v>163</v>
      </c>
      <c r="B69" s="45" t="s">
        <v>164</v>
      </c>
      <c r="C69" s="46" t="s">
        <v>146</v>
      </c>
      <c r="D69" s="46" t="s">
        <v>64</v>
      </c>
      <c r="E69" s="139" t="s">
        <v>505</v>
      </c>
      <c r="F69" s="69">
        <v>13.3</v>
      </c>
      <c r="G69" s="84">
        <v>25</v>
      </c>
      <c r="H69" s="150"/>
      <c r="I69" s="150"/>
      <c r="J69" s="150"/>
      <c r="K69" s="154">
        <v>8</v>
      </c>
      <c r="L69" s="150"/>
      <c r="M69" s="150"/>
      <c r="N69" s="150"/>
      <c r="O69" s="152"/>
      <c r="P69" s="150"/>
      <c r="Q69" s="150"/>
      <c r="R69" s="150"/>
      <c r="S69" s="152"/>
      <c r="T69" s="150"/>
      <c r="U69" s="150"/>
      <c r="V69" s="150"/>
      <c r="W69" s="152">
        <v>8</v>
      </c>
      <c r="X69" s="100">
        <v>8</v>
      </c>
      <c r="Y69" s="89" t="s">
        <v>59</v>
      </c>
      <c r="Z69" s="53" t="s">
        <v>60</v>
      </c>
    </row>
    <row r="70" spans="1:26" ht="25.5" customHeight="1" x14ac:dyDescent="0.2">
      <c r="A70" s="44" t="s">
        <v>194</v>
      </c>
      <c r="B70" s="45" t="s">
        <v>195</v>
      </c>
      <c r="C70" s="46" t="s">
        <v>196</v>
      </c>
      <c r="D70" s="46" t="s">
        <v>58</v>
      </c>
      <c r="E70" s="139" t="s">
        <v>505</v>
      </c>
      <c r="F70" s="62">
        <v>0.48299999999999998</v>
      </c>
      <c r="G70" s="63">
        <v>0.56059999999999999</v>
      </c>
      <c r="H70" s="140"/>
      <c r="I70" s="140"/>
      <c r="J70" s="140"/>
      <c r="K70" s="141">
        <v>0.75728155339805803</v>
      </c>
      <c r="L70" s="140"/>
      <c r="M70" s="140"/>
      <c r="N70" s="140"/>
      <c r="O70" s="142">
        <v>0.79411764705882404</v>
      </c>
      <c r="P70" s="140"/>
      <c r="Q70" s="140"/>
      <c r="R70" s="140"/>
      <c r="S70" s="142"/>
      <c r="T70" s="140"/>
      <c r="U70" s="140"/>
      <c r="V70" s="140"/>
      <c r="W70" s="142"/>
      <c r="X70" s="67">
        <v>0.75728155339805803</v>
      </c>
      <c r="Y70" s="89" t="s">
        <v>59</v>
      </c>
      <c r="Z70" s="53" t="s">
        <v>68</v>
      </c>
    </row>
    <row r="71" spans="1:26" ht="25.5" customHeight="1" x14ac:dyDescent="0.2">
      <c r="A71" s="44" t="s">
        <v>197</v>
      </c>
      <c r="B71" s="45" t="s">
        <v>198</v>
      </c>
      <c r="C71" s="46" t="s">
        <v>196</v>
      </c>
      <c r="D71" s="46" t="s">
        <v>64</v>
      </c>
      <c r="E71" s="139" t="s">
        <v>505</v>
      </c>
      <c r="F71" s="62" t="s">
        <v>24</v>
      </c>
      <c r="G71" s="66" t="s">
        <v>24</v>
      </c>
      <c r="H71" s="140"/>
      <c r="I71" s="140"/>
      <c r="J71" s="140"/>
      <c r="K71" s="141">
        <v>9.2307692307692299E-2</v>
      </c>
      <c r="L71" s="140"/>
      <c r="M71" s="140"/>
      <c r="N71" s="140"/>
      <c r="O71" s="142"/>
      <c r="P71" s="140"/>
      <c r="Q71" s="140"/>
      <c r="R71" s="140"/>
      <c r="S71" s="142"/>
      <c r="T71" s="140"/>
      <c r="U71" s="140"/>
      <c r="V71" s="140"/>
      <c r="W71" s="142"/>
      <c r="X71" s="67">
        <v>9.2307692307692299E-2</v>
      </c>
      <c r="Y71" s="89" t="s">
        <v>71</v>
      </c>
      <c r="Z71" s="53" t="s">
        <v>186</v>
      </c>
    </row>
    <row r="72" spans="1:26" ht="25.5" customHeight="1" x14ac:dyDescent="0.2">
      <c r="A72" s="44" t="s">
        <v>200</v>
      </c>
      <c r="B72" s="45" t="s">
        <v>201</v>
      </c>
      <c r="C72" s="46" t="s">
        <v>196</v>
      </c>
      <c r="D72" s="46" t="s">
        <v>64</v>
      </c>
      <c r="E72" s="139" t="s">
        <v>505</v>
      </c>
      <c r="F72" s="62">
        <v>7.0000000000000007E-2</v>
      </c>
      <c r="G72" s="63">
        <v>0.115</v>
      </c>
      <c r="H72" s="140"/>
      <c r="I72" s="140"/>
      <c r="J72" s="140"/>
      <c r="K72" s="141">
        <v>3.2258064516128997E-2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3.2258064516128997E-2</v>
      </c>
      <c r="Y72" s="89" t="s">
        <v>59</v>
      </c>
      <c r="Z72" s="53" t="s">
        <v>60</v>
      </c>
    </row>
    <row r="73" spans="1:26" ht="25.5" customHeight="1" x14ac:dyDescent="0.2">
      <c r="A73" s="44" t="s">
        <v>467</v>
      </c>
      <c r="B73" s="45" t="s">
        <v>468</v>
      </c>
      <c r="C73" s="46" t="s">
        <v>196</v>
      </c>
      <c r="D73" s="46" t="s">
        <v>58</v>
      </c>
      <c r="E73" s="139" t="s">
        <v>507</v>
      </c>
      <c r="F73" s="62">
        <v>0.755</v>
      </c>
      <c r="G73" s="66">
        <v>0.7</v>
      </c>
      <c r="H73" s="140"/>
      <c r="I73" s="140"/>
      <c r="J73" s="140"/>
      <c r="K73" s="142"/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/>
      <c r="Y73" s="89" t="s">
        <v>91</v>
      </c>
      <c r="Z73" s="53" t="s">
        <v>60</v>
      </c>
    </row>
    <row r="74" spans="1:26" ht="25.5" customHeight="1" x14ac:dyDescent="0.2">
      <c r="A74" s="44" t="s">
        <v>427</v>
      </c>
      <c r="B74" s="45" t="s">
        <v>428</v>
      </c>
      <c r="C74" s="46" t="s">
        <v>21</v>
      </c>
      <c r="D74" s="46" t="s">
        <v>64</v>
      </c>
      <c r="E74" s="139" t="s">
        <v>504</v>
      </c>
      <c r="F74" s="62">
        <v>6</v>
      </c>
      <c r="G74" s="66">
        <v>5</v>
      </c>
      <c r="H74" s="140"/>
      <c r="I74" s="140"/>
      <c r="J74" s="140"/>
      <c r="K74" s="142" t="str">
        <f>IF(COUNT(H75:J75)=0,"",AVERAGE(H75:J75))</f>
        <v/>
      </c>
      <c r="L74" s="140"/>
      <c r="M74" s="140"/>
      <c r="N74" s="140"/>
      <c r="O74" s="142" t="str">
        <f>IF(COUNT(L75:N75)=0,"",AVERAGE(L75:N75))</f>
        <v/>
      </c>
      <c r="P74" s="140"/>
      <c r="Q74" s="140"/>
      <c r="R74" s="140"/>
      <c r="S74" s="142" t="str">
        <f>IF(COUNT(P75:R75)=0,"",AVERAGE(P75:R75))</f>
        <v/>
      </c>
      <c r="T74" s="140"/>
      <c r="U74" s="140"/>
      <c r="V74" s="140"/>
      <c r="W74" s="142" t="str">
        <f>IF(COUNT(T75:V75)=0,"",AVERAGE(T75:V75))</f>
        <v/>
      </c>
      <c r="X74" s="67"/>
      <c r="Y74" s="89" t="s">
        <v>91</v>
      </c>
      <c r="Z74" s="53" t="s">
        <v>128</v>
      </c>
    </row>
    <row r="75" spans="1:26" ht="1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1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1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1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1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1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1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1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1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1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1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1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1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1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1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1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1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1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1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1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1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1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1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1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1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1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1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1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1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1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1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73">
    <cfRule type="expression" dxfId="9" priority="2">
      <formula>AND(ISNUMBER(H36),ISNUMBER($G36),OR(AND($D36="P",H36&gt;=$G36),AND($D36="N",H36&lt;=$G36)))</formula>
    </cfRule>
    <cfRule type="expression" dxfId="8" priority="3">
      <formula>AND(ISNUMBER(H36),ISNUMBER($G36),OR(AND($D36="P",H36&lt;$G36),AND($D36="N",H36&gt;$G36)))</formula>
    </cfRule>
  </conditionalFormatting>
  <conditionalFormatting sqref="X36:X73">
    <cfRule type="expression" dxfId="7" priority="6">
      <formula>$Y36="✓ On Target"</formula>
    </cfRule>
    <cfRule type="expression" dxfId="6" priority="7">
      <formula>$Y36="✗ Off Target"</formula>
    </cfRule>
    <cfRule type="expression" dxfId="5" priority="8">
      <formula>$Y36="— No Data"</formula>
    </cfRule>
    <cfRule type="expression" dxfId="4" priority="9">
      <formula>$Y36="⊘ Non Target"</formula>
    </cfRule>
  </conditionalFormatting>
  <conditionalFormatting sqref="Y36:Y73">
    <cfRule type="expression" dxfId="3" priority="10">
      <formula>Y36="✓ On Target"</formula>
    </cfRule>
    <cfRule type="expression" dxfId="2" priority="11">
      <formula>Y36="✗ Off Target"</formula>
    </cfRule>
    <cfRule type="expression" dxfId="1" priority="12">
      <formula>Y36="— No Data"</formula>
    </cfRule>
    <cfRule type="expression" dxfId="0" priority="13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79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9.953125" style="2" customWidth="1"/>
    <col min="2" max="2" width="34.03125" style="2" customWidth="1"/>
    <col min="3" max="3" width="16.0078125" style="2" customWidth="1"/>
    <col min="4" max="4" width="14.9296875" style="2" customWidth="1"/>
    <col min="5" max="6" width="9.953125" style="2" customWidth="1"/>
    <col min="7" max="19" width="9.01171875" style="2" customWidth="1"/>
  </cols>
  <sheetData>
    <row r="1" spans="1:19" x14ac:dyDescent="0.2">
      <c r="A1" s="155" t="s">
        <v>42</v>
      </c>
      <c r="B1" s="155" t="s">
        <v>43</v>
      </c>
      <c r="C1" s="155" t="s">
        <v>54</v>
      </c>
      <c r="D1" s="155" t="s">
        <v>44</v>
      </c>
      <c r="E1" s="155" t="s">
        <v>53</v>
      </c>
      <c r="F1" s="155" t="s">
        <v>47</v>
      </c>
      <c r="G1" s="155" t="s">
        <v>570</v>
      </c>
      <c r="H1" s="155" t="s">
        <v>571</v>
      </c>
      <c r="I1" s="155" t="s">
        <v>572</v>
      </c>
      <c r="J1" s="155" t="s">
        <v>573</v>
      </c>
      <c r="K1" s="155" t="s">
        <v>574</v>
      </c>
      <c r="L1" s="155" t="s">
        <v>575</v>
      </c>
      <c r="M1" s="155" t="s">
        <v>576</v>
      </c>
      <c r="N1" s="155" t="s">
        <v>577</v>
      </c>
      <c r="O1" s="155" t="s">
        <v>578</v>
      </c>
      <c r="P1" s="155" t="s">
        <v>579</v>
      </c>
      <c r="Q1" s="155" t="s">
        <v>580</v>
      </c>
      <c r="R1" s="155" t="s">
        <v>581</v>
      </c>
      <c r="S1" s="155" t="s">
        <v>491</v>
      </c>
    </row>
    <row r="2" spans="1:19" x14ac:dyDescent="0.2">
      <c r="A2" s="1" t="s">
        <v>56</v>
      </c>
      <c r="B2" s="1" t="s">
        <v>57</v>
      </c>
      <c r="C2" s="1" t="s">
        <v>582</v>
      </c>
      <c r="D2" s="1" t="s">
        <v>21</v>
      </c>
      <c r="E2" s="1" t="s">
        <v>61</v>
      </c>
      <c r="F2" s="1">
        <v>0.43099999999999999</v>
      </c>
      <c r="G2" s="1">
        <v>0.93</v>
      </c>
      <c r="H2" s="1">
        <v>0.68</v>
      </c>
      <c r="I2" s="1">
        <v>0.86</v>
      </c>
      <c r="J2" s="1">
        <v>0.8</v>
      </c>
      <c r="K2" s="1">
        <v>1.26</v>
      </c>
      <c r="L2" s="1">
        <v>1.29</v>
      </c>
      <c r="M2" s="1">
        <v>0.39</v>
      </c>
      <c r="N2" s="1">
        <v>3.36</v>
      </c>
      <c r="O2" s="1">
        <v>1.22</v>
      </c>
      <c r="P2" s="1">
        <v>1.22</v>
      </c>
      <c r="Q2" s="1">
        <v>1.06</v>
      </c>
      <c r="S2" s="1">
        <v>0.88</v>
      </c>
    </row>
    <row r="3" spans="1:19" x14ac:dyDescent="0.2">
      <c r="A3" s="1" t="s">
        <v>62</v>
      </c>
      <c r="B3" s="1" t="s">
        <v>63</v>
      </c>
      <c r="C3" s="1" t="s">
        <v>583</v>
      </c>
      <c r="D3" s="1" t="s">
        <v>21</v>
      </c>
      <c r="E3" s="1" t="s">
        <v>61</v>
      </c>
      <c r="G3" s="1">
        <v>16</v>
      </c>
      <c r="H3" s="1">
        <v>11</v>
      </c>
      <c r="I3" s="1">
        <v>13</v>
      </c>
      <c r="J3" s="1">
        <v>5</v>
      </c>
      <c r="K3" s="1">
        <v>11</v>
      </c>
      <c r="L3" s="1">
        <v>12</v>
      </c>
      <c r="M3" s="1">
        <v>11</v>
      </c>
      <c r="N3" s="1">
        <v>5</v>
      </c>
      <c r="O3" s="1">
        <v>12</v>
      </c>
      <c r="P3" s="1">
        <v>4</v>
      </c>
      <c r="S3" s="1">
        <v>10</v>
      </c>
    </row>
    <row r="4" spans="1:19" x14ac:dyDescent="0.2">
      <c r="A4" s="1" t="s">
        <v>65</v>
      </c>
      <c r="B4" s="1" t="s">
        <v>66</v>
      </c>
      <c r="C4" s="1" t="s">
        <v>584</v>
      </c>
      <c r="D4" s="1" t="s">
        <v>21</v>
      </c>
      <c r="E4" s="1" t="s">
        <v>61</v>
      </c>
      <c r="F4" s="1">
        <v>3</v>
      </c>
      <c r="S4" s="1">
        <v>2.75</v>
      </c>
    </row>
    <row r="5" spans="1:19" x14ac:dyDescent="0.2">
      <c r="A5" s="1" t="s">
        <v>223</v>
      </c>
      <c r="B5" s="1" t="s">
        <v>224</v>
      </c>
      <c r="C5" s="1" t="s">
        <v>585</v>
      </c>
      <c r="D5" s="1" t="s">
        <v>21</v>
      </c>
      <c r="E5" s="1" t="s">
        <v>220</v>
      </c>
    </row>
    <row r="6" spans="1:19" x14ac:dyDescent="0.2">
      <c r="A6" s="1" t="s">
        <v>69</v>
      </c>
      <c r="B6" s="1" t="s">
        <v>70</v>
      </c>
      <c r="C6" s="1" t="s">
        <v>586</v>
      </c>
      <c r="D6" s="1" t="s">
        <v>21</v>
      </c>
      <c r="E6" s="1" t="s">
        <v>61</v>
      </c>
      <c r="S6" s="1">
        <v>0.98180000000000001</v>
      </c>
    </row>
    <row r="7" spans="1:19" x14ac:dyDescent="0.2">
      <c r="A7" s="1" t="s">
        <v>73</v>
      </c>
      <c r="B7" s="1" t="s">
        <v>74</v>
      </c>
      <c r="C7" s="1" t="s">
        <v>587</v>
      </c>
      <c r="D7" s="1" t="s">
        <v>21</v>
      </c>
      <c r="E7" s="1" t="s">
        <v>61</v>
      </c>
      <c r="F7" s="1">
        <v>2275290</v>
      </c>
      <c r="G7" s="1">
        <v>0.95942519019442096</v>
      </c>
      <c r="H7" s="1">
        <v>0.820858386896123</v>
      </c>
      <c r="I7" s="1">
        <v>0.54135338345864703</v>
      </c>
      <c r="J7" s="1">
        <v>0.81234150464919697</v>
      </c>
      <c r="K7" s="1">
        <v>0.48351648351648402</v>
      </c>
      <c r="L7" s="1">
        <v>5.4945054945055001E-3</v>
      </c>
      <c r="M7" s="1">
        <v>1.0989010989011E-2</v>
      </c>
      <c r="N7" s="1">
        <v>1.0989010989011E-2</v>
      </c>
      <c r="O7" s="1">
        <v>0</v>
      </c>
      <c r="S7" s="1">
        <v>0.74352063031308302</v>
      </c>
    </row>
    <row r="8" spans="1:19" x14ac:dyDescent="0.2">
      <c r="A8" s="1" t="s">
        <v>76</v>
      </c>
      <c r="B8" s="1" t="s">
        <v>77</v>
      </c>
      <c r="C8" s="1" t="s">
        <v>588</v>
      </c>
      <c r="D8" s="1" t="s">
        <v>21</v>
      </c>
      <c r="E8" s="1" t="s">
        <v>61</v>
      </c>
      <c r="F8" s="1">
        <v>16.5</v>
      </c>
      <c r="S8" s="1">
        <v>24.497</v>
      </c>
    </row>
    <row r="9" spans="1:19" x14ac:dyDescent="0.2">
      <c r="A9" s="1" t="s">
        <v>78</v>
      </c>
      <c r="B9" s="1" t="s">
        <v>79</v>
      </c>
      <c r="C9" s="1" t="s">
        <v>589</v>
      </c>
      <c r="D9" s="1" t="s">
        <v>21</v>
      </c>
      <c r="E9" s="1" t="s">
        <v>61</v>
      </c>
      <c r="F9" s="1">
        <v>3.9950000000000001</v>
      </c>
      <c r="G9" s="1">
        <v>5.7288135593220302</v>
      </c>
      <c r="H9" s="1">
        <v>5.69008587041374</v>
      </c>
      <c r="I9" s="1">
        <v>5.4407506702412904</v>
      </c>
      <c r="J9" s="1">
        <v>3.8495370370370399</v>
      </c>
      <c r="K9" s="1">
        <v>2.9170579029733998</v>
      </c>
      <c r="L9" s="1">
        <v>35.304347826087003</v>
      </c>
      <c r="M9" s="1">
        <v>5.0434782608695699</v>
      </c>
      <c r="N9" s="1">
        <v>2.1967213114754101</v>
      </c>
      <c r="O9" s="1">
        <v>4.4242424242424203</v>
      </c>
      <c r="P9" s="1">
        <v>2.7980769230769198</v>
      </c>
      <c r="S9" s="1">
        <v>5.087895716946</v>
      </c>
    </row>
    <row r="10" spans="1:19" x14ac:dyDescent="0.2">
      <c r="A10" s="1" t="s">
        <v>80</v>
      </c>
      <c r="B10" s="1" t="s">
        <v>81</v>
      </c>
      <c r="C10" s="1" t="s">
        <v>590</v>
      </c>
      <c r="D10" s="1" t="s">
        <v>21</v>
      </c>
      <c r="E10" s="1" t="s">
        <v>61</v>
      </c>
      <c r="F10" s="1">
        <v>2.1299999999999999E-2</v>
      </c>
      <c r="G10" s="1">
        <v>1.1844938980617401E-2</v>
      </c>
      <c r="H10" s="1">
        <v>9.7560975609756097E-3</v>
      </c>
      <c r="I10" s="1">
        <v>4.9773755656108601E-2</v>
      </c>
      <c r="J10" s="1">
        <v>5.0890585241730301E-3</v>
      </c>
      <c r="K10" s="1">
        <v>9.4451003541912593E-3</v>
      </c>
      <c r="L10" s="1">
        <v>3.6231884057971002E-3</v>
      </c>
      <c r="M10" s="1">
        <v>1.38888888888889E-2</v>
      </c>
      <c r="N10" s="1">
        <v>3.4782608695652202E-2</v>
      </c>
      <c r="O10" s="1">
        <v>6.2189054726368197E-3</v>
      </c>
      <c r="P10" s="1">
        <v>2.1505376344085999E-2</v>
      </c>
      <c r="S10" s="1">
        <v>1.4891270091396199E-2</v>
      </c>
    </row>
    <row r="11" spans="1:19" x14ac:dyDescent="0.2">
      <c r="A11" s="1" t="s">
        <v>82</v>
      </c>
      <c r="B11" s="1" t="s">
        <v>83</v>
      </c>
      <c r="C11" s="1" t="s">
        <v>591</v>
      </c>
      <c r="D11" s="1" t="s">
        <v>21</v>
      </c>
      <c r="E11" s="1" t="s">
        <v>61</v>
      </c>
      <c r="F11" s="1">
        <v>0.9</v>
      </c>
      <c r="G11" s="1" t="s">
        <v>506</v>
      </c>
      <c r="H11" s="1" t="s">
        <v>515</v>
      </c>
      <c r="I11" s="1" t="s">
        <v>522</v>
      </c>
      <c r="J11" s="1" t="s">
        <v>528</v>
      </c>
      <c r="K11" s="1" t="s">
        <v>592</v>
      </c>
      <c r="L11" s="1" t="s">
        <v>543</v>
      </c>
      <c r="M11" s="1" t="s">
        <v>593</v>
      </c>
      <c r="N11" s="1" t="s">
        <v>594</v>
      </c>
      <c r="O11" s="1" t="s">
        <v>594</v>
      </c>
      <c r="P11" s="1" t="s">
        <v>595</v>
      </c>
      <c r="Q11" s="1" t="s">
        <v>569</v>
      </c>
      <c r="S11" s="1" t="s">
        <v>84</v>
      </c>
    </row>
    <row r="12" spans="1:19" x14ac:dyDescent="0.2">
      <c r="A12" s="1" t="s">
        <v>85</v>
      </c>
      <c r="B12" s="1" t="s">
        <v>86</v>
      </c>
      <c r="C12" s="1" t="s">
        <v>596</v>
      </c>
      <c r="D12" s="1" t="s">
        <v>21</v>
      </c>
      <c r="E12" s="1" t="s">
        <v>61</v>
      </c>
      <c r="G12" s="1">
        <v>0.7944</v>
      </c>
      <c r="H12" s="1">
        <v>0.81950000000000001</v>
      </c>
      <c r="I12" s="1">
        <v>0.94469999999999998</v>
      </c>
      <c r="J12" s="1">
        <v>0.83940000000000003</v>
      </c>
      <c r="K12" s="1">
        <v>0.999</v>
      </c>
      <c r="L12" s="1">
        <v>1</v>
      </c>
      <c r="M12" s="1">
        <v>0.9577</v>
      </c>
      <c r="N12" s="1">
        <v>0.77390000000000003</v>
      </c>
      <c r="O12" s="1">
        <v>1</v>
      </c>
      <c r="P12" s="1">
        <v>0.96909999999999996</v>
      </c>
      <c r="Q12" s="1">
        <v>1</v>
      </c>
      <c r="S12" s="1">
        <v>0.85519999999999996</v>
      </c>
    </row>
    <row r="13" spans="1:19" x14ac:dyDescent="0.2">
      <c r="A13" s="1" t="s">
        <v>87</v>
      </c>
      <c r="B13" s="1" t="s">
        <v>88</v>
      </c>
      <c r="C13" s="1" t="s">
        <v>597</v>
      </c>
      <c r="D13" s="1" t="s">
        <v>21</v>
      </c>
      <c r="E13" s="1" t="s">
        <v>61</v>
      </c>
      <c r="G13" s="1" t="s">
        <v>90</v>
      </c>
      <c r="H13" s="1" t="s">
        <v>90</v>
      </c>
      <c r="I13" s="1" t="s">
        <v>90</v>
      </c>
      <c r="J13" s="1" t="s">
        <v>90</v>
      </c>
      <c r="K13" s="1" t="s">
        <v>90</v>
      </c>
      <c r="L13" s="1" t="s">
        <v>90</v>
      </c>
      <c r="M13" s="1" t="s">
        <v>90</v>
      </c>
      <c r="N13" s="1" t="s">
        <v>90</v>
      </c>
      <c r="O13" s="1" t="s">
        <v>90</v>
      </c>
      <c r="P13" s="1" t="s">
        <v>90</v>
      </c>
      <c r="Q13" s="1" t="s">
        <v>90</v>
      </c>
      <c r="R13" s="1" t="s">
        <v>90</v>
      </c>
      <c r="S13" s="1" t="s">
        <v>90</v>
      </c>
    </row>
    <row r="14" spans="1:19" x14ac:dyDescent="0.2">
      <c r="A14" s="1" t="s">
        <v>165</v>
      </c>
      <c r="B14" s="1" t="s">
        <v>166</v>
      </c>
      <c r="C14" s="1" t="s">
        <v>598</v>
      </c>
      <c r="D14" s="1" t="s">
        <v>21</v>
      </c>
      <c r="E14" s="1" t="s">
        <v>61</v>
      </c>
      <c r="F14" s="1">
        <v>27.12</v>
      </c>
      <c r="G14" s="1">
        <v>65.573770491803302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41.237113402061901</v>
      </c>
      <c r="S14" s="1">
        <v>45.454545454545503</v>
      </c>
    </row>
    <row r="15" spans="1:19" x14ac:dyDescent="0.2">
      <c r="A15" s="1" t="s">
        <v>167</v>
      </c>
      <c r="B15" s="1" t="s">
        <v>168</v>
      </c>
      <c r="C15" s="1" t="s">
        <v>599</v>
      </c>
      <c r="D15" s="1" t="s">
        <v>21</v>
      </c>
      <c r="E15" s="1" t="s">
        <v>61</v>
      </c>
      <c r="F15" s="1">
        <v>47.685000000000002</v>
      </c>
      <c r="G15" s="1">
        <v>190.47619047619</v>
      </c>
      <c r="H15" s="1" t="s">
        <v>600</v>
      </c>
      <c r="I15" s="1">
        <v>333.33333333333297</v>
      </c>
      <c r="J15" s="1">
        <v>0</v>
      </c>
      <c r="K15" s="1">
        <v>0</v>
      </c>
      <c r="L15" s="1">
        <v>0</v>
      </c>
      <c r="M15" s="1" t="s">
        <v>600</v>
      </c>
      <c r="N15" s="1" t="s">
        <v>600</v>
      </c>
      <c r="O15" s="1">
        <v>0</v>
      </c>
      <c r="P15" s="1" t="s">
        <v>600</v>
      </c>
      <c r="Q15" s="1" t="s">
        <v>600</v>
      </c>
      <c r="S15" s="1">
        <v>76.923076923076906</v>
      </c>
    </row>
    <row r="16" spans="1:19" x14ac:dyDescent="0.2">
      <c r="A16" s="1" t="s">
        <v>169</v>
      </c>
      <c r="B16" s="1" t="s">
        <v>170</v>
      </c>
      <c r="C16" s="1" t="s">
        <v>601</v>
      </c>
      <c r="D16" s="1" t="s">
        <v>21</v>
      </c>
      <c r="E16" s="1" t="s">
        <v>61</v>
      </c>
      <c r="G16" s="1" t="s">
        <v>600</v>
      </c>
      <c r="H16" s="1" t="s">
        <v>600</v>
      </c>
      <c r="I16" s="1">
        <v>0</v>
      </c>
      <c r="J16" s="1" t="s">
        <v>600</v>
      </c>
      <c r="K16" s="1" t="s">
        <v>600</v>
      </c>
      <c r="L16" s="1" t="s">
        <v>600</v>
      </c>
      <c r="M16" s="1" t="s">
        <v>600</v>
      </c>
      <c r="N16" s="1" t="s">
        <v>600</v>
      </c>
      <c r="O16" s="1" t="s">
        <v>600</v>
      </c>
      <c r="P16" s="1" t="s">
        <v>600</v>
      </c>
      <c r="Q16" s="1" t="s">
        <v>600</v>
      </c>
      <c r="S16" s="1">
        <v>0</v>
      </c>
    </row>
    <row r="17" spans="1:19" x14ac:dyDescent="0.2">
      <c r="A17" s="1" t="s">
        <v>171</v>
      </c>
      <c r="B17" s="1" t="s">
        <v>172</v>
      </c>
      <c r="C17" s="1" t="s">
        <v>602</v>
      </c>
      <c r="D17" s="1" t="s">
        <v>21</v>
      </c>
      <c r="E17" s="1" t="s">
        <v>61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S17" s="1">
        <v>17.979144192736399</v>
      </c>
    </row>
    <row r="18" spans="1:19" x14ac:dyDescent="0.2">
      <c r="A18" s="1" t="s">
        <v>173</v>
      </c>
      <c r="B18" s="1" t="s">
        <v>174</v>
      </c>
      <c r="C18" s="1" t="s">
        <v>603</v>
      </c>
      <c r="D18" s="1" t="s">
        <v>21</v>
      </c>
      <c r="E18" s="1" t="s">
        <v>61</v>
      </c>
      <c r="G18" s="1">
        <v>0</v>
      </c>
      <c r="H18" s="1">
        <v>7.3891625615763497</v>
      </c>
      <c r="I18" s="1">
        <v>0</v>
      </c>
      <c r="J18" s="1">
        <v>5.9055118110236204</v>
      </c>
      <c r="K18" s="1">
        <v>0</v>
      </c>
      <c r="L18" s="1">
        <v>10.752688172042999</v>
      </c>
      <c r="M18" s="1" t="s">
        <v>600</v>
      </c>
      <c r="N18" s="1">
        <v>0</v>
      </c>
      <c r="O18" s="1">
        <v>0</v>
      </c>
      <c r="P18" s="1" t="s">
        <v>600</v>
      </c>
      <c r="S18" s="1">
        <v>6.2451209992193597</v>
      </c>
    </row>
    <row r="19" spans="1:19" x14ac:dyDescent="0.2">
      <c r="A19" s="1" t="s">
        <v>175</v>
      </c>
      <c r="B19" s="1" t="s">
        <v>176</v>
      </c>
      <c r="C19" s="1" t="s">
        <v>604</v>
      </c>
      <c r="D19" s="1" t="s">
        <v>21</v>
      </c>
      <c r="E19" s="1" t="s">
        <v>61</v>
      </c>
      <c r="S19" s="1">
        <v>5.55</v>
      </c>
    </row>
    <row r="20" spans="1:19" x14ac:dyDescent="0.2">
      <c r="A20" s="1" t="s">
        <v>177</v>
      </c>
      <c r="B20" s="1" t="s">
        <v>178</v>
      </c>
      <c r="C20" s="1" t="s">
        <v>605</v>
      </c>
      <c r="D20" s="1" t="s">
        <v>21</v>
      </c>
      <c r="E20" s="1" t="s">
        <v>61</v>
      </c>
      <c r="S20" s="1">
        <v>0.41299999999999998</v>
      </c>
    </row>
    <row r="21" spans="1:19" x14ac:dyDescent="0.2">
      <c r="A21" s="1" t="s">
        <v>92</v>
      </c>
      <c r="B21" s="1" t="s">
        <v>93</v>
      </c>
      <c r="C21" s="1" t="s">
        <v>606</v>
      </c>
      <c r="D21" s="1" t="s">
        <v>19</v>
      </c>
      <c r="E21" s="1" t="s">
        <v>61</v>
      </c>
      <c r="S21" s="1">
        <v>0.99980000000000002</v>
      </c>
    </row>
    <row r="22" spans="1:19" x14ac:dyDescent="0.2">
      <c r="A22" s="1" t="s">
        <v>94</v>
      </c>
      <c r="B22" s="1" t="s">
        <v>95</v>
      </c>
      <c r="C22" s="1" t="s">
        <v>607</v>
      </c>
      <c r="D22" s="1" t="s">
        <v>19</v>
      </c>
      <c r="E22" s="1" t="s">
        <v>61</v>
      </c>
      <c r="F22" s="1">
        <v>0.80200000000000005</v>
      </c>
    </row>
    <row r="23" spans="1:19" x14ac:dyDescent="0.2">
      <c r="A23" s="1" t="s">
        <v>96</v>
      </c>
      <c r="B23" s="1" t="s">
        <v>97</v>
      </c>
      <c r="C23" s="1" t="s">
        <v>608</v>
      </c>
      <c r="D23" s="1" t="s">
        <v>19</v>
      </c>
      <c r="E23" s="1" t="s">
        <v>61</v>
      </c>
      <c r="F23" s="1">
        <v>0.80959999999999999</v>
      </c>
    </row>
    <row r="24" spans="1:19" x14ac:dyDescent="0.2">
      <c r="A24" s="1" t="s">
        <v>98</v>
      </c>
      <c r="B24" s="1" t="s">
        <v>99</v>
      </c>
      <c r="C24" s="1" t="s">
        <v>609</v>
      </c>
      <c r="D24" s="1" t="s">
        <v>19</v>
      </c>
      <c r="E24" s="1" t="s">
        <v>61</v>
      </c>
      <c r="F24" s="1">
        <v>0.53590000000000004</v>
      </c>
    </row>
    <row r="25" spans="1:19" x14ac:dyDescent="0.2">
      <c r="A25" s="1" t="s">
        <v>100</v>
      </c>
      <c r="B25" s="1" t="s">
        <v>101</v>
      </c>
      <c r="C25" s="1" t="s">
        <v>610</v>
      </c>
      <c r="D25" s="1" t="s">
        <v>19</v>
      </c>
      <c r="E25" s="1" t="s">
        <v>61</v>
      </c>
      <c r="F25" s="1">
        <v>0.6915</v>
      </c>
    </row>
    <row r="26" spans="1:19" x14ac:dyDescent="0.2">
      <c r="A26" s="1" t="s">
        <v>102</v>
      </c>
      <c r="B26" s="1" t="s">
        <v>103</v>
      </c>
      <c r="C26" s="1" t="s">
        <v>611</v>
      </c>
      <c r="D26" s="1" t="s">
        <v>19</v>
      </c>
      <c r="E26" s="1" t="s">
        <v>61</v>
      </c>
      <c r="F26" s="1">
        <v>0.93</v>
      </c>
    </row>
    <row r="27" spans="1:19" x14ac:dyDescent="0.2">
      <c r="A27" s="1" t="s">
        <v>104</v>
      </c>
      <c r="B27" s="1" t="s">
        <v>105</v>
      </c>
      <c r="C27" s="1" t="s">
        <v>612</v>
      </c>
      <c r="D27" s="1" t="s">
        <v>19</v>
      </c>
      <c r="E27" s="1" t="s">
        <v>61</v>
      </c>
      <c r="F27" s="1">
        <v>0.9</v>
      </c>
    </row>
    <row r="28" spans="1:19" x14ac:dyDescent="0.2">
      <c r="A28" s="1" t="s">
        <v>106</v>
      </c>
      <c r="B28" s="1" t="s">
        <v>107</v>
      </c>
      <c r="C28" s="1" t="s">
        <v>613</v>
      </c>
      <c r="D28" s="1" t="s">
        <v>19</v>
      </c>
      <c r="E28" s="1" t="s">
        <v>61</v>
      </c>
      <c r="F28" s="1">
        <v>0.8649</v>
      </c>
    </row>
    <row r="29" spans="1:19" x14ac:dyDescent="0.2">
      <c r="A29" s="1" t="s">
        <v>108</v>
      </c>
      <c r="B29" s="1" t="s">
        <v>109</v>
      </c>
      <c r="C29" s="1" t="s">
        <v>614</v>
      </c>
      <c r="D29" s="1" t="s">
        <v>19</v>
      </c>
      <c r="E29" s="1" t="s">
        <v>61</v>
      </c>
      <c r="F29" s="1">
        <v>1</v>
      </c>
    </row>
    <row r="30" spans="1:19" x14ac:dyDescent="0.2">
      <c r="A30" s="1" t="s">
        <v>110</v>
      </c>
      <c r="B30" s="1" t="s">
        <v>111</v>
      </c>
      <c r="C30" s="1" t="s">
        <v>615</v>
      </c>
      <c r="D30" s="1" t="s">
        <v>19</v>
      </c>
      <c r="E30" s="1" t="s">
        <v>61</v>
      </c>
      <c r="F30" s="1">
        <v>0.94730000000000003</v>
      </c>
    </row>
    <row r="31" spans="1:19" x14ac:dyDescent="0.2">
      <c r="A31" s="1" t="s">
        <v>112</v>
      </c>
      <c r="B31" s="1" t="s">
        <v>616</v>
      </c>
      <c r="C31" s="1" t="s">
        <v>617</v>
      </c>
      <c r="D31" s="1" t="s">
        <v>19</v>
      </c>
      <c r="E31" s="1" t="s">
        <v>61</v>
      </c>
      <c r="G31" s="1">
        <v>1</v>
      </c>
      <c r="H31" s="1">
        <v>1</v>
      </c>
      <c r="I31" s="1">
        <v>1.02</v>
      </c>
      <c r="J31" s="1">
        <v>1.04</v>
      </c>
      <c r="K31" s="1">
        <v>1.02</v>
      </c>
      <c r="L31" s="1">
        <v>1</v>
      </c>
      <c r="M31" s="1">
        <v>1</v>
      </c>
      <c r="N31" s="1">
        <v>1</v>
      </c>
      <c r="O31" s="1">
        <v>1.04</v>
      </c>
      <c r="P31" s="1">
        <v>1</v>
      </c>
      <c r="Q31" s="1">
        <v>1.1599999999999999</v>
      </c>
      <c r="S31" s="1">
        <v>1</v>
      </c>
    </row>
    <row r="32" spans="1:19" x14ac:dyDescent="0.2">
      <c r="A32" s="1" t="s">
        <v>266</v>
      </c>
      <c r="B32" s="1" t="s">
        <v>267</v>
      </c>
      <c r="C32" s="1" t="s">
        <v>268</v>
      </c>
      <c r="D32" s="1" t="s">
        <v>19</v>
      </c>
      <c r="E32" s="1" t="s">
        <v>61</v>
      </c>
      <c r="G32" s="1">
        <v>1</v>
      </c>
      <c r="H32" s="1">
        <v>1.01</v>
      </c>
      <c r="I32" s="1">
        <v>1.02</v>
      </c>
      <c r="J32" s="1">
        <v>1.03</v>
      </c>
      <c r="K32" s="1">
        <v>1.05</v>
      </c>
      <c r="L32" s="1">
        <v>1.1399999999999999</v>
      </c>
      <c r="M32" s="1">
        <v>1.07</v>
      </c>
      <c r="N32" s="1">
        <v>1.1499999999999999</v>
      </c>
      <c r="O32" s="1">
        <v>1.0900000000000001</v>
      </c>
      <c r="P32" s="1">
        <v>0</v>
      </c>
      <c r="Q32" s="1">
        <v>1.04</v>
      </c>
      <c r="S32" s="1">
        <v>1.02</v>
      </c>
    </row>
    <row r="33" spans="1:19" x14ac:dyDescent="0.2">
      <c r="A33" s="1" t="s">
        <v>114</v>
      </c>
      <c r="B33" s="1" t="s">
        <v>115</v>
      </c>
      <c r="C33" s="1" t="s">
        <v>618</v>
      </c>
      <c r="D33" s="1" t="s">
        <v>19</v>
      </c>
      <c r="E33" s="1" t="s">
        <v>61</v>
      </c>
    </row>
    <row r="34" spans="1:19" x14ac:dyDescent="0.2">
      <c r="A34" s="1" t="s">
        <v>116</v>
      </c>
      <c r="B34" s="1" t="s">
        <v>117</v>
      </c>
      <c r="C34" s="1" t="s">
        <v>118</v>
      </c>
      <c r="D34" s="1" t="s">
        <v>19</v>
      </c>
      <c r="E34" s="1" t="s">
        <v>61</v>
      </c>
      <c r="H34" s="1">
        <v>424</v>
      </c>
      <c r="J34" s="1">
        <v>274</v>
      </c>
      <c r="K34" s="1">
        <v>233</v>
      </c>
      <c r="L34" s="1">
        <v>301</v>
      </c>
      <c r="N34" s="1">
        <v>0</v>
      </c>
      <c r="O34" s="1">
        <v>180</v>
      </c>
      <c r="P34" s="1">
        <v>0</v>
      </c>
      <c r="S34" s="1">
        <v>360</v>
      </c>
    </row>
    <row r="35" spans="1:19" x14ac:dyDescent="0.2">
      <c r="A35" s="1" t="s">
        <v>119</v>
      </c>
      <c r="B35" s="1" t="s">
        <v>120</v>
      </c>
      <c r="C35" s="1" t="s">
        <v>619</v>
      </c>
      <c r="D35" s="1" t="s">
        <v>19</v>
      </c>
      <c r="E35" s="1" t="s">
        <v>61</v>
      </c>
      <c r="F35" s="1">
        <v>0</v>
      </c>
      <c r="G35" s="1">
        <v>1.1000000000000001</v>
      </c>
      <c r="H35" s="1">
        <v>7.0000000000000007E-2</v>
      </c>
      <c r="I35" s="1">
        <v>0.2</v>
      </c>
      <c r="J35" s="1">
        <v>0.1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S35" s="1">
        <v>0.47</v>
      </c>
    </row>
    <row r="36" spans="1:19" x14ac:dyDescent="0.2">
      <c r="A36" s="1" t="s">
        <v>122</v>
      </c>
      <c r="B36" s="1" t="s">
        <v>123</v>
      </c>
      <c r="C36" s="1" t="s">
        <v>620</v>
      </c>
      <c r="D36" s="1" t="s">
        <v>19</v>
      </c>
      <c r="E36" s="1" t="s">
        <v>61</v>
      </c>
      <c r="G36" s="1">
        <v>0.26</v>
      </c>
      <c r="H36" s="1">
        <v>0.3</v>
      </c>
      <c r="I36" s="1">
        <v>0</v>
      </c>
      <c r="J36" s="1">
        <v>0</v>
      </c>
      <c r="K36" s="1">
        <v>1.9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S36" s="1">
        <v>0.22</v>
      </c>
    </row>
    <row r="37" spans="1:19" x14ac:dyDescent="0.2">
      <c r="A37" s="1" t="s">
        <v>124</v>
      </c>
      <c r="B37" s="1" t="s">
        <v>125</v>
      </c>
      <c r="C37" s="1" t="s">
        <v>621</v>
      </c>
      <c r="D37" s="1" t="s">
        <v>19</v>
      </c>
      <c r="E37" s="1" t="s">
        <v>61</v>
      </c>
      <c r="F37" s="1">
        <v>0.1105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S37" s="1">
        <v>0</v>
      </c>
    </row>
    <row r="38" spans="1:19" x14ac:dyDescent="0.2">
      <c r="A38" s="1" t="s">
        <v>126</v>
      </c>
      <c r="B38" s="1" t="s">
        <v>127</v>
      </c>
      <c r="C38" s="1" t="s">
        <v>622</v>
      </c>
      <c r="D38" s="1" t="s">
        <v>19</v>
      </c>
      <c r="E38" s="1" t="s">
        <v>61</v>
      </c>
      <c r="F38" s="1">
        <v>0.4</v>
      </c>
      <c r="G38" s="1">
        <v>0.17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S38" s="1">
        <v>0.15</v>
      </c>
    </row>
    <row r="39" spans="1:19" x14ac:dyDescent="0.2">
      <c r="A39" s="1" t="s">
        <v>129</v>
      </c>
      <c r="B39" s="1" t="s">
        <v>130</v>
      </c>
      <c r="C39" s="1" t="s">
        <v>623</v>
      </c>
      <c r="D39" s="1" t="s">
        <v>19</v>
      </c>
      <c r="E39" s="1" t="s">
        <v>61</v>
      </c>
      <c r="F39" s="1">
        <v>0.30599999999999999</v>
      </c>
      <c r="G39" s="1">
        <v>0.28000000000000003</v>
      </c>
      <c r="H39" s="1">
        <v>0</v>
      </c>
      <c r="I39" s="1">
        <v>6.29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S39" s="1">
        <v>0.52</v>
      </c>
    </row>
    <row r="40" spans="1:19" x14ac:dyDescent="0.2">
      <c r="A40" s="1" t="s">
        <v>132</v>
      </c>
      <c r="B40" s="1" t="s">
        <v>133</v>
      </c>
      <c r="C40" s="1" t="s">
        <v>624</v>
      </c>
      <c r="D40" s="1" t="s">
        <v>19</v>
      </c>
      <c r="E40" s="1" t="s">
        <v>61</v>
      </c>
      <c r="G40" s="1">
        <v>0</v>
      </c>
      <c r="H40" s="1">
        <v>7.44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S40" s="1">
        <v>7.11</v>
      </c>
    </row>
    <row r="41" spans="1:19" x14ac:dyDescent="0.2">
      <c r="A41" s="1" t="s">
        <v>134</v>
      </c>
      <c r="B41" s="1" t="s">
        <v>135</v>
      </c>
      <c r="C41" s="1" t="s">
        <v>625</v>
      </c>
      <c r="D41" s="1" t="s">
        <v>19</v>
      </c>
      <c r="E41" s="1" t="s">
        <v>61</v>
      </c>
      <c r="F41" s="1">
        <v>2.64</v>
      </c>
      <c r="G41" s="1">
        <v>1.72</v>
      </c>
      <c r="H41" s="1">
        <v>0</v>
      </c>
      <c r="I41" s="1">
        <v>12.82</v>
      </c>
      <c r="J41" s="1">
        <v>4.46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S41" s="1">
        <v>2.44</v>
      </c>
    </row>
    <row r="42" spans="1:19" x14ac:dyDescent="0.2">
      <c r="A42" s="1" t="s">
        <v>136</v>
      </c>
      <c r="B42" s="1" t="s">
        <v>137</v>
      </c>
      <c r="C42" s="1" t="s">
        <v>626</v>
      </c>
      <c r="D42" s="1" t="s">
        <v>19</v>
      </c>
      <c r="E42" s="1" t="s">
        <v>61</v>
      </c>
      <c r="F42" s="1">
        <v>0.76500000000000001</v>
      </c>
      <c r="G42" s="1">
        <v>0.28000000000000003</v>
      </c>
      <c r="H42" s="1">
        <v>0</v>
      </c>
      <c r="I42" s="1">
        <v>6.29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S42" s="1">
        <v>0.52</v>
      </c>
    </row>
    <row r="43" spans="1:19" x14ac:dyDescent="0.2">
      <c r="A43" s="1" t="s">
        <v>138</v>
      </c>
      <c r="B43" s="1" t="s">
        <v>139</v>
      </c>
      <c r="C43" s="1" t="s">
        <v>627</v>
      </c>
      <c r="D43" s="1" t="s">
        <v>19</v>
      </c>
      <c r="E43" s="1" t="s">
        <v>61</v>
      </c>
      <c r="F43" s="1">
        <v>3</v>
      </c>
      <c r="G43" s="1">
        <v>0.95</v>
      </c>
      <c r="H43" s="1">
        <v>0.77</v>
      </c>
      <c r="I43" s="1">
        <v>0.55000000000000004</v>
      </c>
      <c r="J43" s="1">
        <v>0.6</v>
      </c>
      <c r="K43" s="1">
        <v>0.95</v>
      </c>
      <c r="L43" s="1">
        <v>0.41</v>
      </c>
      <c r="M43" s="1">
        <v>0.37</v>
      </c>
      <c r="N43" s="1">
        <v>0.43</v>
      </c>
      <c r="O43" s="1">
        <v>0.27</v>
      </c>
      <c r="P43" s="1">
        <v>0.25</v>
      </c>
      <c r="Q43" s="1">
        <v>0.62</v>
      </c>
      <c r="S43" s="1">
        <v>0.68</v>
      </c>
    </row>
    <row r="44" spans="1:19" x14ac:dyDescent="0.2">
      <c r="A44" s="1" t="s">
        <v>140</v>
      </c>
      <c r="B44" s="1" t="s">
        <v>141</v>
      </c>
      <c r="C44" s="1" t="s">
        <v>628</v>
      </c>
      <c r="D44" s="1" t="s">
        <v>19</v>
      </c>
      <c r="F44" s="1">
        <v>0.81</v>
      </c>
      <c r="G44" s="1">
        <v>0.76559999999999995</v>
      </c>
      <c r="H44" s="1">
        <v>0.61070000000000002</v>
      </c>
      <c r="I44" s="1">
        <v>0.7833</v>
      </c>
      <c r="J44" s="1">
        <v>0.70440000000000003</v>
      </c>
      <c r="K44" s="1">
        <v>0.71430000000000005</v>
      </c>
      <c r="L44" s="1">
        <v>0.75</v>
      </c>
      <c r="M44" s="1">
        <v>0.64439999999999997</v>
      </c>
      <c r="N44" s="1">
        <v>0.77780000000000005</v>
      </c>
      <c r="O44" s="1">
        <v>0.75109999999999999</v>
      </c>
      <c r="P44" s="1">
        <v>0.74670000000000003</v>
      </c>
      <c r="Q44" s="1">
        <v>0.74229999999999996</v>
      </c>
      <c r="S44" s="1">
        <v>0.72219999999999995</v>
      </c>
    </row>
    <row r="45" spans="1:19" x14ac:dyDescent="0.2">
      <c r="A45" s="1" t="s">
        <v>142</v>
      </c>
      <c r="B45" s="1" t="s">
        <v>143</v>
      </c>
      <c r="C45" s="1" t="s">
        <v>629</v>
      </c>
      <c r="D45" s="1" t="s">
        <v>19</v>
      </c>
      <c r="E45" s="1" t="s">
        <v>61</v>
      </c>
      <c r="F45" s="1">
        <v>24.31</v>
      </c>
      <c r="G45" s="1">
        <v>4.9000000000000002E-2</v>
      </c>
      <c r="H45" s="1">
        <v>0</v>
      </c>
      <c r="I45" s="1">
        <v>0</v>
      </c>
      <c r="J45" s="1">
        <v>6.3E-2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S45" s="1">
        <v>4.5999999999999999E-2</v>
      </c>
    </row>
    <row r="46" spans="1:19" x14ac:dyDescent="0.2">
      <c r="A46" s="1" t="s">
        <v>144</v>
      </c>
      <c r="B46" s="1" t="s">
        <v>145</v>
      </c>
      <c r="C46" s="1" t="s">
        <v>630</v>
      </c>
      <c r="D46" s="1" t="s">
        <v>146</v>
      </c>
      <c r="E46" s="1" t="s">
        <v>61</v>
      </c>
    </row>
    <row r="47" spans="1:19" x14ac:dyDescent="0.2">
      <c r="A47" s="1" t="s">
        <v>147</v>
      </c>
      <c r="B47" s="1" t="s">
        <v>148</v>
      </c>
      <c r="C47" s="1" t="s">
        <v>631</v>
      </c>
      <c r="D47" s="1" t="s">
        <v>146</v>
      </c>
      <c r="E47" s="1" t="s">
        <v>61</v>
      </c>
    </row>
    <row r="48" spans="1:19" x14ac:dyDescent="0.2">
      <c r="A48" s="1" t="s">
        <v>149</v>
      </c>
      <c r="B48" s="1" t="s">
        <v>150</v>
      </c>
      <c r="C48" s="1" t="s">
        <v>632</v>
      </c>
      <c r="D48" s="1" t="s">
        <v>146</v>
      </c>
      <c r="E48" s="1" t="s">
        <v>61</v>
      </c>
    </row>
    <row r="49" spans="1:19" x14ac:dyDescent="0.2">
      <c r="A49" s="1" t="s">
        <v>151</v>
      </c>
      <c r="B49" s="1" t="s">
        <v>152</v>
      </c>
      <c r="C49" s="1" t="s">
        <v>633</v>
      </c>
      <c r="D49" s="1" t="s">
        <v>146</v>
      </c>
      <c r="E49" s="1" t="s">
        <v>61</v>
      </c>
    </row>
    <row r="50" spans="1:19" x14ac:dyDescent="0.2">
      <c r="A50" s="1" t="s">
        <v>153</v>
      </c>
      <c r="B50" s="1" t="s">
        <v>154</v>
      </c>
      <c r="C50" s="1" t="s">
        <v>634</v>
      </c>
      <c r="D50" s="1" t="s">
        <v>146</v>
      </c>
      <c r="E50" s="1" t="s">
        <v>61</v>
      </c>
      <c r="F50" s="1">
        <v>0.92</v>
      </c>
      <c r="G50" s="1">
        <v>0.83330000000000004</v>
      </c>
      <c r="H50" s="1">
        <v>1</v>
      </c>
      <c r="I50" s="1">
        <v>1</v>
      </c>
      <c r="J50" s="1">
        <v>0.7</v>
      </c>
      <c r="K50" s="1">
        <v>1</v>
      </c>
      <c r="L50" s="1">
        <v>1</v>
      </c>
      <c r="M50" s="1">
        <v>1</v>
      </c>
      <c r="N50" s="1">
        <v>0.875</v>
      </c>
      <c r="O50" s="1">
        <v>0.85709999999999997</v>
      </c>
      <c r="P50" s="1">
        <v>0.88980000000000004</v>
      </c>
      <c r="R50" s="1">
        <v>1</v>
      </c>
      <c r="S50" s="1">
        <v>0.91011235955056202</v>
      </c>
    </row>
    <row r="51" spans="1:19" x14ac:dyDescent="0.2">
      <c r="A51" s="1" t="s">
        <v>156</v>
      </c>
      <c r="B51" s="1" t="s">
        <v>157</v>
      </c>
      <c r="C51" s="1" t="s">
        <v>635</v>
      </c>
      <c r="D51" s="1" t="s">
        <v>146</v>
      </c>
      <c r="E51" s="1" t="s">
        <v>61</v>
      </c>
    </row>
    <row r="52" spans="1:19" x14ac:dyDescent="0.2">
      <c r="A52" s="1" t="s">
        <v>159</v>
      </c>
      <c r="B52" s="1" t="s">
        <v>160</v>
      </c>
      <c r="C52" s="1" t="s">
        <v>636</v>
      </c>
      <c r="D52" s="1" t="s">
        <v>146</v>
      </c>
      <c r="E52" s="1" t="s">
        <v>61</v>
      </c>
      <c r="F52" s="1">
        <v>0.81810000000000005</v>
      </c>
      <c r="G52" s="1">
        <v>0.94348633589811604</v>
      </c>
      <c r="H52" s="1">
        <v>1</v>
      </c>
      <c r="I52" s="1">
        <v>0.99556541019955702</v>
      </c>
      <c r="J52" s="1">
        <v>1</v>
      </c>
      <c r="K52" s="1">
        <v>1</v>
      </c>
      <c r="L52" s="1">
        <v>1</v>
      </c>
      <c r="M52" s="1">
        <v>1</v>
      </c>
      <c r="N52" s="1">
        <v>1</v>
      </c>
      <c r="O52" s="1">
        <v>1</v>
      </c>
      <c r="P52" s="1">
        <v>1</v>
      </c>
      <c r="Q52" s="1">
        <v>0.95918367346938804</v>
      </c>
      <c r="S52" s="1">
        <v>0.97995387617527097</v>
      </c>
    </row>
    <row r="53" spans="1:19" x14ac:dyDescent="0.2">
      <c r="A53" s="1" t="s">
        <v>161</v>
      </c>
      <c r="B53" s="1" t="s">
        <v>162</v>
      </c>
      <c r="C53" s="1" t="s">
        <v>637</v>
      </c>
      <c r="D53" s="1" t="s">
        <v>146</v>
      </c>
      <c r="E53" s="1" t="s">
        <v>61</v>
      </c>
      <c r="F53" s="1">
        <v>0.98</v>
      </c>
      <c r="G53" s="1">
        <v>0.98875140607424095</v>
      </c>
      <c r="H53" s="1">
        <v>1</v>
      </c>
      <c r="I53" s="1">
        <v>1</v>
      </c>
      <c r="J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0</v>
      </c>
      <c r="R53" s="1" t="s">
        <v>638</v>
      </c>
      <c r="S53" s="1">
        <v>0.99349381912817203</v>
      </c>
    </row>
    <row r="54" spans="1:19" x14ac:dyDescent="0.2">
      <c r="A54" s="1" t="s">
        <v>163</v>
      </c>
      <c r="B54" s="1" t="s">
        <v>164</v>
      </c>
      <c r="C54" s="1" t="s">
        <v>639</v>
      </c>
      <c r="D54" s="1" t="s">
        <v>146</v>
      </c>
      <c r="E54" s="1" t="s">
        <v>61</v>
      </c>
      <c r="F54" s="1">
        <v>11.305</v>
      </c>
      <c r="S54" s="1">
        <v>0</v>
      </c>
    </row>
    <row r="55" spans="1:19" x14ac:dyDescent="0.2">
      <c r="A55" s="1" t="s">
        <v>180</v>
      </c>
      <c r="B55" s="1" t="s">
        <v>181</v>
      </c>
      <c r="C55" s="1" t="s">
        <v>640</v>
      </c>
      <c r="D55" s="1" t="s">
        <v>146</v>
      </c>
      <c r="E55" s="1" t="s">
        <v>61</v>
      </c>
      <c r="S55" s="1">
        <v>0</v>
      </c>
    </row>
    <row r="56" spans="1:19" x14ac:dyDescent="0.2">
      <c r="A56" s="1" t="s">
        <v>182</v>
      </c>
      <c r="B56" s="1" t="s">
        <v>183</v>
      </c>
      <c r="C56" s="1" t="s">
        <v>641</v>
      </c>
      <c r="D56" s="1" t="s">
        <v>184</v>
      </c>
      <c r="E56" s="1" t="s">
        <v>61</v>
      </c>
      <c r="S56" s="1" t="s">
        <v>600</v>
      </c>
    </row>
    <row r="57" spans="1:19" x14ac:dyDescent="0.2">
      <c r="A57" s="1" t="s">
        <v>217</v>
      </c>
      <c r="B57" s="1" t="s">
        <v>218</v>
      </c>
      <c r="C57" s="1" t="s">
        <v>219</v>
      </c>
      <c r="D57" s="1" t="s">
        <v>184</v>
      </c>
      <c r="E57" s="1" t="s">
        <v>220</v>
      </c>
    </row>
    <row r="58" spans="1:19" x14ac:dyDescent="0.2">
      <c r="A58" s="1" t="s">
        <v>229</v>
      </c>
      <c r="B58" s="1" t="s">
        <v>230</v>
      </c>
      <c r="C58" s="1" t="s">
        <v>642</v>
      </c>
      <c r="D58" s="1" t="s">
        <v>184</v>
      </c>
      <c r="E58" s="1" t="s">
        <v>220</v>
      </c>
    </row>
    <row r="59" spans="1:19" x14ac:dyDescent="0.2">
      <c r="A59" s="1" t="s">
        <v>187</v>
      </c>
      <c r="B59" s="1" t="s">
        <v>188</v>
      </c>
      <c r="C59" s="1" t="s">
        <v>643</v>
      </c>
      <c r="D59" s="1" t="s">
        <v>189</v>
      </c>
      <c r="E59" s="1" t="s">
        <v>61</v>
      </c>
      <c r="S59" s="1">
        <v>0.46</v>
      </c>
    </row>
    <row r="60" spans="1:19" x14ac:dyDescent="0.2">
      <c r="A60" s="1" t="s">
        <v>190</v>
      </c>
      <c r="B60" s="1" t="s">
        <v>191</v>
      </c>
      <c r="C60" s="1" t="s">
        <v>644</v>
      </c>
      <c r="D60" s="1" t="s">
        <v>23</v>
      </c>
      <c r="E60" s="1" t="s">
        <v>61</v>
      </c>
    </row>
    <row r="61" spans="1:19" x14ac:dyDescent="0.2">
      <c r="A61" s="1" t="s">
        <v>192</v>
      </c>
      <c r="B61" s="1" t="s">
        <v>193</v>
      </c>
      <c r="C61" s="1" t="s">
        <v>645</v>
      </c>
      <c r="D61" s="1" t="s">
        <v>23</v>
      </c>
      <c r="E61" s="1" t="s">
        <v>61</v>
      </c>
    </row>
    <row r="62" spans="1:19" x14ac:dyDescent="0.2">
      <c r="A62" s="1" t="s">
        <v>194</v>
      </c>
      <c r="B62" s="1" t="s">
        <v>195</v>
      </c>
      <c r="C62" s="1" t="s">
        <v>646</v>
      </c>
      <c r="D62" s="1" t="s">
        <v>196</v>
      </c>
      <c r="E62" s="1" t="s">
        <v>61</v>
      </c>
      <c r="F62" s="1">
        <v>0.56059999999999999</v>
      </c>
      <c r="G62" s="1">
        <v>0.43472906403940897</v>
      </c>
      <c r="H62" s="1">
        <v>0.32687651331719098</v>
      </c>
      <c r="I62" s="1">
        <v>0.54177897574124001</v>
      </c>
      <c r="J62" s="1">
        <v>0.12554112554112601</v>
      </c>
      <c r="K62" s="1">
        <v>0.34027777777777801</v>
      </c>
      <c r="L62" s="1">
        <v>0.56617647058823495</v>
      </c>
      <c r="M62" s="1">
        <v>0.73825503355704702</v>
      </c>
      <c r="N62" s="1">
        <v>0.47368421052631599</v>
      </c>
      <c r="O62" s="1">
        <v>0.34615384615384598</v>
      </c>
      <c r="P62" s="1">
        <v>0.61643835616438403</v>
      </c>
      <c r="Q62" s="1">
        <v>0.79411764705882404</v>
      </c>
      <c r="R62" s="1">
        <v>0.73809523809523803</v>
      </c>
      <c r="S62" s="1">
        <v>0.49040026033192302</v>
      </c>
    </row>
    <row r="63" spans="1:19" x14ac:dyDescent="0.2">
      <c r="A63" s="1" t="s">
        <v>197</v>
      </c>
      <c r="B63" s="1" t="s">
        <v>198</v>
      </c>
      <c r="C63" s="1" t="s">
        <v>647</v>
      </c>
      <c r="D63" s="1" t="s">
        <v>196</v>
      </c>
      <c r="E63" s="1" t="s">
        <v>61</v>
      </c>
      <c r="S63" s="1" t="s">
        <v>600</v>
      </c>
    </row>
    <row r="64" spans="1:19" x14ac:dyDescent="0.2">
      <c r="A64" s="1" t="s">
        <v>200</v>
      </c>
      <c r="B64" s="1" t="s">
        <v>201</v>
      </c>
      <c r="C64" s="1" t="s">
        <v>648</v>
      </c>
      <c r="D64" s="1" t="s">
        <v>196</v>
      </c>
      <c r="E64" s="1" t="s">
        <v>61</v>
      </c>
      <c r="G64" s="1">
        <v>0.108818011257036</v>
      </c>
      <c r="H64" s="1">
        <v>0.11860465116279099</v>
      </c>
      <c r="I64" s="1">
        <v>4.95049504950495E-2</v>
      </c>
      <c r="J64" s="1">
        <v>0.17518248175182499</v>
      </c>
      <c r="K64" s="1">
        <v>9.0047393364928896E-2</v>
      </c>
      <c r="L64" s="1">
        <v>9.6491228070175405E-2</v>
      </c>
      <c r="M64" s="1">
        <v>7.1428571428571397E-2</v>
      </c>
      <c r="N64" s="1">
        <v>9.5238095238095205E-2</v>
      </c>
      <c r="O64" s="1">
        <v>0.133333333333333</v>
      </c>
      <c r="P64" s="1">
        <v>9.2783505154639206E-2</v>
      </c>
      <c r="Q64" s="1">
        <v>3.2258064516128997E-2</v>
      </c>
      <c r="S64" s="1">
        <v>0.10274210343630701</v>
      </c>
    </row>
    <row r="65" spans="1:19" x14ac:dyDescent="0.2">
      <c r="A65" s="1" t="s">
        <v>202</v>
      </c>
      <c r="B65" s="1" t="s">
        <v>203</v>
      </c>
      <c r="C65" s="1" t="s">
        <v>649</v>
      </c>
      <c r="D65" s="1" t="s">
        <v>196</v>
      </c>
      <c r="E65" s="1" t="s">
        <v>61</v>
      </c>
      <c r="F65" s="1">
        <v>0</v>
      </c>
      <c r="R65" s="1">
        <v>0</v>
      </c>
      <c r="S65" s="1">
        <v>0</v>
      </c>
    </row>
    <row r="66" spans="1:19" x14ac:dyDescent="0.2">
      <c r="A66" s="1" t="s">
        <v>204</v>
      </c>
      <c r="B66" s="1" t="s">
        <v>205</v>
      </c>
      <c r="C66" s="1" t="s">
        <v>186</v>
      </c>
      <c r="D66" s="1" t="s">
        <v>196</v>
      </c>
      <c r="E66" s="1" t="s">
        <v>61</v>
      </c>
      <c r="F66" s="1">
        <v>3.3999999999999998E-3</v>
      </c>
      <c r="R66" s="1">
        <v>4.4999999999999997E-3</v>
      </c>
      <c r="S66" s="1">
        <v>4.5591130452802796E-3</v>
      </c>
    </row>
    <row r="67" spans="1:19" x14ac:dyDescent="0.2">
      <c r="A67" s="1" t="s">
        <v>221</v>
      </c>
      <c r="B67" s="1" t="s">
        <v>222</v>
      </c>
      <c r="C67" s="1" t="s">
        <v>247</v>
      </c>
      <c r="D67" s="1" t="s">
        <v>18</v>
      </c>
      <c r="E67" s="1" t="s">
        <v>220</v>
      </c>
    </row>
    <row r="68" spans="1:19" x14ac:dyDescent="0.2">
      <c r="A68" s="1" t="s">
        <v>243</v>
      </c>
      <c r="B68" s="1" t="s">
        <v>244</v>
      </c>
      <c r="C68" s="1" t="s">
        <v>247</v>
      </c>
      <c r="D68" s="1" t="s">
        <v>18</v>
      </c>
      <c r="E68" s="1" t="s">
        <v>220</v>
      </c>
    </row>
    <row r="69" spans="1:19" x14ac:dyDescent="0.2">
      <c r="A69" s="1" t="s">
        <v>245</v>
      </c>
      <c r="B69" s="1" t="s">
        <v>246</v>
      </c>
      <c r="C69" s="1" t="s">
        <v>247</v>
      </c>
      <c r="D69" s="1" t="s">
        <v>18</v>
      </c>
      <c r="E69" s="1" t="s">
        <v>220</v>
      </c>
    </row>
    <row r="70" spans="1:19" x14ac:dyDescent="0.2">
      <c r="A70" s="1" t="s">
        <v>248</v>
      </c>
      <c r="B70" s="1" t="s">
        <v>249</v>
      </c>
      <c r="C70" s="1" t="s">
        <v>247</v>
      </c>
      <c r="D70" s="1" t="s">
        <v>18</v>
      </c>
      <c r="E70" s="1" t="s">
        <v>220</v>
      </c>
    </row>
    <row r="71" spans="1:19" x14ac:dyDescent="0.2">
      <c r="A71" s="1" t="s">
        <v>250</v>
      </c>
      <c r="B71" s="1" t="s">
        <v>251</v>
      </c>
      <c r="C71" s="1" t="s">
        <v>247</v>
      </c>
      <c r="D71" s="1" t="s">
        <v>18</v>
      </c>
      <c r="E71" s="1" t="s">
        <v>220</v>
      </c>
    </row>
    <row r="72" spans="1:19" x14ac:dyDescent="0.2">
      <c r="A72" s="1" t="s">
        <v>206</v>
      </c>
      <c r="B72" s="1" t="s">
        <v>207</v>
      </c>
      <c r="C72" s="1" t="s">
        <v>68</v>
      </c>
      <c r="D72" s="1" t="s">
        <v>18</v>
      </c>
      <c r="E72" s="1" t="s">
        <v>61</v>
      </c>
      <c r="F72" s="1">
        <v>0</v>
      </c>
      <c r="S72" s="1">
        <v>0.43031412063427499</v>
      </c>
    </row>
    <row r="73" spans="1:19" x14ac:dyDescent="0.2">
      <c r="A73" s="1" t="s">
        <v>252</v>
      </c>
      <c r="B73" s="1" t="s">
        <v>253</v>
      </c>
      <c r="C73" s="1" t="s">
        <v>650</v>
      </c>
      <c r="E73" s="1" t="s">
        <v>220</v>
      </c>
    </row>
    <row r="74" spans="1:19" x14ac:dyDescent="0.2">
      <c r="A74" s="1" t="s">
        <v>254</v>
      </c>
      <c r="B74" s="1" t="s">
        <v>255</v>
      </c>
      <c r="C74" s="1" t="s">
        <v>247</v>
      </c>
      <c r="D74" s="1" t="s">
        <v>18</v>
      </c>
      <c r="E74" s="1" t="s">
        <v>220</v>
      </c>
    </row>
    <row r="75" spans="1:19" x14ac:dyDescent="0.2">
      <c r="A75" s="1" t="s">
        <v>256</v>
      </c>
      <c r="B75" s="1" t="s">
        <v>257</v>
      </c>
      <c r="C75" s="1" t="s">
        <v>651</v>
      </c>
      <c r="D75" s="1" t="s">
        <v>18</v>
      </c>
      <c r="E75" s="1" t="s">
        <v>220</v>
      </c>
    </row>
    <row r="76" spans="1:19" x14ac:dyDescent="0.2">
      <c r="A76" s="1" t="s">
        <v>208</v>
      </c>
      <c r="B76" s="1" t="s">
        <v>209</v>
      </c>
      <c r="C76" s="1" t="s">
        <v>652</v>
      </c>
      <c r="D76" s="1" t="s">
        <v>18</v>
      </c>
      <c r="E76" s="1" t="s">
        <v>61</v>
      </c>
      <c r="F76" s="1">
        <v>0.6</v>
      </c>
      <c r="S76" s="1">
        <v>0.72699999999999998</v>
      </c>
    </row>
    <row r="77" spans="1:19" x14ac:dyDescent="0.2">
      <c r="A77" s="1" t="s">
        <v>210</v>
      </c>
      <c r="B77" s="1" t="s">
        <v>211</v>
      </c>
      <c r="C77" s="1" t="s">
        <v>68</v>
      </c>
      <c r="D77" s="1" t="s">
        <v>18</v>
      </c>
      <c r="E77" s="1" t="s">
        <v>61</v>
      </c>
      <c r="F77" s="1">
        <v>0.45</v>
      </c>
      <c r="S77" s="1">
        <v>0.3</v>
      </c>
    </row>
    <row r="78" spans="1:19" x14ac:dyDescent="0.2">
      <c r="A78" s="1" t="s">
        <v>258</v>
      </c>
      <c r="B78" s="1" t="s">
        <v>259</v>
      </c>
      <c r="C78" s="1" t="s">
        <v>247</v>
      </c>
      <c r="D78" s="1" t="s">
        <v>18</v>
      </c>
      <c r="E78" s="1" t="s">
        <v>220</v>
      </c>
    </row>
    <row r="79" spans="1:19" x14ac:dyDescent="0.2">
      <c r="A79" s="1" t="s">
        <v>260</v>
      </c>
      <c r="B79" s="1" t="s">
        <v>261</v>
      </c>
      <c r="C79" s="1" t="s">
        <v>247</v>
      </c>
      <c r="D79" s="1" t="s">
        <v>18</v>
      </c>
      <c r="E79" s="1" t="s">
        <v>220</v>
      </c>
      <c r="S79" s="1">
        <v>0.82520000000000004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أوراق العمل</vt:lpstr>
      </vt:variant>
      <vt:variant>
        <vt:i4>17</vt:i4>
      </vt:variant>
    </vt:vector>
  </HeadingPairs>
  <TitlesOfParts>
    <vt:vector size="17" baseType="lpstr">
      <vt:lpstr>📊 Executive Summary</vt:lpstr>
      <vt:lpstr>📅 Monthly KPIs</vt:lpstr>
      <vt:lpstr>📆 Quarterly KPIs</vt:lpstr>
      <vt:lpstr>🗓️ Bi-Annual KPIs</vt:lpstr>
      <vt:lpstr>📅 Annual KPIs</vt:lpstr>
      <vt:lpstr>KKH</vt:lpstr>
      <vt:lpstr>MCH1</vt:lpstr>
      <vt:lpstr>NNGH</vt:lpstr>
      <vt:lpstr>SHAR</vt:lpstr>
      <vt:lpstr>MCH-2</vt:lpstr>
      <vt:lpstr>HUB</vt:lpstr>
      <vt:lpstr>KOBASH</vt:lpstr>
      <vt:lpstr>BDR</vt:lpstr>
      <vt:lpstr>YDM</vt:lpstr>
      <vt:lpstr>THAR</vt:lpstr>
      <vt:lpstr>MENTAL</vt:lpstr>
      <vt:lpstr>📆 Quarterly by Hospital (Q2)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Ahmad Mesfer Alzmanan</cp:lastModifiedBy>
  <cp:revision>2</cp:revision>
  <dcterms:created xsi:type="dcterms:W3CDTF">2026-04-27T03:51:14Z</dcterms:created>
  <dcterms:modified xsi:type="dcterms:W3CDTF">2026-07-14T12:44:03Z</dcterms:modified>
  <dc:language>en-US</dc:language>
</cp:coreProperties>
</file>