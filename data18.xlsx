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1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5.xml" ContentType="application/vnd.openxmlformats-officedocument.spreadsheetml.comments+xml"/>
  <Override PartName="/xl/comments14.xml" ContentType="application/vnd.openxmlformats-officedocument.spreadsheetml.comments+xml"/>
  <Override PartName="/xl/comments13.xml" ContentType="application/vnd.openxmlformats-officedocument.spreadsheetml.comments+xml"/>
  <Override PartName="/xl/drawings/drawing8.xml" ContentType="application/vnd.openxmlformats-officedocument.drawing+xml"/>
  <Override PartName="/xl/drawings/vmlDrawing7.vml" ContentType="application/vnd.openxmlformats-officedocument.vmlDrawing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drawing15.xml" ContentType="application/vnd.openxmlformats-officedocument.drawing+xml"/>
  <Override PartName="/xl/drawings/_rels/drawing15.xml.rels" ContentType="application/vnd.openxmlformats-package.relationships+xml"/>
  <Override PartName="/xl/drawings/_rels/drawing3.xml.rels" ContentType="application/vnd.openxmlformats-package.relationships+xml"/>
  <Override PartName="/xl/drawings/_rels/drawing8.xml.rels" ContentType="application/vnd.openxmlformats-package.relationships+xml"/>
  <Override PartName="/xl/drawings/_rels/drawing13.xml.rels" ContentType="application/vnd.openxmlformats-package.relationships+xml"/>
  <Override PartName="/xl/drawings/_rels/drawing7.xml.rels" ContentType="application/vnd.openxmlformats-package.relationships+xml"/>
  <Override PartName="/xl/drawings/_rels/drawing12.xml.rels" ContentType="application/vnd.openxmlformats-package.relationships+xml"/>
  <Override PartName="/xl/drawings/_rels/drawing9.xml.rels" ContentType="application/vnd.openxmlformats-package.relationships+xml"/>
  <Override PartName="/xl/drawings/_rels/drawing14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1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12.xml" ContentType="application/vnd.openxmlformats-officedocument.drawing+xml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drawing14.xml" ContentType="application/vnd.openxmlformats-officedocument.drawing+xml"/>
  <Override PartName="/xl/drawings/vmlDrawing11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vmlDrawing8.vml" ContentType="application/vnd.openxmlformats-officedocument.vmlDrawing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1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2.xml" ContentType="application/vnd.openxmlformats-officedocument.spreadsheetml.comments+xml"/>
  <Override PartName="/xl/media/image1.png" ContentType="image/png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📊 Executive Summary" sheetId="1" state="visible" r:id="rId3"/>
    <sheet name="📅 Monthly KPIs" sheetId="2" state="visible" r:id="rId4"/>
    <sheet name="📆 Quarterly KPIs" sheetId="3" state="visible" r:id="rId5"/>
    <sheet name="🗓️ Bi-Annual KPIs" sheetId="4" state="visible" r:id="rId6"/>
    <sheet name="📅 Annual KPIs" sheetId="5" state="visible" r:id="rId7"/>
    <sheet name="KKH" sheetId="6" state="visible" r:id="rId8"/>
    <sheet name="MCH1" sheetId="7" state="visible" r:id="rId9"/>
    <sheet name="NNGH" sheetId="8" state="visible" r:id="rId10"/>
    <sheet name="SHAR" sheetId="9" state="visible" r:id="rId11"/>
    <sheet name="MCH-2" sheetId="10" state="visible" r:id="rId12"/>
    <sheet name="HUB" sheetId="11" state="visible" r:id="rId13"/>
    <sheet name="KOBASH" sheetId="12" state="visible" r:id="rId14"/>
    <sheet name="BDR" sheetId="13" state="visible" r:id="rId15"/>
    <sheet name="YDM" sheetId="14" state="visible" r:id="rId16"/>
    <sheet name="THAR" sheetId="15" state="visible" r:id="rId17"/>
    <sheet name="MENTAL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85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PHC - </t>
        </r>
        <r>
          <rPr>
            <sz val="10"/>
            <rFont val="FreeSans"/>
            <family val="2"/>
          </rPr>
          <t xml:space="preserve">الرعاية الأولية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87.49
Q1 2026: 87.74
Q2 2026: 87.99
Q3 2026: 88.24
Q4 2026: 88.49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88.49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F86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OP - </t>
        </r>
        <r>
          <rPr>
            <sz val="10"/>
            <rFont val="FreeSans"/>
            <family val="2"/>
          </rPr>
          <t xml:space="preserve">العيادات الخارجية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88.63
Q1 2026: 88.82
Q2 2026: 89.01
Q3 2026: 89.19
Q4 2026: 89.38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89.38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F87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IP - </t>
        </r>
        <r>
          <rPr>
            <sz val="10"/>
            <rFont val="FreeSans"/>
            <family val="2"/>
          </rPr>
          <t xml:space="preserve">التنويم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90.24
Q1 2026: 90.37
Q2 2026: 90.49
Q3 2026: 90.62
Q4 2026: 90.74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90.74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F88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ED - </t>
        </r>
        <r>
          <rPr>
            <sz val="10"/>
            <rFont val="FreeSans"/>
            <family val="2"/>
          </rPr>
          <t xml:space="preserve">الطوارئ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78.2
Q1 2026: 78.83
Q2 2026: 79.45
Q3 2026: 80.08
Q4 2026: 80.7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80.7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9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OP - </t>
        </r>
        <r>
          <rPr>
            <sz val="10"/>
            <rFont val="FreeSans"/>
            <family val="2"/>
          </rPr>
          <t xml:space="preserve">العيادات الخارجية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88.63
Q1 2026: 88.82
Q2 2026: 89.01
Q3 2026: 89.19
Q4 2026: 89.38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89.38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G60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IP - </t>
        </r>
        <r>
          <rPr>
            <sz val="10"/>
            <rFont val="FreeSans"/>
            <family val="2"/>
          </rPr>
          <t xml:space="preserve">التنويم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90.24
Q1 2026: 90.37
Q2 2026: 90.49
Q3 2026: 90.62
Q4 2026: 90.74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90.74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G61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ED - </t>
        </r>
        <r>
          <rPr>
            <sz val="10"/>
            <rFont val="FreeSans"/>
            <family val="2"/>
          </rPr>
          <t xml:space="preserve">الطوارئ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78.2
Q1 2026: 78.83
Q2 2026: 79.45
Q3 2026: 80.08
Q4 2026: 80.7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80.7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9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OP - </t>
        </r>
        <r>
          <rPr>
            <sz val="10"/>
            <rFont val="FreeSans"/>
            <family val="2"/>
          </rPr>
          <t xml:space="preserve">العيادات الخارجية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88.63
Q1 2026: 88.82
Q2 2026: 89.01
Q3 2026: 89.19
Q4 2026: 89.38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89.38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G60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IP - </t>
        </r>
        <r>
          <rPr>
            <sz val="10"/>
            <rFont val="FreeSans"/>
            <family val="2"/>
          </rPr>
          <t xml:space="preserve">التنويم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90.24
Q1 2026: 90.37
Q2 2026: 90.49
Q3 2026: 90.62
Q4 2026: 90.74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90.74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G61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ED - </t>
        </r>
        <r>
          <rPr>
            <sz val="10"/>
            <rFont val="FreeSans"/>
            <family val="2"/>
          </rPr>
          <t xml:space="preserve">الطوارئ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78.2
Q1 2026: 78.83
Q2 2026: 79.45
Q3 2026: 80.08
Q4 2026: 80.7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80.7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8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OP - </t>
        </r>
        <r>
          <rPr>
            <sz val="10"/>
            <rFont val="FreeSans"/>
            <family val="2"/>
          </rPr>
          <t xml:space="preserve">العيادات الخارجية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88.63
Q1 2026: 88.82
Q2 2026: 89.01
Q3 2026: 89.19
Q4 2026: 89.38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89.38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G59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IP - </t>
        </r>
        <r>
          <rPr>
            <sz val="10"/>
            <rFont val="FreeSans"/>
            <family val="2"/>
          </rPr>
          <t xml:space="preserve">التنويم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90.24
Q1 2026: 90.37
Q2 2026: 90.49
Q3 2026: 90.62
Q4 2026: 90.74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90.74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G60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ED - </t>
        </r>
        <r>
          <rPr>
            <sz val="10"/>
            <rFont val="FreeSans"/>
            <family val="2"/>
          </rPr>
          <t xml:space="preserve">الطوارئ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78.2
Q1 2026: 78.83
Q2 2026: 79.45
Q3 2026: 80.08
Q4 2026: 80.7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80.7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9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OP - </t>
        </r>
        <r>
          <rPr>
            <sz val="10"/>
            <rFont val="FreeSans"/>
            <family val="2"/>
          </rPr>
          <t xml:space="preserve">العيادات الخارجية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88.63
Q1 2026: 88.82
Q2 2026: 89.01
Q3 2026: 89.19
Q4 2026: 89.38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89.38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G60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IP - </t>
        </r>
        <r>
          <rPr>
            <sz val="10"/>
            <rFont val="FreeSans"/>
            <family val="2"/>
          </rPr>
          <t xml:space="preserve">التنويم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90.24
Q1 2026: 90.37
Q2 2026: 90.49
Q3 2026: 90.62
Q4 2026: 90.74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90.74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G61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ED - </t>
        </r>
        <r>
          <rPr>
            <sz val="10"/>
            <rFont val="FreeSans"/>
            <family val="2"/>
          </rPr>
          <t xml:space="preserve">الطوارئ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78.2
Q1 2026: 78.83
Q2 2026: 79.45
Q3 2026: 80.08
Q4 2026: 80.7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80.7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5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OP - </t>
        </r>
        <r>
          <rPr>
            <sz val="10"/>
            <rFont val="FreeSans"/>
            <family val="2"/>
          </rPr>
          <t xml:space="preserve">العيادات الخارجية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88.63
Q1 2026: 88.82
Q2 2026: 89.01
Q3 2026: 89.19
Q4 2026: 89.38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89.38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G56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IP - </t>
        </r>
        <r>
          <rPr>
            <sz val="10"/>
            <rFont val="FreeSans"/>
            <family val="2"/>
          </rPr>
          <t xml:space="preserve">التنويم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90.24
Q1 2026: 90.37
Q2 2026: 90.49
Q3 2026: 90.62
Q4 2026: 90.74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90.74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G57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ED - </t>
        </r>
        <r>
          <rPr>
            <sz val="10"/>
            <rFont val="FreeSans"/>
            <family val="2"/>
          </rPr>
          <t xml:space="preserve">الطوارئ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78.2
Q1 2026: 78.83
Q2 2026: 79.45
Q3 2026: 80.08
Q4 2026: 80.7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80.7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4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OP - </t>
        </r>
        <r>
          <rPr>
            <sz val="10"/>
            <rFont val="FreeSans"/>
            <family val="2"/>
          </rPr>
          <t xml:space="preserve">العيادات الخارجية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88.63
Q1 2026: 88.82
Q2 2026: 89.01
Q3 2026: 89.19
Q4 2026: 89.38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89.38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G55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IP - </t>
        </r>
        <r>
          <rPr>
            <sz val="10"/>
            <rFont val="FreeSans"/>
            <family val="2"/>
          </rPr>
          <t xml:space="preserve">التنويم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90.24
Q1 2026: 90.37
Q2 2026: 90.49
Q3 2026: 90.62
Q4 2026: 90.74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90.74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G56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ED - </t>
        </r>
        <r>
          <rPr>
            <sz val="10"/>
            <rFont val="FreeSans"/>
            <family val="2"/>
          </rPr>
          <t xml:space="preserve">الطوارئ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78.2
Q1 2026: 78.83
Q2 2026: 79.45
Q3 2026: 80.08
Q4 2026: 80.7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80.7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5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OP - </t>
        </r>
        <r>
          <rPr>
            <sz val="10"/>
            <rFont val="FreeSans"/>
            <family val="2"/>
          </rPr>
          <t xml:space="preserve">العيادات الخارجية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88.63
Q1 2026: 88.82
Q2 2026: 89.01
Q3 2026: 89.19
Q4 2026: 89.38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89.38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G56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IP - </t>
        </r>
        <r>
          <rPr>
            <sz val="10"/>
            <rFont val="FreeSans"/>
            <family val="2"/>
          </rPr>
          <t xml:space="preserve">التنويم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90.24
Q1 2026: 90.37
Q2 2026: 90.49
Q3 2026: 90.62
Q4 2026: 90.74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90.74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G57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ED - </t>
        </r>
        <r>
          <rPr>
            <sz val="10"/>
            <rFont val="FreeSans"/>
            <family val="2"/>
          </rPr>
          <t xml:space="preserve">الطوارئ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78.2
Q1 2026: 78.83
Q2 2026: 79.45
Q3 2026: 80.08
Q4 2026: 80.7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80.7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5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OP - </t>
        </r>
        <r>
          <rPr>
            <sz val="10"/>
            <rFont val="FreeSans"/>
            <family val="2"/>
          </rPr>
          <t xml:space="preserve">العيادات الخارجية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88.63
Q1 2026: 88.82
Q2 2026: 89.01
Q3 2026: 89.19
Q4 2026: 89.38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89.38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G56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IP - </t>
        </r>
        <r>
          <rPr>
            <sz val="10"/>
            <rFont val="FreeSans"/>
            <family val="2"/>
          </rPr>
          <t xml:space="preserve">التنويم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90.24
Q1 2026: 90.37
Q2 2026: 90.49
Q3 2026: 90.62
Q4 2026: 90.74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90.74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G57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ED - </t>
        </r>
        <r>
          <rPr>
            <sz val="10"/>
            <rFont val="FreeSans"/>
            <family val="2"/>
          </rPr>
          <t xml:space="preserve">الطوارئ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78.2
Q1 2026: 78.83
Q2 2026: 79.45
Q3 2026: 80.08
Q4 2026: 80.7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80.7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5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OP - </t>
        </r>
        <r>
          <rPr>
            <sz val="10"/>
            <rFont val="FreeSans"/>
            <family val="2"/>
          </rPr>
          <t xml:space="preserve">العيادات الخارجية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88.63
Q1 2026: 88.82
Q2 2026: 89.01
Q3 2026: 89.19
Q4 2026: 89.38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89.38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G56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IP - </t>
        </r>
        <r>
          <rPr>
            <sz val="10"/>
            <rFont val="FreeSans"/>
            <family val="2"/>
          </rPr>
          <t xml:space="preserve">التنويم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90.24
Q1 2026: 90.37
Q2 2026: 90.49
Q3 2026: 90.62
Q4 2026: 90.74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90.74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G57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ED - </t>
        </r>
        <r>
          <rPr>
            <sz val="10"/>
            <rFont val="FreeSans"/>
            <family val="2"/>
          </rPr>
          <t xml:space="preserve">الطوارئ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78.2
Q1 2026: 78.83
Q2 2026: 79.45
Q3 2026: 80.08
Q4 2026: 80.7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80.7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5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OP - </t>
        </r>
        <r>
          <rPr>
            <sz val="10"/>
            <rFont val="FreeSans"/>
            <family val="2"/>
          </rPr>
          <t xml:space="preserve">العيادات الخارجية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88.63
Q1 2026: 88.82
Q2 2026: 89.01
Q3 2026: 89.19
Q4 2026: 89.38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89.38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G56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IP - </t>
        </r>
        <r>
          <rPr>
            <sz val="10"/>
            <rFont val="FreeSans"/>
            <family val="2"/>
          </rPr>
          <t xml:space="preserve">التنويم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90.24
Q1 2026: 90.37
Q2 2026: 90.49
Q3 2026: 90.62
Q4 2026: 90.74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90.74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  <comment ref="G57" authorId="0">
      <text>
        <r>
          <rPr>
            <sz val="10"/>
            <rFont val="FreeSans"/>
            <family val="2"/>
          </rPr>
          <t xml:space="preserve">مستهدفات تجربة المستفيد </t>
        </r>
        <r>
          <rPr>
            <sz val="10"/>
            <rFont val="Arial"/>
            <family val="2"/>
          </rPr>
          <t xml:space="preserve">- ED - </t>
        </r>
        <r>
          <rPr>
            <sz val="10"/>
            <rFont val="FreeSans"/>
            <family val="2"/>
          </rPr>
          <t xml:space="preserve">الطوارئ
تجمع نجران الصحي </t>
        </r>
        <r>
          <rPr>
            <sz val="10"/>
            <rFont val="Arial"/>
            <family val="2"/>
          </rPr>
          <t xml:space="preserve">2026
</t>
        </r>
        <r>
          <rPr>
            <sz val="10"/>
            <rFont val="FreeSans"/>
            <family val="2"/>
          </rPr>
          <t xml:space="preserve">المصدر: وثيقة وزارة الصحة - مستهدفات تجربة المستفيد للمناطق </t>
        </r>
        <r>
          <rPr>
            <sz val="10"/>
            <rFont val="Arial"/>
            <family val="2"/>
          </rPr>
          <t xml:space="preserve">2026
------------------------------------
</t>
        </r>
        <r>
          <rPr>
            <sz val="10"/>
            <rFont val="FreeSans"/>
            <family val="2"/>
          </rPr>
          <t xml:space="preserve">خط الأساس </t>
        </r>
        <r>
          <rPr>
            <sz val="10"/>
            <rFont val="Arial"/>
            <family val="2"/>
          </rPr>
          <t xml:space="preserve">Q4 2025: 78.2
Q1 2026: 78.83
Q2 2026: 79.45
Q3 2026: 80.08
Q4 2026: 80.7
</t>
        </r>
        <r>
          <rPr>
            <sz val="10"/>
            <rFont val="FreeSans"/>
            <family val="2"/>
          </rPr>
          <t xml:space="preserve">المستهدف السنوي: </t>
        </r>
        <r>
          <rPr>
            <sz val="10"/>
            <rFont val="Arial"/>
            <family val="2"/>
          </rPr>
          <t xml:space="preserve">80.7
------------------------------------
⚠️ </t>
        </r>
        <r>
          <rPr>
            <sz val="10"/>
            <rFont val="FreeSans"/>
            <family val="2"/>
          </rPr>
          <t xml:space="preserve">يُحدَّث المستهدف نهاية كل ربع للربع التالي</t>
        </r>
      </text>
    </comment>
  </commentList>
</comments>
</file>

<file path=xl/sharedStrings.xml><?xml version="1.0" encoding="utf-8"?>
<sst xmlns="http://schemas.openxmlformats.org/spreadsheetml/2006/main" count="6262" uniqueCount="567">
  <si>
    <t xml:space="preserve">Executive Summary | Business Plan 2026</t>
  </si>
  <si>
    <t xml:space="preserve">TOTAL ACTIVE KPIs</t>
  </si>
  <si>
    <t xml:space="preserve">ON TARGET (YTD)</t>
  </si>
  <si>
    <t xml:space="preserve">OFF TARGET (YTD)</t>
  </si>
  <si>
    <t xml:space="preserve">NO DATA (YTD)</t>
  </si>
  <si>
    <t xml:space="preserve">HQI KPIs</t>
  </si>
  <si>
    <t xml:space="preserve">Active — Business Plan 2026</t>
  </si>
  <si>
    <t xml:space="preserve">Achievement: 71%</t>
  </si>
  <si>
    <t xml:space="preserve">Below: 29%</t>
  </si>
  <si>
    <t xml:space="preserve">No Data: 33%</t>
  </si>
  <si>
    <t xml:space="preserve">Achievement: 88%</t>
  </si>
  <si>
    <t xml:space="preserve">● Active: 127</t>
  </si>
  <si>
    <t xml:space="preserve">○ In-Active: 35</t>
  </si>
  <si>
    <t xml:space="preserve">QFR Framework</t>
  </si>
  <si>
    <t xml:space="preserve">SOF Framework</t>
  </si>
  <si>
    <t xml:space="preserve">HHC Framework</t>
  </si>
  <si>
    <t xml:space="preserve">FFR Framework</t>
  </si>
  <si>
    <t xml:space="preserve">Other Framework</t>
  </si>
  <si>
    <t xml:space="preserve">Achievement: 59%</t>
  </si>
  <si>
    <t xml:space="preserve">Achievement: 56%</t>
  </si>
  <si>
    <t xml:space="preserve">Achievement: —</t>
  </si>
  <si>
    <t xml:space="preserve">Achievement: 0%</t>
  </si>
  <si>
    <t xml:space="preserve">Department Performance</t>
  </si>
  <si>
    <t xml:space="preserve">Department</t>
  </si>
  <si>
    <t xml:space="preserve">📅 Monthly</t>
  </si>
  <si>
    <t xml:space="preserve">📆 Quarterly</t>
  </si>
  <si>
    <t xml:space="preserve">🗓️ Bi-Annual</t>
  </si>
  <si>
    <t xml:space="preserve">📅 Annual</t>
  </si>
  <si>
    <t xml:space="preserve">📊 Total</t>
  </si>
  <si>
    <t xml:space="preserve">KPIs</t>
  </si>
  <si>
    <t xml:space="preserve">%</t>
  </si>
  <si>
    <t xml:space="preserve">Operation</t>
  </si>
  <si>
    <t xml:space="preserve">—</t>
  </si>
  <si>
    <t xml:space="preserve">Finance</t>
  </si>
  <si>
    <t xml:space="preserve">Health Service</t>
  </si>
  <si>
    <t xml:space="preserve">Health Delivery</t>
  </si>
  <si>
    <t xml:space="preserve">Quality &amp; Performance</t>
  </si>
  <si>
    <t xml:space="preserve">Human Resources</t>
  </si>
  <si>
    <t xml:space="preserve">Transformation</t>
  </si>
  <si>
    <t xml:space="preserve">Digital Health</t>
  </si>
  <si>
    <t xml:space="preserve">Governance</t>
  </si>
  <si>
    <t xml:space="preserve">Training</t>
  </si>
  <si>
    <t xml:space="preserve">CLUSTER TOTAL</t>
  </si>
  <si>
    <t xml:space="preserve">Hospital Performance</t>
  </si>
  <si>
    <t xml:space="preserve">Hospital</t>
  </si>
  <si>
    <t xml:space="preserve">Habona General Hospital</t>
  </si>
  <si>
    <t xml:space="preserve">Eradah Complex and Mental Health</t>
  </si>
  <si>
    <t xml:space="preserve">West Najran Maternity and Children Hospital</t>
  </si>
  <si>
    <t xml:space="preserve">Thar Hospital</t>
  </si>
  <si>
    <t xml:space="preserve">Ydmah Hospital</t>
  </si>
  <si>
    <t xml:space="preserve">Sharorah General Hospital</t>
  </si>
  <si>
    <t xml:space="preserve">Bader Aljanoub Hospital</t>
  </si>
  <si>
    <t xml:space="preserve">Maternity and Children Hospital</t>
  </si>
  <si>
    <t xml:space="preserve">New Najran General Hospital</t>
  </si>
  <si>
    <t xml:space="preserve">Khabash Hospital</t>
  </si>
  <si>
    <t xml:space="preserve">King Khaled Hospital</t>
  </si>
  <si>
    <t xml:space="preserve">CLUSTER AVERAGE</t>
  </si>
  <si>
    <t xml:space="preserve">Monthly KPIs • 50 Active • Business Plan 2026</t>
  </si>
  <si>
    <t xml:space="preserve">TOTAL MONTHLY KPIs</t>
  </si>
  <si>
    <t xml:space="preserve">Achievement: 63%</t>
  </si>
  <si>
    <t xml:space="preserve">Below: 37%</t>
  </si>
  <si>
    <t xml:space="preserve">No Data: 4%</t>
  </si>
  <si>
    <t xml:space="preserve">● Active: 50</t>
  </si>
  <si>
    <t xml:space="preserve">○ Non-Active: 11</t>
  </si>
  <si>
    <t xml:space="preserve">Department Performance — Live</t>
  </si>
  <si>
    <t xml:space="preserve">On</t>
  </si>
  <si>
    <t xml:space="preserve">Off</t>
  </si>
  <si>
    <t xml:space="preserve">No Data</t>
  </si>
  <si>
    <t xml:space="preserve">Hospital Performance — Live (Monthly KPIs)</t>
  </si>
  <si>
    <t xml:space="preserve">Code</t>
  </si>
  <si>
    <t xml:space="preserve">KPI Name</t>
  </si>
  <si>
    <t xml:space="preserve">Dept</t>
  </si>
  <si>
    <t xml:space="preserve">Pol</t>
  </si>
  <si>
    <t xml:space="preserve">Baseline 2025</t>
  </si>
  <si>
    <t xml:space="preserve">Target</t>
  </si>
  <si>
    <t xml:space="preserve">Jan</t>
  </si>
  <si>
    <t xml:space="preserve">Feb</t>
  </si>
  <si>
    <t xml:space="preserve">Mar</t>
  </si>
  <si>
    <t xml:space="preserve">Q1</t>
  </si>
  <si>
    <t xml:space="preserve">Apr</t>
  </si>
  <si>
    <t xml:space="preserve">May</t>
  </si>
  <si>
    <t xml:space="preserve">Jun</t>
  </si>
  <si>
    <t xml:space="preserve">Q2</t>
  </si>
  <si>
    <t xml:space="preserve">Jul</t>
  </si>
  <si>
    <t xml:space="preserve">Aug</t>
  </si>
  <si>
    <t xml:space="preserve">Sep</t>
  </si>
  <si>
    <t xml:space="preserve">Q3</t>
  </si>
  <si>
    <t xml:space="preserve">Oct</t>
  </si>
  <si>
    <t xml:space="preserve">Nov</t>
  </si>
  <si>
    <t xml:space="preserve">Dec</t>
  </si>
  <si>
    <t xml:space="preserve">Q4</t>
  </si>
  <si>
    <t xml:space="preserve">YTD</t>
  </si>
  <si>
    <t xml:space="preserve">Status</t>
  </si>
  <si>
    <t xml:space="preserve">Framework</t>
  </si>
  <si>
    <t xml:space="preserve">KPI Status</t>
  </si>
  <si>
    <t xml:space="preserve">1.2.12</t>
  </si>
  <si>
    <t xml:space="preserve">Primary care appointment availability</t>
  </si>
  <si>
    <t xml:space="preserve">N</t>
  </si>
  <si>
    <t xml:space="preserve">TBD</t>
  </si>
  <si>
    <t xml:space="preserve">— No Data</t>
  </si>
  <si>
    <t xml:space="preserve">QFR</t>
  </si>
  <si>
    <t xml:space="preserve">Active</t>
  </si>
  <si>
    <t xml:space="preserve">1.2.7</t>
  </si>
  <si>
    <t xml:space="preserve">Average Waiting time for appointment in OPD (general hospital)</t>
  </si>
  <si>
    <t xml:space="preserve">✓ On Target</t>
  </si>
  <si>
    <t xml:space="preserve">SOF</t>
  </si>
  <si>
    <t xml:space="preserve">1.2.8</t>
  </si>
  <si>
    <t xml:space="preserve">Average Waiting time for appointment in OPD (mental health hospital)</t>
  </si>
  <si>
    <t xml:space="preserve">1.2.16</t>
  </si>
  <si>
    <t xml:space="preserve">Level II Referrals Index</t>
  </si>
  <si>
    <t xml:space="preserve">P</t>
  </si>
  <si>
    <t xml:space="preserve">2.2.18</t>
  </si>
  <si>
    <t xml:space="preserve">% Hospital Readmission for the same diagnosis within 30 days</t>
  </si>
  <si>
    <t xml:space="preserve">✗ Off Target</t>
  </si>
  <si>
    <t xml:space="preserve">6.12.3</t>
  </si>
  <si>
    <t xml:space="preserve">% Specialized Center Readiness</t>
  </si>
  <si>
    <t xml:space="preserve">1.2.3</t>
  </si>
  <si>
    <t xml:space="preserve">ED Closure Time</t>
  </si>
  <si>
    <t xml:space="preserve">1.2.4</t>
  </si>
  <si>
    <t xml:space="preserve">Admission Rate</t>
  </si>
  <si>
    <t xml:space="preserve">⊘ Non Target</t>
  </si>
  <si>
    <t xml:space="preserve">5.8.9</t>
  </si>
  <si>
    <t xml:space="preserve">Average Length of Stay ALOS for Inpatients (psychiatry, detox &amp; post- detox)</t>
  </si>
  <si>
    <t xml:space="preserve">1.2.13</t>
  </si>
  <si>
    <t xml:space="preserve">% Routine Referrals from PHC to Hospitals booked within 28 Days</t>
  </si>
  <si>
    <t xml:space="preserve">1.2.14</t>
  </si>
  <si>
    <t xml:space="preserve">% Urgent Referrals from PHC to Hospitals booked within 5 Days</t>
  </si>
  <si>
    <t xml:space="preserve">1.2.11</t>
  </si>
  <si>
    <t xml:space="preserve">Number of clinics to patient ratio</t>
  </si>
  <si>
    <t xml:space="preserve">3.6.3</t>
  </si>
  <si>
    <t xml:space="preserve">Physician FTE to patient ratio</t>
  </si>
  <si>
    <t xml:space="preserve">1:500</t>
  </si>
  <si>
    <t xml:space="preserve">3.6.4</t>
  </si>
  <si>
    <t xml:space="preserve">Therapist patient ratio (Therapist FTE to patient ratio)</t>
  </si>
  <si>
    <t xml:space="preserve">1: &lt; 400</t>
  </si>
  <si>
    <t xml:space="preserve">6.12.1</t>
  </si>
  <si>
    <t xml:space="preserve">% ICU Readiness for Healthcare</t>
  </si>
  <si>
    <t xml:space="preserve">6.12.2</t>
  </si>
  <si>
    <t xml:space="preserve">% ED Readiness for Healthcare</t>
  </si>
  <si>
    <t xml:space="preserve">5.8.1</t>
  </si>
  <si>
    <t xml:space="preserve">% Ward Occupancy</t>
  </si>
  <si>
    <t xml:space="preserve">60%-80%</t>
  </si>
  <si>
    <t xml:space="preserve">5.8.8</t>
  </si>
  <si>
    <t xml:space="preserve">Average Length of Stay (ALOS) for Inpatients</t>
  </si>
  <si>
    <t xml:space="preserve">2.2.20</t>
  </si>
  <si>
    <t xml:space="preserve">% Patients re-admitted within 28 days (4 weeks) from discharge (psychiatry , detox &amp; post- detox)</t>
  </si>
  <si>
    <t xml:space="preserve">2.3.1</t>
  </si>
  <si>
    <t xml:space="preserve">Overall coverage score for all pathways, (Kingdom wide and by Region)</t>
  </si>
  <si>
    <t xml:space="preserve">2.3.3</t>
  </si>
  <si>
    <t xml:space="preserve">Overall compliance score for all pathways, (Kingdom wide and by Region)</t>
  </si>
  <si>
    <t xml:space="preserve">2.3.2</t>
  </si>
  <si>
    <t xml:space="preserve">Overall achievement score by system of care (6 indicators), (Kingdom wide and by Region)</t>
  </si>
  <si>
    <t xml:space="preserve">2.2.5</t>
  </si>
  <si>
    <t xml:space="preserve">Caesarean Section Rate</t>
  </si>
  <si>
    <t xml:space="preserve">2.2.14</t>
  </si>
  <si>
    <t xml:space="preserve">Hospital Outbreak</t>
  </si>
  <si>
    <t xml:space="preserve">5.8.12</t>
  </si>
  <si>
    <t xml:space="preserve">Lab Turnaround Time (TAT)</t>
  </si>
  <si>
    <t xml:space="preserve">5.8.13</t>
  </si>
  <si>
    <t xml:space="preserve">Radiology Turnaround Time (TAT)</t>
  </si>
  <si>
    <t xml:space="preserve">6.12.4</t>
  </si>
  <si>
    <t xml:space="preserve">Blood Inventory Readiness</t>
  </si>
  <si>
    <t xml:space="preserve">2.2.17</t>
  </si>
  <si>
    <t xml:space="preserve">% All patients who re-attended emergency room within 72 hours</t>
  </si>
  <si>
    <t xml:space="preserve">2.5.9</t>
  </si>
  <si>
    <t xml:space="preserve">% Timely resolution of complaints from patients and their families</t>
  </si>
  <si>
    <t xml:space="preserve">Quality</t>
  </si>
  <si>
    <t xml:space="preserve">2.2.2</t>
  </si>
  <si>
    <t xml:space="preserve">Mortality review</t>
  </si>
  <si>
    <t xml:space="preserve">5.8.7</t>
  </si>
  <si>
    <t xml:space="preserve">% Patients with door to disposition within 4 hours</t>
  </si>
  <si>
    <t xml:space="preserve">2.2.1</t>
  </si>
  <si>
    <t xml:space="preserve">Number of reported Sentinel Events</t>
  </si>
  <si>
    <t xml:space="preserve">NA</t>
  </si>
  <si>
    <t xml:space="preserve">5.8.5</t>
  </si>
  <si>
    <t xml:space="preserve">OR Utilization</t>
  </si>
  <si>
    <t xml:space="preserve">1.2.18</t>
  </si>
  <si>
    <t xml:space="preserve">Surgery Cancellation Rate</t>
  </si>
  <si>
    <t xml:space="preserve">2.2.21</t>
  </si>
  <si>
    <t xml:space="preserve">% Left Against Medical Advice (LAMA) &amp; Discharge Against Medical Advice (DAMA)</t>
  </si>
  <si>
    <t xml:space="preserve">1.1.2</t>
  </si>
  <si>
    <t xml:space="preserve">Perioperative mortality rate</t>
  </si>
  <si>
    <t xml:space="preserve">5.8.4</t>
  </si>
  <si>
    <t xml:space="preserve">Morgue Capacity</t>
  </si>
  <si>
    <t xml:space="preserve">1.2.17</t>
  </si>
  <si>
    <t xml:space="preserve">% Patients waiting for Elective Surgeries within 36 days</t>
  </si>
  <si>
    <t xml:space="preserve">1.1.15</t>
  </si>
  <si>
    <t xml:space="preserve">In-hospital mortality rate</t>
  </si>
  <si>
    <t xml:space="preserve">2.5.3</t>
  </si>
  <si>
    <t xml:space="preserve">Patient Experience score for PHC</t>
  </si>
  <si>
    <t xml:space="preserve">HHC</t>
  </si>
  <si>
    <t xml:space="preserve">2.5.4</t>
  </si>
  <si>
    <t xml:space="preserve">Patient Experience Score for the Outpatient services</t>
  </si>
  <si>
    <t xml:space="preserve">2.5.5</t>
  </si>
  <si>
    <t xml:space="preserve">Patient Experience Score for the Inpatient services</t>
  </si>
  <si>
    <t xml:space="preserve">Low-n</t>
  </si>
  <si>
    <t xml:space="preserve">2.5.6</t>
  </si>
  <si>
    <t xml:space="preserve">Patient Experience Score for the emergency services</t>
  </si>
  <si>
    <t xml:space="preserve">2.5.10</t>
  </si>
  <si>
    <t xml:space="preserve">Overall Satisfaction with Complaint Resolution within 48 hours</t>
  </si>
  <si>
    <t xml:space="preserve">5.10.3</t>
  </si>
  <si>
    <t xml:space="preserve">% Out of Stock of Essential Medications Health Cluster Warehouse</t>
  </si>
  <si>
    <t xml:space="preserve">5.10.4</t>
  </si>
  <si>
    <t xml:space="preserve">% Out of Stock of Essential Medical Supplies Health Cluster Warehouse</t>
  </si>
  <si>
    <t xml:space="preserve">5.10.5</t>
  </si>
  <si>
    <t xml:space="preserve">% Out of Stock of Essential Lab Diagnostics Health Cluster Warehouse</t>
  </si>
  <si>
    <t xml:space="preserve">5.10.1</t>
  </si>
  <si>
    <t xml:space="preserve">% Hospital's Critical Supplies Availability</t>
  </si>
  <si>
    <t xml:space="preserve">6.11.3</t>
  </si>
  <si>
    <t xml:space="preserve">% ACO Gateway requirements met</t>
  </si>
  <si>
    <t xml:space="preserve">60% G3</t>
  </si>
  <si>
    <t xml:space="preserve">4.7.6</t>
  </si>
  <si>
    <t xml:space="preserve">% facility integrated with Naphies</t>
  </si>
  <si>
    <t xml:space="preserve">IT</t>
  </si>
  <si>
    <t xml:space="preserve">MOH-Assurance</t>
  </si>
  <si>
    <t xml:space="preserve">1.2.5</t>
  </si>
  <si>
    <t xml:space="preserve">Admission Rejection Rate</t>
  </si>
  <si>
    <t xml:space="preserve">In-Active</t>
  </si>
  <si>
    <t xml:space="preserve">1.2.6</t>
  </si>
  <si>
    <t xml:space="preserve">% Patients Boarding</t>
  </si>
  <si>
    <t xml:space="preserve">5.8.10</t>
  </si>
  <si>
    <t xml:space="preserve">Average Length of Stay (ALOS) for ICU</t>
  </si>
  <si>
    <t xml:space="preserve">1.1.8</t>
  </si>
  <si>
    <t xml:space="preserve">NICU mortality rate</t>
  </si>
  <si>
    <t xml:space="preserve">QFR / SOF</t>
  </si>
  <si>
    <t xml:space="preserve">1.1.10</t>
  </si>
  <si>
    <t xml:space="preserve">% Chronic patients discharged</t>
  </si>
  <si>
    <t xml:space="preserve">-</t>
  </si>
  <si>
    <t xml:space="preserve">2.2.16</t>
  </si>
  <si>
    <t xml:space="preserve">% Patients with at least one outstanding unintentional medication discrepancy (on admission)</t>
  </si>
  <si>
    <t xml:space="preserve">SPSC</t>
  </si>
  <si>
    <t xml:space="preserve">5.10.2</t>
  </si>
  <si>
    <t xml:space="preserve">Inventory of clinical consumables</t>
  </si>
  <si>
    <t xml:space="preserve">FFR</t>
  </si>
  <si>
    <t xml:space="preserve">3.6.12</t>
  </si>
  <si>
    <t xml:space="preserve">Total FTE (#)</t>
  </si>
  <si>
    <t xml:space="preserve">HR</t>
  </si>
  <si>
    <t xml:space="preserve">3.6.13</t>
  </si>
  <si>
    <t xml:space="preserve">Clinical Staff FTE (#) - Doctors, nurses, assistance health prof.</t>
  </si>
  <si>
    <t xml:space="preserve">3.6.19</t>
  </si>
  <si>
    <t xml:space="preserve">Allowance review rate based on eligibility verification in accordance with regulations.</t>
  </si>
  <si>
    <t xml:space="preserve">Formula</t>
  </si>
  <si>
    <t xml:space="preserve">3.6.20</t>
  </si>
  <si>
    <t xml:space="preserve">Accumulated leave balance rate.</t>
  </si>
  <si>
    <t xml:space="preserve">Quarterly KPIs • 68 Active • Business Plan 2026</t>
  </si>
  <si>
    <t xml:space="preserve">TOTAL QUARTERLY KPIs</t>
  </si>
  <si>
    <t xml:space="preserve">ON TARGET (Q1)</t>
  </si>
  <si>
    <t xml:space="preserve">OFF TARGET (Q1)</t>
  </si>
  <si>
    <t xml:space="preserve">NO DATA</t>
  </si>
  <si>
    <t xml:space="preserve">Achievement: 80%</t>
  </si>
  <si>
    <t xml:space="preserve">Below: 20%</t>
  </si>
  <si>
    <t xml:space="preserve">No Data: 19%</t>
  </si>
  <si>
    <t xml:space="preserve">● Active: 66</t>
  </si>
  <si>
    <t xml:space="preserve">○ Non-Active: 21</t>
  </si>
  <si>
    <t xml:space="preserve">Hospital Performance — Live (Quarterly KPIs)</t>
  </si>
  <si>
    <t xml:space="preserve">1.2.2</t>
  </si>
  <si>
    <t xml:space="preserve">Patients Seen in Virtual Clinic</t>
  </si>
  <si>
    <t xml:space="preserve">HQI</t>
  </si>
  <si>
    <t xml:space="preserve">1.2.9</t>
  </si>
  <si>
    <t xml:space="preserve">Days to Third Next Available Appointment</t>
  </si>
  <si>
    <t xml:space="preserve">1.2.10</t>
  </si>
  <si>
    <t xml:space="preserve">Primary care visits per capita</t>
  </si>
  <si>
    <t xml:space="preserve">6.12.5</t>
  </si>
  <si>
    <t xml:space="preserve">Emergency Preparedness (% Health region readiness &amp; preparedness to respond to national emergencies &amp; health disasters)</t>
  </si>
  <si>
    <t xml:space="preserve">QFR / HHC</t>
  </si>
  <si>
    <t xml:space="preserve">5.8.2</t>
  </si>
  <si>
    <t xml:space="preserve">Bed Occupancy Rate in Critical Care Areas</t>
  </si>
  <si>
    <t xml:space="preserve">60%-85%</t>
  </si>
  <si>
    <t xml:space="preserve">5.8.3</t>
  </si>
  <si>
    <t xml:space="preserve">Number of operated intensive care beds per 100,000 population</t>
  </si>
  <si>
    <t xml:space="preserve">5.8.11</t>
  </si>
  <si>
    <t xml:space="preserve">Average Length of Stay</t>
  </si>
  <si>
    <t xml:space="preserve">2.2.19</t>
  </si>
  <si>
    <t xml:space="preserve">Unplanned Readmission Rate Following Elective Care</t>
  </si>
  <si>
    <t xml:space="preserve">3.6.2</t>
  </si>
  <si>
    <t xml:space="preserve">Doctors to Beds Staffing Ratio</t>
  </si>
  <si>
    <t xml:space="preserve">1 : 2.1</t>
  </si>
  <si>
    <t xml:space="preserve">5.9.12-1</t>
  </si>
  <si>
    <t xml:space="preserve">Coding Coverage Rate %( Volume)</t>
  </si>
  <si>
    <t xml:space="preserve">5.9.12-2</t>
  </si>
  <si>
    <t xml:space="preserve">Coding Accuracy Rate %( Quality)</t>
  </si>
  <si>
    <t xml:space="preserve">1.2.1</t>
  </si>
  <si>
    <t xml:space="preserve">% of population with access to essential healthcare services (major &amp; remote areas)</t>
  </si>
  <si>
    <t xml:space="preserve">2.3.4</t>
  </si>
  <si>
    <t xml:space="preserve">Hypertension Screening</t>
  </si>
  <si>
    <t xml:space="preserve">2.3.5</t>
  </si>
  <si>
    <t xml:space="preserve">Obesity Screening</t>
  </si>
  <si>
    <t xml:space="preserve">2.3.6</t>
  </si>
  <si>
    <t xml:space="preserve">Diabetes Screening</t>
  </si>
  <si>
    <t xml:space="preserve">2.3.7</t>
  </si>
  <si>
    <t xml:space="preserve">Dyslipidemia Screening</t>
  </si>
  <si>
    <t xml:space="preserve">2.3.8</t>
  </si>
  <si>
    <t xml:space="preserve">Colorectal Cancer Screening</t>
  </si>
  <si>
    <t xml:space="preserve">2.3.9</t>
  </si>
  <si>
    <t xml:space="preserve">Breast Cancer Screening</t>
  </si>
  <si>
    <t xml:space="preserve">2.3.10</t>
  </si>
  <si>
    <t xml:space="preserve">Mental Health Screening</t>
  </si>
  <si>
    <t xml:space="preserve">2.3.11</t>
  </si>
  <si>
    <t xml:space="preserve">Premarital Screening</t>
  </si>
  <si>
    <t xml:space="preserve">2.3.12</t>
  </si>
  <si>
    <t xml:space="preserve">Newborn Screening</t>
  </si>
  <si>
    <t xml:space="preserve">2.3.14</t>
  </si>
  <si>
    <t xml:space="preserve">Enrollment of Top 5 Diagnoses &amp; 5 Procedures into Clinical Pathways (%)</t>
  </si>
  <si>
    <t xml:space="preserve">1.1.1</t>
  </si>
  <si>
    <t xml:space="preserve">Health Risk Assessment Completion Rate</t>
  </si>
  <si>
    <t xml:space="preserve">2.2.6</t>
  </si>
  <si>
    <t xml:space="preserve">Cesarean Delivery Rate – Uncomplicated</t>
  </si>
  <si>
    <t xml:space="preserve">CNHI</t>
  </si>
  <si>
    <t xml:space="preserve">2.2.7</t>
  </si>
  <si>
    <t xml:space="preserve">Incidence of Hospital Acquired Pressure Injury Rate per 1000</t>
  </si>
  <si>
    <t xml:space="preserve">15:1000</t>
  </si>
  <si>
    <t xml:space="preserve">2.2.8</t>
  </si>
  <si>
    <t xml:space="preserve">Inpatient Falls Rate</t>
  </si>
  <si>
    <t xml:space="preserve">2.2.9</t>
  </si>
  <si>
    <t xml:space="preserve">Incidence of Hospital-Associated VTE</t>
  </si>
  <si>
    <t xml:space="preserve">2.2.10</t>
  </si>
  <si>
    <t xml:space="preserve">CAUTI Rate</t>
  </si>
  <si>
    <t xml:space="preserve">2.2.11</t>
  </si>
  <si>
    <t xml:space="preserve">CLABSI Rate (Adult)</t>
  </si>
  <si>
    <t xml:space="preserve">2.2.12</t>
  </si>
  <si>
    <t xml:space="preserve">CLABSI Rate (NICU)</t>
  </si>
  <si>
    <t xml:space="preserve">2.2.13</t>
  </si>
  <si>
    <t xml:space="preserve">Ventilator-Associated Event (VAE) Rate</t>
  </si>
  <si>
    <t xml:space="preserve">2.2.15</t>
  </si>
  <si>
    <t xml:space="preserve">CLABSI Rate</t>
  </si>
  <si>
    <t xml:space="preserve">3.6.1</t>
  </si>
  <si>
    <t xml:space="preserve">Nurses to Beds Staffing Ratio</t>
  </si>
  <si>
    <t xml:space="preserve">2.2.4</t>
  </si>
  <si>
    <t xml:space="preserve">Percentage of Hand Hygiene Compliance</t>
  </si>
  <si>
    <t xml:space="preserve">1.1.4</t>
  </si>
  <si>
    <t xml:space="preserve">Myocardial Infarction Mortality Rate</t>
  </si>
  <si>
    <t xml:space="preserve">2.5.1</t>
  </si>
  <si>
    <t xml:space="preserve">Beneficiary experience</t>
  </si>
  <si>
    <t xml:space="preserve">2.5.2</t>
  </si>
  <si>
    <t xml:space="preserve">Patient Experience Score - HQI</t>
  </si>
  <si>
    <t xml:space="preserve">2.5.7</t>
  </si>
  <si>
    <t xml:space="preserve">Percentage of Complaints Resolved Within 72 hours</t>
  </si>
  <si>
    <t xml:space="preserve">2.5.8</t>
  </si>
  <si>
    <t xml:space="preserve">Overall Satisfaction with Complaint Resolution within 72 hours</t>
  </si>
  <si>
    <t xml:space="preserve">6.12.6</t>
  </si>
  <si>
    <t xml:space="preserve">% Cluster facilities accredited by CBAHI</t>
  </si>
  <si>
    <t xml:space="preserve">QFR / SOF / HHC</t>
  </si>
  <si>
    <t xml:space="preserve">6.12.7</t>
  </si>
  <si>
    <t xml:space="preserve">% Hospitals that achieved national essential safety requirements (ESR)</t>
  </si>
  <si>
    <t xml:space="preserve">HQI / QFR</t>
  </si>
  <si>
    <t xml:space="preserve">2.3.13</t>
  </si>
  <si>
    <t xml:space="preserve">Comprehensive Initial Assessment Compliance Rate</t>
  </si>
  <si>
    <t xml:space="preserve">5.8.6</t>
  </si>
  <si>
    <t xml:space="preserve">Admission to Elective Surgery Within Clinically Recommended Time</t>
  </si>
  <si>
    <t xml:space="preserve">5.8.14</t>
  </si>
  <si>
    <t xml:space="preserve">Median Time from ED arrival to Doctor Assessment</t>
  </si>
  <si>
    <t xml:space="preserve">1.1.3</t>
  </si>
  <si>
    <t xml:space="preserve">Stroke Mortality Rate</t>
  </si>
  <si>
    <t xml:space="preserve">1.1.5</t>
  </si>
  <si>
    <t xml:space="preserve">Community Acquired Pneumonia Mortality Rate</t>
  </si>
  <si>
    <t xml:space="preserve">1.1.6</t>
  </si>
  <si>
    <t xml:space="preserve">Hip Fracture Disease Mortality Rate</t>
  </si>
  <si>
    <t xml:space="preserve">1.1.7</t>
  </si>
  <si>
    <t xml:space="preserve">Maternal Mortality Ratio</t>
  </si>
  <si>
    <t xml:space="preserve">1.1.9</t>
  </si>
  <si>
    <t xml:space="preserve">Infant Mortality Rate</t>
  </si>
  <si>
    <t xml:space="preserve">1.1.12</t>
  </si>
  <si>
    <t xml:space="preserve">Mortality rate from NCDs</t>
  </si>
  <si>
    <t xml:space="preserve">1.1.13</t>
  </si>
  <si>
    <t xml:space="preserve">Percentage of early Death from Noncommunicable Diseases (NCDs)</t>
  </si>
  <si>
    <t xml:space="preserve">2.2.3</t>
  </si>
  <si>
    <t xml:space="preserve">% Compliance with national Healthcare Quality Index</t>
  </si>
  <si>
    <t xml:space="preserve">4.7.1</t>
  </si>
  <si>
    <t xml:space="preserve">% Of health facilities implementing electronic HIS/EMR</t>
  </si>
  <si>
    <r>
      <rPr>
        <sz val="9"/>
        <color rgb="FF1A2F5C"/>
        <rFont val="Calibri"/>
        <family val="0"/>
        <charset val="1"/>
      </rPr>
      <t xml:space="preserve">100</t>
    </r>
    <r>
      <rPr>
        <sz val="9"/>
        <color rgb="FF1A2F5C"/>
        <rFont val="FreeSans"/>
        <family val="2"/>
      </rPr>
      <t xml:space="preserve">٪</t>
    </r>
    <r>
      <rPr>
        <sz val="9"/>
        <color rgb="FF1A2F5C"/>
        <rFont val="Calibri"/>
        <family val="0"/>
        <charset val="1"/>
      </rPr>
      <t xml:space="preserve">%</t>
    </r>
  </si>
  <si>
    <t xml:space="preserve">6.11.2</t>
  </si>
  <si>
    <t xml:space="preserve">% Compliance with Audit Maturity Framework</t>
  </si>
  <si>
    <t xml:space="preserve">Audit</t>
  </si>
  <si>
    <t xml:space="preserve">6.11.5</t>
  </si>
  <si>
    <t xml:space="preserve">% of milestones achieved of approved transformational plans</t>
  </si>
  <si>
    <t xml:space="preserve">6.11.6</t>
  </si>
  <si>
    <t xml:space="preserve"># of Clusters graduated across Gates 2, 3, and 4 (actual vs SMC plan)</t>
  </si>
  <si>
    <t xml:space="preserve">3.6.6</t>
  </si>
  <si>
    <t xml:space="preserve">% Saudi personnel for specific positions (nurses)</t>
  </si>
  <si>
    <t xml:space="preserve">3.6.7</t>
  </si>
  <si>
    <t xml:space="preserve">% Vacant positions vs total number of positions</t>
  </si>
  <si>
    <t xml:space="preserve">≤ 15%</t>
  </si>
  <si>
    <t xml:space="preserve">3.6.8</t>
  </si>
  <si>
    <t xml:space="preserve">Nurse Vacancy Ratio</t>
  </si>
  <si>
    <t xml:space="preserve">3.6.14</t>
  </si>
  <si>
    <t xml:space="preserve">% Turnover Rate L1, L2</t>
  </si>
  <si>
    <t xml:space="preserve">3.6.15</t>
  </si>
  <si>
    <t xml:space="preserve">Employee turnover rate</t>
  </si>
  <si>
    <t xml:space="preserve">5.9.5</t>
  </si>
  <si>
    <t xml:space="preserve">Actual vs Budgeted Expenditure</t>
  </si>
  <si>
    <t xml:space="preserve">5.9.13</t>
  </si>
  <si>
    <t xml:space="preserve">% of Facilities accredited by CHI</t>
  </si>
  <si>
    <t xml:space="preserve">5.9.14</t>
  </si>
  <si>
    <t xml:space="preserve">Claim Rejection Rate</t>
  </si>
  <si>
    <t xml:space="preserve">3.6.11</t>
  </si>
  <si>
    <t xml:space="preserve">% Workforce enrolled in training</t>
  </si>
  <si>
    <t xml:space="preserve">MOH</t>
  </si>
  <si>
    <t xml:space="preserve">1.2.9-PHC</t>
  </si>
  <si>
    <t xml:space="preserve">Days to Third Next Available Appointment – Primary Healthcare Level</t>
  </si>
  <si>
    <t xml:space="preserve">4.7.2</t>
  </si>
  <si>
    <t xml:space="preserve">Adoption of Artificial Intelligence (AI) use cases</t>
  </si>
  <si>
    <t xml:space="preserve">HSTP</t>
  </si>
  <si>
    <t xml:space="preserve">5.9.9</t>
  </si>
  <si>
    <t xml:space="preserve">Unpaid Employee Cost as % Total Employee Cost</t>
  </si>
  <si>
    <t xml:space="preserve">1.2.15</t>
  </si>
  <si>
    <t xml:space="preserve">Efficiency Rate of Medical Referrals</t>
  </si>
  <si>
    <t xml:space="preserve">1.2.19</t>
  </si>
  <si>
    <t xml:space="preserve">Family program.</t>
  </si>
  <si>
    <t xml:space="preserve">4.7.5</t>
  </si>
  <si>
    <t xml:space="preserve">% adoption of Electronic Medical Records (EMR)</t>
  </si>
  <si>
    <t xml:space="preserve">Source</t>
  </si>
  <si>
    <t xml:space="preserve">4.7.7</t>
  </si>
  <si>
    <t xml:space="preserve">Number of residents with a unified electronic health record (EHR) who have at least three use cases.</t>
  </si>
  <si>
    <t xml:space="preserve">1.1.14</t>
  </si>
  <si>
    <t xml:space="preserve">Percentage of identified communicable diseases that achieved the targeted reduction level.</t>
  </si>
  <si>
    <t xml:space="preserve">5.10.6</t>
  </si>
  <si>
    <t xml:space="preserve">Medical supplies inventory wastage rate.</t>
  </si>
  <si>
    <t xml:space="preserve">3.6.9</t>
  </si>
  <si>
    <t xml:space="preserve">Health workforce density</t>
  </si>
  <si>
    <t xml:space="preserve">3.6.10</t>
  </si>
  <si>
    <t xml:space="preserve">Increase in the number of qualified nursing and midwifery personnel per 10,000 population.</t>
  </si>
  <si>
    <t xml:space="preserve">5.9.1</t>
  </si>
  <si>
    <t xml:space="preserve">Budget vs. Actuals Variance - (Funding &amp; Expenses)</t>
  </si>
  <si>
    <t xml:space="preserve">5.9.2</t>
  </si>
  <si>
    <t xml:space="preserve">Budget vs. Actuals Variance - (Employee Cost)</t>
  </si>
  <si>
    <t xml:space="preserve">5.9.3</t>
  </si>
  <si>
    <t xml:space="preserve">Budget vs. Actuals Variance - (Outsourced Cost)</t>
  </si>
  <si>
    <t xml:space="preserve">5.9.4</t>
  </si>
  <si>
    <t xml:space="preserve">Budget vs. Actuals Variance – (Cost of Clinical Consumables)</t>
  </si>
  <si>
    <t xml:space="preserve">5.9.7</t>
  </si>
  <si>
    <t xml:space="preserve">% of clusters on track with planned TIF reduction</t>
  </si>
  <si>
    <t xml:space="preserve">5.9.8</t>
  </si>
  <si>
    <t xml:space="preserve">Unpaid invoices as % total approved invoices</t>
  </si>
  <si>
    <t xml:space="preserve">5.9.10</t>
  </si>
  <si>
    <t xml:space="preserve">% HHC revenues generated from private insurance</t>
  </si>
  <si>
    <t xml:space="preserve">5.9.15</t>
  </si>
  <si>
    <t xml:space="preserve">Cases of Public Patients Treated in Private Facilities</t>
  </si>
  <si>
    <t xml:space="preserve">5.9.16</t>
  </si>
  <si>
    <t xml:space="preserve">Cases of private patients treated in public facilities (%)</t>
  </si>
  <si>
    <t xml:space="preserve">5.9.17</t>
  </si>
  <si>
    <t xml:space="preserve">Percentage of insurance claims paid for medical services delivered under a value-based payment model</t>
  </si>
  <si>
    <t xml:space="preserve">5.9.18</t>
  </si>
  <si>
    <t xml:space="preserve">Percentage of healthcare providers receiving value-based payments (sector)</t>
  </si>
  <si>
    <t xml:space="preserve">Bi-Annual KPIs • 6 Active • Business Plan 2026</t>
  </si>
  <si>
    <t xml:space="preserve">TOTAL BI-ANNUAL KPIs</t>
  </si>
  <si>
    <t xml:space="preserve">ACTIVE</t>
  </si>
  <si>
    <t xml:space="preserve">With Targets</t>
  </si>
  <si>
    <t xml:space="preserve">Awaiting</t>
  </si>
  <si>
    <t xml:space="preserve">HQI Framework</t>
  </si>
  <si>
    <t xml:space="preserve">● Active: 6</t>
  </si>
  <si>
    <t xml:space="preserve">○ Non-Active: 0</t>
  </si>
  <si>
    <t xml:space="preserve">Target 2026</t>
  </si>
  <si>
    <t xml:space="preserve">Value</t>
  </si>
  <si>
    <t xml:space="preserve">6.11.1-1</t>
  </si>
  <si>
    <t xml:space="preserve">% Risk Management Maturity</t>
  </si>
  <si>
    <t xml:space="preserve">Governance &amp; Risk</t>
  </si>
  <si>
    <t xml:space="preserve">6.11.1-2</t>
  </si>
  <si>
    <t xml:space="preserve">% Governance Maturity</t>
  </si>
  <si>
    <t xml:space="preserve">6.11.4</t>
  </si>
  <si>
    <t xml:space="preserve">Top 100 Medical Centers Globally</t>
  </si>
  <si>
    <t xml:space="preserve">3.6.17</t>
  </si>
  <si>
    <t xml:space="preserve">Workforce Engagement</t>
  </si>
  <si>
    <t xml:space="preserve">3.6.18</t>
  </si>
  <si>
    <t xml:space="preserve">Organization Health Index (OHI)</t>
  </si>
  <si>
    <t xml:space="preserve">3.6.16</t>
  </si>
  <si>
    <t xml:space="preserve">Staff Satisfaction Score</t>
  </si>
  <si>
    <t xml:space="preserve">Annual KPIs • 4 Active • Business Plan 2026</t>
  </si>
  <si>
    <t xml:space="preserve">TOTAL ANNUAL KPIs</t>
  </si>
  <si>
    <t xml:space="preserve">● Active: 4</t>
  </si>
  <si>
    <t xml:space="preserve">○ Non-Active: 3</t>
  </si>
  <si>
    <t xml:space="preserve">4.7.3</t>
  </si>
  <si>
    <t xml:space="preserve">Compliance with National Data Index</t>
  </si>
  <si>
    <t xml:space="preserve">SADAIA</t>
  </si>
  <si>
    <t xml:space="preserve">4.7.4</t>
  </si>
  <si>
    <t xml:space="preserve">NCA Cybersecurity Compliance</t>
  </si>
  <si>
    <t xml:space="preserve">1.1.11</t>
  </si>
  <si>
    <t xml:space="preserve">Average Life Expectancy at birth</t>
  </si>
  <si>
    <t xml:space="preserve">3.6.5</t>
  </si>
  <si>
    <t xml:space="preserve">% Saudization</t>
  </si>
  <si>
    <t xml:space="preserve">5.9.6</t>
  </si>
  <si>
    <t xml:space="preserve">HHC Health cost per beneficiary</t>
  </si>
  <si>
    <t xml:space="preserve">5.9.11</t>
  </si>
  <si>
    <t xml:space="preserve">% of clusters that have agreements in place (e.g., shadow)</t>
  </si>
  <si>
    <t xml:space="preserve">5.9.19</t>
  </si>
  <si>
    <t xml:space="preserve">Healthy life expectancy compared with per capita healthcare spending.</t>
  </si>
  <si>
    <t xml:space="preserve">King Khaled Hospital  •  KPI Performance 2026</t>
  </si>
  <si>
    <t xml:space="preserve">📅 Monthly KPIs</t>
  </si>
  <si>
    <t xml:space="preserve">📆 Quarterly KPIs</t>
  </si>
  <si>
    <t xml:space="preserve">TOTAL</t>
  </si>
  <si>
    <t xml:space="preserve">ON TARGET</t>
  </si>
  <si>
    <t xml:space="preserve">OFF TARGET</t>
  </si>
  <si>
    <t xml:space="preserve">📊 King Khaled Hospital Total</t>
  </si>
  <si>
    <t xml:space="preserve">TOTAL KPIs</t>
  </si>
  <si>
    <t xml:space="preserve">Active KPIs</t>
  </si>
  <si>
    <t xml:space="preserve">Achievement: 58%</t>
  </si>
  <si>
    <t xml:space="preserve">Below: 42%</t>
  </si>
  <si>
    <t xml:space="preserve">No Data: 8%</t>
  </si>
  <si>
    <t xml:space="preserve">Achievement: 77%</t>
  </si>
  <si>
    <t xml:space="preserve">Department Performance at KKH — Live</t>
  </si>
  <si>
    <t xml:space="preserve">Freq</t>
  </si>
  <si>
    <t xml:space="preserve">Baseline</t>
  </si>
  <si>
    <t xml:space="preserve">Monthly</t>
  </si>
  <si>
    <t xml:space="preserve">Quarterly</t>
  </si>
  <si>
    <t xml:space="preserve">1 : 1.5</t>
  </si>
  <si>
    <t xml:space="preserve">Bi-Annual</t>
  </si>
  <si>
    <t xml:space="preserve">Maternity and Children Hospital  •  KPI Performance 2026</t>
  </si>
  <si>
    <t xml:space="preserve">📊 Maternity and Children Hospital Total</t>
  </si>
  <si>
    <t xml:space="preserve">Achievement: 75%</t>
  </si>
  <si>
    <t xml:space="preserve">Below: 25%</t>
  </si>
  <si>
    <t xml:space="preserve">No Data: 12%</t>
  </si>
  <si>
    <t xml:space="preserve">Achievement: 89%</t>
  </si>
  <si>
    <t xml:space="preserve">Department Performance at MCH1 — Live</t>
  </si>
  <si>
    <t xml:space="preserve">1: 2.3</t>
  </si>
  <si>
    <t xml:space="preserve">New Najran General Hospital  •  KPI Performance 2026</t>
  </si>
  <si>
    <t xml:space="preserve">📊 New Najran General Hospital Total</t>
  </si>
  <si>
    <t xml:space="preserve">Achievement: 70%</t>
  </si>
  <si>
    <t xml:space="preserve">Below: 30%</t>
  </si>
  <si>
    <t xml:space="preserve">No Data: 11%</t>
  </si>
  <si>
    <t xml:space="preserve">Department Performance at NNGH — Live</t>
  </si>
  <si>
    <t xml:space="preserve">1:1.9</t>
  </si>
  <si>
    <t xml:space="preserve">Sharorah General Hospital  •  KPI Performance 2026</t>
  </si>
  <si>
    <t xml:space="preserve">📊 Sharorah General Hospital Total</t>
  </si>
  <si>
    <t xml:space="preserve">No Data: 6%</t>
  </si>
  <si>
    <t xml:space="preserve">Achievement: 87%</t>
  </si>
  <si>
    <t xml:space="preserve">Department Performance at SHAR — Live</t>
  </si>
  <si>
    <t xml:space="preserve">1: 1.8</t>
  </si>
  <si>
    <t xml:space="preserve">West Najran Maternity and Children Hospital  •  KPI Performance 2026</t>
  </si>
  <si>
    <t xml:space="preserve">📊 West Najran Maternity and Children Hospital Total</t>
  </si>
  <si>
    <t xml:space="preserve">Achievement: 79%</t>
  </si>
  <si>
    <t xml:space="preserve">Below: 21%</t>
  </si>
  <si>
    <t xml:space="preserve">No Data: 7%</t>
  </si>
  <si>
    <t xml:space="preserve">Achievement: 95%</t>
  </si>
  <si>
    <t xml:space="preserve">Department Performance at MCH-2 — Live</t>
  </si>
  <si>
    <t xml:space="preserve">Habona General Hospital  •  KPI Performance 2026</t>
  </si>
  <si>
    <t xml:space="preserve">📊 Habona General Hospital Total</t>
  </si>
  <si>
    <t xml:space="preserve">Achievement: 90%</t>
  </si>
  <si>
    <t xml:space="preserve">Below: 10%</t>
  </si>
  <si>
    <t xml:space="preserve">No Data: 17%</t>
  </si>
  <si>
    <t xml:space="preserve">Achievement: 100%</t>
  </si>
  <si>
    <t xml:space="preserve">Department Performance at HUB — Live</t>
  </si>
  <si>
    <t xml:space="preserve">1 : 2.8</t>
  </si>
  <si>
    <t xml:space="preserve">Khabash Hospital  •  KPI Performance 2026</t>
  </si>
  <si>
    <t xml:space="preserve">📊 Khabash Hospital Total</t>
  </si>
  <si>
    <t xml:space="preserve">Achievement: 55%</t>
  </si>
  <si>
    <t xml:space="preserve">Below: 45%</t>
  </si>
  <si>
    <t xml:space="preserve">No Data: 3%</t>
  </si>
  <si>
    <t xml:space="preserve">Department Performance at KOBASH — Live</t>
  </si>
  <si>
    <t xml:space="preserve">Bader Aljanoub Hospital  •  KPI Performance 2026</t>
  </si>
  <si>
    <t xml:space="preserve">📊 Bader Aljanoub Hospital Total</t>
  </si>
  <si>
    <t xml:space="preserve">Achievement: 84%</t>
  </si>
  <si>
    <t xml:space="preserve">Department Performance at BDR — Live</t>
  </si>
  <si>
    <t xml:space="preserve">Ydmah Hospital  •  KPI Performance 2026</t>
  </si>
  <si>
    <t xml:space="preserve">📊 Ydmah Hospital Total</t>
  </si>
  <si>
    <t xml:space="preserve">Achievement: 73%</t>
  </si>
  <si>
    <t xml:space="preserve">Below: 27%</t>
  </si>
  <si>
    <t xml:space="preserve">Achievement: 92%</t>
  </si>
  <si>
    <t xml:space="preserve">Department Performance at YDM — Live</t>
  </si>
  <si>
    <t xml:space="preserve">Thar Hospital  •  KPI Performance 2026</t>
  </si>
  <si>
    <t xml:space="preserve">📊 Thar Hospital Total</t>
  </si>
  <si>
    <t xml:space="preserve">Achievement: 83%</t>
  </si>
  <si>
    <t xml:space="preserve">Department Performance at THAR — Live</t>
  </si>
  <si>
    <t xml:space="preserve">Eradah Complex and Mental Health  •  KPI Performance 2026</t>
  </si>
  <si>
    <t xml:space="preserve">📊 Eradah Complex and Mental Health Total</t>
  </si>
  <si>
    <t xml:space="preserve">HQI ACHIEVEMENT</t>
  </si>
  <si>
    <t xml:space="preserve">No Data: 5%</t>
  </si>
  <si>
    <t xml:space="preserve">Department Performance at MENTAL — Live</t>
  </si>
  <si>
    <t xml:space="preserve">1 : 5.9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</si>
</sst>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;\-0;\—"/>
    <numFmt numFmtId="166" formatCode="0%;\-0%;\—"/>
    <numFmt numFmtId="167" formatCode="0%"/>
    <numFmt numFmtId="168" formatCode="0"/>
    <numFmt numFmtId="169" formatCode="0.00"/>
    <numFmt numFmtId="170" formatCode="0.0&quot; day&quot;"/>
    <numFmt numFmtId="171" formatCode="0.0%"/>
    <numFmt numFmtId="172" formatCode="0.0&quot; min&quot;"/>
    <numFmt numFmtId="173" formatCode="0.00&quot; days&quot;"/>
    <numFmt numFmtId="174" formatCode="0&quot; min&quot;"/>
    <numFmt numFmtId="175" formatCode="0&quot; days&quot;"/>
    <numFmt numFmtId="176" formatCode="0.0&quot; days&quot;"/>
    <numFmt numFmtId="177" formatCode="0.0"/>
  </numFmts>
  <fonts count="6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5AB4DB"/>
      <name val="Calibri"/>
      <family val="0"/>
      <charset val="1"/>
    </font>
    <font>
      <b val="true"/>
      <sz val="9"/>
      <color rgb="FF6B7B94"/>
      <name val="Calibri"/>
      <family val="0"/>
      <charset val="1"/>
    </font>
    <font>
      <b val="true"/>
      <sz val="42"/>
      <color rgb="FF1A2F5C"/>
      <name val="Calibri"/>
      <family val="0"/>
      <charset val="1"/>
    </font>
    <font>
      <b val="true"/>
      <sz val="42"/>
      <color rgb="FF2E9E5C"/>
      <name val="Calibri"/>
      <family val="0"/>
      <charset val="1"/>
    </font>
    <font>
      <b val="true"/>
      <sz val="42"/>
      <color rgb="FFD64545"/>
      <name val="Calibri"/>
      <family val="0"/>
      <charset val="1"/>
    </font>
    <font>
      <b val="true"/>
      <sz val="42"/>
      <color rgb="FFE8A33D"/>
      <name val="Calibri"/>
      <family val="0"/>
      <charset val="1"/>
    </font>
    <font>
      <b val="true"/>
      <sz val="42"/>
      <color rgb="FF6B4C99"/>
      <name val="Calibri"/>
      <family val="0"/>
      <charset val="1"/>
    </font>
    <font>
      <i val="true"/>
      <sz val="9"/>
      <color rgb="FF6B7B94"/>
      <name val="Calibri"/>
      <family val="0"/>
      <charset val="1"/>
    </font>
    <font>
      <b val="true"/>
      <sz val="10"/>
      <color rgb="FF0F5132"/>
      <name val="Calibri"/>
      <family val="0"/>
      <charset val="1"/>
    </font>
    <font>
      <b val="true"/>
      <sz val="10"/>
      <color rgb="FF6B7B94"/>
      <name val="Calibri"/>
      <family val="0"/>
      <charset val="1"/>
    </font>
    <font>
      <sz val="11"/>
      <name val="Cambria"/>
      <family val="0"/>
      <charset val="1"/>
    </font>
    <font>
      <b val="true"/>
      <sz val="42"/>
      <color rgb="FF1A8B8E"/>
      <name val="Calibri"/>
      <family val="0"/>
      <charset val="1"/>
    </font>
    <font>
      <b val="true"/>
      <sz val="42"/>
      <color rgb="FF0F2A4A"/>
      <name val="Calibri"/>
      <family val="0"/>
      <charset val="1"/>
    </font>
    <font>
      <b val="true"/>
      <sz val="42"/>
      <color rgb="FFB45309"/>
      <name val="Calibri"/>
      <family val="0"/>
      <charset val="1"/>
    </font>
    <font>
      <b val="true"/>
      <sz val="42"/>
      <color rgb="FF475569"/>
      <name val="Calibri"/>
      <family val="0"/>
      <charset val="1"/>
    </font>
    <font>
      <sz val="9"/>
      <color rgb="FF6B7B94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1E293B"/>
      <name val="Calibri"/>
      <family val="0"/>
      <charset val="1"/>
    </font>
    <font>
      <sz val="10"/>
      <color rgb="FF1E293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3"/>
      <color rgb="FF0E7A8C"/>
      <name val="Calibri"/>
      <family val="0"/>
      <charset val="1"/>
    </font>
    <font>
      <b val="true"/>
      <sz val="10"/>
      <color rgb="FF1A2F5C"/>
      <name val="Calibri"/>
      <family val="0"/>
      <charset val="1"/>
    </font>
    <font>
      <b val="true"/>
      <sz val="10"/>
      <color rgb="FF0E7A8C"/>
      <name val="Calibri"/>
      <family val="0"/>
      <charset val="1"/>
    </font>
    <font>
      <b val="true"/>
      <sz val="10"/>
      <color rgb="FF2E9E5C"/>
      <name val="Cambria"/>
      <family val="0"/>
      <charset val="1"/>
    </font>
    <font>
      <b val="true"/>
      <sz val="10"/>
      <color rgb="FFD64545"/>
      <name val="Cambria"/>
      <family val="0"/>
      <charset val="1"/>
    </font>
    <font>
      <b val="true"/>
      <sz val="10"/>
      <color rgb="FFE8A33D"/>
      <name val="Cambria"/>
      <family val="0"/>
      <charset val="1"/>
    </font>
    <font>
      <b val="true"/>
      <sz val="11"/>
      <color rgb="FF1A2F5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0"/>
      <color rgb="FF0E7A8C"/>
      <name val="Cambria"/>
      <family val="0"/>
      <charset val="1"/>
    </font>
    <font>
      <b val="true"/>
      <sz val="9"/>
      <color rgb="FF0E7A8C"/>
      <name val="Calibri"/>
      <family val="0"/>
      <charset val="1"/>
    </font>
    <font>
      <sz val="9"/>
      <color rgb="FF1A2F5C"/>
      <name val="Calibri"/>
      <family val="0"/>
      <charset val="1"/>
    </font>
    <font>
      <b val="true"/>
      <sz val="9"/>
      <color rgb="FF1A2F5C"/>
      <name val="Cambria"/>
      <family val="0"/>
      <charset val="1"/>
    </font>
    <font>
      <b val="true"/>
      <sz val="9"/>
      <name val="Cambria"/>
      <family val="0"/>
      <charset val="1"/>
    </font>
    <font>
      <sz val="9"/>
      <color rgb="FF1E293B"/>
      <name val="Calibri"/>
      <family val="0"/>
      <charset val="1"/>
    </font>
    <font>
      <b val="true"/>
      <sz val="9"/>
      <color rgb="FF1A2F5C"/>
      <name val="Calibri"/>
      <family val="0"/>
      <charset val="1"/>
    </font>
    <font>
      <sz val="10"/>
      <name val="FreeSans"/>
      <family val="2"/>
    </font>
    <font>
      <sz val="10"/>
      <name val="Arial"/>
      <family val="2"/>
    </font>
    <font>
      <sz val="9"/>
      <color rgb="FF1A2F5C"/>
      <name val="FreeSans"/>
      <family val="2"/>
    </font>
    <font>
      <b val="true"/>
      <sz val="13"/>
      <color rgb="FF0E7A8C"/>
      <name val="Cambria"/>
      <family val="0"/>
      <charset val="1"/>
    </font>
    <font>
      <b val="true"/>
      <sz val="10"/>
      <color rgb="FF2E9E5C"/>
      <name val="Calibri"/>
      <family val="0"/>
      <charset val="1"/>
    </font>
    <font>
      <b val="true"/>
      <sz val="10"/>
      <color rgb="FFE8A33D"/>
      <name val="Calibri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2"/>
      <color rgb="FF1A2F5C"/>
      <name val="Calibri"/>
      <family val="0"/>
      <charset val="1"/>
    </font>
    <font>
      <b val="true"/>
      <sz val="32"/>
      <color rgb="FF1A2F5C"/>
      <name val="Calibri"/>
      <family val="0"/>
      <charset val="1"/>
    </font>
    <font>
      <b val="true"/>
      <sz val="32"/>
      <color rgb="FF2E9E5C"/>
      <name val="Calibri"/>
      <family val="0"/>
      <charset val="1"/>
    </font>
    <font>
      <b val="true"/>
      <sz val="32"/>
      <color rgb="FFD64545"/>
      <name val="Calibri"/>
      <family val="0"/>
      <charset val="1"/>
    </font>
    <font>
      <b val="true"/>
      <sz val="32"/>
      <color rgb="FFE8A33D"/>
      <name val="Calibri"/>
      <family val="0"/>
      <charset val="1"/>
    </font>
    <font>
      <b val="true"/>
      <sz val="13"/>
      <color rgb="FF1D94A8"/>
      <name val="Calibri"/>
      <family val="0"/>
      <charset val="1"/>
    </font>
    <font>
      <b val="true"/>
      <sz val="9"/>
      <color rgb="FF6B7B94"/>
      <name val="Aptos Narrow"/>
      <family val="0"/>
      <charset val="1"/>
    </font>
    <font>
      <b val="true"/>
      <sz val="36"/>
      <color rgb="FF1D94A8"/>
      <name val="Calibri"/>
      <family val="0"/>
      <charset val="1"/>
    </font>
    <font>
      <b val="true"/>
      <sz val="36"/>
      <color rgb="FF2E9E5C"/>
      <name val="Calibri"/>
      <family val="0"/>
      <charset val="1"/>
    </font>
    <font>
      <b val="true"/>
      <sz val="36"/>
      <color rgb="FFD64545"/>
      <name val="Calibri"/>
      <family val="0"/>
      <charset val="1"/>
    </font>
    <font>
      <b val="true"/>
      <sz val="36"/>
      <color rgb="FFE8A33D"/>
      <name val="Calibri"/>
      <family val="0"/>
      <charset val="1"/>
    </font>
    <font>
      <b val="true"/>
      <sz val="42"/>
      <color rgb="FF6B4C99"/>
      <name val="Aptos Narrow"/>
      <family val="0"/>
      <charset val="1"/>
    </font>
    <font>
      <sz val="9"/>
      <color rgb="FF6B7B94"/>
      <name val="Aptos Narrow"/>
      <family val="0"/>
      <charset val="1"/>
    </font>
    <font>
      <b val="true"/>
      <sz val="9"/>
      <color rgb="FF6B4C99"/>
      <name val="Cambria"/>
      <family val="0"/>
      <charset val="1"/>
    </font>
    <font>
      <b val="true"/>
      <sz val="9"/>
      <color rgb="FF6B4C99"/>
      <name val="Calibri"/>
      <family val="0"/>
      <charset val="1"/>
    </font>
    <font>
      <b val="true"/>
      <sz val="36"/>
      <color rgb="FF6B4C99"/>
      <name val="Calibri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A2F5C"/>
        <bgColor rgb="FF0F2A4A"/>
      </patternFill>
    </fill>
    <fill>
      <patternFill patternType="solid">
        <fgColor rgb="FF2E9E5C"/>
        <bgColor rgb="FF1A8B8E"/>
      </patternFill>
    </fill>
    <fill>
      <patternFill patternType="solid">
        <fgColor rgb="FFD64545"/>
        <bgColor rgb="FFB45309"/>
      </patternFill>
    </fill>
    <fill>
      <patternFill patternType="solid">
        <fgColor rgb="FFE8A33D"/>
        <bgColor rgb="FFFF8080"/>
      </patternFill>
    </fill>
    <fill>
      <patternFill patternType="solid">
        <fgColor rgb="FF6B4C99"/>
        <bgColor rgb="FF475569"/>
      </patternFill>
    </fill>
    <fill>
      <patternFill patternType="solid">
        <fgColor rgb="FFFFFFFF"/>
        <bgColor rgb="FFF8FAFC"/>
      </patternFill>
    </fill>
    <fill>
      <patternFill patternType="solid">
        <fgColor rgb="FFC6EFCE"/>
        <bgColor rgb="FFD4F0DE"/>
      </patternFill>
    </fill>
    <fill>
      <patternFill patternType="solid">
        <fgColor rgb="FFE5E7EB"/>
        <bgColor rgb="FFE0E0E0"/>
      </patternFill>
    </fill>
    <fill>
      <patternFill patternType="solid">
        <fgColor rgb="FFE8F4FA"/>
        <bgColor rgb="FFF4F8FB"/>
      </patternFill>
    </fill>
    <fill>
      <patternFill patternType="solid">
        <fgColor rgb="FF0F2A4A"/>
        <bgColor rgb="FF1A2F5C"/>
      </patternFill>
    </fill>
    <fill>
      <patternFill patternType="solid">
        <fgColor rgb="FF1A8B8E"/>
        <bgColor rgb="FF1D94A8"/>
      </patternFill>
    </fill>
    <fill>
      <patternFill patternType="solid">
        <fgColor rgb="FFF8FAFC"/>
        <bgColor rgb="FFF4F8FB"/>
      </patternFill>
    </fill>
    <fill>
      <patternFill patternType="solid">
        <fgColor rgb="FF0A1F38"/>
        <bgColor rgb="FF0F2A4A"/>
      </patternFill>
    </fill>
    <fill>
      <patternFill patternType="solid">
        <fgColor rgb="FFF4F8FB"/>
        <bgColor rgb="FFF8FAFC"/>
      </patternFill>
    </fill>
    <fill>
      <patternFill patternType="solid">
        <fgColor rgb="FF1D94A8"/>
        <bgColor rgb="FF1A8B8E"/>
      </patternFill>
    </fill>
    <fill>
      <patternFill patternType="solid">
        <fgColor rgb="FF0E7A8C"/>
        <bgColor rgb="FF1A8B8E"/>
      </patternFill>
    </fill>
    <fill>
      <patternFill patternType="solid">
        <fgColor rgb="FFF0FDFA"/>
        <bgColor rgb="FFF4F8FB"/>
      </patternFill>
    </fill>
    <fill>
      <patternFill patternType="solid">
        <fgColor rgb="FFE0E0E0"/>
        <bgColor rgb="FFE5E7EB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medium">
        <color rgb="FF0F2A4A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medium">
        <color rgb="FF0F2A4A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7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2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3" fillId="7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5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2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4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9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1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9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3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70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3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41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71" fontId="3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71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3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3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73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3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3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9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3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1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8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3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74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3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75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41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77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41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72" fontId="3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72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7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8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4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3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1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7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1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41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37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3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6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6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6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41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76" fontId="6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3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73" fontId="6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6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19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71" fontId="4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1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0" fillId="1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0" fillId="19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73" fontId="4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0" fillId="1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9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9" fontId="4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19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74" fontId="4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1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4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i val="1"/>
        <color rgb="FF6B7280"/>
      </font>
      <fill>
        <patternFill>
          <bgColor rgb="FFE5E7EB"/>
        </patternFill>
      </fill>
    </dxf>
    <dxf>
      <font>
        <b val="1"/>
        <color rgb="FF2E9E5C"/>
        <sz val="9"/>
      </font>
      <fill>
        <patternFill>
          <bgColor rgb="FFD4F0DE"/>
        </patternFill>
      </fill>
    </dxf>
    <dxf>
      <font>
        <b val="1"/>
        <color rgb="FFD64545"/>
        <sz val="9"/>
      </font>
      <fill>
        <patternFill>
          <bgColor rgb="FFFDE2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0FDFA"/>
      <rgbColor rgb="FFFF00FF"/>
      <rgbColor rgb="FF00FFFF"/>
      <rgbColor rgb="FF9C0006"/>
      <rgbColor rgb="FF006100"/>
      <rgbColor rgb="FF000080"/>
      <rgbColor rgb="FF808000"/>
      <rgbColor rgb="FF800080"/>
      <rgbColor rgb="FF0E7A8C"/>
      <rgbColor rgb="FFD1D5DB"/>
      <rgbColor rgb="FF6B7B94"/>
      <rgbColor rgb="FF9999FF"/>
      <rgbColor rgb="FF6B4C99"/>
      <rgbColor rgb="FFF8FAFC"/>
      <rgbColor rgb="FFD4F0DE"/>
      <rgbColor rgb="FF660066"/>
      <rgbColor rgb="FFFF8080"/>
      <rgbColor rgb="FF1D94A8"/>
      <rgbColor rgb="FFCBD5E1"/>
      <rgbColor rgb="FF000080"/>
      <rgbColor rgb="FFFF00FF"/>
      <rgbColor rgb="FFF4F8FB"/>
      <rgbColor rgb="FF00FFFF"/>
      <rgbColor rgb="FF800080"/>
      <rgbColor rgb="FF800000"/>
      <rgbColor rgb="FF1A8B8E"/>
      <rgbColor rgb="FF0000FF"/>
      <rgbColor rgb="FF00CCFF"/>
      <rgbColor rgb="FFE8F4FA"/>
      <rgbColor rgb="FFC6EFCE"/>
      <rgbColor rgb="FFFFEB9C"/>
      <rgbColor rgb="FFE0E0E0"/>
      <rgbColor rgb="FFFDE2E0"/>
      <rgbColor rgb="FFE5E7EB"/>
      <rgbColor rgb="FFFFC7CE"/>
      <rgbColor rgb="FF475569"/>
      <rgbColor rgb="FF5AB4DB"/>
      <rgbColor rgb="FF99CC00"/>
      <rgbColor rgb="FFFFCC00"/>
      <rgbColor rgb="FFE8A33D"/>
      <rgbColor rgb="FFB45309"/>
      <rgbColor rgb="FF6B7280"/>
      <rgbColor rgb="FF969696"/>
      <rgbColor rgb="FF0F2A4A"/>
      <rgbColor rgb="FF2E9E5C"/>
      <rgbColor rgb="FF0A1F38"/>
      <rgbColor rgb="FF0F5132"/>
      <rgbColor rgb="FF9C5700"/>
      <rgbColor rgb="FFD64545"/>
      <rgbColor rgb="FF1A2F5C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13</xdr:col>
      <xdr:colOff>178920</xdr:colOff>
      <xdr:row>3</xdr:row>
      <xdr:rowOff>93240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7471440" y="152280"/>
          <a:ext cx="2998440" cy="85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8</xdr:col>
      <xdr:colOff>38160</xdr:colOff>
      <xdr:row>3</xdr:row>
      <xdr:rowOff>93240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5145480" y="152280"/>
          <a:ext cx="2998440" cy="85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9</xdr:col>
      <xdr:colOff>38160</xdr:colOff>
      <xdr:row>3</xdr:row>
      <xdr:rowOff>93240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5216040" y="190440"/>
          <a:ext cx="3703320" cy="474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9</xdr:col>
      <xdr:colOff>38160</xdr:colOff>
      <xdr:row>3</xdr:row>
      <xdr:rowOff>93240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5216040" y="190440"/>
          <a:ext cx="3703320" cy="474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15</xdr:col>
      <xdr:colOff>390600</xdr:colOff>
      <xdr:row>3</xdr:row>
      <xdr:rowOff>93240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7753320" y="152280"/>
          <a:ext cx="2998440" cy="85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15</xdr:col>
      <xdr:colOff>390600</xdr:colOff>
      <xdr:row>3</xdr:row>
      <xdr:rowOff>93240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7753320" y="152280"/>
          <a:ext cx="2998440" cy="85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15</xdr:col>
      <xdr:colOff>390600</xdr:colOff>
      <xdr:row>3</xdr:row>
      <xdr:rowOff>93240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7753320" y="152280"/>
          <a:ext cx="2998440" cy="85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15</xdr:col>
      <xdr:colOff>390600</xdr:colOff>
      <xdr:row>3</xdr:row>
      <xdr:rowOff>93240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7753320" y="152280"/>
          <a:ext cx="2998440" cy="85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15</xdr:col>
      <xdr:colOff>390600</xdr:colOff>
      <xdr:row>3</xdr:row>
      <xdr:rowOff>93240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7753320" y="152280"/>
          <a:ext cx="2998440" cy="85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15</xdr:col>
      <xdr:colOff>390600</xdr:colOff>
      <xdr:row>3</xdr:row>
      <xdr:rowOff>93240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7753320" y="152280"/>
          <a:ext cx="2998440" cy="85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15</xdr:col>
      <xdr:colOff>390600</xdr:colOff>
      <xdr:row>3</xdr:row>
      <xdr:rowOff>93240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7753320" y="152280"/>
          <a:ext cx="2998440" cy="85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15</xdr:col>
      <xdr:colOff>390600</xdr:colOff>
      <xdr:row>3</xdr:row>
      <xdr:rowOff>93240</xdr:rowOff>
    </xdr:to>
    <xdr:pic>
      <xdr:nvPicPr>
        <xdr:cNvPr id="11" name="Image 1" descr="Picture"/>
        <xdr:cNvPicPr/>
      </xdr:nvPicPr>
      <xdr:blipFill>
        <a:blip r:embed="rId1"/>
        <a:stretch/>
      </xdr:blipFill>
      <xdr:spPr>
        <a:xfrm>
          <a:off x="7753320" y="152280"/>
          <a:ext cx="2998440" cy="85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15</xdr:col>
      <xdr:colOff>390600</xdr:colOff>
      <xdr:row>3</xdr:row>
      <xdr:rowOff>93240</xdr:rowOff>
    </xdr:to>
    <xdr:pic>
      <xdr:nvPicPr>
        <xdr:cNvPr id="12" name="Image 1" descr="Picture"/>
        <xdr:cNvPicPr/>
      </xdr:nvPicPr>
      <xdr:blipFill>
        <a:blip r:embed="rId1"/>
        <a:stretch/>
      </xdr:blipFill>
      <xdr:spPr>
        <a:xfrm>
          <a:off x="7753320" y="152280"/>
          <a:ext cx="2998440" cy="85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15</xdr:col>
      <xdr:colOff>390600</xdr:colOff>
      <xdr:row>3</xdr:row>
      <xdr:rowOff>93240</xdr:rowOff>
    </xdr:to>
    <xdr:pic>
      <xdr:nvPicPr>
        <xdr:cNvPr id="13" name="Image 1" descr="Picture"/>
        <xdr:cNvPicPr/>
      </xdr:nvPicPr>
      <xdr:blipFill>
        <a:blip r:embed="rId1"/>
        <a:stretch/>
      </xdr:blipFill>
      <xdr:spPr>
        <a:xfrm>
          <a:off x="7753320" y="152280"/>
          <a:ext cx="2998440" cy="85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15</xdr:col>
      <xdr:colOff>390600</xdr:colOff>
      <xdr:row>3</xdr:row>
      <xdr:rowOff>93240</xdr:rowOff>
    </xdr:to>
    <xdr:pic>
      <xdr:nvPicPr>
        <xdr:cNvPr id="14" name="Image 1" descr="Picture"/>
        <xdr:cNvPicPr/>
      </xdr:nvPicPr>
      <xdr:blipFill>
        <a:blip r:embed="rId1"/>
        <a:stretch/>
      </xdr:blipFill>
      <xdr:spPr>
        <a:xfrm>
          <a:off x="7753320" y="152280"/>
          <a:ext cx="2998440" cy="855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6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7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8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9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0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65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11"/>
    <col collapsed="false" customWidth="true" hidden="false" outlineLevel="0" max="24" min="24" style="1" width="5"/>
    <col collapsed="false" customWidth="true" hidden="false" outlineLevel="0" max="27" min="27" style="1" width="1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7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7.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7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6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24" hidden="false" customHeight="true" outlineLevel="0" collapsed="false">
      <c r="A7" s="3" t="s">
        <v>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6" hidden="false" customHeight="true" outlineLevel="0" collapsed="false"/>
    <row r="9" customFormat="false" ht="6" hidden="false" customHeight="true" outlineLevel="0" collapsed="false">
      <c r="B9" s="4"/>
      <c r="C9" s="4"/>
      <c r="D9" s="5"/>
      <c r="E9" s="5"/>
      <c r="F9" s="6"/>
      <c r="G9" s="6"/>
      <c r="H9" s="7"/>
      <c r="I9" s="7"/>
      <c r="J9" s="8"/>
      <c r="K9" s="8"/>
    </row>
    <row r="10" customFormat="false" ht="21.75" hidden="false" customHeight="true" outlineLevel="0" collapsed="false">
      <c r="B10" s="9" t="s">
        <v>1</v>
      </c>
      <c r="C10" s="9"/>
      <c r="D10" s="9" t="s">
        <v>2</v>
      </c>
      <c r="E10" s="9"/>
      <c r="F10" s="9" t="s">
        <v>3</v>
      </c>
      <c r="G10" s="9"/>
      <c r="H10" s="9" t="s">
        <v>4</v>
      </c>
      <c r="I10" s="9"/>
      <c r="J10" s="9" t="s">
        <v>5</v>
      </c>
      <c r="K10" s="9"/>
    </row>
    <row r="11" customFormat="false" ht="30" hidden="false" customHeight="true" outlineLevel="0" collapsed="false">
      <c r="B11" s="10" t="n">
        <v>127</v>
      </c>
      <c r="C11" s="10"/>
      <c r="D11" s="11" t="n">
        <v>52</v>
      </c>
      <c r="E11" s="11"/>
      <c r="F11" s="12" t="n">
        <v>34</v>
      </c>
      <c r="G11" s="12"/>
      <c r="H11" s="13" t="n">
        <v>41</v>
      </c>
      <c r="I11" s="13"/>
      <c r="J11" s="14" t="n">
        <v>39</v>
      </c>
      <c r="K11" s="14"/>
    </row>
    <row r="12" customFormat="false" ht="3.75" hidden="false" customHeight="true" outlineLevel="0" collapsed="false">
      <c r="B12" s="10"/>
      <c r="C12" s="10"/>
      <c r="D12" s="11"/>
      <c r="E12" s="11"/>
      <c r="F12" s="12"/>
      <c r="G12" s="12"/>
      <c r="H12" s="13"/>
      <c r="I12" s="13"/>
      <c r="J12" s="14"/>
      <c r="K12" s="14"/>
    </row>
    <row r="13" customFormat="false" ht="18" hidden="false" customHeight="true" outlineLevel="0" collapsed="false">
      <c r="B13" s="15" t="s">
        <v>6</v>
      </c>
      <c r="C13" s="15"/>
      <c r="D13" s="15" t="s">
        <v>7</v>
      </c>
      <c r="E13" s="15"/>
      <c r="F13" s="15" t="s">
        <v>8</v>
      </c>
      <c r="G13" s="15"/>
      <c r="H13" s="15" t="s">
        <v>9</v>
      </c>
      <c r="I13" s="15"/>
      <c r="J13" s="15" t="s">
        <v>10</v>
      </c>
      <c r="K13" s="15"/>
    </row>
    <row r="14" customFormat="false" ht="25.5" hidden="false" customHeight="true" outlineLevel="0" collapsed="false">
      <c r="B14" s="16" t="s">
        <v>11</v>
      </c>
      <c r="C14" s="17" t="s">
        <v>12</v>
      </c>
      <c r="D14" s="18"/>
      <c r="E14" s="18"/>
      <c r="F14" s="18"/>
      <c r="G14" s="18"/>
      <c r="H14" s="18"/>
      <c r="I14" s="18"/>
      <c r="J14" s="18"/>
      <c r="K14" s="18"/>
    </row>
    <row r="15" customFormat="false" ht="6" hidden="false" customHeight="true" outlineLevel="0" collapsed="false"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customFormat="false" ht="21.75" hidden="false" customHeight="true" outlineLevel="0" collapsed="false">
      <c r="B16" s="9" t="s">
        <v>13</v>
      </c>
      <c r="C16" s="9"/>
      <c r="D16" s="9" t="s">
        <v>14</v>
      </c>
      <c r="E16" s="9"/>
      <c r="F16" s="9" t="s">
        <v>15</v>
      </c>
      <c r="G16" s="9"/>
      <c r="H16" s="9" t="s">
        <v>16</v>
      </c>
      <c r="I16" s="9"/>
      <c r="J16" s="9" t="s">
        <v>17</v>
      </c>
      <c r="K16" s="9"/>
      <c r="L16" s="20"/>
      <c r="M16" s="20"/>
      <c r="N16" s="19"/>
      <c r="O16" s="20"/>
      <c r="P16" s="19"/>
      <c r="Q16" s="20"/>
      <c r="R16" s="19"/>
      <c r="S16" s="20"/>
      <c r="T16" s="19"/>
      <c r="U16" s="20"/>
      <c r="V16" s="19"/>
      <c r="W16" s="20"/>
      <c r="X16" s="20"/>
    </row>
    <row r="17" customFormat="false" ht="30" hidden="false" customHeight="true" outlineLevel="0" collapsed="false">
      <c r="B17" s="21" t="n">
        <v>46</v>
      </c>
      <c r="C17" s="21"/>
      <c r="D17" s="14" t="n">
        <v>11</v>
      </c>
      <c r="E17" s="14"/>
      <c r="F17" s="22" t="n">
        <v>19</v>
      </c>
      <c r="G17" s="22"/>
      <c r="H17" s="23" t="n">
        <v>0</v>
      </c>
      <c r="I17" s="23"/>
      <c r="J17" s="24" t="n">
        <v>15</v>
      </c>
      <c r="K17" s="24"/>
      <c r="L17" s="20"/>
      <c r="M17" s="20"/>
      <c r="N17" s="19"/>
      <c r="O17" s="20"/>
      <c r="P17" s="19"/>
      <c r="Q17" s="20"/>
      <c r="R17" s="19"/>
      <c r="S17" s="20"/>
      <c r="T17" s="19"/>
      <c r="U17" s="20"/>
      <c r="V17" s="19"/>
      <c r="W17" s="20"/>
      <c r="X17" s="20"/>
    </row>
    <row r="18" customFormat="false" ht="3.75" hidden="false" customHeight="true" outlineLevel="0" collapsed="false">
      <c r="B18" s="21"/>
      <c r="C18" s="21"/>
      <c r="D18" s="14"/>
      <c r="E18" s="14"/>
      <c r="F18" s="22"/>
      <c r="G18" s="22"/>
      <c r="H18" s="23"/>
      <c r="I18" s="23"/>
      <c r="J18" s="24"/>
      <c r="K18" s="24"/>
      <c r="L18" s="20"/>
      <c r="M18" s="20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20"/>
    </row>
    <row r="19" customFormat="false" ht="18" hidden="false" customHeight="true" outlineLevel="0" collapsed="false">
      <c r="B19" s="25" t="s">
        <v>18</v>
      </c>
      <c r="C19" s="25"/>
      <c r="D19" s="25" t="s">
        <v>7</v>
      </c>
      <c r="E19" s="25"/>
      <c r="F19" s="25" t="s">
        <v>19</v>
      </c>
      <c r="G19" s="25"/>
      <c r="H19" s="25" t="s">
        <v>20</v>
      </c>
      <c r="I19" s="25"/>
      <c r="J19" s="25" t="s">
        <v>21</v>
      </c>
      <c r="K19" s="25"/>
      <c r="L19" s="20"/>
      <c r="M19" s="20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20"/>
    </row>
    <row r="20" customFormat="false" ht="7.5" hidden="false" customHeight="true" outlineLevel="0" collapsed="false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customFormat="false" ht="19.5" hidden="false" customHeight="true" outlineLevel="0" collapsed="false">
      <c r="B21" s="26" t="s">
        <v>22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customFormat="false" ht="18" hidden="false" customHeight="true" outlineLevel="0" collapsed="false">
      <c r="B22" s="27" t="s">
        <v>23</v>
      </c>
      <c r="C22" s="27"/>
      <c r="D22" s="27" t="s">
        <v>24</v>
      </c>
      <c r="E22" s="27"/>
      <c r="F22" s="27" t="s">
        <v>25</v>
      </c>
      <c r="G22" s="27"/>
      <c r="H22" s="27" t="s">
        <v>26</v>
      </c>
      <c r="I22" s="27"/>
      <c r="J22" s="27" t="s">
        <v>27</v>
      </c>
      <c r="K22" s="27"/>
      <c r="L22" s="27" t="s">
        <v>28</v>
      </c>
      <c r="M22" s="27"/>
    </row>
    <row r="23" customFormat="false" ht="13.5" hidden="false" customHeight="true" outlineLevel="0" collapsed="false">
      <c r="B23" s="27"/>
      <c r="C23" s="27"/>
      <c r="D23" s="28" t="s">
        <v>29</v>
      </c>
      <c r="E23" s="28" t="s">
        <v>30</v>
      </c>
      <c r="F23" s="28" t="s">
        <v>29</v>
      </c>
      <c r="G23" s="28" t="s">
        <v>30</v>
      </c>
      <c r="H23" s="28" t="s">
        <v>29</v>
      </c>
      <c r="I23" s="28" t="s">
        <v>30</v>
      </c>
      <c r="J23" s="28" t="s">
        <v>29</v>
      </c>
      <c r="K23" s="28" t="s">
        <v>30</v>
      </c>
      <c r="L23" s="28" t="s">
        <v>29</v>
      </c>
      <c r="M23" s="28" t="s">
        <v>30</v>
      </c>
    </row>
    <row r="24" customFormat="false" ht="15" hidden="false" customHeight="true" outlineLevel="0" collapsed="false">
      <c r="B24" s="29" t="s">
        <v>31</v>
      </c>
      <c r="C24" s="29"/>
      <c r="D24" s="30" t="n">
        <v>4</v>
      </c>
      <c r="E24" s="31" t="n">
        <v>1</v>
      </c>
      <c r="F24" s="30" t="s">
        <v>32</v>
      </c>
      <c r="G24" s="31" t="s">
        <v>32</v>
      </c>
      <c r="H24" s="30" t="n">
        <v>0</v>
      </c>
      <c r="I24" s="31" t="s">
        <v>32</v>
      </c>
      <c r="J24" s="30" t="n">
        <v>0</v>
      </c>
      <c r="K24" s="31" t="s">
        <v>32</v>
      </c>
      <c r="L24" s="30" t="n">
        <v>4</v>
      </c>
      <c r="M24" s="31" t="n">
        <v>1</v>
      </c>
      <c r="AD24" s="32"/>
    </row>
    <row r="25" customFormat="false" ht="15" hidden="false" customHeight="true" outlineLevel="0" collapsed="false">
      <c r="B25" s="33" t="s">
        <v>33</v>
      </c>
      <c r="C25" s="33"/>
      <c r="D25" s="34" t="s">
        <v>32</v>
      </c>
      <c r="E25" s="35" t="s">
        <v>32</v>
      </c>
      <c r="F25" s="34" t="n">
        <v>5</v>
      </c>
      <c r="G25" s="35" t="n">
        <v>1</v>
      </c>
      <c r="H25" s="34" t="n">
        <v>0</v>
      </c>
      <c r="I25" s="35" t="s">
        <v>32</v>
      </c>
      <c r="J25" s="34" t="n">
        <v>0</v>
      </c>
      <c r="K25" s="35" t="s">
        <v>32</v>
      </c>
      <c r="L25" s="34" t="n">
        <v>5</v>
      </c>
      <c r="M25" s="35" t="n">
        <v>1</v>
      </c>
      <c r="AD25" s="32"/>
    </row>
    <row r="26" customFormat="false" ht="15" hidden="false" customHeight="true" outlineLevel="0" collapsed="false">
      <c r="B26" s="29" t="s">
        <v>34</v>
      </c>
      <c r="C26" s="29"/>
      <c r="D26" s="30" t="n">
        <v>9</v>
      </c>
      <c r="E26" s="31" t="n">
        <v>0.375</v>
      </c>
      <c r="F26" s="30" t="n">
        <v>26</v>
      </c>
      <c r="G26" s="31" t="n">
        <v>0.80952380952381</v>
      </c>
      <c r="H26" s="30" t="n">
        <v>0</v>
      </c>
      <c r="I26" s="31" t="s">
        <v>32</v>
      </c>
      <c r="J26" s="30" t="n">
        <v>1</v>
      </c>
      <c r="K26" s="31" t="s">
        <v>32</v>
      </c>
      <c r="L26" s="30" t="n">
        <v>36</v>
      </c>
      <c r="M26" s="31" t="n">
        <v>0.689655172413793</v>
      </c>
      <c r="AD26" s="32"/>
    </row>
    <row r="27" customFormat="false" ht="15" hidden="false" customHeight="true" outlineLevel="0" collapsed="false">
      <c r="B27" s="33" t="s">
        <v>35</v>
      </c>
      <c r="C27" s="33"/>
      <c r="D27" s="34" t="n">
        <v>19</v>
      </c>
      <c r="E27" s="35" t="n">
        <v>0.538461538461538</v>
      </c>
      <c r="F27" s="34" t="n">
        <v>11</v>
      </c>
      <c r="G27" s="35" t="n">
        <v>0.75</v>
      </c>
      <c r="H27" s="34" t="n">
        <v>0</v>
      </c>
      <c r="I27" s="35" t="s">
        <v>32</v>
      </c>
      <c r="J27" s="34" t="n">
        <v>0</v>
      </c>
      <c r="K27" s="35" t="s">
        <v>32</v>
      </c>
      <c r="L27" s="34" t="n">
        <v>30</v>
      </c>
      <c r="M27" s="35" t="n">
        <v>0.619047619047619</v>
      </c>
      <c r="AD27" s="32"/>
    </row>
    <row r="28" customFormat="false" ht="15" hidden="false" customHeight="true" outlineLevel="0" collapsed="false">
      <c r="B28" s="29" t="s">
        <v>36</v>
      </c>
      <c r="C28" s="29"/>
      <c r="D28" s="30" t="n">
        <v>16</v>
      </c>
      <c r="E28" s="31" t="n">
        <v>0.714285714285714</v>
      </c>
      <c r="F28" s="30" t="n">
        <v>17</v>
      </c>
      <c r="G28" s="31" t="n">
        <v>0.833333333333333</v>
      </c>
      <c r="H28" s="30" t="n">
        <v>2</v>
      </c>
      <c r="I28" s="31" t="s">
        <v>32</v>
      </c>
      <c r="J28" s="30" t="n">
        <v>0</v>
      </c>
      <c r="K28" s="31" t="s">
        <v>32</v>
      </c>
      <c r="L28" s="30" t="n">
        <v>35</v>
      </c>
      <c r="M28" s="31" t="n">
        <v>0.769230769230769</v>
      </c>
      <c r="AD28" s="32"/>
    </row>
    <row r="29" customFormat="false" ht="15" hidden="false" customHeight="true" outlineLevel="0" collapsed="false">
      <c r="B29" s="33" t="s">
        <v>37</v>
      </c>
      <c r="C29" s="33"/>
      <c r="D29" s="34" t="s">
        <v>32</v>
      </c>
      <c r="E29" s="35" t="s">
        <v>32</v>
      </c>
      <c r="F29" s="34" t="n">
        <v>5</v>
      </c>
      <c r="G29" s="35" t="n">
        <v>0.5</v>
      </c>
      <c r="H29" s="34" t="n">
        <v>2</v>
      </c>
      <c r="I29" s="35" t="s">
        <v>32</v>
      </c>
      <c r="J29" s="34" t="n">
        <v>1</v>
      </c>
      <c r="K29" s="35" t="s">
        <v>32</v>
      </c>
      <c r="L29" s="34" t="n">
        <v>8</v>
      </c>
      <c r="M29" s="35" t="n">
        <v>0.5</v>
      </c>
      <c r="AD29" s="32"/>
    </row>
    <row r="30" customFormat="false" ht="15" hidden="false" customHeight="true" outlineLevel="0" collapsed="false">
      <c r="B30" s="29" t="s">
        <v>38</v>
      </c>
      <c r="C30" s="29"/>
      <c r="D30" s="30" t="n">
        <v>1</v>
      </c>
      <c r="E30" s="31" t="s">
        <v>32</v>
      </c>
      <c r="F30" s="30" t="n">
        <v>2</v>
      </c>
      <c r="G30" s="31" t="s">
        <v>32</v>
      </c>
      <c r="H30" s="30" t="n">
        <v>0</v>
      </c>
      <c r="I30" s="31" t="s">
        <v>32</v>
      </c>
      <c r="J30" s="30" t="n">
        <v>0</v>
      </c>
      <c r="K30" s="31" t="s">
        <v>32</v>
      </c>
      <c r="L30" s="30" t="n">
        <v>3</v>
      </c>
      <c r="M30" s="31" t="s">
        <v>32</v>
      </c>
      <c r="AD30" s="32"/>
    </row>
    <row r="31" customFormat="false" ht="15" hidden="false" customHeight="true" outlineLevel="0" collapsed="false">
      <c r="B31" s="33" t="s">
        <v>39</v>
      </c>
      <c r="C31" s="33"/>
      <c r="D31" s="34" t="n">
        <v>1</v>
      </c>
      <c r="E31" s="35" t="n">
        <v>0</v>
      </c>
      <c r="F31" s="34" t="n">
        <v>1</v>
      </c>
      <c r="G31" s="35" t="s">
        <v>32</v>
      </c>
      <c r="H31" s="34" t="n">
        <v>0</v>
      </c>
      <c r="I31" s="35" t="s">
        <v>32</v>
      </c>
      <c r="J31" s="34" t="n">
        <v>2</v>
      </c>
      <c r="K31" s="35" t="s">
        <v>32</v>
      </c>
      <c r="L31" s="34" t="n">
        <v>4</v>
      </c>
      <c r="M31" s="35" t="n">
        <v>0</v>
      </c>
      <c r="AD31" s="32"/>
    </row>
    <row r="32" customFormat="false" ht="15" hidden="false" customHeight="true" outlineLevel="0" collapsed="false">
      <c r="B32" s="29" t="s">
        <v>40</v>
      </c>
      <c r="C32" s="29"/>
      <c r="D32" s="30" t="s">
        <v>32</v>
      </c>
      <c r="E32" s="31" t="s">
        <v>32</v>
      </c>
      <c r="F32" s="30" t="s">
        <v>32</v>
      </c>
      <c r="G32" s="31" t="s">
        <v>32</v>
      </c>
      <c r="H32" s="30" t="n">
        <v>0</v>
      </c>
      <c r="I32" s="31" t="s">
        <v>32</v>
      </c>
      <c r="J32" s="30" t="n">
        <v>0</v>
      </c>
      <c r="K32" s="31" t="s">
        <v>32</v>
      </c>
      <c r="L32" s="30" t="n">
        <v>0</v>
      </c>
      <c r="M32" s="31" t="s">
        <v>32</v>
      </c>
      <c r="AD32" s="32"/>
    </row>
    <row r="33" customFormat="false" ht="15" hidden="false" customHeight="true" outlineLevel="0" collapsed="false">
      <c r="B33" s="33" t="s">
        <v>41</v>
      </c>
      <c r="C33" s="33"/>
      <c r="D33" s="34" t="s">
        <v>32</v>
      </c>
      <c r="E33" s="35" t="s">
        <v>32</v>
      </c>
      <c r="F33" s="34" t="n">
        <v>1</v>
      </c>
      <c r="G33" s="35" t="s">
        <v>32</v>
      </c>
      <c r="H33" s="34" t="n">
        <v>0</v>
      </c>
      <c r="I33" s="35" t="s">
        <v>32</v>
      </c>
      <c r="J33" s="34" t="n">
        <v>0</v>
      </c>
      <c r="K33" s="35" t="s">
        <v>32</v>
      </c>
      <c r="L33" s="34" t="n">
        <v>1</v>
      </c>
      <c r="M33" s="35" t="s">
        <v>32</v>
      </c>
      <c r="AD33" s="32"/>
    </row>
    <row r="34" customFormat="false" ht="19.5" hidden="false" customHeight="true" outlineLevel="0" collapsed="false">
      <c r="B34" s="36" t="s">
        <v>42</v>
      </c>
      <c r="C34" s="36"/>
      <c r="D34" s="37" t="n">
        <v>50</v>
      </c>
      <c r="E34" s="38" t="n">
        <v>0.6</v>
      </c>
      <c r="F34" s="37" t="n">
        <v>69</v>
      </c>
      <c r="G34" s="38" t="n">
        <v>0.8</v>
      </c>
      <c r="H34" s="37" t="n">
        <v>6</v>
      </c>
      <c r="I34" s="38" t="s">
        <v>32</v>
      </c>
      <c r="J34" s="37" t="n">
        <v>4</v>
      </c>
      <c r="K34" s="38" t="s">
        <v>32</v>
      </c>
      <c r="L34" s="37" t="n">
        <v>129</v>
      </c>
      <c r="M34" s="38" t="n">
        <v>0.705882352941177</v>
      </c>
    </row>
    <row r="35" customFormat="false" ht="6" hidden="false" customHeight="true" outlineLevel="0" collapsed="false"/>
    <row r="36" customFormat="false" ht="6" hidden="false" customHeight="true" outlineLevel="0" collapsed="false"/>
    <row r="37" customFormat="false" ht="19.5" hidden="false" customHeight="true" outlineLevel="0" collapsed="false">
      <c r="B37" s="26" t="s">
        <v>43</v>
      </c>
      <c r="C37" s="26"/>
      <c r="D37" s="26"/>
      <c r="E37" s="26"/>
      <c r="F37" s="26"/>
      <c r="G37" s="26"/>
      <c r="H37" s="26"/>
      <c r="I37" s="26"/>
    </row>
    <row r="38" customFormat="false" ht="18" hidden="false" customHeight="true" outlineLevel="0" collapsed="false">
      <c r="B38" s="27" t="s">
        <v>44</v>
      </c>
      <c r="C38" s="27"/>
      <c r="D38" s="27" t="s">
        <v>24</v>
      </c>
      <c r="E38" s="27"/>
      <c r="F38" s="27" t="s">
        <v>25</v>
      </c>
      <c r="G38" s="27"/>
      <c r="H38" s="27" t="s">
        <v>28</v>
      </c>
      <c r="I38" s="27"/>
    </row>
    <row r="39" customFormat="false" ht="13.5" hidden="false" customHeight="true" outlineLevel="0" collapsed="false">
      <c r="B39" s="27"/>
      <c r="C39" s="27"/>
      <c r="D39" s="28" t="s">
        <v>29</v>
      </c>
      <c r="E39" s="28" t="s">
        <v>30</v>
      </c>
      <c r="F39" s="28" t="s">
        <v>29</v>
      </c>
      <c r="G39" s="28" t="s">
        <v>30</v>
      </c>
      <c r="H39" s="28" t="s">
        <v>29</v>
      </c>
      <c r="I39" s="28" t="s">
        <v>30</v>
      </c>
    </row>
    <row r="40" customFormat="false" ht="15" hidden="false" customHeight="true" outlineLevel="0" collapsed="false">
      <c r="B40" s="39" t="s">
        <v>45</v>
      </c>
      <c r="C40" s="39"/>
      <c r="D40" s="30" t="n">
        <v>25</v>
      </c>
      <c r="E40" s="31" t="n">
        <v>0.944444444444444</v>
      </c>
      <c r="F40" s="30" t="n">
        <v>45</v>
      </c>
      <c r="G40" s="31" t="n">
        <v>0.875</v>
      </c>
      <c r="H40" s="30" t="n">
        <v>71</v>
      </c>
      <c r="I40" s="31" t="n">
        <v>0.9</v>
      </c>
      <c r="AF40" s="32"/>
    </row>
    <row r="41" customFormat="false" ht="15" hidden="false" customHeight="true" outlineLevel="0" collapsed="false">
      <c r="B41" s="40" t="s">
        <v>46</v>
      </c>
      <c r="C41" s="40"/>
      <c r="D41" s="34" t="n">
        <v>25</v>
      </c>
      <c r="E41" s="35" t="n">
        <v>0.944444444444444</v>
      </c>
      <c r="F41" s="34" t="n">
        <v>14</v>
      </c>
      <c r="G41" s="35" t="n">
        <v>0.818181818181818</v>
      </c>
      <c r="H41" s="34" t="n">
        <v>40</v>
      </c>
      <c r="I41" s="35" t="n">
        <v>0.896551724137931</v>
      </c>
      <c r="AF41" s="32"/>
    </row>
    <row r="42" customFormat="false" ht="15" hidden="false" customHeight="true" outlineLevel="0" collapsed="false">
      <c r="B42" s="39" t="s">
        <v>47</v>
      </c>
      <c r="C42" s="39"/>
      <c r="D42" s="30" t="n">
        <v>23</v>
      </c>
      <c r="E42" s="31" t="n">
        <v>0.8125</v>
      </c>
      <c r="F42" s="30" t="n">
        <v>7</v>
      </c>
      <c r="G42" s="31" t="n">
        <v>0.666666666666667</v>
      </c>
      <c r="H42" s="30" t="n">
        <v>30</v>
      </c>
      <c r="I42" s="31" t="n">
        <v>0.789473684210526</v>
      </c>
      <c r="AF42" s="32"/>
    </row>
    <row r="43" customFormat="false" ht="15" hidden="false" customHeight="true" outlineLevel="0" collapsed="false">
      <c r="B43" s="40" t="s">
        <v>48</v>
      </c>
      <c r="C43" s="40"/>
      <c r="D43" s="34" t="n">
        <v>25</v>
      </c>
      <c r="E43" s="35" t="n">
        <v>0.736842105263158</v>
      </c>
      <c r="F43" s="34" t="n">
        <v>7</v>
      </c>
      <c r="G43" s="35" t="n">
        <v>0.666666666666667</v>
      </c>
      <c r="H43" s="34" t="n">
        <v>32</v>
      </c>
      <c r="I43" s="35" t="n">
        <v>0.727272727272727</v>
      </c>
      <c r="AF43" s="32"/>
    </row>
    <row r="44" customFormat="false" ht="15" hidden="false" customHeight="true" outlineLevel="0" collapsed="false">
      <c r="B44" s="39" t="s">
        <v>49</v>
      </c>
      <c r="C44" s="39"/>
      <c r="D44" s="30" t="n">
        <v>25</v>
      </c>
      <c r="E44" s="31" t="n">
        <v>0.789473684210526</v>
      </c>
      <c r="F44" s="30" t="n">
        <v>7</v>
      </c>
      <c r="G44" s="31" t="n">
        <v>0.333333333333333</v>
      </c>
      <c r="H44" s="30" t="n">
        <v>32</v>
      </c>
      <c r="I44" s="31" t="n">
        <v>0.727272727272727</v>
      </c>
      <c r="AF44" s="32"/>
    </row>
    <row r="45" customFormat="false" ht="15" hidden="false" customHeight="true" outlineLevel="0" collapsed="false">
      <c r="B45" s="40" t="s">
        <v>50</v>
      </c>
      <c r="C45" s="40"/>
      <c r="D45" s="34" t="n">
        <v>29</v>
      </c>
      <c r="E45" s="35" t="n">
        <v>0.739130434782609</v>
      </c>
      <c r="F45" s="34" t="n">
        <v>48</v>
      </c>
      <c r="G45" s="35" t="n">
        <v>0.75</v>
      </c>
      <c r="H45" s="34" t="n">
        <v>78</v>
      </c>
      <c r="I45" s="35" t="n">
        <v>0.746031746031746</v>
      </c>
      <c r="AF45" s="32"/>
    </row>
    <row r="46" customFormat="false" ht="15" hidden="false" customHeight="true" outlineLevel="0" collapsed="false">
      <c r="B46" s="39" t="s">
        <v>51</v>
      </c>
      <c r="C46" s="39"/>
      <c r="D46" s="30" t="n">
        <v>25</v>
      </c>
      <c r="E46" s="31" t="n">
        <v>0.68421052631579</v>
      </c>
      <c r="F46" s="30" t="n">
        <v>8</v>
      </c>
      <c r="G46" s="31" t="n">
        <v>0.75</v>
      </c>
      <c r="H46" s="30" t="n">
        <v>33</v>
      </c>
      <c r="I46" s="31" t="n">
        <v>0.695652173913044</v>
      </c>
      <c r="AF46" s="32"/>
    </row>
    <row r="47" customFormat="false" ht="15" hidden="false" customHeight="true" outlineLevel="0" collapsed="false">
      <c r="B47" s="40" t="s">
        <v>52</v>
      </c>
      <c r="C47" s="40"/>
      <c r="D47" s="34" t="n">
        <v>30</v>
      </c>
      <c r="E47" s="35" t="n">
        <v>0.652173913043478</v>
      </c>
      <c r="F47" s="34" t="n">
        <v>44</v>
      </c>
      <c r="G47" s="35" t="n">
        <v>0.818181818181818</v>
      </c>
      <c r="H47" s="34" t="n">
        <v>75</v>
      </c>
      <c r="I47" s="35" t="n">
        <v>0.75</v>
      </c>
      <c r="AF47" s="32"/>
    </row>
    <row r="48" customFormat="false" ht="15" hidden="false" customHeight="true" outlineLevel="0" collapsed="false">
      <c r="B48" s="39" t="s">
        <v>53</v>
      </c>
      <c r="C48" s="39"/>
      <c r="D48" s="30" t="n">
        <v>28</v>
      </c>
      <c r="E48" s="31" t="n">
        <v>0.681818181818182</v>
      </c>
      <c r="F48" s="30" t="n">
        <v>43</v>
      </c>
      <c r="G48" s="31" t="n">
        <v>0.705882352941177</v>
      </c>
      <c r="H48" s="30" t="n">
        <v>72</v>
      </c>
      <c r="I48" s="31" t="n">
        <v>0.696428571428571</v>
      </c>
      <c r="AF48" s="32"/>
    </row>
    <row r="49" customFormat="false" ht="15" hidden="false" customHeight="true" outlineLevel="0" collapsed="false">
      <c r="B49" s="40" t="s">
        <v>54</v>
      </c>
      <c r="C49" s="40"/>
      <c r="D49" s="34" t="n">
        <v>24</v>
      </c>
      <c r="E49" s="35" t="n">
        <v>0.555555555555556</v>
      </c>
      <c r="F49" s="34" t="n">
        <v>5</v>
      </c>
      <c r="G49" s="35" t="n">
        <v>0.5</v>
      </c>
      <c r="H49" s="34" t="n">
        <v>29</v>
      </c>
      <c r="I49" s="35" t="n">
        <v>0.55</v>
      </c>
      <c r="AF49" s="32"/>
    </row>
    <row r="50" customFormat="false" ht="15" hidden="false" customHeight="true" outlineLevel="0" collapsed="false">
      <c r="B50" s="39" t="s">
        <v>55</v>
      </c>
      <c r="C50" s="39"/>
      <c r="D50" s="30" t="n">
        <v>29</v>
      </c>
      <c r="E50" s="31" t="n">
        <v>0.318181818181818</v>
      </c>
      <c r="F50" s="30" t="n">
        <v>43</v>
      </c>
      <c r="G50" s="31" t="n">
        <v>0.72972972972973</v>
      </c>
      <c r="H50" s="30" t="n">
        <v>73</v>
      </c>
      <c r="I50" s="31" t="n">
        <v>0.576271186440678</v>
      </c>
      <c r="AF50" s="32"/>
    </row>
    <row r="51" customFormat="false" ht="19.5" hidden="false" customHeight="true" outlineLevel="0" collapsed="false">
      <c r="B51" s="41" t="s">
        <v>56</v>
      </c>
      <c r="C51" s="41"/>
      <c r="D51" s="37" t="n">
        <v>26</v>
      </c>
      <c r="E51" s="38" t="n">
        <v>0.714434100732728</v>
      </c>
      <c r="F51" s="37" t="n">
        <v>42</v>
      </c>
      <c r="G51" s="38" t="n">
        <v>0.826247689152216</v>
      </c>
      <c r="H51" s="37" t="n">
        <v>69</v>
      </c>
      <c r="I51" s="38" t="n">
        <v>0.785161223177989</v>
      </c>
    </row>
    <row r="52" customFormat="false" ht="6" hidden="false" customHeight="tru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</row>
    <row r="53" customFormat="false" ht="15" hidden="false" customHeight="tru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</row>
    <row r="54" customFormat="false" ht="15" hidden="false" customHeight="tru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customFormat="false" ht="15" hidden="false" customHeight="tru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customFormat="false" ht="15" hidden="false" customHeight="tru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</row>
    <row r="57" customFormat="false" ht="15" hidden="false" customHeight="tru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</row>
    <row r="58" customFormat="false" ht="15" hidden="false" customHeight="tru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</row>
    <row r="59" customFormat="false" ht="15" hidden="false" customHeight="tru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</row>
    <row r="60" customFormat="false" ht="15" hidden="false" customHeight="tru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</row>
    <row r="61" customFormat="false" ht="15" hidden="false" customHeight="tru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</row>
    <row r="62" customFormat="false" ht="15" hidden="false" customHeight="tru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</row>
    <row r="63" customFormat="false" ht="15" hidden="false" customHeight="tru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</row>
    <row r="64" customFormat="false" ht="15" hidden="false" customHeight="tru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</row>
    <row r="65" customFormat="false" ht="15" hidden="false" customHeight="tru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</row>
  </sheetData>
  <mergeCells count="75">
    <mergeCell ref="A7:L7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B11:C12"/>
    <mergeCell ref="D11:E12"/>
    <mergeCell ref="F11:G12"/>
    <mergeCell ref="H11:I12"/>
    <mergeCell ref="J11:K12"/>
    <mergeCell ref="B13:C13"/>
    <mergeCell ref="D13:E13"/>
    <mergeCell ref="F13:G13"/>
    <mergeCell ref="H13:I13"/>
    <mergeCell ref="J13:K13"/>
    <mergeCell ref="D14:E14"/>
    <mergeCell ref="F14:G14"/>
    <mergeCell ref="H14:I14"/>
    <mergeCell ref="J14:K14"/>
    <mergeCell ref="B16:C16"/>
    <mergeCell ref="D16:E16"/>
    <mergeCell ref="F16:G16"/>
    <mergeCell ref="H16:I16"/>
    <mergeCell ref="J16:K16"/>
    <mergeCell ref="B17:C18"/>
    <mergeCell ref="D17:E18"/>
    <mergeCell ref="F17:G18"/>
    <mergeCell ref="H17:I18"/>
    <mergeCell ref="J17:K18"/>
    <mergeCell ref="B19:C19"/>
    <mergeCell ref="D19:E19"/>
    <mergeCell ref="F19:G19"/>
    <mergeCell ref="H19:I19"/>
    <mergeCell ref="J19:K19"/>
    <mergeCell ref="B21:M21"/>
    <mergeCell ref="B22:C23"/>
    <mergeCell ref="D22:E22"/>
    <mergeCell ref="F22:G22"/>
    <mergeCell ref="H22:I22"/>
    <mergeCell ref="J22:K22"/>
    <mergeCell ref="L22:M2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7:I37"/>
    <mergeCell ref="B38:C39"/>
    <mergeCell ref="D38:E38"/>
    <mergeCell ref="F38:G38"/>
    <mergeCell ref="H38:I38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92"/>
  <sheetViews>
    <sheetView showFormulas="false" showGridLines="false" showRowColHeaders="true" showZeros="true" rightToLeft="false" tabSelected="false" showOutlineSymbols="true" defaultGridColor="true" view="normal" topLeftCell="B46" colorId="64" zoomScale="100" zoomScaleNormal="100" zoomScalePageLayoutView="100" workbookViewId="0">
      <selection pane="topLeft" activeCell="I20" activeCellId="0" sqref="I20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4"/>
    <col collapsed="false" customWidth="true" hidden="false" outlineLevel="0" max="3" min="3" style="1" width="15"/>
    <col collapsed="false" customWidth="true" hidden="true" outlineLevel="0" max="4" min="4" style="1" width="3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18" min="7" style="1" width="8"/>
    <col collapsed="false" customWidth="true" hidden="false" outlineLevel="0" max="19" min="19" style="1" width="10"/>
    <col collapsed="false" customWidth="true" hidden="false" outlineLevel="0" max="20" min="20" style="1" width="14"/>
    <col collapsed="false" customWidth="true" hidden="false" outlineLevel="0" max="22" min="22" style="1" width="9"/>
    <col collapsed="false" customWidth="true" hidden="false" outlineLevel="0" max="23" min="23" style="1" width="10"/>
    <col collapsed="false" customWidth="true" hidden="false" outlineLevel="0" max="24" min="24" style="1" width="14"/>
    <col collapsed="false" customWidth="true" hidden="false" outlineLevel="0" max="25" min="25" style="1" width="16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30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30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customFormat="false" ht="30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customFormat="false" ht="12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customFormat="false" ht="21.75" hidden="false" customHeight="true" outlineLevel="0" collapsed="false">
      <c r="A7" s="3" t="s">
        <v>57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9" customFormat="false" ht="3.75" hidden="false" customHeight="true" outlineLevel="0" collapsed="false">
      <c r="B9" s="4"/>
      <c r="C9" s="4"/>
      <c r="D9" s="5"/>
      <c r="E9" s="5"/>
      <c r="G9" s="6"/>
      <c r="H9" s="6"/>
      <c r="I9" s="7"/>
      <c r="J9" s="7"/>
    </row>
    <row r="10" customFormat="false" ht="21.75" hidden="false" customHeight="true" outlineLevel="0" collapsed="false">
      <c r="B10" s="9" t="s">
        <v>58</v>
      </c>
      <c r="C10" s="9"/>
      <c r="D10" s="9" t="s">
        <v>2</v>
      </c>
      <c r="E10" s="9"/>
      <c r="G10" s="9" t="s">
        <v>3</v>
      </c>
      <c r="H10" s="9"/>
      <c r="I10" s="9" t="s">
        <v>4</v>
      </c>
      <c r="J10" s="9"/>
      <c r="N10" s="42"/>
      <c r="T10" s="42"/>
    </row>
    <row r="11" customFormat="false" ht="27.75" hidden="false" customHeight="true" outlineLevel="0" collapsed="false">
      <c r="B11" s="10" t="n">
        <v>50</v>
      </c>
      <c r="C11" s="10"/>
      <c r="D11" s="11" t="n">
        <v>26</v>
      </c>
      <c r="E11" s="11"/>
      <c r="G11" s="12" t="n">
        <v>15</v>
      </c>
      <c r="H11" s="12"/>
      <c r="I11" s="13" t="n">
        <v>2</v>
      </c>
      <c r="J11" s="13"/>
      <c r="N11" s="43"/>
      <c r="T11" s="44"/>
    </row>
    <row r="12" customFormat="false" ht="27.75" hidden="false" customHeight="true" outlineLevel="0" collapsed="false">
      <c r="B12" s="10"/>
      <c r="C12" s="10"/>
      <c r="D12" s="11"/>
      <c r="E12" s="11"/>
      <c r="G12" s="12"/>
      <c r="H12" s="12"/>
      <c r="I12" s="13"/>
      <c r="J12" s="13"/>
    </row>
    <row r="13" customFormat="false" ht="21.75" hidden="false" customHeight="true" outlineLevel="0" collapsed="false">
      <c r="B13" s="15" t="s">
        <v>6</v>
      </c>
      <c r="C13" s="15"/>
      <c r="D13" s="15" t="s">
        <v>59</v>
      </c>
      <c r="E13" s="15"/>
      <c r="G13" s="15" t="s">
        <v>60</v>
      </c>
      <c r="H13" s="15"/>
      <c r="I13" s="15" t="s">
        <v>61</v>
      </c>
      <c r="J13" s="15"/>
      <c r="N13" s="45"/>
      <c r="T13" s="45"/>
    </row>
    <row r="14" customFormat="false" ht="31.5" hidden="false" customHeight="true" outlineLevel="0" collapsed="false">
      <c r="B14" s="16" t="s">
        <v>62</v>
      </c>
      <c r="C14" s="17" t="s">
        <v>63</v>
      </c>
      <c r="D14" s="46"/>
      <c r="E14" s="46"/>
      <c r="G14" s="46"/>
      <c r="H14" s="46"/>
      <c r="I14" s="46"/>
      <c r="J14" s="46"/>
    </row>
    <row r="16" customFormat="false" ht="24" hidden="false" customHeight="true" outlineLevel="0" collapsed="false">
      <c r="B16" s="47" t="s">
        <v>64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</row>
    <row r="17" customFormat="false" ht="24" hidden="false" customHeight="true" outlineLevel="0" collapsed="false">
      <c r="B17" s="48" t="s">
        <v>23</v>
      </c>
      <c r="C17" s="48" t="s">
        <v>29</v>
      </c>
      <c r="D17" s="48" t="s">
        <v>65</v>
      </c>
      <c r="E17" s="48" t="s">
        <v>66</v>
      </c>
      <c r="F17" s="48" t="s">
        <v>67</v>
      </c>
      <c r="G17" s="48" t="s">
        <v>30</v>
      </c>
    </row>
    <row r="18" customFormat="false" ht="21.75" hidden="false" customHeight="true" outlineLevel="0" collapsed="false">
      <c r="B18" s="49" t="s">
        <v>31</v>
      </c>
      <c r="C18" s="50" t="n">
        <v>4</v>
      </c>
      <c r="D18" s="51" t="n">
        <v>4</v>
      </c>
      <c r="E18" s="52" t="n">
        <v>0</v>
      </c>
      <c r="F18" s="53" t="n">
        <v>0</v>
      </c>
      <c r="G18" s="54" t="n">
        <v>1</v>
      </c>
    </row>
    <row r="19" customFormat="false" ht="21.75" hidden="false" customHeight="true" outlineLevel="0" collapsed="false">
      <c r="B19" s="55" t="s">
        <v>35</v>
      </c>
      <c r="C19" s="56" t="n">
        <v>19</v>
      </c>
      <c r="D19" s="57" t="n">
        <v>7</v>
      </c>
      <c r="E19" s="58" t="n">
        <v>6</v>
      </c>
      <c r="F19" s="59" t="n">
        <v>1</v>
      </c>
      <c r="G19" s="60" t="n">
        <v>0.538461538461538</v>
      </c>
    </row>
    <row r="20" customFormat="false" ht="21.75" hidden="false" customHeight="true" outlineLevel="0" collapsed="false">
      <c r="B20" s="55" t="s">
        <v>36</v>
      </c>
      <c r="C20" s="56" t="n">
        <v>16</v>
      </c>
      <c r="D20" s="57" t="n">
        <v>10</v>
      </c>
      <c r="E20" s="58" t="n">
        <v>4</v>
      </c>
      <c r="F20" s="59" t="n">
        <v>0</v>
      </c>
      <c r="G20" s="60" t="n">
        <v>0.714285714285714</v>
      </c>
    </row>
    <row r="21" customFormat="false" ht="21.75" hidden="false" customHeight="true" outlineLevel="0" collapsed="false">
      <c r="B21" s="55" t="s">
        <v>38</v>
      </c>
      <c r="C21" s="56" t="n">
        <v>1</v>
      </c>
      <c r="D21" s="57" t="n">
        <v>0</v>
      </c>
      <c r="E21" s="58" t="n">
        <v>0</v>
      </c>
      <c r="F21" s="59" t="n">
        <v>0</v>
      </c>
      <c r="G21" s="60" t="s">
        <v>32</v>
      </c>
    </row>
    <row r="22" customFormat="false" ht="21.75" hidden="false" customHeight="true" outlineLevel="0" collapsed="false">
      <c r="B22" s="49" t="s">
        <v>34</v>
      </c>
      <c r="C22" s="50" t="n">
        <v>9</v>
      </c>
      <c r="D22" s="51" t="n">
        <v>3</v>
      </c>
      <c r="E22" s="52" t="n">
        <v>5</v>
      </c>
      <c r="F22" s="53" t="n">
        <v>1</v>
      </c>
      <c r="G22" s="54" t="n">
        <v>0.375</v>
      </c>
    </row>
    <row r="23" customFormat="false" ht="21.75" hidden="false" customHeight="true" outlineLevel="0" collapsed="false">
      <c r="B23" s="49" t="s">
        <v>39</v>
      </c>
      <c r="C23" s="50" t="n">
        <v>1</v>
      </c>
      <c r="D23" s="51" t="n">
        <v>0</v>
      </c>
      <c r="E23" s="52" t="n">
        <v>1</v>
      </c>
      <c r="F23" s="53" t="n">
        <v>0</v>
      </c>
      <c r="G23" s="54" t="n">
        <v>0</v>
      </c>
    </row>
    <row r="24" customFormat="false" ht="25.5" hidden="false" customHeight="true" outlineLevel="0" collapsed="false">
      <c r="B24" s="61" t="s">
        <v>42</v>
      </c>
      <c r="C24" s="62" t="n">
        <v>50</v>
      </c>
      <c r="D24" s="63" t="n">
        <v>24</v>
      </c>
      <c r="E24" s="63" t="n">
        <v>16</v>
      </c>
      <c r="F24" s="63" t="n">
        <v>2</v>
      </c>
      <c r="G24" s="64" t="n">
        <v>0.6</v>
      </c>
    </row>
    <row r="26" customFormat="false" ht="24" hidden="false" customHeight="true" outlineLevel="0" collapsed="false">
      <c r="B26" s="47" t="s">
        <v>68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</row>
    <row r="27" customFormat="false" ht="24" hidden="false" customHeight="true" outlineLevel="0" collapsed="false">
      <c r="B27" s="48" t="s">
        <v>44</v>
      </c>
      <c r="C27" s="48" t="s">
        <v>29</v>
      </c>
      <c r="D27" s="48" t="s">
        <v>65</v>
      </c>
      <c r="E27" s="48" t="s">
        <v>66</v>
      </c>
      <c r="F27" s="48" t="s">
        <v>67</v>
      </c>
      <c r="G27" s="48" t="s">
        <v>30</v>
      </c>
    </row>
    <row r="28" customFormat="false" ht="21.75" hidden="false" customHeight="true" outlineLevel="0" collapsed="false">
      <c r="B28" s="55" t="s">
        <v>46</v>
      </c>
      <c r="C28" s="65" t="n">
        <v>25</v>
      </c>
      <c r="D28" s="57" t="n">
        <v>17</v>
      </c>
      <c r="E28" s="58" t="n">
        <v>1</v>
      </c>
      <c r="F28" s="59" t="n">
        <v>1</v>
      </c>
      <c r="G28" s="60" t="n">
        <v>0.944444444444444</v>
      </c>
    </row>
    <row r="29" customFormat="false" ht="21.75" hidden="false" customHeight="true" outlineLevel="0" collapsed="false">
      <c r="B29" s="49" t="s">
        <v>45</v>
      </c>
      <c r="C29" s="66" t="n">
        <v>25</v>
      </c>
      <c r="D29" s="51" t="n">
        <v>17</v>
      </c>
      <c r="E29" s="52" t="n">
        <v>1</v>
      </c>
      <c r="F29" s="53" t="n">
        <v>2</v>
      </c>
      <c r="G29" s="54" t="n">
        <v>0.944444444444444</v>
      </c>
    </row>
    <row r="30" customFormat="false" ht="21.75" hidden="false" customHeight="true" outlineLevel="0" collapsed="false">
      <c r="B30" s="55" t="s">
        <v>47</v>
      </c>
      <c r="C30" s="65" t="n">
        <v>23</v>
      </c>
      <c r="D30" s="57" t="n">
        <v>13</v>
      </c>
      <c r="E30" s="58" t="n">
        <v>3</v>
      </c>
      <c r="F30" s="59" t="n">
        <v>2</v>
      </c>
      <c r="G30" s="60" t="n">
        <v>0.8125</v>
      </c>
    </row>
    <row r="31" customFormat="false" ht="21.75" hidden="false" customHeight="true" outlineLevel="0" collapsed="false">
      <c r="B31" s="55" t="s">
        <v>49</v>
      </c>
      <c r="C31" s="65" t="n">
        <v>25</v>
      </c>
      <c r="D31" s="57" t="n">
        <v>15</v>
      </c>
      <c r="E31" s="58" t="n">
        <v>4</v>
      </c>
      <c r="F31" s="59" t="n">
        <v>1</v>
      </c>
      <c r="G31" s="60" t="n">
        <v>0.789473684210526</v>
      </c>
    </row>
    <row r="32" customFormat="false" ht="21.75" hidden="false" customHeight="true" outlineLevel="0" collapsed="false">
      <c r="B32" s="49" t="s">
        <v>48</v>
      </c>
      <c r="C32" s="66" t="n">
        <v>25</v>
      </c>
      <c r="D32" s="51" t="n">
        <v>14</v>
      </c>
      <c r="E32" s="52" t="n">
        <v>5</v>
      </c>
      <c r="F32" s="53" t="n">
        <v>1</v>
      </c>
      <c r="G32" s="54" t="n">
        <v>0.736842105263158</v>
      </c>
    </row>
    <row r="33" customFormat="false" ht="21.75" hidden="false" customHeight="true" outlineLevel="0" collapsed="false">
      <c r="B33" s="49" t="s">
        <v>50</v>
      </c>
      <c r="C33" s="66" t="n">
        <v>29</v>
      </c>
      <c r="D33" s="51" t="n">
        <v>17</v>
      </c>
      <c r="E33" s="52" t="n">
        <v>6</v>
      </c>
      <c r="F33" s="53" t="n">
        <v>1</v>
      </c>
      <c r="G33" s="54" t="n">
        <v>0.739130434782609</v>
      </c>
    </row>
    <row r="34" customFormat="false" ht="21.75" hidden="false" customHeight="true" outlineLevel="0" collapsed="false">
      <c r="B34" s="49" t="s">
        <v>51</v>
      </c>
      <c r="C34" s="66" t="n">
        <v>25</v>
      </c>
      <c r="D34" s="51" t="n">
        <v>13</v>
      </c>
      <c r="E34" s="52" t="n">
        <v>6</v>
      </c>
      <c r="F34" s="53" t="n">
        <v>1</v>
      </c>
      <c r="G34" s="54" t="n">
        <v>0.68421052631579</v>
      </c>
    </row>
    <row r="35" customFormat="false" ht="21.75" hidden="false" customHeight="true" outlineLevel="0" collapsed="false">
      <c r="B35" s="49" t="s">
        <v>52</v>
      </c>
      <c r="C35" s="66" t="n">
        <v>30</v>
      </c>
      <c r="D35" s="51" t="n">
        <v>15</v>
      </c>
      <c r="E35" s="52" t="n">
        <v>8</v>
      </c>
      <c r="F35" s="53" t="n">
        <v>2</v>
      </c>
      <c r="G35" s="54" t="n">
        <v>0.652173913043478</v>
      </c>
    </row>
    <row r="36" customFormat="false" ht="21.75" hidden="false" customHeight="true" outlineLevel="0" collapsed="false">
      <c r="B36" s="55" t="s">
        <v>53</v>
      </c>
      <c r="C36" s="65" t="n">
        <v>28</v>
      </c>
      <c r="D36" s="57" t="n">
        <v>15</v>
      </c>
      <c r="E36" s="58" t="n">
        <v>7</v>
      </c>
      <c r="F36" s="59" t="n">
        <v>1</v>
      </c>
      <c r="G36" s="60" t="n">
        <v>0.681818181818182</v>
      </c>
    </row>
    <row r="37" customFormat="false" ht="21.75" hidden="false" customHeight="true" outlineLevel="0" collapsed="false">
      <c r="B37" s="55" t="s">
        <v>54</v>
      </c>
      <c r="C37" s="65" t="n">
        <v>24</v>
      </c>
      <c r="D37" s="57" t="n">
        <v>10</v>
      </c>
      <c r="E37" s="58" t="n">
        <v>8</v>
      </c>
      <c r="F37" s="59" t="n">
        <v>1</v>
      </c>
      <c r="G37" s="60" t="n">
        <v>0.555555555555556</v>
      </c>
    </row>
    <row r="38" customFormat="false" ht="21.75" hidden="false" customHeight="true" outlineLevel="0" collapsed="false">
      <c r="B38" s="55" t="s">
        <v>55</v>
      </c>
      <c r="C38" s="65" t="n">
        <v>29</v>
      </c>
      <c r="D38" s="57" t="n">
        <v>7</v>
      </c>
      <c r="E38" s="58" t="n">
        <v>15</v>
      </c>
      <c r="F38" s="59" t="n">
        <v>2</v>
      </c>
      <c r="G38" s="60" t="n">
        <v>0.318181818181818</v>
      </c>
    </row>
    <row r="40" customFormat="false" ht="15.75" hidden="false" customHeight="true" outlineLevel="0" collapsed="false"/>
    <row r="45" customFormat="false" ht="25.5" hidden="false" customHeight="true" outlineLevel="0" collapsed="false">
      <c r="A45" s="67" t="s">
        <v>69</v>
      </c>
      <c r="B45" s="67" t="s">
        <v>70</v>
      </c>
      <c r="C45" s="67" t="s">
        <v>71</v>
      </c>
      <c r="D45" s="67" t="s">
        <v>72</v>
      </c>
      <c r="E45" s="67" t="s">
        <v>73</v>
      </c>
      <c r="F45" s="67" t="s">
        <v>74</v>
      </c>
      <c r="G45" s="67" t="s">
        <v>75</v>
      </c>
      <c r="H45" s="67" t="s">
        <v>76</v>
      </c>
      <c r="I45" s="67" t="s">
        <v>77</v>
      </c>
      <c r="J45" s="67" t="s">
        <v>78</v>
      </c>
      <c r="K45" s="67" t="s">
        <v>79</v>
      </c>
      <c r="L45" s="67" t="s">
        <v>80</v>
      </c>
      <c r="M45" s="67" t="s">
        <v>81</v>
      </c>
      <c r="N45" s="67" t="s">
        <v>82</v>
      </c>
      <c r="O45" s="67" t="s">
        <v>83</v>
      </c>
      <c r="P45" s="67" t="s">
        <v>84</v>
      </c>
      <c r="Q45" s="67" t="s">
        <v>85</v>
      </c>
      <c r="R45" s="67" t="s">
        <v>86</v>
      </c>
      <c r="S45" s="67" t="s">
        <v>87</v>
      </c>
      <c r="T45" s="67" t="s">
        <v>88</v>
      </c>
      <c r="U45" s="67" t="s">
        <v>89</v>
      </c>
      <c r="V45" s="67" t="s">
        <v>90</v>
      </c>
      <c r="W45" s="67" t="s">
        <v>91</v>
      </c>
      <c r="X45" s="67" t="s">
        <v>92</v>
      </c>
      <c r="Y45" s="68" t="s">
        <v>93</v>
      </c>
      <c r="Z45" s="68" t="s">
        <v>94</v>
      </c>
    </row>
    <row r="46" customFormat="false" ht="25.5" hidden="false" customHeight="true" outlineLevel="0" collapsed="false">
      <c r="A46" s="69" t="s">
        <v>95</v>
      </c>
      <c r="B46" s="70" t="s">
        <v>96</v>
      </c>
      <c r="C46" s="71" t="s">
        <v>35</v>
      </c>
      <c r="D46" s="71" t="s">
        <v>97</v>
      </c>
      <c r="E46" s="72" t="s">
        <v>98</v>
      </c>
      <c r="F46" s="73" t="n">
        <v>3</v>
      </c>
      <c r="G46" s="74" t="n">
        <v>3</v>
      </c>
      <c r="H46" s="74" t="n">
        <v>3</v>
      </c>
      <c r="I46" s="74" t="n">
        <v>3</v>
      </c>
      <c r="J46" s="75" t="n">
        <f aca="false">IF(COUNT(G46:I46)=0,"",AVERAGE(G46:I46))</f>
        <v>3</v>
      </c>
      <c r="K46" s="74" t="n">
        <v>3</v>
      </c>
      <c r="L46" s="74" t="n">
        <v>3</v>
      </c>
      <c r="M46" s="74" t="n">
        <v>3</v>
      </c>
      <c r="N46" s="73" t="n">
        <f aca="false">IF(COUNT(K46:M46)=0,"",AVERAGE(K46:M46))</f>
        <v>3</v>
      </c>
      <c r="O46" s="74" t="n">
        <v>3</v>
      </c>
      <c r="P46" s="74"/>
      <c r="Q46" s="74"/>
      <c r="R46" s="73" t="n">
        <f aca="false">IF(COUNT(O46:Q46)=0,"",AVERAGE(O46:Q46))</f>
        <v>3</v>
      </c>
      <c r="S46" s="74"/>
      <c r="T46" s="74"/>
      <c r="U46" s="74"/>
      <c r="V46" s="73" t="str">
        <f aca="false">IF(COUNT(S46:U46)=0,"",AVERAGE(S46:U46))</f>
        <v/>
      </c>
      <c r="W46" s="76" t="n">
        <v>33</v>
      </c>
      <c r="X46" s="77" t="s">
        <v>99</v>
      </c>
      <c r="Y46" s="78" t="s">
        <v>100</v>
      </c>
      <c r="Z46" s="1" t="s">
        <v>101</v>
      </c>
    </row>
    <row r="47" customFormat="false" ht="25.5" hidden="false" customHeight="true" outlineLevel="0" collapsed="false">
      <c r="A47" s="69" t="s">
        <v>102</v>
      </c>
      <c r="B47" s="70" t="s">
        <v>103</v>
      </c>
      <c r="C47" s="71" t="s">
        <v>35</v>
      </c>
      <c r="D47" s="71" t="s">
        <v>97</v>
      </c>
      <c r="E47" s="79" t="n">
        <v>12.8</v>
      </c>
      <c r="F47" s="80" t="n">
        <v>10.88</v>
      </c>
      <c r="G47" s="81" t="n">
        <v>0</v>
      </c>
      <c r="H47" s="81" t="n">
        <v>0.952921810699589</v>
      </c>
      <c r="I47" s="81" t="n">
        <v>0.990191707534552</v>
      </c>
      <c r="J47" s="82" t="n">
        <f aca="false">IF(COUNT(G47:I47)=0,"",AVERAGE(G47:I47))</f>
        <v>0.647704506078047</v>
      </c>
      <c r="K47" s="83" t="n">
        <v>0.984973390378796</v>
      </c>
      <c r="L47" s="83" t="n">
        <v>10.9</v>
      </c>
      <c r="M47" s="83" t="n">
        <v>3</v>
      </c>
      <c r="N47" s="84" t="n">
        <f aca="false">IF(COUNT(K47:M47)=0,"",AVERAGE(K47:M47))</f>
        <v>4.96165779679293</v>
      </c>
      <c r="O47" s="83" t="n">
        <v>10</v>
      </c>
      <c r="P47" s="83"/>
      <c r="Q47" s="83"/>
      <c r="R47" s="84" t="n">
        <f aca="false">IF(COUNT(O47:Q47)=0,"",AVERAGE(O47:Q47))</f>
        <v>10</v>
      </c>
      <c r="S47" s="83"/>
      <c r="T47" s="83"/>
      <c r="U47" s="83"/>
      <c r="V47" s="84" t="str">
        <f aca="false">IF(COUNT(S47:U47)=0,"",AVERAGE(S47:U47))</f>
        <v/>
      </c>
      <c r="W47" s="85" t="n">
        <v>0.732021727153234</v>
      </c>
      <c r="X47" s="86" t="s">
        <v>104</v>
      </c>
      <c r="Y47" s="78" t="s">
        <v>105</v>
      </c>
      <c r="Z47" s="1" t="s">
        <v>101</v>
      </c>
    </row>
    <row r="48" customFormat="false" ht="25.5" hidden="false" customHeight="true" outlineLevel="0" collapsed="false">
      <c r="A48" s="69" t="s">
        <v>106</v>
      </c>
      <c r="B48" s="70" t="s">
        <v>107</v>
      </c>
      <c r="C48" s="71" t="s">
        <v>35</v>
      </c>
      <c r="D48" s="71" t="s">
        <v>97</v>
      </c>
      <c r="E48" s="79" t="n">
        <v>5</v>
      </c>
      <c r="F48" s="80" t="n">
        <v>4.25</v>
      </c>
      <c r="G48" s="81" t="n">
        <v>0</v>
      </c>
      <c r="H48" s="81" t="n">
        <v>0</v>
      </c>
      <c r="I48" s="81" t="n">
        <v>0.921875</v>
      </c>
      <c r="J48" s="82" t="n">
        <f aca="false">IF(COUNT(G48:I48)=0,"",AVERAGE(G48:I48))</f>
        <v>0.307291666666667</v>
      </c>
      <c r="K48" s="83" t="n">
        <v>0.988235294117647</v>
      </c>
      <c r="L48" s="83" t="n">
        <v>4</v>
      </c>
      <c r="M48" s="83" t="n">
        <v>4</v>
      </c>
      <c r="N48" s="84" t="n">
        <f aca="false">IF(COUNT(K48:M48)=0,"",AVERAGE(K48:M48))</f>
        <v>2.99607843137255</v>
      </c>
      <c r="O48" s="83" t="n">
        <v>4</v>
      </c>
      <c r="P48" s="83"/>
      <c r="Q48" s="83"/>
      <c r="R48" s="84" t="n">
        <f aca="false">IF(COUNT(O48:Q48)=0,"",AVERAGE(O48:Q48))</f>
        <v>4</v>
      </c>
      <c r="S48" s="83"/>
      <c r="T48" s="83"/>
      <c r="U48" s="83"/>
      <c r="V48" s="84" t="str">
        <f aca="false">IF(COUNT(S48:U48)=0,"",AVERAGE(S48:U48))</f>
        <v/>
      </c>
      <c r="W48" s="85" t="n">
        <v>0.477527573529412</v>
      </c>
      <c r="X48" s="86" t="s">
        <v>104</v>
      </c>
      <c r="Y48" s="78" t="s">
        <v>105</v>
      </c>
      <c r="Z48" s="1" t="s">
        <v>101</v>
      </c>
    </row>
    <row r="49" customFormat="false" ht="25.5" hidden="false" customHeight="true" outlineLevel="0" collapsed="false">
      <c r="A49" s="69" t="s">
        <v>108</v>
      </c>
      <c r="B49" s="70" t="s">
        <v>109</v>
      </c>
      <c r="C49" s="71" t="s">
        <v>35</v>
      </c>
      <c r="D49" s="71" t="s">
        <v>110</v>
      </c>
      <c r="E49" s="87" t="n">
        <v>0.961</v>
      </c>
      <c r="F49" s="88" t="n">
        <v>0.9669</v>
      </c>
      <c r="G49" s="89" t="n">
        <v>0.9925</v>
      </c>
      <c r="H49" s="89" t="n">
        <v>0.98</v>
      </c>
      <c r="I49" s="89" t="n">
        <v>0.9975</v>
      </c>
      <c r="J49" s="88" t="n">
        <f aca="false">IF(COUNT(G49:I49)=0,"",AVERAGE(G49:I49))</f>
        <v>0.99</v>
      </c>
      <c r="K49" s="90" t="n">
        <v>0.9975</v>
      </c>
      <c r="L49" s="90" t="n">
        <v>0.91</v>
      </c>
      <c r="M49" s="90" t="n">
        <v>0.96</v>
      </c>
      <c r="N49" s="91" t="n">
        <f aca="false">IF(COUNT(K49:M49)=0,"",AVERAGE(K49:M49))</f>
        <v>0.955833333333333</v>
      </c>
      <c r="O49" s="90" t="n">
        <v>0.9775</v>
      </c>
      <c r="P49" s="90"/>
      <c r="Q49" s="90"/>
      <c r="R49" s="91" t="n">
        <f aca="false">IF(COUNT(O49:Q49)=0,"",AVERAGE(O49:Q49))</f>
        <v>0.9775</v>
      </c>
      <c r="S49" s="90"/>
      <c r="T49" s="90"/>
      <c r="U49" s="90"/>
      <c r="V49" s="91" t="str">
        <f aca="false">IF(COUNT(S49:U49)=0,"",AVERAGE(S49:U49))</f>
        <v/>
      </c>
      <c r="W49" s="92" t="n">
        <v>0.991875</v>
      </c>
      <c r="X49" s="93" t="s">
        <v>104</v>
      </c>
      <c r="Y49" s="78" t="s">
        <v>105</v>
      </c>
      <c r="Z49" s="1" t="s">
        <v>101</v>
      </c>
    </row>
    <row r="50" customFormat="false" ht="25.5" hidden="false" customHeight="true" outlineLevel="0" collapsed="false">
      <c r="A50" s="69" t="s">
        <v>111</v>
      </c>
      <c r="B50" s="70" t="s">
        <v>112</v>
      </c>
      <c r="C50" s="71" t="s">
        <v>35</v>
      </c>
      <c r="D50" s="71" t="s">
        <v>97</v>
      </c>
      <c r="E50" s="87" t="n">
        <v>0.017</v>
      </c>
      <c r="F50" s="88" t="n">
        <v>0.0145</v>
      </c>
      <c r="G50" s="89" t="n">
        <v>0.0176609950463063</v>
      </c>
      <c r="H50" s="89" t="n">
        <v>0.0252013510002598</v>
      </c>
      <c r="I50" s="89" t="n">
        <v>0.0185919682697075</v>
      </c>
      <c r="J50" s="88" t="n">
        <f aca="false">IF(COUNT(G50:I50)=0,"",AVERAGE(G50:I50))</f>
        <v>0.0204847714387579</v>
      </c>
      <c r="K50" s="90" t="n">
        <v>0.018854748603352</v>
      </c>
      <c r="L50" s="90" t="n">
        <v>0.0117337164750958</v>
      </c>
      <c r="M50" s="90" t="n">
        <v>0.0139810426540284</v>
      </c>
      <c r="N50" s="91" t="n">
        <f aca="false">IF(COUNT(K50:M50)=0,"",AVERAGE(K50:M50))</f>
        <v>0.0148565025774921</v>
      </c>
      <c r="O50" s="90" t="n">
        <v>0.0119310649580203</v>
      </c>
      <c r="P50" s="90"/>
      <c r="Q50" s="90"/>
      <c r="R50" s="91" t="n">
        <f aca="false">IF(COUNT(O50:Q50)=0,"",AVERAGE(O50:Q50))</f>
        <v>0.0119310649580203</v>
      </c>
      <c r="S50" s="90"/>
      <c r="T50" s="90"/>
      <c r="U50" s="90"/>
      <c r="V50" s="91" t="str">
        <f aca="false">IF(COUNT(S50:U50)=0,"",AVERAGE(S50:U50))</f>
        <v/>
      </c>
      <c r="W50" s="92" t="n">
        <v>0.0200772657299064</v>
      </c>
      <c r="X50" s="93" t="s">
        <v>113</v>
      </c>
      <c r="Y50" s="78" t="s">
        <v>100</v>
      </c>
      <c r="Z50" s="1" t="s">
        <v>101</v>
      </c>
    </row>
    <row r="51" customFormat="false" ht="25.5" hidden="false" customHeight="true" outlineLevel="0" collapsed="false">
      <c r="A51" s="69" t="s">
        <v>114</v>
      </c>
      <c r="B51" s="70" t="s">
        <v>115</v>
      </c>
      <c r="C51" s="71" t="s">
        <v>35</v>
      </c>
      <c r="D51" s="71" t="s">
        <v>110</v>
      </c>
      <c r="E51" s="87" t="n">
        <v>1</v>
      </c>
      <c r="F51" s="88" t="n">
        <v>1</v>
      </c>
      <c r="G51" s="89" t="n">
        <v>1</v>
      </c>
      <c r="H51" s="89" t="n">
        <v>1</v>
      </c>
      <c r="I51" s="89" t="n">
        <v>1</v>
      </c>
      <c r="J51" s="88" t="n">
        <f aca="false">IF(COUNT(G51:I51)=0,"",AVERAGE(G51:I51))</f>
        <v>1</v>
      </c>
      <c r="K51" s="90" t="n">
        <v>1</v>
      </c>
      <c r="L51" s="90" t="n">
        <v>1</v>
      </c>
      <c r="M51" s="90" t="n">
        <v>1</v>
      </c>
      <c r="N51" s="91" t="n">
        <f aca="false">IF(COUNT(K51:M51)=0,"",AVERAGE(K51:M51))</f>
        <v>1</v>
      </c>
      <c r="O51" s="90"/>
      <c r="P51" s="90"/>
      <c r="Q51" s="90"/>
      <c r="R51" s="91" t="str">
        <f aca="false">IF(COUNT(O51:Q51)=0,"",AVERAGE(O51:Q51))</f>
        <v/>
      </c>
      <c r="S51" s="90"/>
      <c r="T51" s="90"/>
      <c r="U51" s="90"/>
      <c r="V51" s="91" t="str">
        <f aca="false">IF(COUNT(S51:U51)=0,"",AVERAGE(S51:U51))</f>
        <v/>
      </c>
      <c r="W51" s="92" t="n">
        <v>1</v>
      </c>
      <c r="X51" s="93" t="s">
        <v>104</v>
      </c>
      <c r="Y51" s="78" t="s">
        <v>100</v>
      </c>
      <c r="Z51" s="1" t="s">
        <v>101</v>
      </c>
    </row>
    <row r="52" customFormat="false" ht="25.5" hidden="false" customHeight="true" outlineLevel="0" collapsed="false">
      <c r="A52" s="69" t="s">
        <v>116</v>
      </c>
      <c r="B52" s="70" t="s">
        <v>117</v>
      </c>
      <c r="C52" s="71" t="s">
        <v>35</v>
      </c>
      <c r="D52" s="71" t="s">
        <v>97</v>
      </c>
      <c r="E52" s="94" t="n">
        <v>0.0054</v>
      </c>
      <c r="F52" s="88" t="n">
        <v>0.0046</v>
      </c>
      <c r="G52" s="89" t="n">
        <v>0.00120967741935484</v>
      </c>
      <c r="H52" s="89" t="n">
        <v>0.000297619047619048</v>
      </c>
      <c r="I52" s="89" t="n">
        <v>0.00188172043010753</v>
      </c>
      <c r="J52" s="88" t="n">
        <f aca="false">IF(COUNT(G52:I52)=0,"",AVERAGE(G52:I52))</f>
        <v>0.00112967229902714</v>
      </c>
      <c r="K52" s="90" t="n">
        <v>0.00416666666666667</v>
      </c>
      <c r="L52" s="90" t="n">
        <v>0.000403225806451613</v>
      </c>
      <c r="M52" s="90" t="n">
        <v>0.000833333333333333</v>
      </c>
      <c r="N52" s="91" t="n">
        <f aca="false">IF(COUNT(K52:M52)=0,"",AVERAGE(K52:M52))</f>
        <v>0.00180107526881721</v>
      </c>
      <c r="O52" s="90" t="n">
        <v>0.00362903225806452</v>
      </c>
      <c r="P52" s="90"/>
      <c r="Q52" s="90"/>
      <c r="R52" s="91" t="n">
        <f aca="false">IF(COUNT(O52:Q52)=0,"",AVERAGE(O52:Q52))</f>
        <v>0.00362903225806452</v>
      </c>
      <c r="S52" s="90"/>
      <c r="T52" s="90"/>
      <c r="U52" s="90"/>
      <c r="V52" s="91" t="str">
        <f aca="false">IF(COUNT(S52:U52)=0,"",AVERAGE(S52:U52))</f>
        <v/>
      </c>
      <c r="W52" s="92" t="n">
        <v>0.00188892089093702</v>
      </c>
      <c r="X52" s="95" t="s">
        <v>113</v>
      </c>
      <c r="Y52" s="78" t="s">
        <v>100</v>
      </c>
      <c r="Z52" s="1" t="s">
        <v>101</v>
      </c>
    </row>
    <row r="53" customFormat="false" ht="25.5" hidden="false" customHeight="true" outlineLevel="0" collapsed="false">
      <c r="A53" s="69" t="s">
        <v>118</v>
      </c>
      <c r="B53" s="70" t="s">
        <v>119</v>
      </c>
      <c r="C53" s="71" t="s">
        <v>35</v>
      </c>
      <c r="D53" s="71" t="s">
        <v>97</v>
      </c>
      <c r="E53" s="87" t="s">
        <v>98</v>
      </c>
      <c r="F53" s="91" t="s">
        <v>98</v>
      </c>
      <c r="G53" s="81" t="n">
        <v>0.056898714170635</v>
      </c>
      <c r="H53" s="81" t="n">
        <v>0.036839947383706</v>
      </c>
      <c r="I53" s="81" t="n">
        <v>0.0390200061787918</v>
      </c>
      <c r="J53" s="82" t="n">
        <f aca="false">IF(COUNT(G53:I53)=0,"",AVERAGE(G53:I53))</f>
        <v>0.0442528892443776</v>
      </c>
      <c r="K53" s="90" t="n">
        <v>0.0316536603493125</v>
      </c>
      <c r="L53" s="90" t="n">
        <v>0.0396108723639595</v>
      </c>
      <c r="M53" s="90" t="n">
        <v>0.0433099421567028</v>
      </c>
      <c r="N53" s="91" t="n">
        <f aca="false">IF(COUNT(K53:M53)=0,"",AVERAGE(K53:M53))</f>
        <v>0.0381914916233249</v>
      </c>
      <c r="O53" s="90" t="n">
        <v>0.0466650647764362</v>
      </c>
      <c r="P53" s="90"/>
      <c r="Q53" s="90"/>
      <c r="R53" s="91" t="n">
        <f aca="false">IF(COUNT(O53:Q53)=0,"",AVERAGE(O53:Q53))</f>
        <v>0.0466650647764362</v>
      </c>
      <c r="S53" s="90"/>
      <c r="T53" s="90"/>
      <c r="U53" s="90"/>
      <c r="V53" s="91" t="str">
        <f aca="false">IF(COUNT(S53:U53)=0,"",AVERAGE(S53:U53))</f>
        <v/>
      </c>
      <c r="W53" s="92" t="n">
        <v>0.0411030820206113</v>
      </c>
      <c r="X53" s="93" t="s">
        <v>120</v>
      </c>
      <c r="Y53" s="78" t="s">
        <v>100</v>
      </c>
      <c r="Z53" s="1" t="s">
        <v>101</v>
      </c>
    </row>
    <row r="54" customFormat="false" ht="25.5" hidden="false" customHeight="true" outlineLevel="0" collapsed="false">
      <c r="A54" s="69" t="s">
        <v>121</v>
      </c>
      <c r="B54" s="70" t="s">
        <v>122</v>
      </c>
      <c r="C54" s="71" t="s">
        <v>35</v>
      </c>
      <c r="D54" s="71" t="s">
        <v>97</v>
      </c>
      <c r="E54" s="96" t="n">
        <v>23.2</v>
      </c>
      <c r="F54" s="97" t="n">
        <v>19.72</v>
      </c>
      <c r="G54" s="81" t="n">
        <v>12.9558823529412</v>
      </c>
      <c r="H54" s="81" t="n">
        <v>12.1764705882353</v>
      </c>
      <c r="I54" s="81" t="n">
        <v>11.7916666666667</v>
      </c>
      <c r="J54" s="82" t="n">
        <f aca="false">IF(COUNT(G54:I54)=0,"",AVERAGE(G54:I54))</f>
        <v>12.3080065359477</v>
      </c>
      <c r="K54" s="98" t="n">
        <v>15.9272727272727</v>
      </c>
      <c r="L54" s="98" t="n">
        <v>14.1576086956522</v>
      </c>
      <c r="M54" s="98" t="n">
        <v>15.4733333333333</v>
      </c>
      <c r="N54" s="99" t="n">
        <f aca="false">IF(COUNT(K54:M54)=0,"",AVERAGE(K54:M54))</f>
        <v>15.1860715854194</v>
      </c>
      <c r="O54" s="98" t="n">
        <v>14.3012048192771</v>
      </c>
      <c r="P54" s="98"/>
      <c r="Q54" s="98"/>
      <c r="R54" s="99" t="n">
        <f aca="false">IF(COUNT(O54:Q54)=0,"",AVERAGE(O54:Q54))</f>
        <v>14.3012048192771</v>
      </c>
      <c r="S54" s="98"/>
      <c r="T54" s="98"/>
      <c r="U54" s="98"/>
      <c r="V54" s="99" t="str">
        <f aca="false">IF(COUNT(S54:U54)=0,"",AVERAGE(S54:U54))</f>
        <v/>
      </c>
      <c r="W54" s="100" t="n">
        <v>13.212823083779</v>
      </c>
      <c r="X54" s="101" t="s">
        <v>104</v>
      </c>
      <c r="Y54" s="78" t="s">
        <v>100</v>
      </c>
      <c r="Z54" s="1" t="s">
        <v>101</v>
      </c>
    </row>
    <row r="55" customFormat="false" ht="25.5" hidden="false" customHeight="true" outlineLevel="0" collapsed="false">
      <c r="A55" s="69" t="s">
        <v>123</v>
      </c>
      <c r="B55" s="70" t="s">
        <v>124</v>
      </c>
      <c r="C55" s="71" t="s">
        <v>35</v>
      </c>
      <c r="D55" s="71" t="s">
        <v>110</v>
      </c>
      <c r="E55" s="87" t="n">
        <v>0.96</v>
      </c>
      <c r="F55" s="88" t="n">
        <v>0.97</v>
      </c>
      <c r="G55" s="89" t="n">
        <v>0.965579710144928</v>
      </c>
      <c r="H55" s="89" t="n">
        <v>0.954753199268739</v>
      </c>
      <c r="I55" s="89" t="n">
        <v>0.989513108614232</v>
      </c>
      <c r="J55" s="88" t="n">
        <f aca="false">IF(COUNT(G55:I55)=0,"",AVERAGE(G55:I55))</f>
        <v>0.969948672675966</v>
      </c>
      <c r="K55" s="90" t="n">
        <v>0.985079171741778</v>
      </c>
      <c r="L55" s="90" t="n">
        <v>0.854768153980753</v>
      </c>
      <c r="M55" s="90" t="n">
        <v>0.956</v>
      </c>
      <c r="N55" s="91" t="n">
        <f aca="false">IF(COUNT(K55:M55)=0,"",AVERAGE(K55:M55))</f>
        <v>0.931949108574177</v>
      </c>
      <c r="O55" s="90" t="n">
        <v>0.946414182111201</v>
      </c>
      <c r="P55" s="90"/>
      <c r="Q55" s="90"/>
      <c r="R55" s="91" t="n">
        <f aca="false">IF(COUNT(O55:Q55)=0,"",AVERAGE(O55:Q55))</f>
        <v>0.946414182111201</v>
      </c>
      <c r="S55" s="90"/>
      <c r="T55" s="90"/>
      <c r="U55" s="90"/>
      <c r="V55" s="91" t="str">
        <f aca="false">IF(COUNT(S55:U55)=0,"",AVERAGE(S55:U55))</f>
        <v/>
      </c>
      <c r="W55" s="92" t="n">
        <v>0.973731297442419</v>
      </c>
      <c r="X55" s="93" t="s">
        <v>113</v>
      </c>
      <c r="Y55" s="78" t="s">
        <v>100</v>
      </c>
      <c r="Z55" s="1" t="s">
        <v>101</v>
      </c>
    </row>
    <row r="56" customFormat="false" ht="25.5" hidden="false" customHeight="true" outlineLevel="0" collapsed="false">
      <c r="A56" s="69" t="s">
        <v>125</v>
      </c>
      <c r="B56" s="70" t="s">
        <v>126</v>
      </c>
      <c r="C56" s="71" t="s">
        <v>35</v>
      </c>
      <c r="D56" s="71" t="s">
        <v>110</v>
      </c>
      <c r="E56" s="87" t="n">
        <v>0.873</v>
      </c>
      <c r="F56" s="88" t="n">
        <v>0.8921</v>
      </c>
      <c r="G56" s="89" t="n">
        <v>1</v>
      </c>
      <c r="H56" s="89" t="n">
        <v>1</v>
      </c>
      <c r="I56" s="89" t="n">
        <v>1</v>
      </c>
      <c r="J56" s="88" t="n">
        <f aca="false">IF(COUNT(G56:I56)=0,"",AVERAGE(G56:I56))</f>
        <v>1</v>
      </c>
      <c r="K56" s="90" t="n">
        <v>1</v>
      </c>
      <c r="L56" s="90" t="n">
        <v>0.769230769230769</v>
      </c>
      <c r="M56" s="90" t="n">
        <v>0.87</v>
      </c>
      <c r="N56" s="91" t="n">
        <f aca="false">IF(COUNT(K56:M56)=0,"",AVERAGE(K56:M56))</f>
        <v>0.87974358974359</v>
      </c>
      <c r="O56" s="90" t="n">
        <v>0.956521739130435</v>
      </c>
      <c r="P56" s="90"/>
      <c r="Q56" s="90"/>
      <c r="R56" s="91" t="n">
        <f aca="false">IF(COUNT(O56:Q56)=0,"",AVERAGE(O56:Q56))</f>
        <v>0.956521739130435</v>
      </c>
      <c r="S56" s="90"/>
      <c r="T56" s="90"/>
      <c r="U56" s="90"/>
      <c r="V56" s="91" t="str">
        <f aca="false">IF(COUNT(S56:U56)=0,"",AVERAGE(S56:U56))</f>
        <v/>
      </c>
      <c r="W56" s="92" t="n">
        <v>1</v>
      </c>
      <c r="X56" s="93" t="s">
        <v>104</v>
      </c>
      <c r="Y56" s="78" t="s">
        <v>100</v>
      </c>
      <c r="Z56" s="1" t="s">
        <v>101</v>
      </c>
    </row>
    <row r="57" customFormat="false" ht="25.5" hidden="false" customHeight="true" outlineLevel="0" collapsed="false">
      <c r="A57" s="69" t="s">
        <v>127</v>
      </c>
      <c r="B57" s="70" t="s">
        <v>128</v>
      </c>
      <c r="C57" s="71" t="s">
        <v>35</v>
      </c>
      <c r="D57" s="71" t="s">
        <v>110</v>
      </c>
      <c r="E57" s="102" t="s">
        <v>98</v>
      </c>
      <c r="F57" s="75" t="s">
        <v>98</v>
      </c>
      <c r="G57" s="81" t="n">
        <v>0.00311376357637988</v>
      </c>
      <c r="H57" s="81" t="n">
        <v>0.00292892135497481</v>
      </c>
      <c r="I57" s="81" t="n">
        <v>0.00378600081128589</v>
      </c>
      <c r="J57" s="82" t="n">
        <f aca="false">IF(COUNT(G57:I57)=0,"",AVERAGE(G57:I57))</f>
        <v>0.00327622858088019</v>
      </c>
      <c r="K57" s="103" t="n">
        <v>0.00236643049314721</v>
      </c>
      <c r="L57" s="103" t="n">
        <v>0.00312842171124668</v>
      </c>
      <c r="M57" s="103" t="n">
        <v>0.00312842171124668</v>
      </c>
      <c r="N57" s="75" t="n">
        <f aca="false">IF(COUNT(K57:M57)=0,"",AVERAGE(K57:M57))</f>
        <v>0.00287442463854686</v>
      </c>
      <c r="O57" s="103" t="n">
        <v>0.00398307194423699</v>
      </c>
      <c r="P57" s="103"/>
      <c r="Q57" s="103"/>
      <c r="R57" s="75" t="n">
        <f aca="false">IF(COUNT(O57:Q57)=0,"",AVERAGE(O57:Q57))</f>
        <v>0.00398307194423699</v>
      </c>
      <c r="S57" s="103"/>
      <c r="T57" s="103"/>
      <c r="U57" s="103"/>
      <c r="V57" s="75" t="str">
        <f aca="false">IF(COUNT(S57:U57)=0,"",AVERAGE(S57:U57))</f>
        <v/>
      </c>
      <c r="W57" s="104" t="n">
        <v>0.00304877905894695</v>
      </c>
      <c r="X57" s="105" t="s">
        <v>120</v>
      </c>
      <c r="Y57" s="78" t="s">
        <v>100</v>
      </c>
      <c r="Z57" s="1" t="s">
        <v>101</v>
      </c>
    </row>
    <row r="58" customFormat="false" ht="25.5" hidden="false" customHeight="true" outlineLevel="0" collapsed="false">
      <c r="A58" s="69" t="s">
        <v>129</v>
      </c>
      <c r="B58" s="70" t="s">
        <v>130</v>
      </c>
      <c r="C58" s="71" t="s">
        <v>35</v>
      </c>
      <c r="D58" s="71" t="s">
        <v>110</v>
      </c>
      <c r="E58" s="102" t="s">
        <v>98</v>
      </c>
      <c r="F58" s="75" t="s">
        <v>131</v>
      </c>
      <c r="G58" s="81" t="n">
        <v>0.00505189171379935</v>
      </c>
      <c r="H58" s="81" t="n">
        <v>0.00454743918212</v>
      </c>
      <c r="I58" s="81" t="n">
        <v>0.00497364508717394</v>
      </c>
      <c r="J58" s="82" t="n">
        <f aca="false">IF(COUNT(G58:I58)=0,"",AVERAGE(G58:I58))</f>
        <v>0.0048576586610311</v>
      </c>
      <c r="K58" s="103" t="n">
        <v>0.00397668739058707</v>
      </c>
      <c r="L58" s="103" t="n">
        <v>0.00481393949436194</v>
      </c>
      <c r="M58" s="103" t="n">
        <v>0.00481393949436194</v>
      </c>
      <c r="N58" s="75" t="n">
        <f aca="false">IF(COUNT(K58:M58)=0,"",AVERAGE(K58:M58))</f>
        <v>0.00453485545977032</v>
      </c>
      <c r="O58" s="103" t="n">
        <v>0.0048783754053356</v>
      </c>
      <c r="P58" s="103"/>
      <c r="Q58" s="103"/>
      <c r="R58" s="75" t="n">
        <f aca="false">IF(COUNT(O58:Q58)=0,"",AVERAGE(O58:Q58))</f>
        <v>0.0048783754053356</v>
      </c>
      <c r="S58" s="103"/>
      <c r="T58" s="103"/>
      <c r="U58" s="103"/>
      <c r="V58" s="75" t="str">
        <f aca="false">IF(COUNT(S58:U58)=0,"",AVERAGE(S58:U58))</f>
        <v/>
      </c>
      <c r="W58" s="104" t="n">
        <v>0.00463741584342009</v>
      </c>
      <c r="X58" s="105" t="s">
        <v>120</v>
      </c>
      <c r="Y58" s="78" t="s">
        <v>100</v>
      </c>
      <c r="Z58" s="1" t="s">
        <v>101</v>
      </c>
    </row>
    <row r="59" customFormat="false" ht="25.5" hidden="false" customHeight="true" outlineLevel="0" collapsed="false">
      <c r="A59" s="69" t="s">
        <v>132</v>
      </c>
      <c r="B59" s="70" t="s">
        <v>133</v>
      </c>
      <c r="C59" s="71" t="s">
        <v>35</v>
      </c>
      <c r="D59" s="71" t="s">
        <v>97</v>
      </c>
      <c r="E59" s="102" t="s">
        <v>98</v>
      </c>
      <c r="F59" s="75" t="s">
        <v>134</v>
      </c>
      <c r="G59" s="103" t="n">
        <v>0.00338260597528547</v>
      </c>
      <c r="H59" s="103" t="n">
        <v>0.00338260597528547</v>
      </c>
      <c r="I59" s="103" t="n">
        <v>0.00338260597528547</v>
      </c>
      <c r="J59" s="75" t="n">
        <f aca="false">IF(COUNT(G59:I59)=0,"",AVERAGE(G59:I59))</f>
        <v>0.00338260597528547</v>
      </c>
      <c r="K59" s="103" t="n">
        <v>0.00243685997210993</v>
      </c>
      <c r="L59" s="103" t="n">
        <v>0.00338260597528547</v>
      </c>
      <c r="M59" s="103" t="n">
        <v>0.00334</v>
      </c>
      <c r="N59" s="75" t="n">
        <f aca="false">IF(COUNT(K59:M59)=0,"",AVERAGE(K59:M59))</f>
        <v>0.00305315531579847</v>
      </c>
      <c r="O59" s="103" t="n">
        <v>0.00430669653970625</v>
      </c>
      <c r="P59" s="103"/>
      <c r="Q59" s="103"/>
      <c r="R59" s="75" t="n">
        <f aca="false">IF(COUNT(O59:Q59)=0,"",AVERAGE(O59:Q59))</f>
        <v>0.00430669653970625</v>
      </c>
      <c r="S59" s="103"/>
      <c r="T59" s="103"/>
      <c r="U59" s="103"/>
      <c r="V59" s="75" t="str">
        <f aca="false">IF(COUNT(S59:U59)=0,"",AVERAGE(S59:U59))</f>
        <v/>
      </c>
      <c r="W59" s="104" t="n">
        <v>0.0031677696894849</v>
      </c>
      <c r="X59" s="105" t="s">
        <v>120</v>
      </c>
      <c r="Y59" s="78" t="s">
        <v>100</v>
      </c>
      <c r="Z59" s="1" t="s">
        <v>101</v>
      </c>
    </row>
    <row r="60" customFormat="false" ht="25.5" hidden="false" customHeight="true" outlineLevel="0" collapsed="false">
      <c r="A60" s="69" t="s">
        <v>135</v>
      </c>
      <c r="B60" s="70" t="s">
        <v>136</v>
      </c>
      <c r="C60" s="71" t="s">
        <v>35</v>
      </c>
      <c r="D60" s="71" t="s">
        <v>110</v>
      </c>
      <c r="E60" s="87" t="n">
        <v>0.99</v>
      </c>
      <c r="F60" s="88" t="n">
        <v>0.99</v>
      </c>
      <c r="G60" s="89" t="n">
        <v>1</v>
      </c>
      <c r="H60" s="89" t="n">
        <v>1</v>
      </c>
      <c r="I60" s="89" t="n">
        <v>1</v>
      </c>
      <c r="J60" s="88" t="n">
        <f aca="false">IF(COUNT(G60:I60)=0,"",AVERAGE(G60:I60))</f>
        <v>1</v>
      </c>
      <c r="K60" s="90" t="n">
        <v>1</v>
      </c>
      <c r="L60" s="90" t="n">
        <v>1</v>
      </c>
      <c r="M60" s="90" t="n">
        <v>1</v>
      </c>
      <c r="N60" s="91" t="n">
        <f aca="false">IF(COUNT(K60:M60)=0,"",AVERAGE(K60:M60))</f>
        <v>1</v>
      </c>
      <c r="O60" s="90"/>
      <c r="P60" s="90"/>
      <c r="Q60" s="90"/>
      <c r="R60" s="91" t="str">
        <f aca="false">IF(COUNT(O60:Q60)=0,"",AVERAGE(O60:Q60))</f>
        <v/>
      </c>
      <c r="S60" s="90"/>
      <c r="T60" s="90"/>
      <c r="U60" s="90"/>
      <c r="V60" s="91" t="str">
        <f aca="false">IF(COUNT(S60:U60)=0,"",AVERAGE(S60:U60))</f>
        <v/>
      </c>
      <c r="W60" s="92" t="n">
        <v>1</v>
      </c>
      <c r="X60" s="93" t="s">
        <v>104</v>
      </c>
      <c r="Y60" s="78" t="s">
        <v>100</v>
      </c>
      <c r="Z60" s="1" t="s">
        <v>101</v>
      </c>
    </row>
    <row r="61" customFormat="false" ht="25.5" hidden="false" customHeight="true" outlineLevel="0" collapsed="false">
      <c r="A61" s="69" t="s">
        <v>137</v>
      </c>
      <c r="B61" s="70" t="s">
        <v>138</v>
      </c>
      <c r="C61" s="71" t="s">
        <v>35</v>
      </c>
      <c r="D61" s="71" t="s">
        <v>110</v>
      </c>
      <c r="E61" s="87" t="n">
        <v>1</v>
      </c>
      <c r="F61" s="91" t="n">
        <v>1</v>
      </c>
      <c r="G61" s="81" t="n">
        <v>0.9994</v>
      </c>
      <c r="H61" s="81" t="n">
        <v>0.9959</v>
      </c>
      <c r="I61" s="81" t="n">
        <v>0.9975</v>
      </c>
      <c r="J61" s="82" t="n">
        <f aca="false">IF(COUNT(G61:I61)=0,"",AVERAGE(G61:I61))</f>
        <v>0.9976</v>
      </c>
      <c r="K61" s="90" t="n">
        <v>0.999</v>
      </c>
      <c r="L61" s="90" t="n">
        <v>0.996</v>
      </c>
      <c r="M61" s="90" t="n">
        <v>0.9984</v>
      </c>
      <c r="N61" s="91" t="n">
        <f aca="false">IF(COUNT(K61:M61)=0,"",AVERAGE(K61:M61))</f>
        <v>0.9978</v>
      </c>
      <c r="O61" s="90"/>
      <c r="P61" s="90"/>
      <c r="Q61" s="90"/>
      <c r="R61" s="91" t="str">
        <f aca="false">IF(COUNT(O61:Q61)=0,"",AVERAGE(O61:Q61))</f>
        <v/>
      </c>
      <c r="S61" s="90"/>
      <c r="T61" s="90"/>
      <c r="U61" s="90"/>
      <c r="V61" s="91" t="str">
        <f aca="false">IF(COUNT(S61:U61)=0,"",AVERAGE(S61:U61))</f>
        <v/>
      </c>
      <c r="W61" s="92" t="n">
        <v>0.99795</v>
      </c>
      <c r="X61" s="93" t="s">
        <v>113</v>
      </c>
      <c r="Y61" s="78" t="s">
        <v>100</v>
      </c>
      <c r="Z61" s="1" t="s">
        <v>101</v>
      </c>
    </row>
    <row r="62" customFormat="false" ht="25.5" hidden="false" customHeight="true" outlineLevel="0" collapsed="false">
      <c r="A62" s="69" t="s">
        <v>139</v>
      </c>
      <c r="B62" s="70" t="s">
        <v>140</v>
      </c>
      <c r="C62" s="71" t="s">
        <v>35</v>
      </c>
      <c r="D62" s="71" t="s">
        <v>97</v>
      </c>
      <c r="E62" s="87" t="n">
        <v>0.646</v>
      </c>
      <c r="F62" s="88" t="s">
        <v>141</v>
      </c>
      <c r="G62" s="89" t="n">
        <v>0.676231771984092</v>
      </c>
      <c r="H62" s="89" t="n">
        <v>0.630656800391389</v>
      </c>
      <c r="I62" s="89" t="n">
        <v>0.620224431727357</v>
      </c>
      <c r="J62" s="88" t="n">
        <f aca="false">IF(COUNT(G62:I62)=0,"",AVERAGE(G62:I62))</f>
        <v>0.642371001367613</v>
      </c>
      <c r="K62" s="90" t="n">
        <v>0.708399470899471</v>
      </c>
      <c r="L62" s="90" t="n">
        <v>0.75600268750663</v>
      </c>
      <c r="M62" s="90" t="n">
        <v>0.668318467129171</v>
      </c>
      <c r="N62" s="91" t="n">
        <f aca="false">IF(COUNT(K62:M62)=0,"",AVERAGE(K62:M62))</f>
        <v>0.710906875178424</v>
      </c>
      <c r="O62" s="90" t="n">
        <v>0.667636433389814</v>
      </c>
      <c r="P62" s="90"/>
      <c r="Q62" s="90"/>
      <c r="R62" s="91" t="n">
        <f aca="false">IF(COUNT(O62:Q62)=0,"",AVERAGE(O62:Q62))</f>
        <v>0.667636433389814</v>
      </c>
      <c r="S62" s="90"/>
      <c r="T62" s="90"/>
      <c r="U62" s="90"/>
      <c r="V62" s="91" t="str">
        <f aca="false">IF(COUNT(S62:U62)=0,"",AVERAGE(S62:U62))</f>
        <v/>
      </c>
      <c r="W62" s="92" t="n">
        <v>0.658878118750577</v>
      </c>
      <c r="X62" s="93" t="s">
        <v>120</v>
      </c>
      <c r="Y62" s="78" t="s">
        <v>100</v>
      </c>
      <c r="Z62" s="1" t="s">
        <v>101</v>
      </c>
    </row>
    <row r="63" customFormat="false" ht="25.5" hidden="false" customHeight="true" outlineLevel="0" collapsed="false">
      <c r="A63" s="69" t="s">
        <v>142</v>
      </c>
      <c r="B63" s="70" t="s">
        <v>143</v>
      </c>
      <c r="C63" s="71" t="s">
        <v>35</v>
      </c>
      <c r="D63" s="71" t="s">
        <v>97</v>
      </c>
      <c r="E63" s="96" t="n">
        <v>3.9</v>
      </c>
      <c r="F63" s="97" t="n">
        <v>3.77</v>
      </c>
      <c r="G63" s="81" t="n">
        <v>3.69001713796058</v>
      </c>
      <c r="H63" s="81" t="n">
        <v>3.6759388038943</v>
      </c>
      <c r="I63" s="81" t="n">
        <v>4.85865412870996</v>
      </c>
      <c r="J63" s="82" t="n">
        <f aca="false">IF(COUNT(G63:I63)=0,"",AVERAGE(G63:I63))</f>
        <v>4.07487002352161</v>
      </c>
      <c r="K63" s="98" t="n">
        <v>5.51172447484123</v>
      </c>
      <c r="L63" s="98" t="n">
        <v>5.27808383233533</v>
      </c>
      <c r="M63" s="98" t="n">
        <v>4.54557235421166</v>
      </c>
      <c r="N63" s="99" t="n">
        <f aca="false">IF(COUNT(K63:M63)=0,"",AVERAGE(K63:M63))</f>
        <v>5.11179355379607</v>
      </c>
      <c r="O63" s="98" t="n">
        <v>4.87045707915273</v>
      </c>
      <c r="P63" s="98"/>
      <c r="Q63" s="98"/>
      <c r="R63" s="99" t="n">
        <f aca="false">IF(COUNT(O63:Q63)=0,"",AVERAGE(O63:Q63))</f>
        <v>4.87045707915273</v>
      </c>
      <c r="S63" s="98"/>
      <c r="T63" s="98"/>
      <c r="U63" s="98"/>
      <c r="V63" s="99" t="str">
        <f aca="false">IF(COUNT(S63:U63)=0,"",AVERAGE(S63:U63))</f>
        <v/>
      </c>
      <c r="W63" s="100" t="n">
        <v>4.43408363635152</v>
      </c>
      <c r="X63" s="101" t="s">
        <v>113</v>
      </c>
      <c r="Y63" s="78" t="s">
        <v>100</v>
      </c>
      <c r="Z63" s="1" t="s">
        <v>101</v>
      </c>
    </row>
    <row r="64" customFormat="false" ht="25.5" hidden="false" customHeight="true" outlineLevel="0" collapsed="false">
      <c r="A64" s="69" t="s">
        <v>144</v>
      </c>
      <c r="B64" s="70" t="s">
        <v>145</v>
      </c>
      <c r="C64" s="71" t="s">
        <v>35</v>
      </c>
      <c r="D64" s="71" t="s">
        <v>97</v>
      </c>
      <c r="E64" s="87" t="n">
        <v>0.087</v>
      </c>
      <c r="F64" s="88" t="n">
        <v>0.0738</v>
      </c>
      <c r="G64" s="89" t="n">
        <v>0.0307692307692308</v>
      </c>
      <c r="H64" s="89" t="n">
        <v>0.0714285714285714</v>
      </c>
      <c r="I64" s="89" t="n">
        <v>0.0882352941176471</v>
      </c>
      <c r="J64" s="88" t="n">
        <f aca="false">IF(COUNT(G64:I64)=0,"",AVERAGE(G64:I64))</f>
        <v>0.0634776987718164</v>
      </c>
      <c r="K64" s="90" t="n">
        <v>0.0740740740740741</v>
      </c>
      <c r="L64" s="90" t="n">
        <v>0.043956043956044</v>
      </c>
      <c r="M64" s="90" t="n">
        <v>0.0379746835443038</v>
      </c>
      <c r="N64" s="91" t="n">
        <f aca="false">IF(COUNT(K64:M64)=0,"",AVERAGE(K64:M64))</f>
        <v>0.0520016005248073</v>
      </c>
      <c r="O64" s="90" t="n">
        <v>0.0925925925925926</v>
      </c>
      <c r="P64" s="90"/>
      <c r="Q64" s="90"/>
      <c r="R64" s="91" t="n">
        <f aca="false">IF(COUNT(O64:Q64)=0,"",AVERAGE(O64:Q64))</f>
        <v>0.0925925925925926</v>
      </c>
      <c r="S64" s="90"/>
      <c r="T64" s="90"/>
      <c r="U64" s="90"/>
      <c r="V64" s="91" t="str">
        <f aca="false">IF(COUNT(S64:U64)=0,"",AVERAGE(S64:U64))</f>
        <v/>
      </c>
      <c r="W64" s="92" t="n">
        <v>0.0661267925973809</v>
      </c>
      <c r="X64" s="93" t="s">
        <v>113</v>
      </c>
      <c r="Y64" s="78" t="s">
        <v>100</v>
      </c>
      <c r="Z64" s="1" t="s">
        <v>101</v>
      </c>
    </row>
    <row r="65" customFormat="false" ht="25.5" hidden="false" customHeight="true" outlineLevel="0" collapsed="false">
      <c r="A65" s="69" t="s">
        <v>146</v>
      </c>
      <c r="B65" s="70" t="s">
        <v>147</v>
      </c>
      <c r="C65" s="71" t="s">
        <v>34</v>
      </c>
      <c r="D65" s="71" t="s">
        <v>110</v>
      </c>
      <c r="E65" s="87" t="n">
        <v>0.92</v>
      </c>
      <c r="F65" s="88" t="n">
        <v>0.93</v>
      </c>
      <c r="G65" s="90" t="n">
        <v>0.96</v>
      </c>
      <c r="H65" s="90" t="n">
        <v>0.94</v>
      </c>
      <c r="I65" s="89" t="n">
        <v>0.958888888888889</v>
      </c>
      <c r="J65" s="91" t="n">
        <f aca="false">IF(COUNT(G65:I65)=0,"",AVERAGE(G65:I65))</f>
        <v>0.952962962962963</v>
      </c>
      <c r="K65" s="90" t="n">
        <v>0.9833</v>
      </c>
      <c r="L65" s="90" t="n">
        <v>0.916666666666667</v>
      </c>
      <c r="M65" s="90"/>
      <c r="N65" s="91" t="n">
        <f aca="false">IF(COUNT(K65:M65)=0,"",AVERAGE(K65:M65))</f>
        <v>0.949983333333333</v>
      </c>
      <c r="O65" s="90"/>
      <c r="P65" s="90"/>
      <c r="Q65" s="90"/>
      <c r="R65" s="91" t="str">
        <f aca="false">IF(COUNT(O65:Q65)=0,"",AVERAGE(O65:Q65))</f>
        <v/>
      </c>
      <c r="S65" s="90"/>
      <c r="T65" s="90"/>
      <c r="U65" s="90"/>
      <c r="V65" s="91" t="str">
        <f aca="false">IF(COUNT(S65:U65)=0,"",AVERAGE(S65:U65))</f>
        <v/>
      </c>
      <c r="W65" s="92" t="n">
        <v>0.958888888888889</v>
      </c>
      <c r="X65" s="93" t="s">
        <v>104</v>
      </c>
      <c r="Y65" s="78" t="s">
        <v>105</v>
      </c>
      <c r="Z65" s="1" t="s">
        <v>101</v>
      </c>
    </row>
    <row r="66" customFormat="false" ht="25.5" hidden="false" customHeight="true" outlineLevel="0" collapsed="false">
      <c r="A66" s="69" t="s">
        <v>148</v>
      </c>
      <c r="B66" s="70" t="s">
        <v>149</v>
      </c>
      <c r="C66" s="71" t="s">
        <v>34</v>
      </c>
      <c r="D66" s="71" t="s">
        <v>110</v>
      </c>
      <c r="E66" s="87" t="n">
        <v>0.95</v>
      </c>
      <c r="F66" s="88" t="n">
        <v>0.96</v>
      </c>
      <c r="G66" s="90" t="n">
        <v>1</v>
      </c>
      <c r="H66" s="89" t="n">
        <v>0.997857142857143</v>
      </c>
      <c r="I66" s="89" t="n">
        <v>0.992655172413793</v>
      </c>
      <c r="J66" s="91" t="n">
        <f aca="false">IF(COUNT(G66:I66)=0,"",AVERAGE(G66:I66))</f>
        <v>0.996837438423645</v>
      </c>
      <c r="K66" s="90" t="n">
        <v>0.9882</v>
      </c>
      <c r="L66" s="90" t="n">
        <v>0.991333333333333</v>
      </c>
      <c r="M66" s="90"/>
      <c r="N66" s="91" t="n">
        <f aca="false">IF(COUNT(K66:M66)=0,"",AVERAGE(K66:M66))</f>
        <v>0.989766666666667</v>
      </c>
      <c r="O66" s="90"/>
      <c r="P66" s="90"/>
      <c r="Q66" s="90"/>
      <c r="R66" s="91" t="str">
        <f aca="false">IF(COUNT(O66:Q66)=0,"",AVERAGE(O66:Q66))</f>
        <v/>
      </c>
      <c r="S66" s="90"/>
      <c r="T66" s="90"/>
      <c r="U66" s="90"/>
      <c r="V66" s="91" t="str">
        <f aca="false">IF(COUNT(S66:U66)=0,"",AVERAGE(S66:U66))</f>
        <v/>
      </c>
      <c r="W66" s="92" t="n">
        <v>0.995256157635468</v>
      </c>
      <c r="X66" s="93" t="s">
        <v>104</v>
      </c>
      <c r="Y66" s="78" t="s">
        <v>105</v>
      </c>
      <c r="Z66" s="1" t="s">
        <v>101</v>
      </c>
    </row>
    <row r="67" customFormat="false" ht="25.5" hidden="false" customHeight="true" outlineLevel="0" collapsed="false">
      <c r="A67" s="69" t="s">
        <v>150</v>
      </c>
      <c r="B67" s="70" t="s">
        <v>151</v>
      </c>
      <c r="C67" s="71" t="s">
        <v>34</v>
      </c>
      <c r="D67" s="71" t="s">
        <v>110</v>
      </c>
      <c r="E67" s="87" t="n">
        <v>0.99</v>
      </c>
      <c r="F67" s="88" t="n">
        <v>0.99</v>
      </c>
      <c r="G67" s="90" t="n">
        <v>0.96</v>
      </c>
      <c r="H67" s="89" t="n">
        <v>0.898709677419355</v>
      </c>
      <c r="I67" s="89" t="n">
        <v>0.998055555555556</v>
      </c>
      <c r="J67" s="91" t="n">
        <f aca="false">IF(COUNT(G67:I67)=0,"",AVERAGE(G67:I67))</f>
        <v>0.952255077658304</v>
      </c>
      <c r="K67" s="90" t="n">
        <v>0.9882</v>
      </c>
      <c r="L67" s="90" t="n">
        <v>0.993333333333333</v>
      </c>
      <c r="M67" s="90"/>
      <c r="N67" s="91" t="n">
        <f aca="false">IF(COUNT(K67:M67)=0,"",AVERAGE(K67:M67))</f>
        <v>0.990766666666667</v>
      </c>
      <c r="O67" s="90"/>
      <c r="P67" s="90"/>
      <c r="Q67" s="90"/>
      <c r="R67" s="91" t="str">
        <f aca="false">IF(COUNT(O67:Q67)=0,"",AVERAGE(O67:Q67))</f>
        <v/>
      </c>
      <c r="S67" s="90"/>
      <c r="T67" s="90"/>
      <c r="U67" s="90"/>
      <c r="V67" s="91" t="str">
        <f aca="false">IF(COUNT(S67:U67)=0,"",AVERAGE(S67:U67))</f>
        <v/>
      </c>
      <c r="W67" s="92" t="n">
        <v>0.948382616487456</v>
      </c>
      <c r="X67" s="93" t="s">
        <v>113</v>
      </c>
      <c r="Y67" s="78" t="s">
        <v>105</v>
      </c>
      <c r="Z67" s="1" t="s">
        <v>101</v>
      </c>
    </row>
    <row r="68" customFormat="false" ht="25.5" hidden="false" customHeight="true" outlineLevel="0" collapsed="false">
      <c r="A68" s="69" t="s">
        <v>152</v>
      </c>
      <c r="B68" s="70" t="s">
        <v>153</v>
      </c>
      <c r="C68" s="71" t="s">
        <v>34</v>
      </c>
      <c r="D68" s="71" t="s">
        <v>97</v>
      </c>
      <c r="E68" s="87" t="n">
        <v>0.253</v>
      </c>
      <c r="F68" s="88" t="n">
        <v>0.2</v>
      </c>
      <c r="G68" s="89" t="n">
        <v>0.255892255892256</v>
      </c>
      <c r="H68" s="89" t="n">
        <v>0.242465753424658</v>
      </c>
      <c r="I68" s="89" t="n">
        <v>0.392761394101877</v>
      </c>
      <c r="J68" s="88" t="n">
        <f aca="false">IF(COUNT(G68:I68)=0,"",AVERAGE(G68:I68))</f>
        <v>0.297039801139597</v>
      </c>
      <c r="K68" s="90" t="n">
        <v>0.274580335731415</v>
      </c>
      <c r="L68" s="90" t="n">
        <v>0.249142857142857</v>
      </c>
      <c r="M68" s="90" t="n">
        <v>0.276887871853547</v>
      </c>
      <c r="N68" s="91" t="n">
        <f aca="false">IF(COUNT(K68:M68)=0,"",AVERAGE(K68:M68))</f>
        <v>0.266870354909273</v>
      </c>
      <c r="O68" s="90" t="n">
        <v>0.254922279792746</v>
      </c>
      <c r="P68" s="90"/>
      <c r="Q68" s="90"/>
      <c r="R68" s="91" t="n">
        <f aca="false">IF(COUNT(O68:Q68)=0,"",AVERAGE(O68:Q68))</f>
        <v>0.254922279792746</v>
      </c>
      <c r="S68" s="90"/>
      <c r="T68" s="90"/>
      <c r="U68" s="90"/>
      <c r="V68" s="91" t="str">
        <f aca="false">IF(COUNT(S68:U68)=0,"",AVERAGE(S68:U68))</f>
        <v/>
      </c>
      <c r="W68" s="92" t="n">
        <v>0.291424934787552</v>
      </c>
      <c r="X68" s="93" t="s">
        <v>113</v>
      </c>
      <c r="Y68" s="78" t="s">
        <v>100</v>
      </c>
      <c r="Z68" s="1" t="s">
        <v>101</v>
      </c>
    </row>
    <row r="69" customFormat="false" ht="25.5" hidden="false" customHeight="true" outlineLevel="0" collapsed="false">
      <c r="A69" s="69" t="s">
        <v>154</v>
      </c>
      <c r="B69" s="70" t="s">
        <v>155</v>
      </c>
      <c r="C69" s="71" t="s">
        <v>34</v>
      </c>
      <c r="D69" s="71" t="s">
        <v>97</v>
      </c>
      <c r="E69" s="102" t="n">
        <v>0.18</v>
      </c>
      <c r="F69" s="82" t="n">
        <v>0</v>
      </c>
      <c r="G69" s="106" t="n">
        <v>1</v>
      </c>
      <c r="H69" s="106" t="n">
        <v>2</v>
      </c>
      <c r="I69" s="106" t="n">
        <v>0</v>
      </c>
      <c r="J69" s="107" t="n">
        <f aca="false">IF(COUNT(G69:I69)=0,"",SUM(G69:I69))</f>
        <v>3</v>
      </c>
      <c r="K69" s="74" t="n">
        <v>0</v>
      </c>
      <c r="L69" s="103" t="n">
        <v>0</v>
      </c>
      <c r="M69" s="103" t="n">
        <v>0</v>
      </c>
      <c r="N69" s="75" t="n">
        <f aca="false">IF(COUNT(K69:M69)=0,"",SUM(K69:M69))</f>
        <v>0</v>
      </c>
      <c r="O69" s="103" t="n">
        <v>0</v>
      </c>
      <c r="P69" s="103"/>
      <c r="Q69" s="103"/>
      <c r="R69" s="75" t="n">
        <f aca="false">IF(COUNT(O69:Q69)=0,"",SUM(O69:Q69))</f>
        <v>0</v>
      </c>
      <c r="S69" s="103"/>
      <c r="T69" s="103"/>
      <c r="U69" s="103"/>
      <c r="V69" s="75" t="str">
        <f aca="false">IF(COUNT(S69:U69)=0,"",SUM(S69:U69))</f>
        <v/>
      </c>
      <c r="W69" s="104" t="n">
        <v>0.75</v>
      </c>
      <c r="X69" s="105" t="s">
        <v>113</v>
      </c>
      <c r="Y69" s="78" t="s">
        <v>100</v>
      </c>
      <c r="Z69" s="1" t="s">
        <v>101</v>
      </c>
    </row>
    <row r="70" customFormat="false" ht="25.5" hidden="false" customHeight="true" outlineLevel="0" collapsed="false">
      <c r="A70" s="69" t="s">
        <v>156</v>
      </c>
      <c r="B70" s="70" t="s">
        <v>157</v>
      </c>
      <c r="C70" s="71" t="s">
        <v>34</v>
      </c>
      <c r="D70" s="71" t="s">
        <v>110</v>
      </c>
      <c r="E70" s="87" t="n">
        <v>0.974</v>
      </c>
      <c r="F70" s="88" t="n">
        <v>0.98</v>
      </c>
      <c r="G70" s="89" t="n">
        <v>0.983054167891077</v>
      </c>
      <c r="H70" s="89" t="n">
        <v>0.97611773092983</v>
      </c>
      <c r="I70" s="89" t="n">
        <v>0.978538748172256</v>
      </c>
      <c r="J70" s="88" t="n">
        <f aca="false">IF(COUNT(G70:I70)=0,"",AVERAGE(G70:I70))</f>
        <v>0.979236882331054</v>
      </c>
      <c r="K70" s="90" t="n">
        <v>0.983020137702542</v>
      </c>
      <c r="L70" s="90" t="n">
        <v>0.983995175357209</v>
      </c>
      <c r="M70" s="90" t="n">
        <v>0.991161284676643</v>
      </c>
      <c r="N70" s="91" t="n">
        <f aca="false">IF(COUNT(K70:M70)=0,"",AVERAGE(K70:M70))</f>
        <v>0.986058865912131</v>
      </c>
      <c r="O70" s="90" t="n">
        <v>0.994606164383562</v>
      </c>
      <c r="P70" s="90"/>
      <c r="Q70" s="90"/>
      <c r="R70" s="91" t="n">
        <f aca="false">IF(COUNT(O70:Q70)=0,"",AVERAGE(O70:Q70))</f>
        <v>0.994606164383562</v>
      </c>
      <c r="S70" s="90"/>
      <c r="T70" s="90"/>
      <c r="U70" s="90"/>
      <c r="V70" s="91" t="str">
        <f aca="false">IF(COUNT(S70:U70)=0,"",AVERAGE(S70:U70))</f>
        <v/>
      </c>
      <c r="W70" s="92" t="n">
        <v>0.980182696173926</v>
      </c>
      <c r="X70" s="93" t="s">
        <v>113</v>
      </c>
      <c r="Y70" s="78" t="s">
        <v>100</v>
      </c>
      <c r="Z70" s="1" t="s">
        <v>101</v>
      </c>
    </row>
    <row r="71" customFormat="false" ht="25.5" hidden="false" customHeight="true" outlineLevel="0" collapsed="false">
      <c r="A71" s="69" t="s">
        <v>158</v>
      </c>
      <c r="B71" s="70" t="s">
        <v>159</v>
      </c>
      <c r="C71" s="71" t="s">
        <v>34</v>
      </c>
      <c r="D71" s="71" t="s">
        <v>97</v>
      </c>
      <c r="E71" s="108" t="n">
        <v>11.7</v>
      </c>
      <c r="F71" s="109" t="n">
        <v>60</v>
      </c>
      <c r="G71" s="110" t="n">
        <v>59.7</v>
      </c>
      <c r="H71" s="110" t="n">
        <v>59</v>
      </c>
      <c r="I71" s="110" t="n">
        <v>59.7</v>
      </c>
      <c r="J71" s="109" t="n">
        <f aca="false">IF(COUNT(G71:I71)=0,"",AVERAGE(G71:I71))</f>
        <v>59.4666666666667</v>
      </c>
      <c r="K71" s="110" t="n">
        <v>59.7</v>
      </c>
      <c r="L71" s="110" t="n">
        <v>59</v>
      </c>
      <c r="M71" s="110" t="n">
        <v>0.994789915966387</v>
      </c>
      <c r="N71" s="111" t="n">
        <f aca="false">IF(COUNT(K71:M71)=0,"",AVERAGE(K71:M71))</f>
        <v>39.8982633053221</v>
      </c>
      <c r="O71" s="110" t="n">
        <v>53</v>
      </c>
      <c r="P71" s="110"/>
      <c r="Q71" s="110"/>
      <c r="R71" s="111" t="n">
        <f aca="false">IF(COUNT(O71:Q71)=0,"",AVERAGE(O71:Q71))</f>
        <v>53</v>
      </c>
      <c r="S71" s="110"/>
      <c r="T71" s="110"/>
      <c r="U71" s="110"/>
      <c r="V71" s="111" t="str">
        <f aca="false">IF(COUNT(S71:U71)=0,"",AVERAGE(S71:U71))</f>
        <v/>
      </c>
      <c r="W71" s="112" t="n">
        <v>0.995283613445378</v>
      </c>
      <c r="X71" s="95" t="s">
        <v>99</v>
      </c>
      <c r="Y71" s="78" t="s">
        <v>100</v>
      </c>
      <c r="Z71" s="1" t="s">
        <v>101</v>
      </c>
    </row>
    <row r="72" customFormat="false" ht="25.5" hidden="false" customHeight="true" outlineLevel="0" collapsed="false">
      <c r="A72" s="69" t="s">
        <v>160</v>
      </c>
      <c r="B72" s="70" t="s">
        <v>161</v>
      </c>
      <c r="C72" s="71" t="s">
        <v>34</v>
      </c>
      <c r="D72" s="71" t="s">
        <v>110</v>
      </c>
      <c r="E72" s="87" t="n">
        <v>1</v>
      </c>
      <c r="F72" s="88" t="n">
        <v>1</v>
      </c>
      <c r="G72" s="89" t="n">
        <v>1</v>
      </c>
      <c r="H72" s="89" t="n">
        <v>1</v>
      </c>
      <c r="I72" s="89" t="n">
        <v>1</v>
      </c>
      <c r="J72" s="88" t="n">
        <f aca="false">IF(COUNT(G72:I72)=0,"",AVERAGE(G72:I72))</f>
        <v>1</v>
      </c>
      <c r="K72" s="90" t="n">
        <v>1</v>
      </c>
      <c r="L72" s="90" t="n">
        <v>1</v>
      </c>
      <c r="M72" s="90" t="n">
        <v>1</v>
      </c>
      <c r="N72" s="91" t="n">
        <f aca="false">IF(COUNT(K72:M72)=0,"",AVERAGE(K72:M72))</f>
        <v>1</v>
      </c>
      <c r="O72" s="90" t="n">
        <v>1</v>
      </c>
      <c r="P72" s="90"/>
      <c r="Q72" s="90"/>
      <c r="R72" s="91" t="n">
        <f aca="false">IF(COUNT(O72:Q72)=0,"",AVERAGE(O72:Q72))</f>
        <v>1</v>
      </c>
      <c r="S72" s="90"/>
      <c r="T72" s="90"/>
      <c r="U72" s="90"/>
      <c r="V72" s="91" t="str">
        <f aca="false">IF(COUNT(S72:U72)=0,"",AVERAGE(S72:U72))</f>
        <v/>
      </c>
      <c r="W72" s="92" t="n">
        <v>1</v>
      </c>
      <c r="X72" s="93" t="s">
        <v>104</v>
      </c>
      <c r="Y72" s="78" t="s">
        <v>100</v>
      </c>
      <c r="Z72" s="1" t="s">
        <v>101</v>
      </c>
    </row>
    <row r="73" customFormat="false" ht="25.5" hidden="false" customHeight="true" outlineLevel="0" collapsed="false">
      <c r="A73" s="69" t="s">
        <v>162</v>
      </c>
      <c r="B73" s="70" t="s">
        <v>163</v>
      </c>
      <c r="C73" s="71" t="s">
        <v>34</v>
      </c>
      <c r="D73" s="71" t="s">
        <v>97</v>
      </c>
      <c r="E73" s="87" t="n">
        <v>0.0141</v>
      </c>
      <c r="F73" s="88" t="n">
        <v>0.012</v>
      </c>
      <c r="G73" s="89" t="n">
        <v>0.0125053196713262</v>
      </c>
      <c r="H73" s="89" t="n">
        <v>0.0118892720057251</v>
      </c>
      <c r="I73" s="89" t="n">
        <v>0.0106497125378345</v>
      </c>
      <c r="J73" s="88" t="n">
        <f aca="false">IF(COUNT(G73:I73)=0,"",AVERAGE(G73:I73))</f>
        <v>0.0116814347382953</v>
      </c>
      <c r="K73" s="90" t="n">
        <v>0.0126028604245008</v>
      </c>
      <c r="L73" s="90" t="n">
        <v>0.0127802008317274</v>
      </c>
      <c r="M73" s="90" t="n">
        <v>0.0081759715380405</v>
      </c>
      <c r="N73" s="91" t="n">
        <f aca="false">IF(COUNT(K73:M73)=0,"",AVERAGE(K73:M73))</f>
        <v>0.0111863442647562</v>
      </c>
      <c r="O73" s="90" t="n">
        <v>0.00884331944889459</v>
      </c>
      <c r="P73" s="90"/>
      <c r="Q73" s="90"/>
      <c r="R73" s="91" t="n">
        <f aca="false">IF(COUNT(O73:Q73)=0,"",AVERAGE(O73:Q73))</f>
        <v>0.00884331944889459</v>
      </c>
      <c r="S73" s="90"/>
      <c r="T73" s="90"/>
      <c r="U73" s="90"/>
      <c r="V73" s="91" t="str">
        <f aca="false">IF(COUNT(S73:U73)=0,"",AVERAGE(S73:U73))</f>
        <v/>
      </c>
      <c r="W73" s="92" t="n">
        <v>0.0119117911598467</v>
      </c>
      <c r="X73" s="93" t="s">
        <v>113</v>
      </c>
      <c r="Y73" s="78" t="s">
        <v>100</v>
      </c>
      <c r="Z73" s="1" t="s">
        <v>101</v>
      </c>
    </row>
    <row r="74" customFormat="false" ht="25.5" hidden="false" customHeight="true" outlineLevel="0" collapsed="false">
      <c r="A74" s="69" t="s">
        <v>164</v>
      </c>
      <c r="B74" s="70" t="s">
        <v>165</v>
      </c>
      <c r="C74" s="71" t="s">
        <v>166</v>
      </c>
      <c r="D74" s="71" t="s">
        <v>110</v>
      </c>
      <c r="E74" s="87" t="n">
        <v>0.788</v>
      </c>
      <c r="F74" s="88" t="n">
        <v>0.9</v>
      </c>
      <c r="G74" s="89" t="n">
        <v>0.8612</v>
      </c>
      <c r="H74" s="89" t="n">
        <v>0.9286</v>
      </c>
      <c r="I74" s="89" t="n">
        <v>0.8927</v>
      </c>
      <c r="J74" s="88" t="n">
        <f aca="false">IF(COUNT(G74:I74)=0,"",AVERAGE(G74:I74))</f>
        <v>0.894166666666667</v>
      </c>
      <c r="K74" s="90" t="n">
        <v>0.9</v>
      </c>
      <c r="L74" s="90" t="n">
        <v>0.848</v>
      </c>
      <c r="M74" s="90" t="n">
        <v>0.8948</v>
      </c>
      <c r="N74" s="91" t="n">
        <f aca="false">IF(COUNT(K74:M74)=0,"",AVERAGE(K74:M74))</f>
        <v>0.880933333333334</v>
      </c>
      <c r="O74" s="90" t="n">
        <v>0.938</v>
      </c>
      <c r="P74" s="90"/>
      <c r="Q74" s="90"/>
      <c r="R74" s="91" t="n">
        <f aca="false">IF(COUNT(O74:Q74)=0,"",AVERAGE(O74:Q74))</f>
        <v>0.938</v>
      </c>
      <c r="S74" s="90"/>
      <c r="T74" s="90"/>
      <c r="U74" s="90"/>
      <c r="V74" s="91" t="str">
        <f aca="false">IF(COUNT(S74:U74)=0,"",AVERAGE(S74:U74))</f>
        <v/>
      </c>
      <c r="W74" s="92" t="n">
        <v>0.895625</v>
      </c>
      <c r="X74" s="93" t="s">
        <v>113</v>
      </c>
      <c r="Y74" s="78" t="s">
        <v>105</v>
      </c>
      <c r="Z74" s="1" t="s">
        <v>101</v>
      </c>
    </row>
    <row r="75" customFormat="false" ht="25.5" hidden="false" customHeight="true" outlineLevel="0" collapsed="false">
      <c r="A75" s="69" t="s">
        <v>167</v>
      </c>
      <c r="B75" s="70" t="s">
        <v>168</v>
      </c>
      <c r="C75" s="71" t="s">
        <v>166</v>
      </c>
      <c r="D75" s="71" t="s">
        <v>110</v>
      </c>
      <c r="E75" s="87" t="n">
        <v>0.988</v>
      </c>
      <c r="F75" s="88" t="n">
        <v>0.99</v>
      </c>
      <c r="G75" s="89" t="n">
        <v>1</v>
      </c>
      <c r="H75" s="89" t="n">
        <v>1</v>
      </c>
      <c r="I75" s="89" t="n">
        <v>1</v>
      </c>
      <c r="J75" s="88" t="n">
        <f aca="false">IF(COUNT(G75:I75)=0,"",AVERAGE(G75:I75))</f>
        <v>1</v>
      </c>
      <c r="K75" s="90" t="n">
        <v>1</v>
      </c>
      <c r="L75" s="90" t="n">
        <v>1</v>
      </c>
      <c r="M75" s="90" t="n">
        <v>1</v>
      </c>
      <c r="N75" s="91" t="n">
        <f aca="false">IF(COUNT(K75:M75)=0,"",AVERAGE(K75:M75))</f>
        <v>1</v>
      </c>
      <c r="O75" s="90" t="n">
        <v>1</v>
      </c>
      <c r="P75" s="90"/>
      <c r="Q75" s="90"/>
      <c r="R75" s="91" t="n">
        <f aca="false">IF(COUNT(O75:Q75)=0,"",AVERAGE(O75:Q75))</f>
        <v>1</v>
      </c>
      <c r="S75" s="90"/>
      <c r="T75" s="90"/>
      <c r="U75" s="90"/>
      <c r="V75" s="91" t="str">
        <f aca="false">IF(COUNT(S75:U75)=0,"",AVERAGE(S75:U75))</f>
        <v/>
      </c>
      <c r="W75" s="92" t="n">
        <v>1</v>
      </c>
      <c r="X75" s="93" t="s">
        <v>104</v>
      </c>
      <c r="Y75" s="78" t="s">
        <v>100</v>
      </c>
      <c r="Z75" s="1" t="s">
        <v>101</v>
      </c>
    </row>
    <row r="76" customFormat="false" ht="25.5" hidden="false" customHeight="true" outlineLevel="0" collapsed="false">
      <c r="A76" s="69" t="s">
        <v>169</v>
      </c>
      <c r="B76" s="70" t="s">
        <v>170</v>
      </c>
      <c r="C76" s="71" t="s">
        <v>166</v>
      </c>
      <c r="D76" s="71" t="s">
        <v>110</v>
      </c>
      <c r="E76" s="87" t="n">
        <v>0.92</v>
      </c>
      <c r="F76" s="88" t="n">
        <v>0.93</v>
      </c>
      <c r="G76" s="89" t="n">
        <v>0.953430980914336</v>
      </c>
      <c r="H76" s="89" t="n">
        <v>0.959610317570379</v>
      </c>
      <c r="I76" s="89" t="n">
        <v>0.951780023381324</v>
      </c>
      <c r="J76" s="88" t="n">
        <f aca="false">IF(COUNT(G76:I76)=0,"",AVERAGE(G76:I76))</f>
        <v>0.954940440622013</v>
      </c>
      <c r="K76" s="90" t="n">
        <v>0.961310319870353</v>
      </c>
      <c r="L76" s="90" t="n">
        <v>0.967448875589711</v>
      </c>
      <c r="M76" s="90" t="n">
        <v>0.984211435481085</v>
      </c>
      <c r="N76" s="91" t="n">
        <f aca="false">IF(COUNT(K76:M76)=0,"",AVERAGE(K76:M76))</f>
        <v>0.970990210313716</v>
      </c>
      <c r="O76" s="90" t="n">
        <v>0.978</v>
      </c>
      <c r="P76" s="90"/>
      <c r="Q76" s="90"/>
      <c r="R76" s="91" t="n">
        <f aca="false">IF(COUNT(O76:Q76)=0,"",AVERAGE(O76:Q76))</f>
        <v>0.978</v>
      </c>
      <c r="S76" s="90"/>
      <c r="T76" s="90"/>
      <c r="U76" s="90"/>
      <c r="V76" s="91" t="str">
        <f aca="false">IF(COUNT(S76:U76)=0,"",AVERAGE(S76:U76))</f>
        <v/>
      </c>
      <c r="W76" s="92" t="n">
        <v>0.956532910434098</v>
      </c>
      <c r="X76" s="93" t="s">
        <v>104</v>
      </c>
      <c r="Y76" s="78" t="s">
        <v>100</v>
      </c>
      <c r="Z76" s="1" t="s">
        <v>101</v>
      </c>
    </row>
    <row r="77" customFormat="false" ht="25.5" hidden="false" customHeight="true" outlineLevel="0" collapsed="false">
      <c r="A77" s="69" t="s">
        <v>171</v>
      </c>
      <c r="B77" s="70" t="s">
        <v>172</v>
      </c>
      <c r="C77" s="71" t="s">
        <v>166</v>
      </c>
      <c r="D77" s="71" t="s">
        <v>97</v>
      </c>
      <c r="E77" s="72" t="n">
        <v>12</v>
      </c>
      <c r="F77" s="73" t="s">
        <v>173</v>
      </c>
      <c r="G77" s="106" t="n">
        <v>0</v>
      </c>
      <c r="H77" s="106" t="n">
        <v>2</v>
      </c>
      <c r="I77" s="106" t="n">
        <v>1</v>
      </c>
      <c r="J77" s="107" t="n">
        <f aca="false">IF(COUNT(G77:I77)=0,"",SUM(G77:I77))</f>
        <v>3</v>
      </c>
      <c r="K77" s="74" t="n">
        <v>0</v>
      </c>
      <c r="L77" s="74" t="n">
        <v>0</v>
      </c>
      <c r="M77" s="74" t="n">
        <v>1</v>
      </c>
      <c r="N77" s="73" t="n">
        <f aca="false">IF(COUNT(K77:M77)=0,"",SUM(K77:M77))</f>
        <v>1</v>
      </c>
      <c r="O77" s="74" t="n">
        <v>0</v>
      </c>
      <c r="P77" s="74"/>
      <c r="Q77" s="74"/>
      <c r="R77" s="73" t="n">
        <f aca="false">IF(COUNT(O77:Q77)=0,"",SUM(O77:Q77))</f>
        <v>0</v>
      </c>
      <c r="S77" s="74"/>
      <c r="T77" s="74"/>
      <c r="U77" s="74"/>
      <c r="V77" s="73" t="str">
        <f aca="false">IF(COUNT(S77:U77)=0,"",SUM(S77:U77))</f>
        <v/>
      </c>
      <c r="W77" s="76" t="n">
        <v>0.75</v>
      </c>
      <c r="X77" s="77" t="s">
        <v>120</v>
      </c>
      <c r="Y77" s="78" t="s">
        <v>100</v>
      </c>
      <c r="Z77" s="1" t="s">
        <v>101</v>
      </c>
    </row>
    <row r="78" customFormat="false" ht="25.5" hidden="false" customHeight="true" outlineLevel="0" collapsed="false">
      <c r="A78" s="69" t="s">
        <v>174</v>
      </c>
      <c r="B78" s="70" t="s">
        <v>175</v>
      </c>
      <c r="C78" s="71" t="s">
        <v>166</v>
      </c>
      <c r="D78" s="71" t="s">
        <v>110</v>
      </c>
      <c r="E78" s="87" t="n">
        <v>0.828</v>
      </c>
      <c r="F78" s="88" t="n">
        <v>0.8538</v>
      </c>
      <c r="G78" s="89" t="n">
        <v>0.864042207792208</v>
      </c>
      <c r="H78" s="89" t="n">
        <v>0.806797854785479</v>
      </c>
      <c r="I78" s="89" t="n">
        <v>0.71532967032967</v>
      </c>
      <c r="J78" s="88" t="n">
        <f aca="false">IF(COUNT(G78:I78)=0,"",AVERAGE(G78:I78))</f>
        <v>0.795389910969119</v>
      </c>
      <c r="K78" s="90" t="n">
        <v>0.865089285714286</v>
      </c>
      <c r="L78" s="90" t="n">
        <v>0.719642857142857</v>
      </c>
      <c r="M78" s="90" t="n">
        <v>0.878461538461539</v>
      </c>
      <c r="N78" s="91" t="n">
        <f aca="false">IF(COUNT(K78:M78)=0,"",AVERAGE(K78:M78))</f>
        <v>0.821064560439561</v>
      </c>
      <c r="O78" s="90" t="n">
        <v>0.9277</v>
      </c>
      <c r="P78" s="90"/>
      <c r="Q78" s="90"/>
      <c r="R78" s="91" t="n">
        <f aca="false">IF(COUNT(O78:Q78)=0,"",AVERAGE(O78:Q78))</f>
        <v>0.9277</v>
      </c>
      <c r="S78" s="90"/>
      <c r="T78" s="90"/>
      <c r="U78" s="90"/>
      <c r="V78" s="91" t="str">
        <f aca="false">IF(COUNT(S78:U78)=0,"",AVERAGE(S78:U78))</f>
        <v/>
      </c>
      <c r="W78" s="92" t="n">
        <v>0.812814754655411</v>
      </c>
      <c r="X78" s="93" t="s">
        <v>113</v>
      </c>
      <c r="Y78" s="78" t="s">
        <v>100</v>
      </c>
      <c r="Z78" s="1" t="s">
        <v>101</v>
      </c>
    </row>
    <row r="79" customFormat="false" ht="25.5" hidden="false" customHeight="true" outlineLevel="0" collapsed="false">
      <c r="A79" s="69" t="s">
        <v>176</v>
      </c>
      <c r="B79" s="70" t="s">
        <v>177</v>
      </c>
      <c r="C79" s="71" t="s">
        <v>166</v>
      </c>
      <c r="D79" s="71" t="s">
        <v>97</v>
      </c>
      <c r="E79" s="87" t="n">
        <v>0.017</v>
      </c>
      <c r="F79" s="88" t="n">
        <v>0.0145</v>
      </c>
      <c r="G79" s="89" t="n">
        <v>0.0137535816618911</v>
      </c>
      <c r="H79" s="89" t="n">
        <v>0.00779850746268657</v>
      </c>
      <c r="I79" s="89" t="n">
        <v>0.0211757575757576</v>
      </c>
      <c r="J79" s="88" t="n">
        <f aca="false">IF(COUNT(G79:I79)=0,"",AVERAGE(G79:I79))</f>
        <v>0.0142426155667784</v>
      </c>
      <c r="K79" s="90" t="n">
        <v>0.0105088495575221</v>
      </c>
      <c r="L79" s="90" t="n">
        <v>0.00346056826056826</v>
      </c>
      <c r="M79" s="90" t="n">
        <v>0.00406710726995425</v>
      </c>
      <c r="N79" s="91" t="n">
        <f aca="false">IF(COUNT(K79:M79)=0,"",AVERAGE(K79:M79))</f>
        <v>0.0060121750293482</v>
      </c>
      <c r="O79" s="90" t="n">
        <v>0.009</v>
      </c>
      <c r="P79" s="90"/>
      <c r="Q79" s="90"/>
      <c r="R79" s="91" t="n">
        <f aca="false">IF(COUNT(O79:Q79)=0,"",AVERAGE(O79:Q79))</f>
        <v>0.009</v>
      </c>
      <c r="S79" s="90"/>
      <c r="T79" s="90"/>
      <c r="U79" s="90"/>
      <c r="V79" s="91" t="str">
        <f aca="false">IF(COUNT(S79:U79)=0,"",AVERAGE(S79:U79))</f>
        <v/>
      </c>
      <c r="W79" s="92" t="n">
        <v>0.0133091740644643</v>
      </c>
      <c r="X79" s="93" t="s">
        <v>104</v>
      </c>
      <c r="Y79" s="78" t="s">
        <v>100</v>
      </c>
      <c r="Z79" s="1" t="s">
        <v>101</v>
      </c>
    </row>
    <row r="80" customFormat="false" ht="25.5" hidden="false" customHeight="true" outlineLevel="0" collapsed="false">
      <c r="A80" s="69" t="s">
        <v>178</v>
      </c>
      <c r="B80" s="70" t="s">
        <v>179</v>
      </c>
      <c r="C80" s="71" t="s">
        <v>166</v>
      </c>
      <c r="D80" s="71" t="s">
        <v>97</v>
      </c>
      <c r="E80" s="87" t="n">
        <v>0.019</v>
      </c>
      <c r="F80" s="88" t="n">
        <v>0.0162</v>
      </c>
      <c r="G80" s="89" t="n">
        <v>0.0158721704394141</v>
      </c>
      <c r="H80" s="89" t="n">
        <v>0.0154798224934128</v>
      </c>
      <c r="I80" s="89" t="n">
        <v>0.0180965040116586</v>
      </c>
      <c r="J80" s="88" t="n">
        <f aca="false">IF(COUNT(G80:I80)=0,"",AVERAGE(G80:I80))</f>
        <v>0.0164828323148285</v>
      </c>
      <c r="K80" s="90" t="n">
        <v>0.0201394024261686</v>
      </c>
      <c r="L80" s="90" t="n">
        <v>0.0219499491556504</v>
      </c>
      <c r="M80" s="90" t="n">
        <v>0.0186042494385904</v>
      </c>
      <c r="N80" s="91" t="n">
        <f aca="false">IF(COUNT(K80:M80)=0,"",AVERAGE(K80:M80))</f>
        <v>0.0202312003401365</v>
      </c>
      <c r="O80" s="90" t="n">
        <v>0.017</v>
      </c>
      <c r="P80" s="90"/>
      <c r="Q80" s="90"/>
      <c r="R80" s="91" t="n">
        <f aca="false">IF(COUNT(O80:Q80)=0,"",AVERAGE(O80:Q80))</f>
        <v>0.017</v>
      </c>
      <c r="S80" s="90"/>
      <c r="T80" s="90"/>
      <c r="U80" s="90"/>
      <c r="V80" s="91" t="str">
        <f aca="false">IF(COUNT(S80:U80)=0,"",AVERAGE(S80:U80))</f>
        <v/>
      </c>
      <c r="W80" s="92" t="n">
        <v>0.0173969748426635</v>
      </c>
      <c r="X80" s="93" t="s">
        <v>113</v>
      </c>
      <c r="Y80" s="78" t="s">
        <v>100</v>
      </c>
      <c r="Z80" s="1" t="s">
        <v>101</v>
      </c>
    </row>
    <row r="81" customFormat="false" ht="25.5" hidden="false" customHeight="true" outlineLevel="0" collapsed="false">
      <c r="A81" s="69" t="s">
        <v>180</v>
      </c>
      <c r="B81" s="70" t="s">
        <v>181</v>
      </c>
      <c r="C81" s="71" t="s">
        <v>166</v>
      </c>
      <c r="D81" s="71" t="s">
        <v>97</v>
      </c>
      <c r="E81" s="87" t="n">
        <v>0.01</v>
      </c>
      <c r="F81" s="88" t="n">
        <v>0.0085</v>
      </c>
      <c r="G81" s="89" t="n">
        <v>0</v>
      </c>
      <c r="H81" s="89" t="n">
        <v>0</v>
      </c>
      <c r="I81" s="89" t="n">
        <v>0</v>
      </c>
      <c r="J81" s="88" t="n">
        <f aca="false">IF(COUNT(G81:I81)=0,"",AVERAGE(G81:I81))</f>
        <v>0</v>
      </c>
      <c r="K81" s="103" t="n">
        <v>0</v>
      </c>
      <c r="L81" s="103" t="n">
        <v>0</v>
      </c>
      <c r="M81" s="103" t="n">
        <v>0.00137551581843191</v>
      </c>
      <c r="N81" s="75" t="n">
        <f aca="false">IF(COUNT(K81:M81)=0,"",AVERAGE(K81:M81))</f>
        <v>0.000458505272810637</v>
      </c>
      <c r="O81" s="103" t="n">
        <v>0.00153217568947906</v>
      </c>
      <c r="P81" s="103"/>
      <c r="Q81" s="103"/>
      <c r="R81" s="75" t="n">
        <f aca="false">IF(COUNT(O81:Q81)=0,"",AVERAGE(O81:Q81))</f>
        <v>0.00153217568947906</v>
      </c>
      <c r="S81" s="103"/>
      <c r="T81" s="103"/>
      <c r="U81" s="103"/>
      <c r="V81" s="75" t="str">
        <f aca="false">IF(COUNT(S81:U81)=0,"",AVERAGE(S81:U81))</f>
        <v/>
      </c>
      <c r="W81" s="104" t="n">
        <v>0</v>
      </c>
      <c r="X81" s="105" t="s">
        <v>104</v>
      </c>
      <c r="Y81" s="78" t="s">
        <v>100</v>
      </c>
      <c r="Z81" s="1" t="s">
        <v>101</v>
      </c>
    </row>
    <row r="82" customFormat="false" ht="25.5" hidden="false" customHeight="true" outlineLevel="0" collapsed="false">
      <c r="A82" s="69" t="s">
        <v>182</v>
      </c>
      <c r="B82" s="70" t="s">
        <v>183</v>
      </c>
      <c r="C82" s="71" t="s">
        <v>166</v>
      </c>
      <c r="D82" s="71" t="s">
        <v>97</v>
      </c>
      <c r="E82" s="87" t="n">
        <v>0.072</v>
      </c>
      <c r="F82" s="88" t="n">
        <v>0.0612</v>
      </c>
      <c r="G82" s="89" t="n">
        <v>0.0434782608695652</v>
      </c>
      <c r="H82" s="89" t="n">
        <v>0.0603015075376884</v>
      </c>
      <c r="I82" s="89" t="n">
        <v>0.0653266331658292</v>
      </c>
      <c r="J82" s="88" t="n">
        <f aca="false">IF(COUNT(G82:I82)=0,"",AVERAGE(G82:I82))</f>
        <v>0.0563688005243609</v>
      </c>
      <c r="K82" s="90" t="n">
        <v>0.0606060606060606</v>
      </c>
      <c r="L82" s="90" t="n">
        <v>0.070352</v>
      </c>
      <c r="M82" s="90"/>
      <c r="N82" s="91" t="n">
        <f aca="false">IF(COUNT(K82:M82)=0,"",AVERAGE(K82:M82))</f>
        <v>0.0654790303030303</v>
      </c>
      <c r="O82" s="90" t="n">
        <v>0.0123737373737374</v>
      </c>
      <c r="P82" s="90"/>
      <c r="Q82" s="90"/>
      <c r="R82" s="91" t="n">
        <f aca="false">IF(COUNT(O82:Q82)=0,"",AVERAGE(O82:Q82))</f>
        <v>0.0123737373737374</v>
      </c>
      <c r="S82" s="90"/>
      <c r="T82" s="90"/>
      <c r="U82" s="90"/>
      <c r="V82" s="91" t="str">
        <f aca="false">IF(COUNT(S82:U82)=0,"",AVERAGE(S82:U82))</f>
        <v/>
      </c>
      <c r="W82" s="92" t="n">
        <v>0.0574281155447859</v>
      </c>
      <c r="X82" s="93" t="s">
        <v>104</v>
      </c>
      <c r="Y82" s="78" t="s">
        <v>100</v>
      </c>
      <c r="Z82" s="1" t="s">
        <v>101</v>
      </c>
    </row>
    <row r="83" customFormat="false" ht="25.5" hidden="false" customHeight="true" outlineLevel="0" collapsed="false">
      <c r="A83" s="69" t="s">
        <v>184</v>
      </c>
      <c r="B83" s="70" t="s">
        <v>185</v>
      </c>
      <c r="C83" s="71" t="s">
        <v>166</v>
      </c>
      <c r="D83" s="71" t="s">
        <v>110</v>
      </c>
      <c r="E83" s="87" t="n">
        <v>1</v>
      </c>
      <c r="F83" s="88" t="n">
        <v>1</v>
      </c>
      <c r="G83" s="89" t="n">
        <v>1</v>
      </c>
      <c r="H83" s="89" t="n">
        <v>1</v>
      </c>
      <c r="I83" s="89" t="n">
        <v>1</v>
      </c>
      <c r="J83" s="88" t="n">
        <f aca="false">IF(COUNT(G83:I83)=0,"",AVERAGE(G83:I83))</f>
        <v>1</v>
      </c>
      <c r="K83" s="90" t="n">
        <v>1</v>
      </c>
      <c r="L83" s="90" t="n">
        <v>1</v>
      </c>
      <c r="M83" s="90" t="n">
        <v>1</v>
      </c>
      <c r="N83" s="91" t="n">
        <f aca="false">IF(COUNT(K83:M83)=0,"",AVERAGE(K83:M83))</f>
        <v>1</v>
      </c>
      <c r="O83" s="90" t="n">
        <v>1</v>
      </c>
      <c r="P83" s="90"/>
      <c r="Q83" s="90"/>
      <c r="R83" s="91" t="n">
        <f aca="false">IF(COUNT(O83:Q83)=0,"",AVERAGE(O83:Q83))</f>
        <v>1</v>
      </c>
      <c r="S83" s="90"/>
      <c r="T83" s="90"/>
      <c r="U83" s="90"/>
      <c r="V83" s="91" t="str">
        <f aca="false">IF(COUNT(S83:U83)=0,"",AVERAGE(S83:U83))</f>
        <v/>
      </c>
      <c r="W83" s="92" t="n">
        <v>1</v>
      </c>
      <c r="X83" s="93" t="s">
        <v>104</v>
      </c>
      <c r="Y83" s="78" t="s">
        <v>100</v>
      </c>
      <c r="Z83" s="1" t="s">
        <v>101</v>
      </c>
    </row>
    <row r="84" customFormat="false" ht="25.5" hidden="false" customHeight="true" outlineLevel="0" collapsed="false">
      <c r="A84" s="69" t="s">
        <v>186</v>
      </c>
      <c r="B84" s="70" t="s">
        <v>187</v>
      </c>
      <c r="C84" s="71" t="s">
        <v>166</v>
      </c>
      <c r="D84" s="71" t="s">
        <v>97</v>
      </c>
      <c r="E84" s="87" t="n">
        <v>0.027</v>
      </c>
      <c r="F84" s="82" t="n">
        <v>0.0135</v>
      </c>
      <c r="G84" s="89" t="n">
        <v>0.027660472972973</v>
      </c>
      <c r="H84" s="89" t="n">
        <v>0.0311387900355872</v>
      </c>
      <c r="I84" s="89" t="n">
        <v>0.0407907122685912</v>
      </c>
      <c r="J84" s="88" t="n">
        <f aca="false">IF(COUNT(G84:I84)=0,"",AVERAGE(G84:I84))</f>
        <v>0.0331966584257171</v>
      </c>
      <c r="K84" s="103" t="n">
        <v>0.0407725321888412</v>
      </c>
      <c r="L84" s="103" t="n">
        <v>0.0388921626399529</v>
      </c>
      <c r="M84" s="103" t="n">
        <v>0.0245398773006135</v>
      </c>
      <c r="N84" s="75" t="n">
        <f aca="false">IF(COUNT(K84:M84)=0,"",AVERAGE(K84:M84))</f>
        <v>0.0347348573764692</v>
      </c>
      <c r="O84" s="103" t="n">
        <v>0.0164313816246239</v>
      </c>
      <c r="P84" s="103"/>
      <c r="Q84" s="103"/>
      <c r="R84" s="75" t="n">
        <f aca="false">IF(COUNT(O84:Q84)=0,"",AVERAGE(O84:Q84))</f>
        <v>0.0164313816246239</v>
      </c>
      <c r="S84" s="103"/>
      <c r="T84" s="103"/>
      <c r="U84" s="103"/>
      <c r="V84" s="75" t="str">
        <f aca="false">IF(COUNT(S84:U84)=0,"",AVERAGE(S84:U84))</f>
        <v/>
      </c>
      <c r="W84" s="104" t="n">
        <v>0.0350906268664982</v>
      </c>
      <c r="X84" s="105" t="s">
        <v>120</v>
      </c>
      <c r="Y84" s="78" t="s">
        <v>100</v>
      </c>
      <c r="Z84" s="1" t="s">
        <v>101</v>
      </c>
    </row>
    <row r="85" customFormat="false" ht="25.5" hidden="false" customHeight="true" outlineLevel="0" collapsed="false">
      <c r="A85" s="69" t="s">
        <v>188</v>
      </c>
      <c r="B85" s="70" t="s">
        <v>189</v>
      </c>
      <c r="C85" s="71" t="s">
        <v>166</v>
      </c>
      <c r="D85" s="71" t="s">
        <v>110</v>
      </c>
      <c r="E85" s="87" t="n">
        <v>0.8693</v>
      </c>
      <c r="F85" s="88" t="n">
        <v>0.8849</v>
      </c>
      <c r="G85" s="89" t="n">
        <v>0.8937</v>
      </c>
      <c r="H85" s="89" t="n">
        <v>0.8411</v>
      </c>
      <c r="I85" s="89" t="n">
        <v>0.8868</v>
      </c>
      <c r="J85" s="88" t="n">
        <f aca="false">IF(COUNT(G85:I85)=0,"",AVERAGE(G85:I85))</f>
        <v>0.873866666666667</v>
      </c>
      <c r="K85" s="90" t="n">
        <v>0.8666</v>
      </c>
      <c r="L85" s="90" t="n">
        <v>0.8751</v>
      </c>
      <c r="M85" s="90" t="n">
        <v>0.9076</v>
      </c>
      <c r="N85" s="91" t="n">
        <f aca="false">IF(COUNT(K85:M85)=0,"",AVERAGE(K85:M85))</f>
        <v>0.8831</v>
      </c>
      <c r="O85" s="90" t="n">
        <v>0.8953</v>
      </c>
      <c r="P85" s="90"/>
      <c r="Q85" s="90"/>
      <c r="R85" s="91" t="n">
        <f aca="false">IF(COUNT(O85:Q85)=0,"",AVERAGE(O85:Q85))</f>
        <v>0.8953</v>
      </c>
      <c r="S85" s="90"/>
      <c r="T85" s="90"/>
      <c r="U85" s="90"/>
      <c r="V85" s="91" t="str">
        <f aca="false">IF(COUNT(S85:U85)=0,"",AVERAGE(S85:U85))</f>
        <v/>
      </c>
      <c r="W85" s="92" t="n">
        <v>0.87205</v>
      </c>
      <c r="X85" s="93" t="s">
        <v>113</v>
      </c>
      <c r="Y85" s="78" t="s">
        <v>190</v>
      </c>
      <c r="Z85" s="1" t="s">
        <v>101</v>
      </c>
    </row>
    <row r="86" customFormat="false" ht="25.5" hidden="false" customHeight="true" outlineLevel="0" collapsed="false">
      <c r="A86" s="69" t="s">
        <v>191</v>
      </c>
      <c r="B86" s="70" t="s">
        <v>192</v>
      </c>
      <c r="C86" s="71" t="s">
        <v>166</v>
      </c>
      <c r="D86" s="71" t="s">
        <v>110</v>
      </c>
      <c r="E86" s="87" t="n">
        <v>0.8806</v>
      </c>
      <c r="F86" s="88" t="n">
        <v>0.8938</v>
      </c>
      <c r="G86" s="89" t="n">
        <v>0.8937</v>
      </c>
      <c r="H86" s="89" t="n">
        <v>0.9209</v>
      </c>
      <c r="I86" s="89" t="n">
        <v>0.8957</v>
      </c>
      <c r="J86" s="88" t="n">
        <f aca="false">IF(COUNT(G86:I86)=0,"",AVERAGE(G86:I86))</f>
        <v>0.903433333333333</v>
      </c>
      <c r="K86" s="90" t="n">
        <v>0.909</v>
      </c>
      <c r="L86" s="90" t="n">
        <v>0.8878</v>
      </c>
      <c r="M86" s="90" t="n">
        <v>0.8911</v>
      </c>
      <c r="N86" s="91" t="n">
        <f aca="false">IF(COUNT(K86:M86)=0,"",AVERAGE(K86:M86))</f>
        <v>0.895966666666667</v>
      </c>
      <c r="O86" s="90" t="n">
        <v>0.8977</v>
      </c>
      <c r="P86" s="90"/>
      <c r="Q86" s="90"/>
      <c r="R86" s="91" t="n">
        <f aca="false">IF(COUNT(O86:Q86)=0,"",AVERAGE(O86:Q86))</f>
        <v>0.8977</v>
      </c>
      <c r="S86" s="90"/>
      <c r="T86" s="90"/>
      <c r="U86" s="90"/>
      <c r="V86" s="91" t="str">
        <f aca="false">IF(COUNT(S86:U86)=0,"",AVERAGE(S86:U86))</f>
        <v/>
      </c>
      <c r="W86" s="92" t="n">
        <v>0.904825</v>
      </c>
      <c r="X86" s="93" t="s">
        <v>104</v>
      </c>
      <c r="Y86" s="78" t="s">
        <v>100</v>
      </c>
      <c r="Z86" s="1" t="s">
        <v>101</v>
      </c>
    </row>
    <row r="87" customFormat="false" ht="25.5" hidden="false" customHeight="true" outlineLevel="0" collapsed="false">
      <c r="A87" s="69" t="s">
        <v>193</v>
      </c>
      <c r="B87" s="70" t="s">
        <v>194</v>
      </c>
      <c r="C87" s="71" t="s">
        <v>166</v>
      </c>
      <c r="D87" s="71" t="s">
        <v>110</v>
      </c>
      <c r="E87" s="87" t="n">
        <v>0.8424</v>
      </c>
      <c r="F87" s="88" t="n">
        <v>0.8658</v>
      </c>
      <c r="G87" s="89" t="n">
        <v>0.8637</v>
      </c>
      <c r="H87" s="89" t="n">
        <v>0.8375</v>
      </c>
      <c r="I87" s="89" t="n">
        <v>0.9566</v>
      </c>
      <c r="J87" s="88" t="n">
        <f aca="false">IF(COUNT(G87:I87)=0,"",AVERAGE(G87:I87))</f>
        <v>0.885933333333333</v>
      </c>
      <c r="K87" s="90"/>
      <c r="L87" s="90" t="n">
        <v>0.772</v>
      </c>
      <c r="M87" s="90" t="s">
        <v>195</v>
      </c>
      <c r="N87" s="91" t="n">
        <f aca="false">IF(COUNT(K87:M87)=0,"",AVERAGE(K87:M87))</f>
        <v>0.772</v>
      </c>
      <c r="O87" s="90"/>
      <c r="P87" s="90"/>
      <c r="Q87" s="90"/>
      <c r="R87" s="91" t="str">
        <f aca="false">IF(COUNT(O87:Q87)=0,"",AVERAGE(O87:Q87))</f>
        <v/>
      </c>
      <c r="S87" s="90"/>
      <c r="T87" s="90"/>
      <c r="U87" s="90"/>
      <c r="V87" s="91" t="str">
        <f aca="false">IF(COUNT(S87:U87)=0,"",AVERAGE(S87:U87))</f>
        <v/>
      </c>
      <c r="W87" s="92" t="n">
        <v>0.885933333333333</v>
      </c>
      <c r="X87" s="93" t="s">
        <v>104</v>
      </c>
      <c r="Y87" s="78" t="s">
        <v>100</v>
      </c>
      <c r="Z87" s="1" t="s">
        <v>101</v>
      </c>
    </row>
    <row r="88" customFormat="false" ht="25.5" hidden="false" customHeight="true" outlineLevel="0" collapsed="false">
      <c r="A88" s="69" t="s">
        <v>196</v>
      </c>
      <c r="B88" s="70" t="s">
        <v>197</v>
      </c>
      <c r="C88" s="71" t="s">
        <v>166</v>
      </c>
      <c r="D88" s="71" t="s">
        <v>110</v>
      </c>
      <c r="E88" s="87" t="n">
        <v>0.835</v>
      </c>
      <c r="F88" s="88" t="n">
        <v>0.807</v>
      </c>
      <c r="G88" s="89" t="n">
        <v>0.8654</v>
      </c>
      <c r="H88" s="89" t="n">
        <v>0.8036</v>
      </c>
      <c r="I88" s="89" t="n">
        <v>0.7838</v>
      </c>
      <c r="J88" s="88" t="n">
        <f aca="false">IF(COUNT(G88:I88)=0,"",AVERAGE(G88:I88))</f>
        <v>0.8176</v>
      </c>
      <c r="K88" s="90" t="n">
        <v>0.7769</v>
      </c>
      <c r="L88" s="90" t="n">
        <v>0.7992</v>
      </c>
      <c r="M88" s="90" t="n">
        <v>0.7878</v>
      </c>
      <c r="N88" s="91" t="n">
        <f aca="false">IF(COUNT(K88:M88)=0,"",AVERAGE(K88:M88))</f>
        <v>0.787966666666667</v>
      </c>
      <c r="O88" s="90" t="n">
        <v>0.8178</v>
      </c>
      <c r="P88" s="90"/>
      <c r="Q88" s="90"/>
      <c r="R88" s="91" t="n">
        <f aca="false">IF(COUNT(O88:Q88)=0,"",AVERAGE(O88:Q88))</f>
        <v>0.8178</v>
      </c>
      <c r="S88" s="90"/>
      <c r="T88" s="90"/>
      <c r="U88" s="90"/>
      <c r="V88" s="91" t="str">
        <f aca="false">IF(COUNT(S88:U88)=0,"",AVERAGE(S88:U88))</f>
        <v/>
      </c>
      <c r="W88" s="92" t="n">
        <v>0.807425</v>
      </c>
      <c r="X88" s="93" t="s">
        <v>104</v>
      </c>
      <c r="Y88" s="78" t="s">
        <v>100</v>
      </c>
      <c r="Z88" s="1" t="s">
        <v>101</v>
      </c>
    </row>
    <row r="89" customFormat="false" ht="25.5" hidden="false" customHeight="true" outlineLevel="0" collapsed="false">
      <c r="A89" s="69" t="s">
        <v>198</v>
      </c>
      <c r="B89" s="70" t="s">
        <v>199</v>
      </c>
      <c r="C89" s="71" t="s">
        <v>166</v>
      </c>
      <c r="D89" s="71" t="s">
        <v>110</v>
      </c>
      <c r="E89" s="87" t="n">
        <v>0.821</v>
      </c>
      <c r="F89" s="88" t="n">
        <v>0.848</v>
      </c>
      <c r="G89" s="89" t="n">
        <v>0.9086</v>
      </c>
      <c r="H89" s="89" t="n">
        <v>0.9104</v>
      </c>
      <c r="I89" s="90" t="n">
        <v>0.9172</v>
      </c>
      <c r="J89" s="88" t="n">
        <f aca="false">IF(COUNT(G89:I89)=0,"",AVERAGE(G89:I89))</f>
        <v>0.912066666666667</v>
      </c>
      <c r="K89" s="90" t="n">
        <v>0.9177</v>
      </c>
      <c r="L89" s="90" t="n">
        <v>0.8913</v>
      </c>
      <c r="M89" s="90" t="n">
        <v>0.8962</v>
      </c>
      <c r="N89" s="91" t="n">
        <f aca="false">IF(COUNT(K89:M89)=0,"",AVERAGE(K89:M89))</f>
        <v>0.901733333333333</v>
      </c>
      <c r="O89" s="90" t="n">
        <v>0.8925</v>
      </c>
      <c r="P89" s="90"/>
      <c r="Q89" s="90"/>
      <c r="R89" s="91" t="n">
        <f aca="false">IF(COUNT(O89:Q89)=0,"",AVERAGE(O89:Q89))</f>
        <v>0.8925</v>
      </c>
      <c r="S89" s="90"/>
      <c r="T89" s="90"/>
      <c r="U89" s="90"/>
      <c r="V89" s="91" t="str">
        <f aca="false">IF(COUNT(S89:U89)=0,"",AVERAGE(S89:U89))</f>
        <v/>
      </c>
      <c r="W89" s="92" t="n">
        <v>0.912233333333333</v>
      </c>
      <c r="X89" s="93" t="s">
        <v>104</v>
      </c>
      <c r="Y89" s="78" t="s">
        <v>190</v>
      </c>
      <c r="Z89" s="1" t="s">
        <v>101</v>
      </c>
    </row>
    <row r="90" customFormat="false" ht="25.5" hidden="false" customHeight="true" outlineLevel="0" collapsed="false">
      <c r="A90" s="69" t="s">
        <v>200</v>
      </c>
      <c r="B90" s="70" t="s">
        <v>201</v>
      </c>
      <c r="C90" s="71" t="s">
        <v>31</v>
      </c>
      <c r="D90" s="71" t="s">
        <v>97</v>
      </c>
      <c r="E90" s="87" t="n">
        <v>0</v>
      </c>
      <c r="F90" s="88" t="n">
        <v>0</v>
      </c>
      <c r="G90" s="89" t="n">
        <v>0</v>
      </c>
      <c r="H90" s="89" t="n">
        <v>0</v>
      </c>
      <c r="I90" s="89" t="n">
        <v>0</v>
      </c>
      <c r="J90" s="88" t="n">
        <f aca="false">IF(COUNT(G90:I90)=0,"",AVERAGE(G90:I90))</f>
        <v>0</v>
      </c>
      <c r="K90" s="90" t="n">
        <v>0</v>
      </c>
      <c r="L90" s="90" t="n">
        <v>0</v>
      </c>
      <c r="M90" s="90" t="n">
        <v>0</v>
      </c>
      <c r="N90" s="91" t="n">
        <f aca="false">IF(COUNT(K90:M90)=0,"",AVERAGE(K90:M90))</f>
        <v>0</v>
      </c>
      <c r="O90" s="90" t="n">
        <v>0</v>
      </c>
      <c r="P90" s="90"/>
      <c r="Q90" s="90"/>
      <c r="R90" s="91" t="n">
        <f aca="false">IF(COUNT(O90:Q90)=0,"",AVERAGE(O90:Q90))</f>
        <v>0</v>
      </c>
      <c r="S90" s="90"/>
      <c r="T90" s="90"/>
      <c r="U90" s="90"/>
      <c r="V90" s="91" t="str">
        <f aca="false">IF(COUNT(S90:U90)=0,"",AVERAGE(S90:U90))</f>
        <v/>
      </c>
      <c r="W90" s="92" t="n">
        <v>0</v>
      </c>
      <c r="X90" s="93" t="s">
        <v>104</v>
      </c>
      <c r="Y90" s="78" t="s">
        <v>100</v>
      </c>
      <c r="Z90" s="1" t="s">
        <v>101</v>
      </c>
    </row>
    <row r="91" customFormat="false" ht="25.5" hidden="false" customHeight="true" outlineLevel="0" collapsed="false">
      <c r="A91" s="69" t="s">
        <v>202</v>
      </c>
      <c r="B91" s="70" t="s">
        <v>203</v>
      </c>
      <c r="C91" s="71" t="s">
        <v>31</v>
      </c>
      <c r="D91" s="71" t="s">
        <v>97</v>
      </c>
      <c r="E91" s="87" t="n">
        <v>0</v>
      </c>
      <c r="F91" s="88" t="n">
        <v>0</v>
      </c>
      <c r="G91" s="89" t="n">
        <v>0</v>
      </c>
      <c r="H91" s="89" t="n">
        <v>0</v>
      </c>
      <c r="I91" s="89" t="n">
        <v>0</v>
      </c>
      <c r="J91" s="88" t="n">
        <f aca="false">IF(COUNT(G91:I91)=0,"",AVERAGE(G91:I91))</f>
        <v>0</v>
      </c>
      <c r="K91" s="90" t="n">
        <v>0</v>
      </c>
      <c r="L91" s="90" t="n">
        <v>0</v>
      </c>
      <c r="M91" s="90" t="n">
        <v>0</v>
      </c>
      <c r="N91" s="91" t="n">
        <f aca="false">IF(COUNT(K91:M91)=0,"",AVERAGE(K91:M91))</f>
        <v>0</v>
      </c>
      <c r="O91" s="90" t="n">
        <v>0</v>
      </c>
      <c r="P91" s="90"/>
      <c r="Q91" s="90"/>
      <c r="R91" s="91" t="n">
        <f aca="false">IF(COUNT(O91:Q91)=0,"",AVERAGE(O91:Q91))</f>
        <v>0</v>
      </c>
      <c r="S91" s="90"/>
      <c r="T91" s="90"/>
      <c r="U91" s="90"/>
      <c r="V91" s="91" t="str">
        <f aca="false">IF(COUNT(S91:U91)=0,"",AVERAGE(S91:U91))</f>
        <v/>
      </c>
      <c r="W91" s="92" t="n">
        <v>0</v>
      </c>
      <c r="X91" s="93" t="s">
        <v>104</v>
      </c>
      <c r="Y91" s="78" t="s">
        <v>100</v>
      </c>
      <c r="Z91" s="1" t="s">
        <v>101</v>
      </c>
    </row>
    <row r="92" customFormat="false" ht="25.5" hidden="false" customHeight="true" outlineLevel="0" collapsed="false">
      <c r="A92" s="69" t="s">
        <v>204</v>
      </c>
      <c r="B92" s="70" t="s">
        <v>205</v>
      </c>
      <c r="C92" s="71" t="s">
        <v>31</v>
      </c>
      <c r="D92" s="71" t="s">
        <v>97</v>
      </c>
      <c r="E92" s="87" t="n">
        <v>0</v>
      </c>
      <c r="F92" s="88" t="n">
        <v>0</v>
      </c>
      <c r="G92" s="89" t="n">
        <v>0</v>
      </c>
      <c r="H92" s="89" t="n">
        <v>0</v>
      </c>
      <c r="I92" s="89" t="n">
        <v>0</v>
      </c>
      <c r="J92" s="88" t="n">
        <f aca="false">IF(COUNT(G92:I92)=0,"",AVERAGE(G92:I92))</f>
        <v>0</v>
      </c>
      <c r="K92" s="90" t="n">
        <v>0</v>
      </c>
      <c r="L92" s="90" t="n">
        <v>0</v>
      </c>
      <c r="M92" s="90" t="n">
        <v>0</v>
      </c>
      <c r="N92" s="91" t="n">
        <f aca="false">IF(COUNT(K92:M92)=0,"",AVERAGE(K92:M92))</f>
        <v>0</v>
      </c>
      <c r="O92" s="90" t="n">
        <v>0</v>
      </c>
      <c r="P92" s="90"/>
      <c r="Q92" s="90"/>
      <c r="R92" s="91" t="n">
        <f aca="false">IF(COUNT(O92:Q92)=0,"",AVERAGE(O92:Q92))</f>
        <v>0</v>
      </c>
      <c r="S92" s="90"/>
      <c r="T92" s="90"/>
      <c r="U92" s="90"/>
      <c r="V92" s="91" t="str">
        <f aca="false">IF(COUNT(S92:U92)=0,"",AVERAGE(S92:U92))</f>
        <v/>
      </c>
      <c r="W92" s="92" t="n">
        <v>0</v>
      </c>
      <c r="X92" s="93" t="s">
        <v>104</v>
      </c>
      <c r="Y92" s="78" t="s">
        <v>100</v>
      </c>
      <c r="Z92" s="1" t="s">
        <v>101</v>
      </c>
    </row>
    <row r="93" customFormat="false" ht="25.5" hidden="false" customHeight="true" outlineLevel="0" collapsed="false">
      <c r="A93" s="69" t="s">
        <v>206</v>
      </c>
      <c r="B93" s="70" t="s">
        <v>207</v>
      </c>
      <c r="C93" s="71" t="s">
        <v>31</v>
      </c>
      <c r="D93" s="71" t="s">
        <v>110</v>
      </c>
      <c r="E93" s="87" t="n">
        <v>0.45</v>
      </c>
      <c r="F93" s="88" t="n">
        <v>0.9</v>
      </c>
      <c r="G93" s="89" t="n">
        <v>1</v>
      </c>
      <c r="H93" s="89" t="n">
        <v>1</v>
      </c>
      <c r="I93" s="89" t="n">
        <v>1</v>
      </c>
      <c r="J93" s="88" t="n">
        <f aca="false">IF(COUNT(G93:I93)=0,"",AVERAGE(G93:I93))</f>
        <v>1</v>
      </c>
      <c r="K93" s="90" t="n">
        <v>1</v>
      </c>
      <c r="L93" s="90" t="n">
        <v>1</v>
      </c>
      <c r="M93" s="90" t="n">
        <v>1</v>
      </c>
      <c r="N93" s="91" t="n">
        <f aca="false">IF(COUNT(K93:M93)=0,"",AVERAGE(K93:M93))</f>
        <v>1</v>
      </c>
      <c r="O93" s="90" t="n">
        <v>1</v>
      </c>
      <c r="P93" s="90"/>
      <c r="Q93" s="90"/>
      <c r="R93" s="91" t="n">
        <f aca="false">IF(COUNT(O93:Q93)=0,"",AVERAGE(O93:Q93))</f>
        <v>1</v>
      </c>
      <c r="S93" s="90"/>
      <c r="T93" s="90"/>
      <c r="U93" s="90"/>
      <c r="V93" s="91" t="str">
        <f aca="false">IF(COUNT(S93:U93)=0,"",AVERAGE(S93:U93))</f>
        <v/>
      </c>
      <c r="W93" s="92" t="n">
        <v>1</v>
      </c>
      <c r="X93" s="93" t="s">
        <v>104</v>
      </c>
      <c r="Y93" s="78" t="s">
        <v>100</v>
      </c>
      <c r="Z93" s="1" t="s">
        <v>101</v>
      </c>
    </row>
    <row r="94" customFormat="false" ht="25.5" hidden="false" customHeight="true" outlineLevel="0" collapsed="false">
      <c r="A94" s="69" t="s">
        <v>208</v>
      </c>
      <c r="B94" s="70" t="s">
        <v>209</v>
      </c>
      <c r="C94" s="71" t="s">
        <v>38</v>
      </c>
      <c r="D94" s="71" t="s">
        <v>110</v>
      </c>
      <c r="E94" s="87" t="n">
        <v>1</v>
      </c>
      <c r="F94" s="88" t="s">
        <v>210</v>
      </c>
      <c r="G94" s="89"/>
      <c r="H94" s="89"/>
      <c r="I94" s="89"/>
      <c r="J94" s="88"/>
      <c r="K94" s="90"/>
      <c r="L94" s="90"/>
      <c r="M94" s="90"/>
      <c r="N94" s="91"/>
      <c r="O94" s="90"/>
      <c r="P94" s="90"/>
      <c r="Q94" s="90"/>
      <c r="R94" s="91"/>
      <c r="S94" s="90"/>
      <c r="T94" s="90"/>
      <c r="U94" s="90"/>
      <c r="V94" s="91"/>
      <c r="W94" s="92" t="n">
        <v>0.0421146953405018</v>
      </c>
      <c r="X94" s="93" t="s">
        <v>120</v>
      </c>
      <c r="Y94" s="78" t="s">
        <v>105</v>
      </c>
      <c r="Z94" s="1" t="s">
        <v>101</v>
      </c>
    </row>
    <row r="95" customFormat="false" ht="25.5" hidden="false" customHeight="true" outlineLevel="0" collapsed="false">
      <c r="A95" s="69" t="s">
        <v>211</v>
      </c>
      <c r="B95" s="70" t="s">
        <v>212</v>
      </c>
      <c r="C95" s="71" t="s">
        <v>213</v>
      </c>
      <c r="D95" s="71" t="s">
        <v>110</v>
      </c>
      <c r="E95" s="87" t="s">
        <v>98</v>
      </c>
      <c r="F95" s="91" t="n">
        <v>0.7</v>
      </c>
      <c r="G95" s="89" t="n">
        <v>0.25</v>
      </c>
      <c r="H95" s="89" t="n">
        <v>0.5</v>
      </c>
      <c r="I95" s="89" t="n">
        <v>1</v>
      </c>
      <c r="J95" s="88" t="n">
        <f aca="false">IF(COUNT(G95:I95)=0,"",LOOKUP(2,1/(G95:I95&lt;&gt;""),G95:I95))</f>
        <v>1</v>
      </c>
      <c r="K95" s="90" t="n">
        <v>1</v>
      </c>
      <c r="L95" s="90" t="n">
        <v>1</v>
      </c>
      <c r="M95" s="90" t="n">
        <v>1</v>
      </c>
      <c r="N95" s="91" t="n">
        <f aca="false">IF(COUNT(K95:M95)=0,"",LOOKUP(2,1/(K95:M95&lt;&gt;""),K95:M95))</f>
        <v>1</v>
      </c>
      <c r="O95" s="90" t="n">
        <v>1</v>
      </c>
      <c r="P95" s="90"/>
      <c r="Q95" s="90"/>
      <c r="R95" s="91" t="n">
        <f aca="false">IF(COUNT(O95:Q95)=0,"",LOOKUP(2,1/(O95:Q95&lt;&gt;""),O95:Q95))</f>
        <v>1</v>
      </c>
      <c r="S95" s="90"/>
      <c r="T95" s="90"/>
      <c r="U95" s="90"/>
      <c r="V95" s="91" t="str">
        <f aca="false">IF(COUNT(S95:U95)=0,"",LOOKUP(2,1/(S95:U95&lt;&gt;""),S95:U95))</f>
        <v/>
      </c>
      <c r="W95" s="92" t="n">
        <v>0.6875</v>
      </c>
      <c r="X95" s="93" t="s">
        <v>113</v>
      </c>
      <c r="Y95" s="78" t="s">
        <v>214</v>
      </c>
      <c r="Z95" s="1" t="s">
        <v>101</v>
      </c>
    </row>
    <row r="96" customFormat="false" ht="15" hidden="false" customHeight="true" outlineLevel="0" collapsed="false">
      <c r="A96" s="69" t="s">
        <v>215</v>
      </c>
      <c r="B96" s="70" t="s">
        <v>216</v>
      </c>
      <c r="C96" s="71" t="s">
        <v>35</v>
      </c>
      <c r="D96" s="71" t="s">
        <v>110</v>
      </c>
      <c r="E96" s="72"/>
      <c r="F96" s="73"/>
      <c r="G96" s="103"/>
      <c r="H96" s="103"/>
      <c r="I96" s="103"/>
      <c r="J96" s="75" t="str">
        <f aca="false">IF(COUNT(G96:I96)=0,"",AVERAGE(G96:I96))</f>
        <v/>
      </c>
      <c r="K96" s="74"/>
      <c r="L96" s="74"/>
      <c r="M96" s="74"/>
      <c r="N96" s="73" t="str">
        <f aca="false">IF(COUNT(K96:M96)=0,"",AVERAGE(K96:M96))</f>
        <v/>
      </c>
      <c r="O96" s="74"/>
      <c r="P96" s="74"/>
      <c r="Q96" s="74"/>
      <c r="R96" s="73" t="str">
        <f aca="false">IF(COUNT(O96:Q96)=0,"",AVERAGE(O96:Q96))</f>
        <v/>
      </c>
      <c r="S96" s="74"/>
      <c r="T96" s="74"/>
      <c r="U96" s="74"/>
      <c r="V96" s="73" t="str">
        <f aca="false">IF(COUNT(S96:U96)=0,"",AVERAGE(S96:U96))</f>
        <v/>
      </c>
      <c r="W96" s="76"/>
      <c r="X96" s="77" t="s">
        <v>99</v>
      </c>
      <c r="Y96" s="78" t="s">
        <v>100</v>
      </c>
      <c r="Z96" s="1" t="s">
        <v>217</v>
      </c>
    </row>
    <row r="97" customFormat="false" ht="15" hidden="false" customHeight="true" outlineLevel="0" collapsed="false">
      <c r="A97" s="69" t="s">
        <v>218</v>
      </c>
      <c r="B97" s="70" t="s">
        <v>219</v>
      </c>
      <c r="C97" s="71" t="s">
        <v>166</v>
      </c>
      <c r="D97" s="71" t="s">
        <v>97</v>
      </c>
      <c r="E97" s="72"/>
      <c r="F97" s="73"/>
      <c r="G97" s="103"/>
      <c r="H97" s="103"/>
      <c r="I97" s="103"/>
      <c r="J97" s="75" t="str">
        <f aca="false">IF(COUNT(G97:I97)=0,"",AVERAGE(G97:I97))</f>
        <v/>
      </c>
      <c r="K97" s="74"/>
      <c r="L97" s="74"/>
      <c r="M97" s="74"/>
      <c r="N97" s="73" t="str">
        <f aca="false">IF(COUNT(K97:M97)=0,"",AVERAGE(K97:M97))</f>
        <v/>
      </c>
      <c r="O97" s="74"/>
      <c r="P97" s="74"/>
      <c r="Q97" s="74"/>
      <c r="R97" s="73" t="str">
        <f aca="false">IF(COUNT(O97:Q97)=0,"",AVERAGE(O97:Q97))</f>
        <v/>
      </c>
      <c r="S97" s="74"/>
      <c r="T97" s="74"/>
      <c r="U97" s="74"/>
      <c r="V97" s="73" t="str">
        <f aca="false">IF(COUNT(S97:U97)=0,"",AVERAGE(S97:U97))</f>
        <v/>
      </c>
      <c r="W97" s="76"/>
      <c r="X97" s="77" t="s">
        <v>99</v>
      </c>
      <c r="Y97" s="78" t="s">
        <v>100</v>
      </c>
      <c r="Z97" s="1" t="s">
        <v>217</v>
      </c>
    </row>
    <row r="98" customFormat="false" ht="15" hidden="false" customHeight="true" outlineLevel="0" collapsed="false">
      <c r="A98" s="69" t="s">
        <v>220</v>
      </c>
      <c r="B98" s="70" t="s">
        <v>221</v>
      </c>
      <c r="C98" s="71" t="s">
        <v>35</v>
      </c>
      <c r="D98" s="71" t="s">
        <v>97</v>
      </c>
      <c r="E98" s="72" t="n">
        <v>6</v>
      </c>
      <c r="F98" s="73" t="n">
        <v>5</v>
      </c>
      <c r="G98" s="103"/>
      <c r="H98" s="103"/>
      <c r="I98" s="103"/>
      <c r="J98" s="75" t="str">
        <f aca="false">IF(COUNT(G98:I98)=0,"",AVERAGE(G98:I98))</f>
        <v/>
      </c>
      <c r="K98" s="74"/>
      <c r="L98" s="74"/>
      <c r="M98" s="74"/>
      <c r="N98" s="73" t="str">
        <f aca="false">IF(COUNT(K98:M98)=0,"",AVERAGE(K98:M98))</f>
        <v/>
      </c>
      <c r="O98" s="74"/>
      <c r="P98" s="74"/>
      <c r="Q98" s="74"/>
      <c r="R98" s="73" t="str">
        <f aca="false">IF(COUNT(O98:Q98)=0,"",AVERAGE(O98:Q98))</f>
        <v/>
      </c>
      <c r="S98" s="74"/>
      <c r="T98" s="74"/>
      <c r="U98" s="74"/>
      <c r="V98" s="73" t="str">
        <f aca="false">IF(COUNT(S98:U98)=0,"",AVERAGE(S98:U98))</f>
        <v/>
      </c>
      <c r="W98" s="76"/>
      <c r="X98" s="77" t="s">
        <v>99</v>
      </c>
      <c r="Y98" s="78" t="s">
        <v>100</v>
      </c>
      <c r="Z98" s="1" t="s">
        <v>217</v>
      </c>
    </row>
    <row r="99" customFormat="false" ht="15" hidden="false" customHeight="true" outlineLevel="0" collapsed="false">
      <c r="A99" s="69" t="s">
        <v>222</v>
      </c>
      <c r="B99" s="70" t="s">
        <v>223</v>
      </c>
      <c r="C99" s="71" t="s">
        <v>34</v>
      </c>
      <c r="D99" s="71" t="s">
        <v>97</v>
      </c>
      <c r="E99" s="87" t="n">
        <v>0.14</v>
      </c>
      <c r="F99" s="73" t="n">
        <v>0.07</v>
      </c>
      <c r="G99" s="103"/>
      <c r="H99" s="103"/>
      <c r="I99" s="103"/>
      <c r="J99" s="75" t="str">
        <f aca="false">IF(COUNT(G99:I99)=0,"",AVERAGE(G99:I99))</f>
        <v/>
      </c>
      <c r="K99" s="74"/>
      <c r="L99" s="74"/>
      <c r="M99" s="74"/>
      <c r="N99" s="73" t="str">
        <f aca="false">IF(COUNT(K99:M99)=0,"",AVERAGE(K99:M99))</f>
        <v/>
      </c>
      <c r="O99" s="74"/>
      <c r="P99" s="74"/>
      <c r="Q99" s="74"/>
      <c r="R99" s="73" t="str">
        <f aca="false">IF(COUNT(O99:Q99)=0,"",AVERAGE(O99:Q99))</f>
        <v/>
      </c>
      <c r="S99" s="74"/>
      <c r="T99" s="74"/>
      <c r="U99" s="74"/>
      <c r="V99" s="73" t="str">
        <f aca="false">IF(COUNT(S99:U99)=0,"",AVERAGE(S99:U99))</f>
        <v/>
      </c>
      <c r="W99" s="76"/>
      <c r="X99" s="77" t="s">
        <v>99</v>
      </c>
      <c r="Y99" s="78" t="s">
        <v>224</v>
      </c>
      <c r="Z99" s="1" t="s">
        <v>217</v>
      </c>
    </row>
    <row r="100" customFormat="false" ht="15" hidden="false" customHeight="true" outlineLevel="0" collapsed="false">
      <c r="A100" s="69" t="s">
        <v>225</v>
      </c>
      <c r="B100" s="70" t="s">
        <v>226</v>
      </c>
      <c r="C100" s="71" t="s">
        <v>35</v>
      </c>
      <c r="D100" s="71" t="s">
        <v>227</v>
      </c>
      <c r="E100" s="72"/>
      <c r="F100" s="73"/>
      <c r="G100" s="103"/>
      <c r="H100" s="103"/>
      <c r="I100" s="103"/>
      <c r="J100" s="75" t="str">
        <f aca="false">IF(COUNT(G100:I100)=0,"",AVERAGE(G100:I100))</f>
        <v/>
      </c>
      <c r="K100" s="74"/>
      <c r="L100" s="74"/>
      <c r="M100" s="74"/>
      <c r="N100" s="73" t="str">
        <f aca="false">IF(COUNT(K100:M100)=0,"",AVERAGE(K100:M100))</f>
        <v/>
      </c>
      <c r="O100" s="74"/>
      <c r="P100" s="74"/>
      <c r="Q100" s="74"/>
      <c r="R100" s="73" t="str">
        <f aca="false">IF(COUNT(O100:Q100)=0,"",AVERAGE(O100:Q100))</f>
        <v/>
      </c>
      <c r="S100" s="74"/>
      <c r="T100" s="74"/>
      <c r="U100" s="74"/>
      <c r="V100" s="73" t="str">
        <f aca="false">IF(COUNT(S100:U100)=0,"",AVERAGE(S100:U100))</f>
        <v/>
      </c>
      <c r="W100" s="76"/>
      <c r="X100" s="77" t="s">
        <v>99</v>
      </c>
      <c r="Y100" s="78" t="s">
        <v>100</v>
      </c>
      <c r="Z100" s="1" t="s">
        <v>217</v>
      </c>
    </row>
    <row r="101" customFormat="false" ht="36" hidden="false" customHeight="true" outlineLevel="0" collapsed="false">
      <c r="A101" s="69" t="s">
        <v>228</v>
      </c>
      <c r="B101" s="70" t="s">
        <v>229</v>
      </c>
      <c r="C101" s="71" t="s">
        <v>34</v>
      </c>
      <c r="D101" s="71" t="s">
        <v>97</v>
      </c>
      <c r="E101" s="72"/>
      <c r="F101" s="73"/>
      <c r="G101" s="103"/>
      <c r="H101" s="103"/>
      <c r="I101" s="103"/>
      <c r="J101" s="75" t="str">
        <f aca="false">IF(COUNT(G101:I101)=0,"",AVERAGE(G101:I101))</f>
        <v/>
      </c>
      <c r="K101" s="74"/>
      <c r="L101" s="74"/>
      <c r="M101" s="74"/>
      <c r="N101" s="73" t="str">
        <f aca="false">IF(COUNT(K101:M101)=0,"",AVERAGE(K101:M101))</f>
        <v/>
      </c>
      <c r="O101" s="74"/>
      <c r="P101" s="74"/>
      <c r="Q101" s="74"/>
      <c r="R101" s="73" t="str">
        <f aca="false">IF(COUNT(O101:Q101)=0,"",AVERAGE(O101:Q101))</f>
        <v/>
      </c>
      <c r="S101" s="74"/>
      <c r="T101" s="74"/>
      <c r="U101" s="74"/>
      <c r="V101" s="73" t="str">
        <f aca="false">IF(COUNT(S101:U101)=0,"",AVERAGE(S101:U101))</f>
        <v/>
      </c>
      <c r="W101" s="76"/>
      <c r="X101" s="77" t="s">
        <v>99</v>
      </c>
      <c r="Y101" s="78" t="s">
        <v>230</v>
      </c>
      <c r="Z101" s="1" t="s">
        <v>217</v>
      </c>
    </row>
    <row r="102" customFormat="false" ht="15" hidden="false" customHeight="true" outlineLevel="0" collapsed="false">
      <c r="A102" s="69" t="s">
        <v>231</v>
      </c>
      <c r="B102" s="70" t="s">
        <v>232</v>
      </c>
      <c r="C102" s="71" t="s">
        <v>31</v>
      </c>
      <c r="D102" s="71" t="s">
        <v>227</v>
      </c>
      <c r="E102" s="72"/>
      <c r="F102" s="73"/>
      <c r="G102" s="103"/>
      <c r="H102" s="103"/>
      <c r="I102" s="103"/>
      <c r="J102" s="75" t="str">
        <f aca="false">IF(COUNT(G102:I102)=0,"",AVERAGE(G102:I102))</f>
        <v/>
      </c>
      <c r="K102" s="74"/>
      <c r="L102" s="74"/>
      <c r="M102" s="74"/>
      <c r="N102" s="73" t="str">
        <f aca="false">IF(COUNT(K102:M102)=0,"",AVERAGE(K102:M102))</f>
        <v/>
      </c>
      <c r="O102" s="74"/>
      <c r="P102" s="74"/>
      <c r="Q102" s="74"/>
      <c r="R102" s="73" t="str">
        <f aca="false">IF(COUNT(O102:Q102)=0,"",AVERAGE(O102:Q102))</f>
        <v/>
      </c>
      <c r="S102" s="74"/>
      <c r="T102" s="74"/>
      <c r="U102" s="74"/>
      <c r="V102" s="73" t="str">
        <f aca="false">IF(COUNT(S102:U102)=0,"",AVERAGE(S102:U102))</f>
        <v/>
      </c>
      <c r="W102" s="76"/>
      <c r="X102" s="77" t="s">
        <v>99</v>
      </c>
      <c r="Y102" s="78" t="s">
        <v>233</v>
      </c>
      <c r="Z102" s="1" t="s">
        <v>217</v>
      </c>
    </row>
    <row r="103" customFormat="false" ht="15" hidden="false" customHeight="true" outlineLevel="0" collapsed="false">
      <c r="A103" s="69" t="s">
        <v>234</v>
      </c>
      <c r="B103" s="70" t="s">
        <v>235</v>
      </c>
      <c r="C103" s="71" t="s">
        <v>236</v>
      </c>
      <c r="D103" s="71" t="s">
        <v>227</v>
      </c>
      <c r="E103" s="72"/>
      <c r="F103" s="73"/>
      <c r="G103" s="103"/>
      <c r="H103" s="103"/>
      <c r="I103" s="103"/>
      <c r="J103" s="75" t="str">
        <f aca="false">IF(COUNT(G103:I103)=0,"",AVERAGE(G103:I103))</f>
        <v/>
      </c>
      <c r="K103" s="74"/>
      <c r="L103" s="74"/>
      <c r="M103" s="74"/>
      <c r="N103" s="73" t="str">
        <f aca="false">IF(COUNT(K103:M103)=0,"",AVERAGE(K103:M103))</f>
        <v/>
      </c>
      <c r="O103" s="74"/>
      <c r="P103" s="74"/>
      <c r="Q103" s="74"/>
      <c r="R103" s="73" t="str">
        <f aca="false">IF(COUNT(O103:Q103)=0,"",AVERAGE(O103:Q103))</f>
        <v/>
      </c>
      <c r="S103" s="74"/>
      <c r="T103" s="74"/>
      <c r="U103" s="74"/>
      <c r="V103" s="73" t="str">
        <f aca="false">IF(COUNT(S103:U103)=0,"",AVERAGE(S103:U103))</f>
        <v/>
      </c>
      <c r="W103" s="76"/>
      <c r="X103" s="77" t="s">
        <v>99</v>
      </c>
      <c r="Y103" s="78" t="s">
        <v>233</v>
      </c>
      <c r="Z103" s="1" t="s">
        <v>217</v>
      </c>
    </row>
    <row r="104" customFormat="false" ht="24" hidden="false" customHeight="true" outlineLevel="0" collapsed="false">
      <c r="A104" s="69" t="s">
        <v>237</v>
      </c>
      <c r="B104" s="70" t="s">
        <v>238</v>
      </c>
      <c r="C104" s="71" t="s">
        <v>236</v>
      </c>
      <c r="D104" s="71" t="s">
        <v>227</v>
      </c>
      <c r="E104" s="72"/>
      <c r="F104" s="73"/>
      <c r="G104" s="103"/>
      <c r="H104" s="103"/>
      <c r="I104" s="103"/>
      <c r="J104" s="75" t="str">
        <f aca="false">IF(COUNT(G104:I104)=0,"",AVERAGE(G104:I104))</f>
        <v/>
      </c>
      <c r="K104" s="74"/>
      <c r="L104" s="74"/>
      <c r="M104" s="74"/>
      <c r="N104" s="73" t="str">
        <f aca="false">IF(COUNT(K104:M104)=0,"",AVERAGE(K104:M104))</f>
        <v/>
      </c>
      <c r="O104" s="74"/>
      <c r="P104" s="74"/>
      <c r="Q104" s="74"/>
      <c r="R104" s="73" t="str">
        <f aca="false">IF(COUNT(O104:Q104)=0,"",AVERAGE(O104:Q104))</f>
        <v/>
      </c>
      <c r="S104" s="74"/>
      <c r="T104" s="74"/>
      <c r="U104" s="74"/>
      <c r="V104" s="73" t="str">
        <f aca="false">IF(COUNT(S104:U104)=0,"",AVERAGE(S104:U104))</f>
        <v/>
      </c>
      <c r="W104" s="76"/>
      <c r="X104" s="77" t="s">
        <v>99</v>
      </c>
      <c r="Y104" s="78" t="s">
        <v>233</v>
      </c>
      <c r="Z104" s="1" t="s">
        <v>217</v>
      </c>
    </row>
    <row r="105" customFormat="false" ht="24" hidden="false" customHeight="true" outlineLevel="0" collapsed="false">
      <c r="A105" s="69" t="s">
        <v>239</v>
      </c>
      <c r="B105" s="70" t="s">
        <v>240</v>
      </c>
      <c r="C105" s="71" t="s">
        <v>236</v>
      </c>
      <c r="D105" s="71" t="s">
        <v>227</v>
      </c>
      <c r="E105" s="72"/>
      <c r="F105" s="73"/>
      <c r="G105" s="103"/>
      <c r="H105" s="103"/>
      <c r="I105" s="103"/>
      <c r="J105" s="75" t="str">
        <f aca="false">IF(COUNT(G105:I105)=0,"",AVERAGE(G105:I105))</f>
        <v/>
      </c>
      <c r="K105" s="74"/>
      <c r="L105" s="74"/>
      <c r="M105" s="74"/>
      <c r="N105" s="73" t="str">
        <f aca="false">IF(COUNT(K105:M105)=0,"",AVERAGE(K105:M105))</f>
        <v/>
      </c>
      <c r="O105" s="74"/>
      <c r="P105" s="74"/>
      <c r="Q105" s="74"/>
      <c r="R105" s="73" t="str">
        <f aca="false">IF(COUNT(O105:Q105)=0,"",AVERAGE(O105:Q105))</f>
        <v/>
      </c>
      <c r="S105" s="74"/>
      <c r="T105" s="74"/>
      <c r="U105" s="74"/>
      <c r="V105" s="73" t="str">
        <f aca="false">IF(COUNT(S105:U105)=0,"",AVERAGE(S105:U105))</f>
        <v/>
      </c>
      <c r="W105" s="76"/>
      <c r="X105" s="77" t="s">
        <v>99</v>
      </c>
      <c r="Y105" s="78" t="s">
        <v>241</v>
      </c>
      <c r="Z105" s="1" t="s">
        <v>217</v>
      </c>
    </row>
    <row r="106" customFormat="false" ht="15" hidden="false" customHeight="true" outlineLevel="0" collapsed="false">
      <c r="A106" s="69" t="s">
        <v>242</v>
      </c>
      <c r="B106" s="70" t="s">
        <v>243</v>
      </c>
      <c r="C106" s="71" t="s">
        <v>236</v>
      </c>
      <c r="D106" s="71" t="s">
        <v>227</v>
      </c>
      <c r="E106" s="72"/>
      <c r="F106" s="73"/>
      <c r="G106" s="103"/>
      <c r="H106" s="103"/>
      <c r="I106" s="103"/>
      <c r="J106" s="75" t="str">
        <f aca="false">IF(COUNT(G106:I106)=0,"",AVERAGE(G106:I106))</f>
        <v/>
      </c>
      <c r="K106" s="74"/>
      <c r="L106" s="74"/>
      <c r="M106" s="74"/>
      <c r="N106" s="73" t="str">
        <f aca="false">IF(COUNT(K106:M106)=0,"",AVERAGE(K106:M106))</f>
        <v/>
      </c>
      <c r="O106" s="74"/>
      <c r="P106" s="74"/>
      <c r="Q106" s="74"/>
      <c r="R106" s="73" t="str">
        <f aca="false">IF(COUNT(O106:Q106)=0,"",AVERAGE(O106:Q106))</f>
        <v/>
      </c>
      <c r="S106" s="74"/>
      <c r="T106" s="74"/>
      <c r="U106" s="74"/>
      <c r="V106" s="73" t="str">
        <f aca="false">IF(COUNT(S106:U106)=0,"",AVERAGE(S106:U106))</f>
        <v/>
      </c>
      <c r="W106" s="76"/>
      <c r="X106" s="77" t="s">
        <v>99</v>
      </c>
      <c r="Y106" s="78" t="s">
        <v>241</v>
      </c>
      <c r="Z106" s="1" t="s">
        <v>217</v>
      </c>
    </row>
    <row r="107" customFormat="false" ht="15" hidden="false" customHeight="true" outlineLevel="0" collapsed="false">
      <c r="G107" s="113"/>
      <c r="H107" s="113"/>
      <c r="I107" s="113"/>
      <c r="K107" s="113"/>
      <c r="L107" s="113"/>
      <c r="M107" s="113"/>
      <c r="O107" s="113"/>
      <c r="P107" s="113"/>
      <c r="Q107" s="113"/>
      <c r="S107" s="113"/>
      <c r="T107" s="113"/>
      <c r="U107" s="113"/>
    </row>
    <row r="108" customFormat="false" ht="15" hidden="false" customHeight="true" outlineLevel="0" collapsed="false">
      <c r="G108" s="113"/>
      <c r="H108" s="113"/>
      <c r="I108" s="113"/>
      <c r="K108" s="113"/>
      <c r="L108" s="113"/>
      <c r="M108" s="113"/>
      <c r="O108" s="113"/>
      <c r="P108" s="113"/>
      <c r="Q108" s="113"/>
      <c r="S108" s="113"/>
      <c r="T108" s="113"/>
      <c r="U108" s="113"/>
    </row>
    <row r="109" customFormat="false" ht="15" hidden="false" customHeight="true" outlineLevel="0" collapsed="false">
      <c r="G109" s="113"/>
      <c r="H109" s="113"/>
      <c r="I109" s="113"/>
      <c r="K109" s="113"/>
      <c r="L109" s="113"/>
      <c r="M109" s="113"/>
      <c r="O109" s="113"/>
      <c r="P109" s="113"/>
      <c r="Q109" s="113"/>
      <c r="S109" s="113"/>
      <c r="T109" s="113"/>
      <c r="U109" s="113"/>
    </row>
    <row r="110" customFormat="false" ht="15" hidden="false" customHeight="true" outlineLevel="0" collapsed="false">
      <c r="G110" s="113"/>
      <c r="H110" s="113"/>
      <c r="I110" s="113"/>
      <c r="K110" s="113"/>
      <c r="L110" s="113"/>
      <c r="M110" s="113"/>
      <c r="O110" s="113"/>
      <c r="P110" s="113"/>
      <c r="Q110" s="113"/>
      <c r="S110" s="113"/>
      <c r="T110" s="113"/>
      <c r="U110" s="113"/>
    </row>
    <row r="111" customFormat="false" ht="15" hidden="false" customHeight="true" outlineLevel="0" collapsed="false">
      <c r="G111" s="113"/>
      <c r="H111" s="113"/>
      <c r="I111" s="113"/>
      <c r="K111" s="113"/>
      <c r="L111" s="113"/>
      <c r="M111" s="113"/>
      <c r="O111" s="113"/>
      <c r="P111" s="113"/>
      <c r="Q111" s="113"/>
      <c r="S111" s="113"/>
      <c r="T111" s="113"/>
      <c r="U111" s="113"/>
    </row>
    <row r="112" customFormat="false" ht="15" hidden="false" customHeight="true" outlineLevel="0" collapsed="false">
      <c r="G112" s="113"/>
      <c r="H112" s="113"/>
      <c r="I112" s="113"/>
      <c r="K112" s="113"/>
      <c r="L112" s="113"/>
      <c r="M112" s="113"/>
      <c r="O112" s="113"/>
      <c r="P112" s="113"/>
      <c r="Q112" s="113"/>
      <c r="S112" s="113"/>
      <c r="T112" s="113"/>
      <c r="U112" s="113"/>
    </row>
    <row r="113" customFormat="false" ht="15" hidden="false" customHeight="true" outlineLevel="0" collapsed="false">
      <c r="G113" s="113"/>
      <c r="H113" s="113"/>
      <c r="I113" s="113"/>
      <c r="K113" s="113"/>
      <c r="L113" s="113"/>
      <c r="M113" s="113"/>
      <c r="O113" s="113"/>
      <c r="P113" s="113"/>
      <c r="Q113" s="113"/>
      <c r="S113" s="113"/>
      <c r="T113" s="113"/>
      <c r="U113" s="113"/>
    </row>
    <row r="114" customFormat="false" ht="15" hidden="false" customHeight="true" outlineLevel="0" collapsed="false">
      <c r="G114" s="113"/>
      <c r="H114" s="113"/>
      <c r="I114" s="113"/>
      <c r="K114" s="113"/>
      <c r="L114" s="113"/>
      <c r="M114" s="113"/>
      <c r="O114" s="113"/>
      <c r="P114" s="113"/>
      <c r="Q114" s="113"/>
      <c r="S114" s="113"/>
      <c r="T114" s="113"/>
      <c r="U114" s="113"/>
    </row>
    <row r="115" customFormat="false" ht="15" hidden="false" customHeight="true" outlineLevel="0" collapsed="false">
      <c r="G115" s="113"/>
      <c r="H115" s="113"/>
      <c r="I115" s="113"/>
      <c r="K115" s="113"/>
      <c r="L115" s="113"/>
      <c r="M115" s="113"/>
      <c r="O115" s="113"/>
      <c r="P115" s="113"/>
      <c r="Q115" s="113"/>
      <c r="S115" s="113"/>
      <c r="T115" s="113"/>
      <c r="U115" s="113"/>
    </row>
    <row r="116" customFormat="false" ht="15" hidden="false" customHeight="true" outlineLevel="0" collapsed="false">
      <c r="G116" s="113"/>
      <c r="H116" s="113"/>
      <c r="I116" s="113"/>
      <c r="K116" s="113"/>
      <c r="L116" s="113"/>
      <c r="M116" s="113"/>
      <c r="O116" s="113"/>
      <c r="P116" s="113"/>
      <c r="Q116" s="113"/>
      <c r="S116" s="113"/>
      <c r="T116" s="113"/>
      <c r="U116" s="113"/>
    </row>
    <row r="117" customFormat="false" ht="15" hidden="false" customHeight="true" outlineLevel="0" collapsed="false">
      <c r="G117" s="113"/>
      <c r="H117" s="113"/>
      <c r="I117" s="113"/>
      <c r="K117" s="113"/>
      <c r="L117" s="113"/>
      <c r="M117" s="113"/>
      <c r="O117" s="113"/>
      <c r="P117" s="113"/>
      <c r="Q117" s="113"/>
      <c r="S117" s="113"/>
      <c r="T117" s="113"/>
      <c r="U117" s="113"/>
    </row>
    <row r="118" customFormat="false" ht="15" hidden="false" customHeight="true" outlineLevel="0" collapsed="false">
      <c r="G118" s="113"/>
      <c r="H118" s="113"/>
      <c r="I118" s="113"/>
      <c r="K118" s="113"/>
      <c r="L118" s="113"/>
      <c r="M118" s="113"/>
      <c r="O118" s="113"/>
      <c r="P118" s="113"/>
      <c r="Q118" s="113"/>
      <c r="S118" s="113"/>
      <c r="T118" s="113"/>
      <c r="U118" s="113"/>
    </row>
    <row r="119" customFormat="false" ht="15" hidden="false" customHeight="true" outlineLevel="0" collapsed="false">
      <c r="G119" s="113"/>
      <c r="H119" s="113"/>
      <c r="I119" s="113"/>
      <c r="K119" s="113"/>
      <c r="L119" s="113"/>
      <c r="M119" s="113"/>
      <c r="O119" s="113"/>
      <c r="P119" s="113"/>
      <c r="Q119" s="113"/>
      <c r="S119" s="113"/>
      <c r="T119" s="113"/>
      <c r="U119" s="113"/>
    </row>
    <row r="120" customFormat="false" ht="15" hidden="false" customHeight="true" outlineLevel="0" collapsed="false">
      <c r="G120" s="113"/>
      <c r="H120" s="113"/>
      <c r="I120" s="113"/>
      <c r="K120" s="113"/>
      <c r="L120" s="113"/>
      <c r="M120" s="113"/>
      <c r="O120" s="113"/>
      <c r="P120" s="113"/>
      <c r="Q120" s="113"/>
      <c r="S120" s="113"/>
      <c r="T120" s="113"/>
      <c r="U120" s="113"/>
    </row>
    <row r="121" customFormat="false" ht="15" hidden="false" customHeight="true" outlineLevel="0" collapsed="false">
      <c r="G121" s="113"/>
      <c r="H121" s="113"/>
      <c r="I121" s="113"/>
      <c r="K121" s="113"/>
      <c r="L121" s="113"/>
      <c r="M121" s="113"/>
      <c r="O121" s="113"/>
      <c r="P121" s="113"/>
      <c r="Q121" s="113"/>
      <c r="S121" s="113"/>
      <c r="T121" s="113"/>
      <c r="U121" s="113"/>
    </row>
    <row r="122" customFormat="false" ht="15" hidden="false" customHeight="true" outlineLevel="0" collapsed="false">
      <c r="G122" s="113"/>
      <c r="H122" s="113"/>
      <c r="I122" s="113"/>
      <c r="K122" s="113"/>
      <c r="L122" s="113"/>
      <c r="M122" s="113"/>
      <c r="O122" s="113"/>
      <c r="P122" s="113"/>
      <c r="Q122" s="113"/>
      <c r="S122" s="113"/>
      <c r="T122" s="113"/>
      <c r="U122" s="113"/>
    </row>
    <row r="123" customFormat="false" ht="15" hidden="false" customHeight="true" outlineLevel="0" collapsed="false">
      <c r="G123" s="113"/>
      <c r="H123" s="113"/>
      <c r="I123" s="113"/>
      <c r="K123" s="113"/>
      <c r="L123" s="113"/>
      <c r="M123" s="113"/>
      <c r="O123" s="113"/>
      <c r="P123" s="113"/>
      <c r="Q123" s="113"/>
      <c r="S123" s="113"/>
      <c r="T123" s="113"/>
      <c r="U123" s="113"/>
    </row>
    <row r="124" customFormat="false" ht="15" hidden="false" customHeight="true" outlineLevel="0" collapsed="false">
      <c r="G124" s="113"/>
      <c r="H124" s="113"/>
      <c r="I124" s="113"/>
      <c r="K124" s="113"/>
      <c r="L124" s="113"/>
      <c r="M124" s="113"/>
      <c r="O124" s="113"/>
      <c r="P124" s="113"/>
      <c r="Q124" s="113"/>
      <c r="S124" s="113"/>
      <c r="T124" s="113"/>
      <c r="U124" s="113"/>
    </row>
    <row r="125" customFormat="false" ht="15" hidden="false" customHeight="true" outlineLevel="0" collapsed="false">
      <c r="G125" s="113"/>
      <c r="H125" s="113"/>
      <c r="I125" s="113"/>
      <c r="K125" s="113"/>
      <c r="L125" s="113"/>
      <c r="M125" s="113"/>
      <c r="O125" s="113"/>
      <c r="P125" s="113"/>
      <c r="Q125" s="113"/>
      <c r="S125" s="113"/>
      <c r="T125" s="113"/>
      <c r="U125" s="113"/>
    </row>
    <row r="126" customFormat="false" ht="15" hidden="false" customHeight="true" outlineLevel="0" collapsed="false">
      <c r="G126" s="113"/>
      <c r="H126" s="113"/>
      <c r="I126" s="113"/>
      <c r="K126" s="113"/>
      <c r="L126" s="113"/>
      <c r="M126" s="113"/>
      <c r="O126" s="113"/>
      <c r="P126" s="113"/>
      <c r="Q126" s="113"/>
      <c r="S126" s="113"/>
      <c r="T126" s="113"/>
      <c r="U126" s="113"/>
    </row>
    <row r="127" customFormat="false" ht="15" hidden="false" customHeight="true" outlineLevel="0" collapsed="false">
      <c r="G127" s="113"/>
      <c r="H127" s="113"/>
      <c r="I127" s="113"/>
      <c r="K127" s="113"/>
      <c r="L127" s="113"/>
      <c r="M127" s="113"/>
      <c r="O127" s="113"/>
      <c r="P127" s="113"/>
      <c r="Q127" s="113"/>
      <c r="S127" s="113"/>
      <c r="T127" s="113"/>
      <c r="U127" s="113"/>
    </row>
    <row r="128" customFormat="false" ht="15" hidden="false" customHeight="true" outlineLevel="0" collapsed="false">
      <c r="G128" s="113"/>
      <c r="H128" s="113"/>
      <c r="I128" s="113"/>
      <c r="K128" s="113"/>
      <c r="L128" s="113"/>
      <c r="M128" s="113"/>
      <c r="O128" s="113"/>
      <c r="P128" s="113"/>
      <c r="Q128" s="113"/>
      <c r="S128" s="113"/>
      <c r="T128" s="113"/>
      <c r="U128" s="113"/>
    </row>
    <row r="129" customFormat="false" ht="15" hidden="false" customHeight="true" outlineLevel="0" collapsed="false">
      <c r="G129" s="113"/>
      <c r="H129" s="113"/>
      <c r="I129" s="113"/>
      <c r="K129" s="113"/>
      <c r="L129" s="113"/>
      <c r="M129" s="113"/>
      <c r="O129" s="113"/>
      <c r="P129" s="113"/>
      <c r="Q129" s="113"/>
      <c r="S129" s="113"/>
      <c r="T129" s="113"/>
      <c r="U129" s="113"/>
    </row>
    <row r="130" customFormat="false" ht="15" hidden="false" customHeight="true" outlineLevel="0" collapsed="false">
      <c r="G130" s="113"/>
      <c r="H130" s="113"/>
      <c r="I130" s="113"/>
      <c r="K130" s="113"/>
      <c r="L130" s="113"/>
      <c r="M130" s="113"/>
      <c r="O130" s="113"/>
      <c r="P130" s="113"/>
      <c r="Q130" s="113"/>
      <c r="S130" s="113"/>
      <c r="T130" s="113"/>
      <c r="U130" s="113"/>
    </row>
    <row r="131" customFormat="false" ht="15" hidden="false" customHeight="true" outlineLevel="0" collapsed="false">
      <c r="G131" s="113"/>
      <c r="H131" s="113"/>
      <c r="I131" s="113"/>
      <c r="K131" s="113"/>
      <c r="L131" s="113"/>
      <c r="M131" s="113"/>
      <c r="O131" s="113"/>
      <c r="P131" s="113"/>
      <c r="Q131" s="113"/>
      <c r="S131" s="113"/>
      <c r="T131" s="113"/>
      <c r="U131" s="113"/>
    </row>
    <row r="132" customFormat="false" ht="15" hidden="false" customHeight="true" outlineLevel="0" collapsed="false">
      <c r="G132" s="113"/>
      <c r="H132" s="113"/>
      <c r="I132" s="113"/>
      <c r="K132" s="113"/>
      <c r="L132" s="113"/>
      <c r="M132" s="113"/>
      <c r="O132" s="113"/>
      <c r="P132" s="113"/>
      <c r="Q132" s="113"/>
      <c r="S132" s="113"/>
      <c r="T132" s="113"/>
      <c r="U132" s="113"/>
    </row>
    <row r="133" customFormat="false" ht="15" hidden="false" customHeight="true" outlineLevel="0" collapsed="false">
      <c r="G133" s="113"/>
      <c r="H133" s="113"/>
      <c r="I133" s="113"/>
      <c r="K133" s="113"/>
      <c r="L133" s="113"/>
      <c r="M133" s="113"/>
      <c r="O133" s="113"/>
      <c r="P133" s="113"/>
      <c r="Q133" s="113"/>
      <c r="S133" s="113"/>
      <c r="T133" s="113"/>
      <c r="U133" s="113"/>
    </row>
    <row r="134" customFormat="false" ht="15" hidden="false" customHeight="true" outlineLevel="0" collapsed="false">
      <c r="G134" s="113"/>
      <c r="H134" s="113"/>
      <c r="I134" s="113"/>
      <c r="K134" s="113"/>
      <c r="L134" s="113"/>
      <c r="M134" s="113"/>
      <c r="O134" s="113"/>
      <c r="P134" s="113"/>
      <c r="Q134" s="113"/>
      <c r="S134" s="113"/>
      <c r="T134" s="113"/>
      <c r="U134" s="113"/>
    </row>
    <row r="135" customFormat="false" ht="15" hidden="false" customHeight="true" outlineLevel="0" collapsed="false">
      <c r="G135" s="113"/>
      <c r="H135" s="113"/>
      <c r="I135" s="113"/>
      <c r="K135" s="113"/>
      <c r="L135" s="113"/>
      <c r="M135" s="113"/>
      <c r="O135" s="113"/>
      <c r="P135" s="113"/>
      <c r="Q135" s="113"/>
      <c r="S135" s="113"/>
      <c r="T135" s="113"/>
      <c r="U135" s="113"/>
    </row>
    <row r="136" customFormat="false" ht="15" hidden="false" customHeight="true" outlineLevel="0" collapsed="false">
      <c r="G136" s="113"/>
      <c r="H136" s="113"/>
      <c r="I136" s="113"/>
      <c r="K136" s="113"/>
      <c r="L136" s="113"/>
      <c r="M136" s="113"/>
      <c r="O136" s="113"/>
      <c r="P136" s="113"/>
      <c r="Q136" s="113"/>
      <c r="S136" s="113"/>
      <c r="T136" s="113"/>
      <c r="U136" s="113"/>
    </row>
    <row r="137" customFormat="false" ht="15" hidden="false" customHeight="true" outlineLevel="0" collapsed="false">
      <c r="G137" s="113"/>
      <c r="H137" s="113"/>
      <c r="I137" s="113"/>
      <c r="K137" s="113"/>
      <c r="L137" s="113"/>
      <c r="M137" s="113"/>
      <c r="O137" s="113"/>
      <c r="P137" s="113"/>
      <c r="Q137" s="113"/>
      <c r="S137" s="113"/>
      <c r="T137" s="113"/>
      <c r="U137" s="113"/>
    </row>
    <row r="138" customFormat="false" ht="15" hidden="false" customHeight="true" outlineLevel="0" collapsed="false">
      <c r="G138" s="113"/>
      <c r="H138" s="113"/>
      <c r="I138" s="113"/>
      <c r="K138" s="113"/>
      <c r="L138" s="113"/>
      <c r="M138" s="113"/>
      <c r="O138" s="113"/>
      <c r="P138" s="113"/>
      <c r="Q138" s="113"/>
      <c r="S138" s="113"/>
      <c r="T138" s="113"/>
      <c r="U138" s="113"/>
    </row>
    <row r="139" customFormat="false" ht="15" hidden="false" customHeight="true" outlineLevel="0" collapsed="false">
      <c r="G139" s="113"/>
      <c r="H139" s="113"/>
      <c r="I139" s="113"/>
      <c r="K139" s="113"/>
      <c r="L139" s="113"/>
      <c r="M139" s="113"/>
      <c r="O139" s="113"/>
      <c r="P139" s="113"/>
      <c r="Q139" s="113"/>
      <c r="S139" s="113"/>
      <c r="T139" s="113"/>
      <c r="U139" s="113"/>
    </row>
    <row r="140" customFormat="false" ht="15" hidden="false" customHeight="true" outlineLevel="0" collapsed="false">
      <c r="G140" s="113"/>
      <c r="H140" s="113"/>
      <c r="I140" s="113"/>
      <c r="K140" s="113"/>
      <c r="L140" s="113"/>
      <c r="M140" s="113"/>
      <c r="O140" s="113"/>
      <c r="P140" s="113"/>
      <c r="Q140" s="113"/>
      <c r="S140" s="113"/>
      <c r="T140" s="113"/>
      <c r="U140" s="113"/>
    </row>
    <row r="141" customFormat="false" ht="15" hidden="false" customHeight="true" outlineLevel="0" collapsed="false">
      <c r="G141" s="113"/>
      <c r="H141" s="113"/>
      <c r="I141" s="113"/>
      <c r="K141" s="113"/>
      <c r="L141" s="113"/>
      <c r="M141" s="113"/>
      <c r="O141" s="113"/>
      <c r="P141" s="113"/>
      <c r="Q141" s="113"/>
      <c r="S141" s="113"/>
      <c r="T141" s="113"/>
      <c r="U141" s="113"/>
    </row>
    <row r="142" customFormat="false" ht="15" hidden="false" customHeight="true" outlineLevel="0" collapsed="false">
      <c r="G142" s="113"/>
      <c r="H142" s="113"/>
      <c r="I142" s="113"/>
      <c r="K142" s="113"/>
      <c r="L142" s="113"/>
      <c r="M142" s="113"/>
      <c r="O142" s="113"/>
      <c r="P142" s="113"/>
      <c r="Q142" s="113"/>
      <c r="S142" s="113"/>
      <c r="T142" s="113"/>
      <c r="U142" s="113"/>
    </row>
    <row r="143" customFormat="false" ht="15" hidden="false" customHeight="true" outlineLevel="0" collapsed="false">
      <c r="G143" s="113"/>
      <c r="H143" s="113"/>
      <c r="I143" s="113"/>
      <c r="K143" s="113"/>
      <c r="L143" s="113"/>
      <c r="M143" s="113"/>
      <c r="O143" s="113"/>
      <c r="P143" s="113"/>
      <c r="Q143" s="113"/>
      <c r="S143" s="113"/>
      <c r="T143" s="113"/>
      <c r="U143" s="113"/>
    </row>
    <row r="144" customFormat="false" ht="15" hidden="false" customHeight="true" outlineLevel="0" collapsed="false">
      <c r="G144" s="113"/>
      <c r="H144" s="113"/>
      <c r="I144" s="113"/>
      <c r="K144" s="113"/>
      <c r="L144" s="113"/>
      <c r="M144" s="113"/>
      <c r="O144" s="113"/>
      <c r="P144" s="113"/>
      <c r="Q144" s="113"/>
      <c r="S144" s="113"/>
      <c r="T144" s="113"/>
      <c r="U144" s="113"/>
    </row>
    <row r="145" customFormat="false" ht="15" hidden="false" customHeight="true" outlineLevel="0" collapsed="false">
      <c r="G145" s="113"/>
      <c r="H145" s="113"/>
      <c r="I145" s="113"/>
      <c r="K145" s="113"/>
      <c r="L145" s="113"/>
      <c r="M145" s="113"/>
      <c r="O145" s="113"/>
      <c r="P145" s="113"/>
      <c r="Q145" s="113"/>
      <c r="S145" s="113"/>
      <c r="T145" s="113"/>
      <c r="U145" s="113"/>
    </row>
    <row r="146" customFormat="false" ht="15" hidden="false" customHeight="true" outlineLevel="0" collapsed="false">
      <c r="G146" s="113"/>
      <c r="H146" s="113"/>
      <c r="I146" s="113"/>
      <c r="K146" s="113"/>
      <c r="L146" s="113"/>
      <c r="M146" s="113"/>
      <c r="O146" s="113"/>
      <c r="P146" s="113"/>
      <c r="Q146" s="113"/>
      <c r="S146" s="113"/>
      <c r="T146" s="113"/>
      <c r="U146" s="113"/>
    </row>
    <row r="147" customFormat="false" ht="15" hidden="false" customHeight="true" outlineLevel="0" collapsed="false">
      <c r="G147" s="113"/>
      <c r="H147" s="113"/>
      <c r="I147" s="113"/>
      <c r="K147" s="113"/>
      <c r="L147" s="113"/>
      <c r="M147" s="113"/>
      <c r="O147" s="113"/>
      <c r="P147" s="113"/>
      <c r="Q147" s="113"/>
      <c r="S147" s="113"/>
      <c r="T147" s="113"/>
      <c r="U147" s="113"/>
    </row>
    <row r="148" customFormat="false" ht="15" hidden="false" customHeight="true" outlineLevel="0" collapsed="false">
      <c r="G148" s="113"/>
      <c r="H148" s="113"/>
      <c r="I148" s="113"/>
      <c r="K148" s="113"/>
      <c r="L148" s="113"/>
      <c r="M148" s="113"/>
      <c r="O148" s="113"/>
      <c r="P148" s="113"/>
      <c r="Q148" s="113"/>
      <c r="S148" s="113"/>
      <c r="T148" s="113"/>
      <c r="U148" s="113"/>
    </row>
    <row r="149" customFormat="false" ht="15" hidden="false" customHeight="true" outlineLevel="0" collapsed="false">
      <c r="G149" s="113"/>
      <c r="H149" s="113"/>
      <c r="I149" s="113"/>
      <c r="K149" s="113"/>
      <c r="L149" s="113"/>
      <c r="M149" s="113"/>
      <c r="O149" s="113"/>
      <c r="P149" s="113"/>
      <c r="Q149" s="113"/>
      <c r="S149" s="113"/>
      <c r="T149" s="113"/>
      <c r="U149" s="113"/>
    </row>
    <row r="150" customFormat="false" ht="15" hidden="false" customHeight="true" outlineLevel="0" collapsed="false">
      <c r="G150" s="113"/>
      <c r="H150" s="113"/>
      <c r="I150" s="113"/>
      <c r="K150" s="113"/>
      <c r="L150" s="113"/>
      <c r="M150" s="113"/>
      <c r="O150" s="113"/>
      <c r="P150" s="113"/>
      <c r="Q150" s="113"/>
      <c r="S150" s="113"/>
      <c r="T150" s="113"/>
      <c r="U150" s="113"/>
    </row>
    <row r="151" customFormat="false" ht="15" hidden="false" customHeight="true" outlineLevel="0" collapsed="false">
      <c r="G151" s="113"/>
      <c r="H151" s="113"/>
      <c r="I151" s="113"/>
      <c r="K151" s="113"/>
      <c r="L151" s="113"/>
      <c r="M151" s="113"/>
      <c r="O151" s="113"/>
      <c r="P151" s="113"/>
      <c r="Q151" s="113"/>
      <c r="S151" s="113"/>
      <c r="T151" s="113"/>
      <c r="U151" s="113"/>
    </row>
    <row r="152" customFormat="false" ht="15" hidden="false" customHeight="true" outlineLevel="0" collapsed="false">
      <c r="G152" s="113"/>
      <c r="H152" s="113"/>
      <c r="I152" s="113"/>
      <c r="K152" s="113"/>
      <c r="L152" s="113"/>
      <c r="M152" s="113"/>
      <c r="O152" s="113"/>
      <c r="P152" s="113"/>
      <c r="Q152" s="113"/>
      <c r="S152" s="113"/>
      <c r="T152" s="113"/>
      <c r="U152" s="113"/>
    </row>
    <row r="153" customFormat="false" ht="15" hidden="false" customHeight="true" outlineLevel="0" collapsed="false">
      <c r="G153" s="113"/>
      <c r="H153" s="113"/>
      <c r="I153" s="113"/>
      <c r="K153" s="113"/>
      <c r="L153" s="113"/>
      <c r="M153" s="113"/>
      <c r="O153" s="113"/>
      <c r="P153" s="113"/>
      <c r="Q153" s="113"/>
      <c r="S153" s="113"/>
      <c r="T153" s="113"/>
      <c r="U153" s="113"/>
    </row>
    <row r="154" customFormat="false" ht="15" hidden="false" customHeight="true" outlineLevel="0" collapsed="false">
      <c r="G154" s="113"/>
      <c r="H154" s="113"/>
      <c r="I154" s="113"/>
      <c r="K154" s="113"/>
      <c r="L154" s="113"/>
      <c r="M154" s="113"/>
      <c r="O154" s="113"/>
      <c r="P154" s="113"/>
      <c r="Q154" s="113"/>
      <c r="S154" s="113"/>
      <c r="T154" s="113"/>
      <c r="U154" s="113"/>
    </row>
    <row r="155" customFormat="false" ht="15" hidden="false" customHeight="true" outlineLevel="0" collapsed="false">
      <c r="G155" s="113"/>
      <c r="H155" s="113"/>
      <c r="I155" s="113"/>
      <c r="K155" s="113"/>
      <c r="L155" s="113"/>
      <c r="M155" s="113"/>
      <c r="O155" s="113"/>
      <c r="P155" s="113"/>
      <c r="Q155" s="113"/>
      <c r="S155" s="113"/>
      <c r="T155" s="113"/>
      <c r="U155" s="113"/>
    </row>
    <row r="156" customFormat="false" ht="15" hidden="false" customHeight="true" outlineLevel="0" collapsed="false">
      <c r="G156" s="113"/>
      <c r="H156" s="113"/>
      <c r="I156" s="113"/>
      <c r="K156" s="113"/>
      <c r="L156" s="113"/>
      <c r="M156" s="113"/>
      <c r="O156" s="113"/>
      <c r="P156" s="113"/>
      <c r="Q156" s="113"/>
      <c r="S156" s="113"/>
      <c r="T156" s="113"/>
      <c r="U156" s="113"/>
    </row>
    <row r="157" customFormat="false" ht="15" hidden="false" customHeight="true" outlineLevel="0" collapsed="false">
      <c r="G157" s="113"/>
      <c r="H157" s="113"/>
      <c r="I157" s="113"/>
      <c r="K157" s="113"/>
      <c r="L157" s="113"/>
      <c r="M157" s="113"/>
      <c r="O157" s="113"/>
      <c r="P157" s="113"/>
      <c r="Q157" s="113"/>
      <c r="S157" s="113"/>
      <c r="T157" s="113"/>
      <c r="U157" s="113"/>
    </row>
    <row r="158" customFormat="false" ht="15" hidden="false" customHeight="true" outlineLevel="0" collapsed="false">
      <c r="G158" s="113"/>
      <c r="H158" s="113"/>
      <c r="I158" s="113"/>
      <c r="K158" s="113"/>
      <c r="L158" s="113"/>
      <c r="M158" s="113"/>
      <c r="O158" s="113"/>
      <c r="P158" s="113"/>
      <c r="Q158" s="113"/>
      <c r="S158" s="113"/>
      <c r="T158" s="113"/>
      <c r="U158" s="113"/>
    </row>
    <row r="159" customFormat="false" ht="15" hidden="false" customHeight="true" outlineLevel="0" collapsed="false">
      <c r="G159" s="113"/>
      <c r="H159" s="113"/>
      <c r="I159" s="113"/>
      <c r="K159" s="113"/>
      <c r="L159" s="113"/>
      <c r="M159" s="113"/>
      <c r="O159" s="113"/>
      <c r="P159" s="113"/>
      <c r="Q159" s="113"/>
      <c r="S159" s="113"/>
      <c r="T159" s="113"/>
      <c r="U159" s="113"/>
    </row>
    <row r="160" customFormat="false" ht="15" hidden="false" customHeight="true" outlineLevel="0" collapsed="false">
      <c r="G160" s="113"/>
      <c r="H160" s="113"/>
      <c r="I160" s="113"/>
      <c r="K160" s="113"/>
      <c r="L160" s="113"/>
      <c r="M160" s="113"/>
      <c r="O160" s="113"/>
      <c r="P160" s="113"/>
      <c r="Q160" s="113"/>
      <c r="S160" s="113"/>
      <c r="T160" s="113"/>
      <c r="U160" s="113"/>
    </row>
    <row r="161" customFormat="false" ht="15" hidden="false" customHeight="true" outlineLevel="0" collapsed="false">
      <c r="G161" s="113"/>
      <c r="H161" s="113"/>
      <c r="I161" s="113"/>
      <c r="K161" s="113"/>
      <c r="L161" s="113"/>
      <c r="M161" s="113"/>
      <c r="O161" s="113"/>
      <c r="P161" s="113"/>
      <c r="Q161" s="113"/>
      <c r="S161" s="113"/>
      <c r="T161" s="113"/>
      <c r="U161" s="113"/>
    </row>
    <row r="162" customFormat="false" ht="15" hidden="false" customHeight="true" outlineLevel="0" collapsed="false">
      <c r="G162" s="113"/>
      <c r="H162" s="113"/>
      <c r="I162" s="113"/>
      <c r="K162" s="113"/>
      <c r="L162" s="113"/>
      <c r="M162" s="113"/>
      <c r="O162" s="113"/>
      <c r="P162" s="113"/>
      <c r="Q162" s="113"/>
      <c r="S162" s="113"/>
      <c r="T162" s="113"/>
      <c r="U162" s="113"/>
    </row>
    <row r="163" customFormat="false" ht="15" hidden="false" customHeight="true" outlineLevel="0" collapsed="false">
      <c r="G163" s="113"/>
      <c r="H163" s="113"/>
      <c r="I163" s="113"/>
      <c r="K163" s="113"/>
      <c r="L163" s="113"/>
      <c r="M163" s="113"/>
      <c r="O163" s="113"/>
      <c r="P163" s="113"/>
      <c r="Q163" s="113"/>
      <c r="S163" s="113"/>
      <c r="T163" s="113"/>
      <c r="U163" s="113"/>
    </row>
    <row r="164" customFormat="false" ht="15" hidden="false" customHeight="true" outlineLevel="0" collapsed="false">
      <c r="G164" s="113"/>
      <c r="H164" s="113"/>
      <c r="I164" s="113"/>
      <c r="K164" s="113"/>
      <c r="L164" s="113"/>
      <c r="M164" s="113"/>
      <c r="O164" s="113"/>
      <c r="P164" s="113"/>
      <c r="Q164" s="113"/>
      <c r="S164" s="113"/>
      <c r="T164" s="113"/>
      <c r="U164" s="113"/>
    </row>
    <row r="165" customFormat="false" ht="15" hidden="false" customHeight="true" outlineLevel="0" collapsed="false">
      <c r="G165" s="113"/>
      <c r="H165" s="113"/>
      <c r="I165" s="113"/>
      <c r="K165" s="113"/>
      <c r="L165" s="113"/>
      <c r="M165" s="113"/>
      <c r="O165" s="113"/>
      <c r="P165" s="113"/>
      <c r="Q165" s="113"/>
      <c r="S165" s="113"/>
      <c r="T165" s="113"/>
      <c r="U165" s="113"/>
    </row>
    <row r="166" customFormat="false" ht="15" hidden="false" customHeight="true" outlineLevel="0" collapsed="false">
      <c r="G166" s="113"/>
      <c r="H166" s="113"/>
      <c r="I166" s="113"/>
      <c r="K166" s="113"/>
      <c r="L166" s="113"/>
      <c r="M166" s="113"/>
      <c r="O166" s="113"/>
      <c r="P166" s="113"/>
      <c r="Q166" s="113"/>
      <c r="S166" s="113"/>
      <c r="T166" s="113"/>
      <c r="U166" s="113"/>
    </row>
    <row r="167" customFormat="false" ht="15" hidden="false" customHeight="true" outlineLevel="0" collapsed="false">
      <c r="G167" s="113"/>
      <c r="H167" s="113"/>
      <c r="I167" s="113"/>
      <c r="K167" s="113"/>
      <c r="L167" s="113"/>
      <c r="M167" s="113"/>
      <c r="O167" s="113"/>
      <c r="P167" s="113"/>
      <c r="Q167" s="113"/>
      <c r="S167" s="113"/>
      <c r="T167" s="113"/>
      <c r="U167" s="113"/>
    </row>
    <row r="168" customFormat="false" ht="15" hidden="false" customHeight="true" outlineLevel="0" collapsed="false">
      <c r="G168" s="113"/>
      <c r="H168" s="113"/>
      <c r="I168" s="113"/>
      <c r="K168" s="113"/>
      <c r="L168" s="113"/>
      <c r="M168" s="113"/>
      <c r="O168" s="113"/>
      <c r="P168" s="113"/>
      <c r="Q168" s="113"/>
      <c r="S168" s="113"/>
      <c r="T168" s="113"/>
      <c r="U168" s="113"/>
    </row>
    <row r="169" customFormat="false" ht="15" hidden="false" customHeight="true" outlineLevel="0" collapsed="false">
      <c r="G169" s="113"/>
      <c r="H169" s="113"/>
      <c r="I169" s="113"/>
      <c r="K169" s="113"/>
      <c r="L169" s="113"/>
      <c r="M169" s="113"/>
      <c r="O169" s="113"/>
      <c r="P169" s="113"/>
      <c r="Q169" s="113"/>
      <c r="S169" s="113"/>
      <c r="T169" s="113"/>
      <c r="U169" s="113"/>
    </row>
    <row r="170" customFormat="false" ht="15" hidden="false" customHeight="true" outlineLevel="0" collapsed="false">
      <c r="G170" s="113"/>
      <c r="H170" s="113"/>
      <c r="I170" s="113"/>
      <c r="K170" s="113"/>
      <c r="L170" s="113"/>
      <c r="M170" s="113"/>
      <c r="O170" s="113"/>
      <c r="P170" s="113"/>
      <c r="Q170" s="113"/>
      <c r="S170" s="113"/>
      <c r="T170" s="113"/>
      <c r="U170" s="113"/>
    </row>
    <row r="171" customFormat="false" ht="15" hidden="false" customHeight="true" outlineLevel="0" collapsed="false">
      <c r="G171" s="113"/>
      <c r="H171" s="113"/>
      <c r="I171" s="113"/>
      <c r="K171" s="113"/>
      <c r="L171" s="113"/>
      <c r="M171" s="113"/>
      <c r="O171" s="113"/>
      <c r="P171" s="113"/>
      <c r="Q171" s="113"/>
      <c r="S171" s="113"/>
      <c r="T171" s="113"/>
      <c r="U171" s="113"/>
    </row>
    <row r="172" customFormat="false" ht="15" hidden="false" customHeight="true" outlineLevel="0" collapsed="false">
      <c r="G172" s="113"/>
      <c r="H172" s="113"/>
      <c r="I172" s="113"/>
      <c r="K172" s="113"/>
      <c r="L172" s="113"/>
      <c r="M172" s="113"/>
      <c r="O172" s="113"/>
      <c r="P172" s="113"/>
      <c r="Q172" s="113"/>
      <c r="S172" s="113"/>
      <c r="T172" s="113"/>
      <c r="U172" s="113"/>
    </row>
    <row r="173" customFormat="false" ht="15" hidden="false" customHeight="true" outlineLevel="0" collapsed="false">
      <c r="G173" s="113"/>
      <c r="H173" s="113"/>
      <c r="I173" s="113"/>
      <c r="K173" s="113"/>
      <c r="L173" s="113"/>
      <c r="M173" s="113"/>
      <c r="O173" s="113"/>
      <c r="P173" s="113"/>
      <c r="Q173" s="113"/>
      <c r="S173" s="113"/>
      <c r="T173" s="113"/>
      <c r="U173" s="113"/>
    </row>
    <row r="174" customFormat="false" ht="15" hidden="false" customHeight="true" outlineLevel="0" collapsed="false">
      <c r="G174" s="113"/>
      <c r="H174" s="113"/>
      <c r="I174" s="113"/>
      <c r="K174" s="113"/>
      <c r="L174" s="113"/>
      <c r="M174" s="113"/>
      <c r="O174" s="113"/>
      <c r="P174" s="113"/>
      <c r="Q174" s="113"/>
      <c r="S174" s="113"/>
      <c r="T174" s="113"/>
      <c r="U174" s="113"/>
    </row>
    <row r="175" customFormat="false" ht="15" hidden="false" customHeight="true" outlineLevel="0" collapsed="false">
      <c r="G175" s="113"/>
      <c r="H175" s="113"/>
      <c r="I175" s="113"/>
      <c r="K175" s="113"/>
      <c r="L175" s="113"/>
      <c r="M175" s="113"/>
      <c r="O175" s="113"/>
      <c r="P175" s="113"/>
      <c r="Q175" s="113"/>
      <c r="S175" s="113"/>
      <c r="T175" s="113"/>
      <c r="U175" s="113"/>
    </row>
    <row r="176" customFormat="false" ht="15" hidden="false" customHeight="true" outlineLevel="0" collapsed="false">
      <c r="G176" s="113"/>
      <c r="H176" s="113"/>
      <c r="I176" s="113"/>
      <c r="K176" s="113"/>
      <c r="L176" s="113"/>
      <c r="M176" s="113"/>
      <c r="O176" s="113"/>
      <c r="P176" s="113"/>
      <c r="Q176" s="113"/>
      <c r="S176" s="113"/>
      <c r="T176" s="113"/>
      <c r="U176" s="113"/>
    </row>
    <row r="177" customFormat="false" ht="15" hidden="false" customHeight="true" outlineLevel="0" collapsed="false">
      <c r="G177" s="113"/>
      <c r="H177" s="113"/>
      <c r="I177" s="113"/>
      <c r="K177" s="113"/>
      <c r="L177" s="113"/>
      <c r="M177" s="113"/>
      <c r="O177" s="113"/>
      <c r="P177" s="113"/>
      <c r="Q177" s="113"/>
      <c r="S177" s="113"/>
      <c r="T177" s="113"/>
      <c r="U177" s="113"/>
    </row>
    <row r="178" customFormat="false" ht="15" hidden="false" customHeight="true" outlineLevel="0" collapsed="false">
      <c r="G178" s="113"/>
      <c r="H178" s="113"/>
      <c r="I178" s="113"/>
      <c r="K178" s="113"/>
      <c r="L178" s="113"/>
      <c r="M178" s="113"/>
      <c r="O178" s="113"/>
      <c r="P178" s="113"/>
      <c r="Q178" s="113"/>
      <c r="S178" s="113"/>
      <c r="T178" s="113"/>
      <c r="U178" s="113"/>
    </row>
    <row r="179" customFormat="false" ht="15" hidden="false" customHeight="true" outlineLevel="0" collapsed="false">
      <c r="G179" s="113"/>
      <c r="H179" s="113"/>
      <c r="I179" s="113"/>
      <c r="K179" s="113"/>
      <c r="L179" s="113"/>
      <c r="M179" s="113"/>
      <c r="O179" s="113"/>
      <c r="P179" s="113"/>
      <c r="Q179" s="113"/>
      <c r="S179" s="113"/>
      <c r="T179" s="113"/>
      <c r="U179" s="113"/>
    </row>
    <row r="180" customFormat="false" ht="15" hidden="false" customHeight="true" outlineLevel="0" collapsed="false">
      <c r="G180" s="113"/>
      <c r="H180" s="113"/>
      <c r="I180" s="113"/>
      <c r="K180" s="113"/>
      <c r="L180" s="113"/>
      <c r="M180" s="113"/>
      <c r="O180" s="113"/>
      <c r="P180" s="113"/>
      <c r="Q180" s="113"/>
      <c r="S180" s="113"/>
      <c r="T180" s="113"/>
      <c r="U180" s="113"/>
    </row>
    <row r="181" customFormat="false" ht="15" hidden="false" customHeight="true" outlineLevel="0" collapsed="false">
      <c r="G181" s="113"/>
      <c r="H181" s="113"/>
      <c r="I181" s="113"/>
      <c r="K181" s="113"/>
      <c r="L181" s="113"/>
      <c r="M181" s="113"/>
      <c r="O181" s="113"/>
      <c r="P181" s="113"/>
      <c r="Q181" s="113"/>
      <c r="S181" s="113"/>
      <c r="T181" s="113"/>
      <c r="U181" s="113"/>
    </row>
    <row r="182" customFormat="false" ht="15" hidden="false" customHeight="true" outlineLevel="0" collapsed="false">
      <c r="G182" s="113"/>
      <c r="H182" s="113"/>
      <c r="I182" s="113"/>
      <c r="K182" s="113"/>
      <c r="L182" s="113"/>
      <c r="M182" s="113"/>
      <c r="O182" s="113"/>
      <c r="P182" s="113"/>
      <c r="Q182" s="113"/>
      <c r="S182" s="113"/>
      <c r="T182" s="113"/>
      <c r="U182" s="113"/>
    </row>
    <row r="183" customFormat="false" ht="15" hidden="false" customHeight="true" outlineLevel="0" collapsed="false">
      <c r="G183" s="113"/>
      <c r="H183" s="113"/>
      <c r="I183" s="113"/>
      <c r="K183" s="113"/>
      <c r="L183" s="113"/>
      <c r="M183" s="113"/>
      <c r="O183" s="113"/>
      <c r="P183" s="113"/>
      <c r="Q183" s="113"/>
      <c r="S183" s="113"/>
      <c r="T183" s="113"/>
      <c r="U183" s="113"/>
    </row>
    <row r="184" customFormat="false" ht="15" hidden="false" customHeight="true" outlineLevel="0" collapsed="false">
      <c r="G184" s="113"/>
      <c r="H184" s="113"/>
      <c r="I184" s="113"/>
      <c r="K184" s="113"/>
      <c r="L184" s="113"/>
      <c r="M184" s="113"/>
      <c r="O184" s="113"/>
      <c r="P184" s="113"/>
      <c r="Q184" s="113"/>
      <c r="S184" s="113"/>
      <c r="T184" s="113"/>
      <c r="U184" s="113"/>
    </row>
    <row r="185" customFormat="false" ht="15" hidden="false" customHeight="true" outlineLevel="0" collapsed="false">
      <c r="G185" s="113"/>
      <c r="H185" s="113"/>
      <c r="I185" s="113"/>
      <c r="K185" s="113"/>
      <c r="L185" s="113"/>
      <c r="M185" s="113"/>
      <c r="O185" s="113"/>
      <c r="P185" s="113"/>
      <c r="Q185" s="113"/>
      <c r="S185" s="113"/>
      <c r="T185" s="113"/>
      <c r="U185" s="113"/>
    </row>
    <row r="186" customFormat="false" ht="15" hidden="false" customHeight="true" outlineLevel="0" collapsed="false">
      <c r="G186" s="113"/>
      <c r="H186" s="113"/>
      <c r="I186" s="113"/>
      <c r="K186" s="113"/>
      <c r="L186" s="113"/>
      <c r="M186" s="113"/>
      <c r="O186" s="113"/>
      <c r="P186" s="113"/>
      <c r="Q186" s="113"/>
      <c r="S186" s="113"/>
      <c r="T186" s="113"/>
      <c r="U186" s="113"/>
    </row>
    <row r="187" customFormat="false" ht="15" hidden="false" customHeight="true" outlineLevel="0" collapsed="false">
      <c r="G187" s="113"/>
      <c r="H187" s="113"/>
      <c r="I187" s="113"/>
      <c r="K187" s="113"/>
      <c r="L187" s="113"/>
      <c r="M187" s="113"/>
      <c r="O187" s="113"/>
      <c r="P187" s="113"/>
      <c r="Q187" s="113"/>
      <c r="S187" s="113"/>
      <c r="T187" s="113"/>
      <c r="U187" s="113"/>
    </row>
    <row r="188" customFormat="false" ht="15" hidden="false" customHeight="true" outlineLevel="0" collapsed="false">
      <c r="G188" s="113"/>
      <c r="H188" s="113"/>
      <c r="I188" s="113"/>
      <c r="K188" s="113"/>
      <c r="L188" s="113"/>
      <c r="M188" s="113"/>
      <c r="O188" s="113"/>
      <c r="P188" s="113"/>
      <c r="Q188" s="113"/>
      <c r="S188" s="113"/>
      <c r="T188" s="113"/>
      <c r="U188" s="113"/>
    </row>
    <row r="189" customFormat="false" ht="15" hidden="false" customHeight="true" outlineLevel="0" collapsed="false">
      <c r="G189" s="113"/>
      <c r="H189" s="113"/>
      <c r="I189" s="113"/>
      <c r="K189" s="113"/>
      <c r="L189" s="113"/>
      <c r="M189" s="113"/>
      <c r="O189" s="113"/>
      <c r="P189" s="113"/>
      <c r="Q189" s="113"/>
      <c r="S189" s="113"/>
      <c r="T189" s="113"/>
      <c r="U189" s="113"/>
    </row>
    <row r="190" customFormat="false" ht="15" hidden="false" customHeight="true" outlineLevel="0" collapsed="false">
      <c r="G190" s="113"/>
      <c r="H190" s="113"/>
      <c r="I190" s="113"/>
      <c r="K190" s="113"/>
      <c r="L190" s="113"/>
      <c r="M190" s="113"/>
      <c r="O190" s="113"/>
      <c r="P190" s="113"/>
      <c r="Q190" s="113"/>
      <c r="S190" s="113"/>
      <c r="T190" s="113"/>
      <c r="U190" s="113"/>
    </row>
    <row r="191" customFormat="false" ht="15" hidden="false" customHeight="true" outlineLevel="0" collapsed="false">
      <c r="G191" s="113"/>
      <c r="H191" s="113"/>
      <c r="I191" s="113"/>
      <c r="K191" s="113"/>
      <c r="L191" s="113"/>
      <c r="M191" s="113"/>
      <c r="O191" s="113"/>
      <c r="P191" s="113"/>
      <c r="Q191" s="113"/>
      <c r="S191" s="113"/>
      <c r="T191" s="113"/>
      <c r="U191" s="113"/>
    </row>
    <row r="192" customFormat="false" ht="15" hidden="false" customHeight="true" outlineLevel="0" collapsed="false">
      <c r="G192" s="113"/>
      <c r="H192" s="113"/>
      <c r="I192" s="113"/>
      <c r="K192" s="113"/>
      <c r="L192" s="113"/>
      <c r="M192" s="113"/>
      <c r="O192" s="113"/>
      <c r="P192" s="113"/>
      <c r="Q192" s="113"/>
      <c r="S192" s="113"/>
      <c r="T192" s="113"/>
      <c r="U192" s="113"/>
    </row>
    <row r="193" customFormat="false" ht="15" hidden="false" customHeight="true" outlineLevel="0" collapsed="false">
      <c r="G193" s="113"/>
      <c r="H193" s="113"/>
      <c r="I193" s="113"/>
      <c r="K193" s="113"/>
      <c r="L193" s="113"/>
      <c r="M193" s="113"/>
      <c r="O193" s="113"/>
      <c r="P193" s="113"/>
      <c r="Q193" s="113"/>
      <c r="S193" s="113"/>
      <c r="T193" s="113"/>
      <c r="U193" s="113"/>
    </row>
    <row r="194" customFormat="false" ht="15" hidden="false" customHeight="true" outlineLevel="0" collapsed="false">
      <c r="G194" s="113"/>
      <c r="H194" s="113"/>
      <c r="I194" s="113"/>
      <c r="K194" s="113"/>
      <c r="L194" s="113"/>
      <c r="M194" s="113"/>
      <c r="O194" s="113"/>
      <c r="P194" s="113"/>
      <c r="Q194" s="113"/>
      <c r="S194" s="113"/>
      <c r="T194" s="113"/>
      <c r="U194" s="113"/>
    </row>
    <row r="195" customFormat="false" ht="15" hidden="false" customHeight="true" outlineLevel="0" collapsed="false">
      <c r="G195" s="113"/>
      <c r="H195" s="113"/>
      <c r="I195" s="113"/>
      <c r="K195" s="113"/>
      <c r="L195" s="113"/>
      <c r="M195" s="113"/>
      <c r="O195" s="113"/>
      <c r="P195" s="113"/>
      <c r="Q195" s="113"/>
      <c r="S195" s="113"/>
      <c r="T195" s="113"/>
      <c r="U195" s="113"/>
    </row>
    <row r="196" customFormat="false" ht="15" hidden="false" customHeight="true" outlineLevel="0" collapsed="false">
      <c r="G196" s="113"/>
      <c r="H196" s="113"/>
      <c r="I196" s="113"/>
      <c r="K196" s="113"/>
      <c r="L196" s="113"/>
      <c r="M196" s="113"/>
      <c r="O196" s="113"/>
      <c r="P196" s="113"/>
      <c r="Q196" s="113"/>
      <c r="S196" s="113"/>
      <c r="T196" s="113"/>
      <c r="U196" s="113"/>
    </row>
    <row r="197" customFormat="false" ht="15" hidden="false" customHeight="true" outlineLevel="0" collapsed="false">
      <c r="G197" s="113"/>
      <c r="H197" s="113"/>
      <c r="I197" s="113"/>
      <c r="K197" s="113"/>
      <c r="L197" s="113"/>
      <c r="M197" s="113"/>
      <c r="O197" s="113"/>
      <c r="P197" s="113"/>
      <c r="Q197" s="113"/>
      <c r="S197" s="113"/>
      <c r="T197" s="113"/>
      <c r="U197" s="113"/>
    </row>
    <row r="198" customFormat="false" ht="15" hidden="false" customHeight="true" outlineLevel="0" collapsed="false">
      <c r="G198" s="113"/>
      <c r="H198" s="113"/>
      <c r="I198" s="113"/>
      <c r="K198" s="113"/>
      <c r="L198" s="113"/>
      <c r="M198" s="113"/>
      <c r="O198" s="113"/>
      <c r="P198" s="113"/>
      <c r="Q198" s="113"/>
      <c r="S198" s="113"/>
      <c r="T198" s="113"/>
      <c r="U198" s="113"/>
    </row>
    <row r="199" customFormat="false" ht="15" hidden="false" customHeight="true" outlineLevel="0" collapsed="false">
      <c r="G199" s="113"/>
      <c r="H199" s="113"/>
      <c r="I199" s="113"/>
      <c r="K199" s="113"/>
      <c r="L199" s="113"/>
      <c r="M199" s="113"/>
      <c r="O199" s="113"/>
      <c r="P199" s="113"/>
      <c r="Q199" s="113"/>
      <c r="S199" s="113"/>
      <c r="T199" s="113"/>
      <c r="U199" s="113"/>
    </row>
    <row r="200" customFormat="false" ht="15" hidden="false" customHeight="true" outlineLevel="0" collapsed="false">
      <c r="G200" s="113"/>
      <c r="H200" s="113"/>
      <c r="I200" s="113"/>
      <c r="K200" s="113"/>
      <c r="L200" s="113"/>
      <c r="M200" s="113"/>
      <c r="O200" s="113"/>
      <c r="P200" s="113"/>
      <c r="Q200" s="113"/>
      <c r="S200" s="113"/>
      <c r="T200" s="113"/>
      <c r="U200" s="113"/>
    </row>
    <row r="201" customFormat="false" ht="15" hidden="false" customHeight="true" outlineLevel="0" collapsed="false">
      <c r="G201" s="113"/>
      <c r="H201" s="113"/>
      <c r="I201" s="113"/>
      <c r="K201" s="113"/>
      <c r="L201" s="113"/>
      <c r="M201" s="113"/>
      <c r="O201" s="113"/>
      <c r="P201" s="113"/>
      <c r="Q201" s="113"/>
      <c r="S201" s="113"/>
      <c r="T201" s="113"/>
      <c r="U201" s="113"/>
    </row>
    <row r="202" customFormat="false" ht="15" hidden="false" customHeight="true" outlineLevel="0" collapsed="false">
      <c r="G202" s="113"/>
      <c r="H202" s="113"/>
      <c r="I202" s="113"/>
      <c r="K202" s="113"/>
      <c r="L202" s="113"/>
      <c r="M202" s="113"/>
      <c r="O202" s="113"/>
      <c r="P202" s="113"/>
      <c r="Q202" s="113"/>
      <c r="S202" s="113"/>
      <c r="T202" s="113"/>
      <c r="U202" s="113"/>
    </row>
    <row r="203" customFormat="false" ht="15" hidden="false" customHeight="true" outlineLevel="0" collapsed="false">
      <c r="G203" s="113"/>
      <c r="H203" s="113"/>
      <c r="I203" s="113"/>
      <c r="K203" s="113"/>
      <c r="L203" s="113"/>
      <c r="M203" s="113"/>
      <c r="O203" s="113"/>
      <c r="P203" s="113"/>
      <c r="Q203" s="113"/>
      <c r="S203" s="113"/>
      <c r="T203" s="113"/>
      <c r="U203" s="113"/>
    </row>
    <row r="204" customFormat="false" ht="15" hidden="false" customHeight="true" outlineLevel="0" collapsed="false">
      <c r="G204" s="113"/>
      <c r="H204" s="113"/>
      <c r="I204" s="113"/>
      <c r="K204" s="113"/>
      <c r="L204" s="113"/>
      <c r="M204" s="113"/>
      <c r="O204" s="113"/>
      <c r="P204" s="113"/>
      <c r="Q204" s="113"/>
      <c r="S204" s="113"/>
      <c r="T204" s="113"/>
      <c r="U204" s="113"/>
    </row>
    <row r="205" customFormat="false" ht="15" hidden="false" customHeight="true" outlineLevel="0" collapsed="false">
      <c r="G205" s="113"/>
      <c r="H205" s="113"/>
      <c r="I205" s="113"/>
      <c r="K205" s="113"/>
      <c r="L205" s="113"/>
      <c r="M205" s="113"/>
      <c r="O205" s="113"/>
      <c r="P205" s="113"/>
      <c r="Q205" s="113"/>
      <c r="S205" s="113"/>
      <c r="T205" s="113"/>
      <c r="U205" s="113"/>
    </row>
    <row r="206" customFormat="false" ht="15" hidden="false" customHeight="true" outlineLevel="0" collapsed="false">
      <c r="G206" s="113"/>
      <c r="H206" s="113"/>
      <c r="I206" s="113"/>
      <c r="K206" s="113"/>
      <c r="L206" s="113"/>
      <c r="M206" s="113"/>
      <c r="O206" s="113"/>
      <c r="P206" s="113"/>
      <c r="Q206" s="113"/>
      <c r="S206" s="113"/>
      <c r="T206" s="113"/>
      <c r="U206" s="113"/>
    </row>
    <row r="207" customFormat="false" ht="15" hidden="false" customHeight="true" outlineLevel="0" collapsed="false">
      <c r="G207" s="113"/>
      <c r="H207" s="113"/>
      <c r="I207" s="113"/>
      <c r="K207" s="113"/>
      <c r="L207" s="113"/>
      <c r="M207" s="113"/>
      <c r="O207" s="113"/>
      <c r="P207" s="113"/>
      <c r="Q207" s="113"/>
      <c r="S207" s="113"/>
      <c r="T207" s="113"/>
      <c r="U207" s="113"/>
    </row>
    <row r="208" customFormat="false" ht="15" hidden="false" customHeight="true" outlineLevel="0" collapsed="false">
      <c r="G208" s="113"/>
      <c r="H208" s="113"/>
      <c r="I208" s="113"/>
      <c r="K208" s="113"/>
      <c r="L208" s="113"/>
      <c r="M208" s="113"/>
      <c r="O208" s="113"/>
      <c r="P208" s="113"/>
      <c r="Q208" s="113"/>
      <c r="S208" s="113"/>
      <c r="T208" s="113"/>
      <c r="U208" s="113"/>
    </row>
    <row r="209" customFormat="false" ht="15" hidden="false" customHeight="true" outlineLevel="0" collapsed="false">
      <c r="G209" s="113"/>
      <c r="H209" s="113"/>
      <c r="I209" s="113"/>
      <c r="K209" s="113"/>
      <c r="L209" s="113"/>
      <c r="M209" s="113"/>
      <c r="O209" s="113"/>
      <c r="P209" s="113"/>
      <c r="Q209" s="113"/>
      <c r="S209" s="113"/>
      <c r="T209" s="113"/>
      <c r="U209" s="113"/>
    </row>
    <row r="210" customFormat="false" ht="15" hidden="false" customHeight="true" outlineLevel="0" collapsed="false">
      <c r="G210" s="113"/>
      <c r="H210" s="113"/>
      <c r="I210" s="113"/>
      <c r="K210" s="113"/>
      <c r="L210" s="113"/>
      <c r="M210" s="113"/>
      <c r="O210" s="113"/>
      <c r="P210" s="113"/>
      <c r="Q210" s="113"/>
      <c r="S210" s="113"/>
      <c r="T210" s="113"/>
      <c r="U210" s="113"/>
    </row>
    <row r="211" customFormat="false" ht="15" hidden="false" customHeight="true" outlineLevel="0" collapsed="false">
      <c r="G211" s="113"/>
      <c r="H211" s="113"/>
      <c r="I211" s="113"/>
      <c r="K211" s="113"/>
      <c r="L211" s="113"/>
      <c r="M211" s="113"/>
      <c r="O211" s="113"/>
      <c r="P211" s="113"/>
      <c r="Q211" s="113"/>
      <c r="S211" s="113"/>
      <c r="T211" s="113"/>
      <c r="U211" s="113"/>
    </row>
    <row r="212" customFormat="false" ht="15" hidden="false" customHeight="true" outlineLevel="0" collapsed="false">
      <c r="G212" s="113"/>
      <c r="H212" s="113"/>
      <c r="I212" s="113"/>
      <c r="K212" s="113"/>
      <c r="L212" s="113"/>
      <c r="M212" s="113"/>
      <c r="O212" s="113"/>
      <c r="P212" s="113"/>
      <c r="Q212" s="113"/>
      <c r="S212" s="113"/>
      <c r="T212" s="113"/>
      <c r="U212" s="113"/>
    </row>
    <row r="213" customFormat="false" ht="15" hidden="false" customHeight="true" outlineLevel="0" collapsed="false">
      <c r="G213" s="113"/>
      <c r="H213" s="113"/>
      <c r="I213" s="113"/>
      <c r="K213" s="113"/>
      <c r="L213" s="113"/>
      <c r="M213" s="113"/>
      <c r="O213" s="113"/>
      <c r="P213" s="113"/>
      <c r="Q213" s="113"/>
      <c r="S213" s="113"/>
      <c r="T213" s="113"/>
      <c r="U213" s="113"/>
    </row>
    <row r="214" customFormat="false" ht="15" hidden="false" customHeight="true" outlineLevel="0" collapsed="false">
      <c r="G214" s="113"/>
      <c r="H214" s="113"/>
      <c r="I214" s="113"/>
      <c r="K214" s="113"/>
      <c r="L214" s="113"/>
      <c r="M214" s="113"/>
      <c r="O214" s="113"/>
      <c r="P214" s="113"/>
      <c r="Q214" s="113"/>
      <c r="S214" s="113"/>
      <c r="T214" s="113"/>
      <c r="U214" s="113"/>
    </row>
    <row r="215" customFormat="false" ht="15" hidden="false" customHeight="true" outlineLevel="0" collapsed="false">
      <c r="G215" s="113"/>
      <c r="H215" s="113"/>
      <c r="I215" s="113"/>
      <c r="K215" s="113"/>
      <c r="L215" s="113"/>
      <c r="M215" s="113"/>
      <c r="O215" s="113"/>
      <c r="P215" s="113"/>
      <c r="Q215" s="113"/>
      <c r="S215" s="113"/>
      <c r="T215" s="113"/>
      <c r="U215" s="113"/>
    </row>
    <row r="216" customFormat="false" ht="15" hidden="false" customHeight="true" outlineLevel="0" collapsed="false">
      <c r="G216" s="113"/>
      <c r="H216" s="113"/>
      <c r="I216" s="113"/>
      <c r="K216" s="113"/>
      <c r="L216" s="113"/>
      <c r="M216" s="113"/>
      <c r="O216" s="113"/>
      <c r="P216" s="113"/>
      <c r="Q216" s="113"/>
      <c r="S216" s="113"/>
      <c r="T216" s="113"/>
      <c r="U216" s="113"/>
    </row>
    <row r="217" customFormat="false" ht="15" hidden="false" customHeight="true" outlineLevel="0" collapsed="false">
      <c r="G217" s="113"/>
      <c r="H217" s="113"/>
      <c r="I217" s="113"/>
      <c r="K217" s="113"/>
      <c r="L217" s="113"/>
      <c r="M217" s="113"/>
      <c r="O217" s="113"/>
      <c r="P217" s="113"/>
      <c r="Q217" s="113"/>
      <c r="S217" s="113"/>
      <c r="T217" s="113"/>
      <c r="U217" s="113"/>
    </row>
    <row r="218" customFormat="false" ht="15" hidden="false" customHeight="true" outlineLevel="0" collapsed="false">
      <c r="G218" s="113"/>
      <c r="H218" s="113"/>
      <c r="I218" s="113"/>
      <c r="K218" s="113"/>
      <c r="L218" s="113"/>
      <c r="M218" s="113"/>
      <c r="O218" s="113"/>
      <c r="P218" s="113"/>
      <c r="Q218" s="113"/>
      <c r="S218" s="113"/>
      <c r="T218" s="113"/>
      <c r="U218" s="113"/>
    </row>
    <row r="219" customFormat="false" ht="15" hidden="false" customHeight="true" outlineLevel="0" collapsed="false">
      <c r="G219" s="113"/>
      <c r="H219" s="113"/>
      <c r="I219" s="113"/>
      <c r="K219" s="113"/>
      <c r="L219" s="113"/>
      <c r="M219" s="113"/>
      <c r="O219" s="113"/>
      <c r="P219" s="113"/>
      <c r="Q219" s="113"/>
      <c r="S219" s="113"/>
      <c r="T219" s="113"/>
      <c r="U219" s="113"/>
    </row>
    <row r="220" customFormat="false" ht="15" hidden="false" customHeight="true" outlineLevel="0" collapsed="false">
      <c r="G220" s="113"/>
      <c r="H220" s="113"/>
      <c r="I220" s="113"/>
      <c r="K220" s="113"/>
      <c r="L220" s="113"/>
      <c r="M220" s="113"/>
      <c r="O220" s="113"/>
      <c r="P220" s="113"/>
      <c r="Q220" s="113"/>
      <c r="S220" s="113"/>
      <c r="T220" s="113"/>
      <c r="U220" s="113"/>
    </row>
    <row r="221" customFormat="false" ht="15" hidden="false" customHeight="true" outlineLevel="0" collapsed="false">
      <c r="G221" s="113"/>
      <c r="H221" s="113"/>
      <c r="I221" s="113"/>
      <c r="K221" s="113"/>
      <c r="L221" s="113"/>
      <c r="M221" s="113"/>
      <c r="O221" s="113"/>
      <c r="P221" s="113"/>
      <c r="Q221" s="113"/>
      <c r="S221" s="113"/>
      <c r="T221" s="113"/>
      <c r="U221" s="113"/>
    </row>
    <row r="222" customFormat="false" ht="15" hidden="false" customHeight="true" outlineLevel="0" collapsed="false">
      <c r="G222" s="113"/>
      <c r="H222" s="113"/>
      <c r="I222" s="113"/>
      <c r="K222" s="113"/>
      <c r="L222" s="113"/>
      <c r="M222" s="113"/>
      <c r="O222" s="113"/>
      <c r="P222" s="113"/>
      <c r="Q222" s="113"/>
      <c r="S222" s="113"/>
      <c r="T222" s="113"/>
      <c r="U222" s="113"/>
    </row>
    <row r="223" customFormat="false" ht="15" hidden="false" customHeight="true" outlineLevel="0" collapsed="false">
      <c r="G223" s="113"/>
      <c r="H223" s="113"/>
      <c r="I223" s="113"/>
      <c r="K223" s="113"/>
      <c r="L223" s="113"/>
      <c r="M223" s="113"/>
      <c r="O223" s="113"/>
      <c r="P223" s="113"/>
      <c r="Q223" s="113"/>
      <c r="S223" s="113"/>
      <c r="T223" s="113"/>
      <c r="U223" s="113"/>
    </row>
    <row r="224" customFormat="false" ht="15" hidden="false" customHeight="true" outlineLevel="0" collapsed="false">
      <c r="G224" s="113"/>
      <c r="H224" s="113"/>
      <c r="I224" s="113"/>
      <c r="K224" s="113"/>
      <c r="L224" s="113"/>
      <c r="M224" s="113"/>
      <c r="O224" s="113"/>
      <c r="P224" s="113"/>
      <c r="Q224" s="113"/>
      <c r="S224" s="113"/>
      <c r="T224" s="113"/>
      <c r="U224" s="113"/>
    </row>
    <row r="225" customFormat="false" ht="15" hidden="false" customHeight="true" outlineLevel="0" collapsed="false">
      <c r="G225" s="113"/>
      <c r="H225" s="113"/>
      <c r="I225" s="113"/>
      <c r="K225" s="113"/>
      <c r="L225" s="113"/>
      <c r="M225" s="113"/>
      <c r="O225" s="113"/>
      <c r="P225" s="113"/>
      <c r="Q225" s="113"/>
      <c r="S225" s="113"/>
      <c r="T225" s="113"/>
      <c r="U225" s="113"/>
    </row>
    <row r="226" customFormat="false" ht="15" hidden="false" customHeight="true" outlineLevel="0" collapsed="false">
      <c r="G226" s="113"/>
      <c r="H226" s="113"/>
      <c r="I226" s="113"/>
      <c r="K226" s="113"/>
      <c r="L226" s="113"/>
      <c r="M226" s="113"/>
      <c r="O226" s="113"/>
      <c r="P226" s="113"/>
      <c r="Q226" s="113"/>
      <c r="S226" s="113"/>
      <c r="T226" s="113"/>
      <c r="U226" s="113"/>
    </row>
    <row r="227" customFormat="false" ht="15" hidden="false" customHeight="true" outlineLevel="0" collapsed="false">
      <c r="G227" s="113"/>
      <c r="H227" s="113"/>
      <c r="I227" s="113"/>
      <c r="K227" s="113"/>
      <c r="L227" s="113"/>
      <c r="M227" s="113"/>
      <c r="O227" s="113"/>
      <c r="P227" s="113"/>
      <c r="Q227" s="113"/>
      <c r="S227" s="113"/>
      <c r="T227" s="113"/>
      <c r="U227" s="113"/>
    </row>
    <row r="228" customFormat="false" ht="15" hidden="false" customHeight="true" outlineLevel="0" collapsed="false">
      <c r="G228" s="113"/>
      <c r="H228" s="113"/>
      <c r="I228" s="113"/>
      <c r="K228" s="113"/>
      <c r="L228" s="113"/>
      <c r="M228" s="113"/>
      <c r="O228" s="113"/>
      <c r="P228" s="113"/>
      <c r="Q228" s="113"/>
      <c r="S228" s="113"/>
      <c r="T228" s="113"/>
      <c r="U228" s="113"/>
    </row>
    <row r="229" customFormat="false" ht="15" hidden="false" customHeight="true" outlineLevel="0" collapsed="false">
      <c r="G229" s="113"/>
      <c r="H229" s="113"/>
      <c r="I229" s="113"/>
      <c r="K229" s="113"/>
      <c r="L229" s="113"/>
      <c r="M229" s="113"/>
      <c r="O229" s="113"/>
      <c r="P229" s="113"/>
      <c r="Q229" s="113"/>
      <c r="S229" s="113"/>
      <c r="T229" s="113"/>
      <c r="U229" s="113"/>
    </row>
    <row r="230" customFormat="false" ht="15" hidden="false" customHeight="true" outlineLevel="0" collapsed="false">
      <c r="G230" s="113"/>
      <c r="H230" s="113"/>
      <c r="I230" s="113"/>
      <c r="K230" s="113"/>
      <c r="L230" s="113"/>
      <c r="M230" s="113"/>
      <c r="O230" s="113"/>
      <c r="P230" s="113"/>
      <c r="Q230" s="113"/>
      <c r="S230" s="113"/>
      <c r="T230" s="113"/>
      <c r="U230" s="113"/>
    </row>
    <row r="231" customFormat="false" ht="15" hidden="false" customHeight="true" outlineLevel="0" collapsed="false">
      <c r="G231" s="113"/>
      <c r="H231" s="113"/>
      <c r="I231" s="113"/>
      <c r="K231" s="113"/>
      <c r="L231" s="113"/>
      <c r="M231" s="113"/>
      <c r="O231" s="113"/>
      <c r="P231" s="113"/>
      <c r="Q231" s="113"/>
      <c r="S231" s="113"/>
      <c r="T231" s="113"/>
      <c r="U231" s="113"/>
    </row>
    <row r="232" customFormat="false" ht="15" hidden="false" customHeight="true" outlineLevel="0" collapsed="false">
      <c r="G232" s="113"/>
      <c r="H232" s="113"/>
      <c r="I232" s="113"/>
      <c r="K232" s="113"/>
      <c r="L232" s="113"/>
      <c r="M232" s="113"/>
      <c r="O232" s="113"/>
      <c r="P232" s="113"/>
      <c r="Q232" s="113"/>
      <c r="S232" s="113"/>
      <c r="T232" s="113"/>
      <c r="U232" s="113"/>
    </row>
    <row r="233" customFormat="false" ht="15" hidden="false" customHeight="true" outlineLevel="0" collapsed="false">
      <c r="G233" s="113"/>
      <c r="H233" s="113"/>
      <c r="I233" s="113"/>
      <c r="K233" s="113"/>
      <c r="L233" s="113"/>
      <c r="M233" s="113"/>
      <c r="O233" s="113"/>
      <c r="P233" s="113"/>
      <c r="Q233" s="113"/>
      <c r="S233" s="113"/>
      <c r="T233" s="113"/>
      <c r="U233" s="113"/>
    </row>
    <row r="234" customFormat="false" ht="15" hidden="false" customHeight="true" outlineLevel="0" collapsed="false">
      <c r="G234" s="113"/>
      <c r="H234" s="113"/>
      <c r="I234" s="113"/>
      <c r="K234" s="113"/>
      <c r="L234" s="113"/>
      <c r="M234" s="113"/>
      <c r="O234" s="113"/>
      <c r="P234" s="113"/>
      <c r="Q234" s="113"/>
      <c r="S234" s="113"/>
      <c r="T234" s="113"/>
      <c r="U234" s="113"/>
    </row>
    <row r="235" customFormat="false" ht="15" hidden="false" customHeight="true" outlineLevel="0" collapsed="false">
      <c r="G235" s="113"/>
      <c r="H235" s="113"/>
      <c r="I235" s="113"/>
      <c r="K235" s="113"/>
      <c r="L235" s="113"/>
      <c r="M235" s="113"/>
      <c r="O235" s="113"/>
      <c r="P235" s="113"/>
      <c r="Q235" s="113"/>
      <c r="S235" s="113"/>
      <c r="T235" s="113"/>
      <c r="U235" s="113"/>
    </row>
    <row r="236" customFormat="false" ht="15" hidden="false" customHeight="true" outlineLevel="0" collapsed="false">
      <c r="G236" s="113"/>
      <c r="H236" s="113"/>
      <c r="I236" s="113"/>
      <c r="K236" s="113"/>
      <c r="L236" s="113"/>
      <c r="M236" s="113"/>
      <c r="O236" s="113"/>
      <c r="P236" s="113"/>
      <c r="Q236" s="113"/>
      <c r="S236" s="113"/>
      <c r="T236" s="113"/>
      <c r="U236" s="113"/>
    </row>
    <row r="237" customFormat="false" ht="15" hidden="false" customHeight="true" outlineLevel="0" collapsed="false">
      <c r="G237" s="113"/>
      <c r="H237" s="113"/>
      <c r="I237" s="113"/>
      <c r="K237" s="113"/>
      <c r="L237" s="113"/>
      <c r="M237" s="113"/>
      <c r="O237" s="113"/>
      <c r="P237" s="113"/>
      <c r="Q237" s="113"/>
      <c r="S237" s="113"/>
      <c r="T237" s="113"/>
      <c r="U237" s="113"/>
    </row>
    <row r="238" customFormat="false" ht="15" hidden="false" customHeight="true" outlineLevel="0" collapsed="false">
      <c r="G238" s="113"/>
      <c r="H238" s="113"/>
      <c r="I238" s="113"/>
      <c r="K238" s="113"/>
      <c r="L238" s="113"/>
      <c r="M238" s="113"/>
      <c r="O238" s="113"/>
      <c r="P238" s="113"/>
      <c r="Q238" s="113"/>
      <c r="S238" s="113"/>
      <c r="T238" s="113"/>
      <c r="U238" s="113"/>
    </row>
    <row r="239" customFormat="false" ht="15" hidden="false" customHeight="true" outlineLevel="0" collapsed="false">
      <c r="G239" s="113"/>
      <c r="H239" s="113"/>
      <c r="I239" s="113"/>
      <c r="K239" s="113"/>
      <c r="L239" s="113"/>
      <c r="M239" s="113"/>
      <c r="O239" s="113"/>
      <c r="P239" s="113"/>
      <c r="Q239" s="113"/>
      <c r="S239" s="113"/>
      <c r="T239" s="113"/>
      <c r="U239" s="113"/>
    </row>
    <row r="240" customFormat="false" ht="15" hidden="false" customHeight="true" outlineLevel="0" collapsed="false">
      <c r="G240" s="113"/>
      <c r="H240" s="113"/>
      <c r="I240" s="113"/>
      <c r="K240" s="113"/>
      <c r="L240" s="113"/>
      <c r="M240" s="113"/>
      <c r="O240" s="113"/>
      <c r="P240" s="113"/>
      <c r="Q240" s="113"/>
      <c r="S240" s="113"/>
      <c r="T240" s="113"/>
      <c r="U240" s="113"/>
    </row>
    <row r="241" customFormat="false" ht="15" hidden="false" customHeight="true" outlineLevel="0" collapsed="false">
      <c r="G241" s="113"/>
      <c r="H241" s="113"/>
      <c r="I241" s="113"/>
      <c r="K241" s="113"/>
      <c r="L241" s="113"/>
      <c r="M241" s="113"/>
      <c r="O241" s="113"/>
      <c r="P241" s="113"/>
      <c r="Q241" s="113"/>
      <c r="S241" s="113"/>
      <c r="T241" s="113"/>
      <c r="U241" s="113"/>
    </row>
    <row r="242" customFormat="false" ht="15" hidden="false" customHeight="true" outlineLevel="0" collapsed="false">
      <c r="G242" s="113"/>
      <c r="H242" s="113"/>
      <c r="I242" s="113"/>
      <c r="K242" s="113"/>
      <c r="L242" s="113"/>
      <c r="M242" s="113"/>
      <c r="O242" s="113"/>
      <c r="P242" s="113"/>
      <c r="Q242" s="113"/>
      <c r="S242" s="113"/>
      <c r="T242" s="113"/>
      <c r="U242" s="113"/>
    </row>
    <row r="243" customFormat="false" ht="15" hidden="false" customHeight="true" outlineLevel="0" collapsed="false">
      <c r="G243" s="113"/>
      <c r="H243" s="113"/>
      <c r="I243" s="113"/>
      <c r="K243" s="113"/>
      <c r="L243" s="113"/>
      <c r="M243" s="113"/>
      <c r="O243" s="113"/>
      <c r="P243" s="113"/>
      <c r="Q243" s="113"/>
      <c r="S243" s="113"/>
      <c r="T243" s="113"/>
      <c r="U243" s="113"/>
    </row>
    <row r="244" customFormat="false" ht="15" hidden="false" customHeight="true" outlineLevel="0" collapsed="false">
      <c r="G244" s="113"/>
      <c r="H244" s="113"/>
      <c r="I244" s="113"/>
      <c r="K244" s="113"/>
      <c r="L244" s="113"/>
      <c r="M244" s="113"/>
      <c r="O244" s="113"/>
      <c r="P244" s="113"/>
      <c r="Q244" s="113"/>
      <c r="S244" s="113"/>
      <c r="T244" s="113"/>
      <c r="U244" s="113"/>
    </row>
    <row r="245" customFormat="false" ht="15" hidden="false" customHeight="true" outlineLevel="0" collapsed="false">
      <c r="G245" s="113"/>
      <c r="H245" s="113"/>
      <c r="I245" s="113"/>
      <c r="K245" s="113"/>
      <c r="L245" s="113"/>
      <c r="M245" s="113"/>
      <c r="O245" s="113"/>
      <c r="P245" s="113"/>
      <c r="Q245" s="113"/>
      <c r="S245" s="113"/>
      <c r="T245" s="113"/>
      <c r="U245" s="113"/>
    </row>
    <row r="246" customFormat="false" ht="15" hidden="false" customHeight="true" outlineLevel="0" collapsed="false">
      <c r="G246" s="113"/>
      <c r="H246" s="113"/>
      <c r="I246" s="113"/>
      <c r="K246" s="113"/>
      <c r="L246" s="113"/>
      <c r="M246" s="113"/>
      <c r="O246" s="113"/>
      <c r="P246" s="113"/>
      <c r="Q246" s="113"/>
      <c r="S246" s="113"/>
      <c r="T246" s="113"/>
      <c r="U246" s="113"/>
    </row>
    <row r="247" customFormat="false" ht="15" hidden="false" customHeight="true" outlineLevel="0" collapsed="false">
      <c r="G247" s="113"/>
      <c r="H247" s="113"/>
      <c r="I247" s="113"/>
      <c r="K247" s="113"/>
      <c r="L247" s="113"/>
      <c r="M247" s="113"/>
      <c r="O247" s="113"/>
      <c r="P247" s="113"/>
      <c r="Q247" s="113"/>
      <c r="S247" s="113"/>
      <c r="T247" s="113"/>
      <c r="U247" s="113"/>
    </row>
    <row r="248" customFormat="false" ht="15" hidden="false" customHeight="true" outlineLevel="0" collapsed="false">
      <c r="G248" s="113"/>
      <c r="H248" s="113"/>
      <c r="I248" s="113"/>
      <c r="K248" s="113"/>
      <c r="L248" s="113"/>
      <c r="M248" s="113"/>
      <c r="O248" s="113"/>
      <c r="P248" s="113"/>
      <c r="Q248" s="113"/>
      <c r="S248" s="113"/>
      <c r="T248" s="113"/>
      <c r="U248" s="113"/>
    </row>
    <row r="249" customFormat="false" ht="15" hidden="false" customHeight="true" outlineLevel="0" collapsed="false">
      <c r="G249" s="113"/>
      <c r="H249" s="113"/>
      <c r="I249" s="113"/>
      <c r="K249" s="113"/>
      <c r="L249" s="113"/>
      <c r="M249" s="113"/>
      <c r="O249" s="113"/>
      <c r="P249" s="113"/>
      <c r="Q249" s="113"/>
      <c r="S249" s="113"/>
      <c r="T249" s="113"/>
      <c r="U249" s="113"/>
    </row>
    <row r="250" customFormat="false" ht="15" hidden="false" customHeight="true" outlineLevel="0" collapsed="false">
      <c r="G250" s="113"/>
      <c r="H250" s="113"/>
      <c r="I250" s="113"/>
      <c r="K250" s="113"/>
      <c r="L250" s="113"/>
      <c r="M250" s="113"/>
      <c r="O250" s="113"/>
      <c r="P250" s="113"/>
      <c r="Q250" s="113"/>
      <c r="S250" s="113"/>
      <c r="T250" s="113"/>
      <c r="U250" s="113"/>
    </row>
    <row r="251" customFormat="false" ht="15" hidden="false" customHeight="true" outlineLevel="0" collapsed="false">
      <c r="G251" s="113"/>
      <c r="H251" s="113"/>
      <c r="I251" s="113"/>
      <c r="K251" s="113"/>
      <c r="L251" s="113"/>
      <c r="M251" s="113"/>
      <c r="O251" s="113"/>
      <c r="P251" s="113"/>
      <c r="Q251" s="113"/>
      <c r="S251" s="113"/>
      <c r="T251" s="113"/>
      <c r="U251" s="113"/>
    </row>
    <row r="252" customFormat="false" ht="15" hidden="false" customHeight="true" outlineLevel="0" collapsed="false">
      <c r="G252" s="113"/>
      <c r="H252" s="113"/>
      <c r="I252" s="113"/>
      <c r="K252" s="113"/>
      <c r="L252" s="113"/>
      <c r="M252" s="113"/>
      <c r="O252" s="113"/>
      <c r="P252" s="113"/>
      <c r="Q252" s="113"/>
      <c r="S252" s="113"/>
      <c r="T252" s="113"/>
      <c r="U252" s="113"/>
    </row>
    <row r="253" customFormat="false" ht="15" hidden="false" customHeight="true" outlineLevel="0" collapsed="false">
      <c r="G253" s="113"/>
      <c r="H253" s="113"/>
      <c r="I253" s="113"/>
      <c r="K253" s="113"/>
      <c r="L253" s="113"/>
      <c r="M253" s="113"/>
      <c r="O253" s="113"/>
      <c r="P253" s="113"/>
      <c r="Q253" s="113"/>
      <c r="S253" s="113"/>
      <c r="T253" s="113"/>
      <c r="U253" s="113"/>
    </row>
    <row r="254" customFormat="false" ht="15" hidden="false" customHeight="true" outlineLevel="0" collapsed="false">
      <c r="G254" s="113"/>
      <c r="H254" s="113"/>
      <c r="I254" s="113"/>
      <c r="K254" s="113"/>
      <c r="L254" s="113"/>
      <c r="M254" s="113"/>
      <c r="O254" s="113"/>
      <c r="P254" s="113"/>
      <c r="Q254" s="113"/>
      <c r="S254" s="113"/>
      <c r="T254" s="113"/>
      <c r="U254" s="113"/>
    </row>
    <row r="255" customFormat="false" ht="15" hidden="false" customHeight="true" outlineLevel="0" collapsed="false">
      <c r="G255" s="113"/>
      <c r="H255" s="113"/>
      <c r="I255" s="113"/>
      <c r="K255" s="113"/>
      <c r="L255" s="113"/>
      <c r="M255" s="113"/>
      <c r="O255" s="113"/>
      <c r="P255" s="113"/>
      <c r="Q255" s="113"/>
      <c r="S255" s="113"/>
      <c r="T255" s="113"/>
      <c r="U255" s="113"/>
    </row>
    <row r="256" customFormat="false" ht="15" hidden="false" customHeight="true" outlineLevel="0" collapsed="false">
      <c r="G256" s="113"/>
      <c r="H256" s="113"/>
      <c r="I256" s="113"/>
      <c r="K256" s="113"/>
      <c r="L256" s="113"/>
      <c r="M256" s="113"/>
      <c r="O256" s="113"/>
      <c r="P256" s="113"/>
      <c r="Q256" s="113"/>
      <c r="S256" s="113"/>
      <c r="T256" s="113"/>
      <c r="U256" s="113"/>
    </row>
    <row r="257" customFormat="false" ht="15" hidden="false" customHeight="true" outlineLevel="0" collapsed="false">
      <c r="G257" s="113"/>
      <c r="H257" s="113"/>
      <c r="I257" s="113"/>
      <c r="K257" s="113"/>
      <c r="L257" s="113"/>
      <c r="M257" s="113"/>
      <c r="O257" s="113"/>
      <c r="P257" s="113"/>
      <c r="Q257" s="113"/>
      <c r="S257" s="113"/>
      <c r="T257" s="113"/>
      <c r="U257" s="113"/>
    </row>
    <row r="258" customFormat="false" ht="15" hidden="false" customHeight="true" outlineLevel="0" collapsed="false">
      <c r="G258" s="113"/>
      <c r="H258" s="113"/>
      <c r="I258" s="113"/>
      <c r="K258" s="113"/>
      <c r="L258" s="113"/>
      <c r="M258" s="113"/>
      <c r="O258" s="113"/>
      <c r="P258" s="113"/>
      <c r="Q258" s="113"/>
      <c r="S258" s="113"/>
      <c r="T258" s="113"/>
      <c r="U258" s="113"/>
    </row>
    <row r="259" customFormat="false" ht="15" hidden="false" customHeight="true" outlineLevel="0" collapsed="false">
      <c r="G259" s="113"/>
      <c r="H259" s="113"/>
      <c r="I259" s="113"/>
      <c r="K259" s="113"/>
      <c r="L259" s="113"/>
      <c r="M259" s="113"/>
      <c r="O259" s="113"/>
      <c r="P259" s="113"/>
      <c r="Q259" s="113"/>
      <c r="S259" s="113"/>
      <c r="T259" s="113"/>
      <c r="U259" s="113"/>
    </row>
    <row r="260" customFormat="false" ht="15" hidden="false" customHeight="true" outlineLevel="0" collapsed="false">
      <c r="G260" s="113"/>
      <c r="H260" s="113"/>
      <c r="I260" s="113"/>
      <c r="K260" s="113"/>
      <c r="L260" s="113"/>
      <c r="M260" s="113"/>
      <c r="O260" s="113"/>
      <c r="P260" s="113"/>
      <c r="Q260" s="113"/>
      <c r="S260" s="113"/>
      <c r="T260" s="113"/>
      <c r="U260" s="113"/>
    </row>
    <row r="261" customFormat="false" ht="15" hidden="false" customHeight="true" outlineLevel="0" collapsed="false">
      <c r="G261" s="113"/>
      <c r="H261" s="113"/>
      <c r="I261" s="113"/>
      <c r="K261" s="113"/>
      <c r="L261" s="113"/>
      <c r="M261" s="113"/>
      <c r="O261" s="113"/>
      <c r="P261" s="113"/>
      <c r="Q261" s="113"/>
      <c r="S261" s="113"/>
      <c r="T261" s="113"/>
      <c r="U261" s="113"/>
    </row>
    <row r="262" customFormat="false" ht="15" hidden="false" customHeight="true" outlineLevel="0" collapsed="false">
      <c r="G262" s="113"/>
      <c r="H262" s="113"/>
      <c r="I262" s="113"/>
      <c r="K262" s="113"/>
      <c r="L262" s="113"/>
      <c r="M262" s="113"/>
      <c r="O262" s="113"/>
      <c r="P262" s="113"/>
      <c r="Q262" s="113"/>
      <c r="S262" s="113"/>
      <c r="T262" s="113"/>
      <c r="U262" s="113"/>
    </row>
    <row r="263" customFormat="false" ht="15" hidden="false" customHeight="true" outlineLevel="0" collapsed="false">
      <c r="G263" s="113"/>
      <c r="H263" s="113"/>
      <c r="I263" s="113"/>
      <c r="K263" s="113"/>
      <c r="L263" s="113"/>
      <c r="M263" s="113"/>
      <c r="O263" s="113"/>
      <c r="P263" s="113"/>
      <c r="Q263" s="113"/>
      <c r="S263" s="113"/>
      <c r="T263" s="113"/>
      <c r="U263" s="113"/>
    </row>
    <row r="264" customFormat="false" ht="15" hidden="false" customHeight="true" outlineLevel="0" collapsed="false">
      <c r="G264" s="113"/>
      <c r="H264" s="113"/>
      <c r="I264" s="113"/>
      <c r="K264" s="113"/>
      <c r="L264" s="113"/>
      <c r="M264" s="113"/>
      <c r="O264" s="113"/>
      <c r="P264" s="113"/>
      <c r="Q264" s="113"/>
      <c r="S264" s="113"/>
      <c r="T264" s="113"/>
      <c r="U264" s="113"/>
    </row>
    <row r="265" customFormat="false" ht="15" hidden="false" customHeight="true" outlineLevel="0" collapsed="false">
      <c r="G265" s="113"/>
      <c r="H265" s="113"/>
      <c r="I265" s="113"/>
      <c r="K265" s="113"/>
      <c r="L265" s="113"/>
      <c r="M265" s="113"/>
      <c r="O265" s="113"/>
      <c r="P265" s="113"/>
      <c r="Q265" s="113"/>
      <c r="S265" s="113"/>
      <c r="T265" s="113"/>
      <c r="U265" s="113"/>
    </row>
    <row r="266" customFormat="false" ht="15" hidden="false" customHeight="true" outlineLevel="0" collapsed="false">
      <c r="G266" s="113"/>
      <c r="H266" s="113"/>
      <c r="I266" s="113"/>
      <c r="K266" s="113"/>
      <c r="L266" s="113"/>
      <c r="M266" s="113"/>
      <c r="O266" s="113"/>
      <c r="P266" s="113"/>
      <c r="Q266" s="113"/>
      <c r="S266" s="113"/>
      <c r="T266" s="113"/>
      <c r="U266" s="113"/>
    </row>
    <row r="267" customFormat="false" ht="15" hidden="false" customHeight="true" outlineLevel="0" collapsed="false">
      <c r="G267" s="113"/>
      <c r="H267" s="113"/>
      <c r="I267" s="113"/>
      <c r="K267" s="113"/>
      <c r="L267" s="113"/>
      <c r="M267" s="113"/>
      <c r="O267" s="113"/>
      <c r="P267" s="113"/>
      <c r="Q267" s="113"/>
      <c r="S267" s="113"/>
      <c r="T267" s="113"/>
      <c r="U267" s="113"/>
    </row>
    <row r="268" customFormat="false" ht="15" hidden="false" customHeight="true" outlineLevel="0" collapsed="false">
      <c r="G268" s="113"/>
      <c r="H268" s="113"/>
      <c r="I268" s="113"/>
      <c r="K268" s="113"/>
      <c r="L268" s="113"/>
      <c r="M268" s="113"/>
      <c r="O268" s="113"/>
      <c r="P268" s="113"/>
      <c r="Q268" s="113"/>
      <c r="S268" s="113"/>
      <c r="T268" s="113"/>
      <c r="U268" s="113"/>
    </row>
    <row r="269" customFormat="false" ht="15" hidden="false" customHeight="true" outlineLevel="0" collapsed="false">
      <c r="G269" s="113"/>
      <c r="H269" s="113"/>
      <c r="I269" s="113"/>
      <c r="K269" s="113"/>
      <c r="L269" s="113"/>
      <c r="M269" s="113"/>
      <c r="O269" s="113"/>
      <c r="P269" s="113"/>
      <c r="Q269" s="113"/>
      <c r="S269" s="113"/>
      <c r="T269" s="113"/>
      <c r="U269" s="113"/>
    </row>
    <row r="270" customFormat="false" ht="15" hidden="false" customHeight="true" outlineLevel="0" collapsed="false">
      <c r="G270" s="113"/>
      <c r="H270" s="113"/>
      <c r="I270" s="113"/>
      <c r="K270" s="113"/>
      <c r="L270" s="113"/>
      <c r="M270" s="113"/>
      <c r="O270" s="113"/>
      <c r="P270" s="113"/>
      <c r="Q270" s="113"/>
      <c r="S270" s="113"/>
      <c r="T270" s="113"/>
      <c r="U270" s="113"/>
    </row>
    <row r="271" customFormat="false" ht="15" hidden="false" customHeight="true" outlineLevel="0" collapsed="false">
      <c r="G271" s="113"/>
      <c r="H271" s="113"/>
      <c r="I271" s="113"/>
      <c r="K271" s="113"/>
      <c r="L271" s="113"/>
      <c r="M271" s="113"/>
      <c r="O271" s="113"/>
      <c r="P271" s="113"/>
      <c r="Q271" s="113"/>
      <c r="S271" s="113"/>
      <c r="T271" s="113"/>
      <c r="U271" s="113"/>
    </row>
    <row r="272" customFormat="false" ht="15" hidden="false" customHeight="true" outlineLevel="0" collapsed="false">
      <c r="G272" s="113"/>
      <c r="H272" s="113"/>
      <c r="I272" s="113"/>
      <c r="K272" s="113"/>
      <c r="L272" s="113"/>
      <c r="M272" s="113"/>
      <c r="O272" s="113"/>
      <c r="P272" s="113"/>
      <c r="Q272" s="113"/>
      <c r="S272" s="113"/>
      <c r="T272" s="113"/>
      <c r="U272" s="113"/>
    </row>
    <row r="273" customFormat="false" ht="15" hidden="false" customHeight="true" outlineLevel="0" collapsed="false">
      <c r="G273" s="113"/>
      <c r="H273" s="113"/>
      <c r="I273" s="113"/>
      <c r="K273" s="113"/>
      <c r="L273" s="113"/>
      <c r="M273" s="113"/>
      <c r="O273" s="113"/>
      <c r="P273" s="113"/>
      <c r="Q273" s="113"/>
      <c r="S273" s="113"/>
      <c r="T273" s="113"/>
      <c r="U273" s="113"/>
    </row>
    <row r="274" customFormat="false" ht="15" hidden="false" customHeight="true" outlineLevel="0" collapsed="false">
      <c r="G274" s="113"/>
      <c r="H274" s="113"/>
      <c r="I274" s="113"/>
      <c r="K274" s="113"/>
      <c r="L274" s="113"/>
      <c r="M274" s="113"/>
      <c r="O274" s="113"/>
      <c r="P274" s="113"/>
      <c r="Q274" s="113"/>
      <c r="S274" s="113"/>
      <c r="T274" s="113"/>
      <c r="U274" s="113"/>
    </row>
    <row r="275" customFormat="false" ht="15" hidden="false" customHeight="true" outlineLevel="0" collapsed="false">
      <c r="G275" s="113"/>
      <c r="H275" s="113"/>
      <c r="I275" s="113"/>
      <c r="K275" s="113"/>
      <c r="L275" s="113"/>
      <c r="M275" s="113"/>
      <c r="O275" s="113"/>
      <c r="P275" s="113"/>
      <c r="Q275" s="113"/>
      <c r="S275" s="113"/>
      <c r="T275" s="113"/>
      <c r="U275" s="113"/>
    </row>
    <row r="276" customFormat="false" ht="15" hidden="false" customHeight="true" outlineLevel="0" collapsed="false">
      <c r="G276" s="113"/>
      <c r="H276" s="113"/>
      <c r="I276" s="113"/>
      <c r="K276" s="113"/>
      <c r="L276" s="113"/>
      <c r="M276" s="113"/>
      <c r="O276" s="113"/>
      <c r="P276" s="113"/>
      <c r="Q276" s="113"/>
      <c r="S276" s="113"/>
      <c r="T276" s="113"/>
      <c r="U276" s="113"/>
    </row>
    <row r="277" customFormat="false" ht="15" hidden="false" customHeight="true" outlineLevel="0" collapsed="false">
      <c r="G277" s="113"/>
      <c r="H277" s="113"/>
      <c r="I277" s="113"/>
      <c r="K277" s="113"/>
      <c r="L277" s="113"/>
      <c r="M277" s="113"/>
      <c r="O277" s="113"/>
      <c r="P277" s="113"/>
      <c r="Q277" s="113"/>
      <c r="S277" s="113"/>
      <c r="T277" s="113"/>
      <c r="U277" s="113"/>
    </row>
    <row r="278" customFormat="false" ht="15" hidden="false" customHeight="true" outlineLevel="0" collapsed="false">
      <c r="G278" s="113"/>
      <c r="H278" s="113"/>
      <c r="I278" s="113"/>
      <c r="K278" s="113"/>
      <c r="L278" s="113"/>
      <c r="M278" s="113"/>
      <c r="O278" s="113"/>
      <c r="P278" s="113"/>
      <c r="Q278" s="113"/>
      <c r="S278" s="113"/>
      <c r="T278" s="113"/>
      <c r="U278" s="113"/>
    </row>
    <row r="279" customFormat="false" ht="15" hidden="false" customHeight="true" outlineLevel="0" collapsed="false">
      <c r="G279" s="113"/>
      <c r="H279" s="113"/>
      <c r="I279" s="113"/>
      <c r="K279" s="113"/>
      <c r="L279" s="113"/>
      <c r="M279" s="113"/>
      <c r="O279" s="113"/>
      <c r="P279" s="113"/>
      <c r="Q279" s="113"/>
      <c r="S279" s="113"/>
      <c r="T279" s="113"/>
      <c r="U279" s="113"/>
    </row>
    <row r="280" customFormat="false" ht="15" hidden="false" customHeight="true" outlineLevel="0" collapsed="false">
      <c r="G280" s="113"/>
      <c r="H280" s="113"/>
      <c r="I280" s="113"/>
      <c r="K280" s="113"/>
      <c r="L280" s="113"/>
      <c r="M280" s="113"/>
      <c r="O280" s="113"/>
      <c r="P280" s="113"/>
      <c r="Q280" s="113"/>
      <c r="S280" s="113"/>
      <c r="T280" s="113"/>
      <c r="U280" s="113"/>
    </row>
    <row r="281" customFormat="false" ht="15" hidden="false" customHeight="true" outlineLevel="0" collapsed="false">
      <c r="G281" s="113"/>
      <c r="H281" s="113"/>
      <c r="I281" s="113"/>
      <c r="K281" s="113"/>
      <c r="L281" s="113"/>
      <c r="M281" s="113"/>
      <c r="O281" s="113"/>
      <c r="P281" s="113"/>
      <c r="Q281" s="113"/>
      <c r="S281" s="113"/>
      <c r="T281" s="113"/>
      <c r="U281" s="113"/>
    </row>
    <row r="282" customFormat="false" ht="15" hidden="false" customHeight="true" outlineLevel="0" collapsed="false">
      <c r="G282" s="113"/>
      <c r="H282" s="113"/>
      <c r="I282" s="113"/>
      <c r="K282" s="113"/>
      <c r="L282" s="113"/>
      <c r="M282" s="113"/>
      <c r="O282" s="113"/>
      <c r="P282" s="113"/>
      <c r="Q282" s="113"/>
      <c r="S282" s="113"/>
      <c r="T282" s="113"/>
      <c r="U282" s="113"/>
    </row>
    <row r="283" customFormat="false" ht="15" hidden="false" customHeight="true" outlineLevel="0" collapsed="false">
      <c r="G283" s="113"/>
      <c r="H283" s="113"/>
      <c r="I283" s="113"/>
      <c r="K283" s="113"/>
      <c r="L283" s="113"/>
      <c r="M283" s="113"/>
      <c r="O283" s="113"/>
      <c r="P283" s="113"/>
      <c r="Q283" s="113"/>
      <c r="S283" s="113"/>
      <c r="T283" s="113"/>
      <c r="U283" s="113"/>
    </row>
    <row r="284" customFormat="false" ht="15" hidden="false" customHeight="true" outlineLevel="0" collapsed="false">
      <c r="G284" s="113"/>
      <c r="H284" s="113"/>
      <c r="I284" s="113"/>
      <c r="K284" s="113"/>
      <c r="L284" s="113"/>
      <c r="M284" s="113"/>
      <c r="O284" s="113"/>
      <c r="P284" s="113"/>
      <c r="Q284" s="113"/>
      <c r="S284" s="113"/>
      <c r="T284" s="113"/>
      <c r="U284" s="113"/>
    </row>
    <row r="285" customFormat="false" ht="15" hidden="false" customHeight="true" outlineLevel="0" collapsed="false">
      <c r="G285" s="113"/>
      <c r="H285" s="113"/>
      <c r="I285" s="113"/>
      <c r="K285" s="113"/>
      <c r="L285" s="113"/>
      <c r="M285" s="113"/>
      <c r="O285" s="113"/>
      <c r="P285" s="113"/>
      <c r="Q285" s="113"/>
      <c r="S285" s="113"/>
      <c r="T285" s="113"/>
      <c r="U285" s="113"/>
    </row>
    <row r="286" customFormat="false" ht="15" hidden="false" customHeight="true" outlineLevel="0" collapsed="false">
      <c r="G286" s="113"/>
      <c r="H286" s="113"/>
      <c r="I286" s="113"/>
      <c r="K286" s="113"/>
      <c r="L286" s="113"/>
      <c r="M286" s="113"/>
      <c r="O286" s="113"/>
      <c r="P286" s="113"/>
      <c r="Q286" s="113"/>
      <c r="S286" s="113"/>
      <c r="T286" s="113"/>
      <c r="U286" s="113"/>
    </row>
    <row r="287" customFormat="false" ht="15" hidden="false" customHeight="true" outlineLevel="0" collapsed="false">
      <c r="G287" s="113"/>
      <c r="H287" s="113"/>
      <c r="I287" s="113"/>
      <c r="K287" s="113"/>
      <c r="L287" s="113"/>
      <c r="M287" s="113"/>
      <c r="O287" s="113"/>
      <c r="P287" s="113"/>
      <c r="Q287" s="113"/>
      <c r="S287" s="113"/>
      <c r="T287" s="113"/>
      <c r="U287" s="113"/>
    </row>
    <row r="288" customFormat="false" ht="15" hidden="false" customHeight="true" outlineLevel="0" collapsed="false">
      <c r="G288" s="113"/>
      <c r="H288" s="113"/>
      <c r="I288" s="113"/>
      <c r="K288" s="113"/>
      <c r="L288" s="113"/>
      <c r="M288" s="113"/>
      <c r="O288" s="113"/>
      <c r="P288" s="113"/>
      <c r="Q288" s="113"/>
      <c r="S288" s="113"/>
      <c r="T288" s="113"/>
      <c r="U288" s="113"/>
    </row>
    <row r="289" customFormat="false" ht="15" hidden="false" customHeight="true" outlineLevel="0" collapsed="false">
      <c r="G289" s="113"/>
      <c r="H289" s="113"/>
      <c r="I289" s="113"/>
      <c r="K289" s="113"/>
      <c r="L289" s="113"/>
      <c r="M289" s="113"/>
      <c r="O289" s="113"/>
      <c r="P289" s="113"/>
      <c r="Q289" s="113"/>
      <c r="S289" s="113"/>
      <c r="T289" s="113"/>
      <c r="U289" s="113"/>
    </row>
    <row r="290" customFormat="false" ht="15" hidden="false" customHeight="true" outlineLevel="0" collapsed="false">
      <c r="G290" s="113"/>
      <c r="H290" s="113"/>
      <c r="I290" s="113"/>
      <c r="K290" s="113"/>
      <c r="L290" s="113"/>
      <c r="M290" s="113"/>
      <c r="O290" s="113"/>
      <c r="P290" s="113"/>
      <c r="Q290" s="113"/>
      <c r="S290" s="113"/>
      <c r="T290" s="113"/>
      <c r="U290" s="113"/>
    </row>
    <row r="291" customFormat="false" ht="15" hidden="false" customHeight="true" outlineLevel="0" collapsed="false">
      <c r="G291" s="113"/>
      <c r="H291" s="113"/>
      <c r="I291" s="113"/>
      <c r="K291" s="113"/>
      <c r="L291" s="113"/>
      <c r="M291" s="113"/>
      <c r="O291" s="113"/>
      <c r="P291" s="113"/>
      <c r="Q291" s="113"/>
      <c r="S291" s="113"/>
      <c r="T291" s="113"/>
      <c r="U291" s="113"/>
    </row>
    <row r="292" customFormat="false" ht="15" hidden="false" customHeight="true" outlineLevel="0" collapsed="false">
      <c r="G292" s="113"/>
      <c r="H292" s="113"/>
      <c r="I292" s="113"/>
      <c r="K292" s="113"/>
      <c r="L292" s="113"/>
      <c r="M292" s="113"/>
      <c r="O292" s="113"/>
      <c r="P292" s="113"/>
      <c r="Q292" s="113"/>
      <c r="S292" s="113"/>
      <c r="T292" s="113"/>
      <c r="U292" s="113"/>
    </row>
    <row r="293" customFormat="false" ht="15" hidden="false" customHeight="true" outlineLevel="0" collapsed="false">
      <c r="G293" s="113"/>
      <c r="H293" s="113"/>
      <c r="I293" s="113"/>
      <c r="K293" s="113"/>
      <c r="L293" s="113"/>
      <c r="M293" s="113"/>
      <c r="O293" s="113"/>
      <c r="P293" s="113"/>
      <c r="Q293" s="113"/>
      <c r="S293" s="113"/>
      <c r="T293" s="113"/>
      <c r="U293" s="113"/>
    </row>
    <row r="294" customFormat="false" ht="15" hidden="false" customHeight="true" outlineLevel="0" collapsed="false">
      <c r="G294" s="113"/>
      <c r="H294" s="113"/>
      <c r="I294" s="113"/>
      <c r="K294" s="113"/>
      <c r="L294" s="113"/>
      <c r="M294" s="113"/>
      <c r="O294" s="113"/>
      <c r="P294" s="113"/>
      <c r="Q294" s="113"/>
      <c r="S294" s="113"/>
      <c r="T294" s="113"/>
      <c r="U294" s="113"/>
    </row>
    <row r="295" customFormat="false" ht="15" hidden="false" customHeight="true" outlineLevel="0" collapsed="false">
      <c r="G295" s="113"/>
      <c r="H295" s="113"/>
      <c r="I295" s="113"/>
      <c r="K295" s="113"/>
      <c r="L295" s="113"/>
      <c r="M295" s="113"/>
      <c r="O295" s="113"/>
      <c r="P295" s="113"/>
      <c r="Q295" s="113"/>
      <c r="S295" s="113"/>
      <c r="T295" s="113"/>
      <c r="U295" s="113"/>
    </row>
    <row r="296" customFormat="false" ht="15" hidden="false" customHeight="true" outlineLevel="0" collapsed="false">
      <c r="G296" s="113"/>
      <c r="H296" s="113"/>
      <c r="I296" s="113"/>
      <c r="K296" s="113"/>
      <c r="L296" s="113"/>
      <c r="M296" s="113"/>
      <c r="O296" s="113"/>
      <c r="P296" s="113"/>
      <c r="Q296" s="113"/>
      <c r="S296" s="113"/>
      <c r="T296" s="113"/>
      <c r="U296" s="113"/>
    </row>
    <row r="297" customFormat="false" ht="15" hidden="false" customHeight="true" outlineLevel="0" collapsed="false">
      <c r="G297" s="113"/>
      <c r="H297" s="113"/>
      <c r="I297" s="113"/>
      <c r="K297" s="113"/>
      <c r="L297" s="113"/>
      <c r="M297" s="113"/>
      <c r="O297" s="113"/>
      <c r="P297" s="113"/>
      <c r="Q297" s="113"/>
      <c r="S297" s="113"/>
      <c r="T297" s="113"/>
      <c r="U297" s="113"/>
    </row>
    <row r="298" customFormat="false" ht="15" hidden="false" customHeight="true" outlineLevel="0" collapsed="false">
      <c r="G298" s="113"/>
      <c r="H298" s="113"/>
      <c r="I298" s="113"/>
      <c r="K298" s="113"/>
      <c r="L298" s="113"/>
      <c r="M298" s="113"/>
      <c r="O298" s="113"/>
      <c r="P298" s="113"/>
      <c r="Q298" s="113"/>
      <c r="S298" s="113"/>
      <c r="T298" s="113"/>
      <c r="U298" s="113"/>
    </row>
    <row r="299" customFormat="false" ht="15" hidden="false" customHeight="true" outlineLevel="0" collapsed="false">
      <c r="G299" s="113"/>
      <c r="H299" s="113"/>
      <c r="I299" s="113"/>
      <c r="K299" s="113"/>
      <c r="L299" s="113"/>
      <c r="M299" s="113"/>
      <c r="O299" s="113"/>
      <c r="P299" s="113"/>
      <c r="Q299" s="113"/>
      <c r="S299" s="113"/>
      <c r="T299" s="113"/>
      <c r="U299" s="113"/>
    </row>
    <row r="300" customFormat="false" ht="15" hidden="false" customHeight="true" outlineLevel="0" collapsed="false">
      <c r="G300" s="113"/>
      <c r="H300" s="113"/>
      <c r="I300" s="113"/>
      <c r="K300" s="113"/>
      <c r="L300" s="113"/>
      <c r="M300" s="113"/>
      <c r="O300" s="113"/>
      <c r="P300" s="113"/>
      <c r="Q300" s="113"/>
      <c r="S300" s="113"/>
      <c r="T300" s="113"/>
      <c r="U300" s="113"/>
    </row>
    <row r="301" customFormat="false" ht="15" hidden="false" customHeight="true" outlineLevel="0" collapsed="false">
      <c r="G301" s="113"/>
      <c r="H301" s="113"/>
      <c r="I301" s="113"/>
      <c r="K301" s="113"/>
      <c r="L301" s="113"/>
      <c r="M301" s="113"/>
      <c r="O301" s="113"/>
      <c r="P301" s="113"/>
      <c r="Q301" s="113"/>
      <c r="S301" s="113"/>
      <c r="T301" s="113"/>
      <c r="U301" s="113"/>
    </row>
    <row r="302" customFormat="false" ht="15" hidden="false" customHeight="true" outlineLevel="0" collapsed="false">
      <c r="G302" s="113"/>
      <c r="H302" s="113"/>
      <c r="I302" s="113"/>
      <c r="K302" s="113"/>
      <c r="L302" s="113"/>
      <c r="M302" s="113"/>
      <c r="O302" s="113"/>
      <c r="P302" s="113"/>
      <c r="Q302" s="113"/>
      <c r="S302" s="113"/>
      <c r="T302" s="113"/>
      <c r="U302" s="113"/>
    </row>
    <row r="303" customFormat="false" ht="15" hidden="false" customHeight="true" outlineLevel="0" collapsed="false">
      <c r="G303" s="113"/>
      <c r="H303" s="113"/>
      <c r="I303" s="113"/>
      <c r="K303" s="113"/>
      <c r="L303" s="113"/>
      <c r="M303" s="113"/>
      <c r="O303" s="113"/>
      <c r="P303" s="113"/>
      <c r="Q303" s="113"/>
      <c r="S303" s="113"/>
      <c r="T303" s="113"/>
      <c r="U303" s="113"/>
    </row>
    <row r="304" customFormat="false" ht="15" hidden="false" customHeight="true" outlineLevel="0" collapsed="false">
      <c r="G304" s="113"/>
      <c r="H304" s="113"/>
      <c r="I304" s="113"/>
      <c r="K304" s="113"/>
      <c r="L304" s="113"/>
      <c r="M304" s="113"/>
      <c r="O304" s="113"/>
      <c r="P304" s="113"/>
      <c r="Q304" s="113"/>
      <c r="S304" s="113"/>
      <c r="T304" s="113"/>
      <c r="U304" s="113"/>
    </row>
    <row r="305" customFormat="false" ht="15" hidden="false" customHeight="true" outlineLevel="0" collapsed="false">
      <c r="G305" s="113"/>
      <c r="H305" s="113"/>
      <c r="I305" s="113"/>
      <c r="K305" s="113"/>
      <c r="L305" s="113"/>
      <c r="M305" s="113"/>
      <c r="O305" s="113"/>
      <c r="P305" s="113"/>
      <c r="Q305" s="113"/>
      <c r="S305" s="113"/>
      <c r="T305" s="113"/>
      <c r="U305" s="113"/>
    </row>
    <row r="306" customFormat="false" ht="15" hidden="false" customHeight="true" outlineLevel="0" collapsed="false">
      <c r="G306" s="113"/>
      <c r="H306" s="113"/>
      <c r="I306" s="113"/>
      <c r="K306" s="113"/>
      <c r="L306" s="113"/>
      <c r="M306" s="113"/>
      <c r="O306" s="113"/>
      <c r="P306" s="113"/>
      <c r="Q306" s="113"/>
      <c r="S306" s="113"/>
      <c r="T306" s="113"/>
      <c r="U306" s="113"/>
    </row>
    <row r="307" customFormat="false" ht="15" hidden="false" customHeight="true" outlineLevel="0" collapsed="false">
      <c r="G307" s="113"/>
      <c r="H307" s="113"/>
      <c r="I307" s="113"/>
      <c r="K307" s="113"/>
      <c r="L307" s="113"/>
      <c r="M307" s="113"/>
      <c r="O307" s="113"/>
      <c r="P307" s="113"/>
      <c r="Q307" s="113"/>
      <c r="S307" s="113"/>
      <c r="T307" s="113"/>
      <c r="U307" s="113"/>
    </row>
    <row r="308" customFormat="false" ht="15" hidden="false" customHeight="true" outlineLevel="0" collapsed="false">
      <c r="G308" s="113"/>
      <c r="H308" s="113"/>
      <c r="I308" s="113"/>
      <c r="K308" s="113"/>
      <c r="L308" s="113"/>
      <c r="M308" s="113"/>
      <c r="O308" s="113"/>
      <c r="P308" s="113"/>
      <c r="Q308" s="113"/>
      <c r="S308" s="113"/>
      <c r="T308" s="113"/>
      <c r="U308" s="113"/>
    </row>
    <row r="309" customFormat="false" ht="15" hidden="false" customHeight="true" outlineLevel="0" collapsed="false">
      <c r="G309" s="113"/>
      <c r="H309" s="113"/>
      <c r="I309" s="113"/>
      <c r="K309" s="113"/>
      <c r="L309" s="113"/>
      <c r="M309" s="113"/>
      <c r="O309" s="113"/>
      <c r="P309" s="113"/>
      <c r="Q309" s="113"/>
      <c r="S309" s="113"/>
      <c r="T309" s="113"/>
      <c r="U309" s="113"/>
    </row>
    <row r="310" customFormat="false" ht="15" hidden="false" customHeight="true" outlineLevel="0" collapsed="false">
      <c r="G310" s="113"/>
      <c r="H310" s="113"/>
      <c r="I310" s="113"/>
      <c r="K310" s="113"/>
      <c r="L310" s="113"/>
      <c r="M310" s="113"/>
      <c r="O310" s="113"/>
      <c r="P310" s="113"/>
      <c r="Q310" s="113"/>
      <c r="S310" s="113"/>
      <c r="T310" s="113"/>
      <c r="U310" s="113"/>
    </row>
    <row r="311" customFormat="false" ht="15" hidden="false" customHeight="true" outlineLevel="0" collapsed="false">
      <c r="G311" s="113"/>
      <c r="H311" s="113"/>
      <c r="I311" s="113"/>
      <c r="K311" s="113"/>
      <c r="L311" s="113"/>
      <c r="M311" s="113"/>
      <c r="O311" s="113"/>
      <c r="P311" s="113"/>
      <c r="Q311" s="113"/>
      <c r="S311" s="113"/>
      <c r="T311" s="113"/>
      <c r="U311" s="113"/>
    </row>
    <row r="312" customFormat="false" ht="15" hidden="false" customHeight="true" outlineLevel="0" collapsed="false">
      <c r="G312" s="113"/>
      <c r="H312" s="113"/>
      <c r="I312" s="113"/>
      <c r="K312" s="113"/>
      <c r="L312" s="113"/>
      <c r="M312" s="113"/>
      <c r="O312" s="113"/>
      <c r="P312" s="113"/>
      <c r="Q312" s="113"/>
      <c r="S312" s="113"/>
      <c r="T312" s="113"/>
      <c r="U312" s="113"/>
    </row>
    <row r="313" customFormat="false" ht="15" hidden="false" customHeight="true" outlineLevel="0" collapsed="false">
      <c r="G313" s="113"/>
      <c r="H313" s="113"/>
      <c r="I313" s="113"/>
      <c r="K313" s="113"/>
      <c r="L313" s="113"/>
      <c r="M313" s="113"/>
      <c r="O313" s="113"/>
      <c r="P313" s="113"/>
      <c r="Q313" s="113"/>
      <c r="S313" s="113"/>
      <c r="T313" s="113"/>
      <c r="U313" s="113"/>
    </row>
    <row r="314" customFormat="false" ht="15" hidden="false" customHeight="true" outlineLevel="0" collapsed="false">
      <c r="G314" s="113"/>
      <c r="H314" s="113"/>
      <c r="I314" s="113"/>
      <c r="K314" s="113"/>
      <c r="L314" s="113"/>
      <c r="M314" s="113"/>
      <c r="O314" s="113"/>
      <c r="P314" s="113"/>
      <c r="Q314" s="113"/>
      <c r="S314" s="113"/>
      <c r="T314" s="113"/>
      <c r="U314" s="113"/>
    </row>
    <row r="315" customFormat="false" ht="15" hidden="false" customHeight="true" outlineLevel="0" collapsed="false">
      <c r="G315" s="113"/>
      <c r="H315" s="113"/>
      <c r="I315" s="113"/>
      <c r="K315" s="113"/>
      <c r="L315" s="113"/>
      <c r="M315" s="113"/>
      <c r="O315" s="113"/>
      <c r="P315" s="113"/>
      <c r="Q315" s="113"/>
      <c r="S315" s="113"/>
      <c r="T315" s="113"/>
      <c r="U315" s="113"/>
    </row>
    <row r="316" customFormat="false" ht="15" hidden="false" customHeight="true" outlineLevel="0" collapsed="false">
      <c r="G316" s="113"/>
      <c r="H316" s="113"/>
      <c r="I316" s="113"/>
      <c r="K316" s="113"/>
      <c r="L316" s="113"/>
      <c r="M316" s="113"/>
      <c r="O316" s="113"/>
      <c r="P316" s="113"/>
      <c r="Q316" s="113"/>
      <c r="S316" s="113"/>
      <c r="T316" s="113"/>
      <c r="U316" s="113"/>
    </row>
    <row r="317" customFormat="false" ht="15" hidden="false" customHeight="true" outlineLevel="0" collapsed="false">
      <c r="G317" s="113"/>
      <c r="H317" s="113"/>
      <c r="I317" s="113"/>
      <c r="K317" s="113"/>
      <c r="L317" s="113"/>
      <c r="M317" s="113"/>
      <c r="O317" s="113"/>
      <c r="P317" s="113"/>
      <c r="Q317" s="113"/>
      <c r="S317" s="113"/>
      <c r="T317" s="113"/>
      <c r="U317" s="113"/>
    </row>
    <row r="318" customFormat="false" ht="15" hidden="false" customHeight="true" outlineLevel="0" collapsed="false">
      <c r="G318" s="113"/>
      <c r="H318" s="113"/>
      <c r="I318" s="113"/>
      <c r="K318" s="113"/>
      <c r="L318" s="113"/>
      <c r="M318" s="113"/>
      <c r="O318" s="113"/>
      <c r="P318" s="113"/>
      <c r="Q318" s="113"/>
      <c r="S318" s="113"/>
      <c r="T318" s="113"/>
      <c r="U318" s="113"/>
    </row>
    <row r="319" customFormat="false" ht="15" hidden="false" customHeight="true" outlineLevel="0" collapsed="false">
      <c r="G319" s="113"/>
      <c r="H319" s="113"/>
      <c r="I319" s="113"/>
      <c r="K319" s="113"/>
      <c r="L319" s="113"/>
      <c r="M319" s="113"/>
      <c r="O319" s="113"/>
      <c r="P319" s="113"/>
      <c r="Q319" s="113"/>
      <c r="S319" s="113"/>
      <c r="T319" s="113"/>
      <c r="U319" s="113"/>
    </row>
    <row r="320" customFormat="false" ht="15" hidden="false" customHeight="true" outlineLevel="0" collapsed="false">
      <c r="G320" s="113"/>
      <c r="H320" s="113"/>
      <c r="I320" s="113"/>
      <c r="K320" s="113"/>
      <c r="L320" s="113"/>
      <c r="M320" s="113"/>
      <c r="O320" s="113"/>
      <c r="P320" s="113"/>
      <c r="Q320" s="113"/>
      <c r="S320" s="113"/>
      <c r="T320" s="113"/>
      <c r="U320" s="113"/>
    </row>
    <row r="321" customFormat="false" ht="15" hidden="false" customHeight="true" outlineLevel="0" collapsed="false">
      <c r="G321" s="113"/>
      <c r="H321" s="113"/>
      <c r="I321" s="113"/>
      <c r="K321" s="113"/>
      <c r="L321" s="113"/>
      <c r="M321" s="113"/>
      <c r="O321" s="113"/>
      <c r="P321" s="113"/>
      <c r="Q321" s="113"/>
      <c r="S321" s="113"/>
      <c r="T321" s="113"/>
      <c r="U321" s="113"/>
    </row>
    <row r="322" customFormat="false" ht="15" hidden="false" customHeight="true" outlineLevel="0" collapsed="false">
      <c r="G322" s="113"/>
      <c r="H322" s="113"/>
      <c r="I322" s="113"/>
      <c r="K322" s="113"/>
      <c r="L322" s="113"/>
      <c r="M322" s="113"/>
      <c r="O322" s="113"/>
      <c r="P322" s="113"/>
      <c r="Q322" s="113"/>
      <c r="S322" s="113"/>
      <c r="T322" s="113"/>
      <c r="U322" s="113"/>
    </row>
    <row r="323" customFormat="false" ht="15" hidden="false" customHeight="true" outlineLevel="0" collapsed="false">
      <c r="G323" s="113"/>
      <c r="H323" s="113"/>
      <c r="I323" s="113"/>
      <c r="K323" s="113"/>
      <c r="L323" s="113"/>
      <c r="M323" s="113"/>
      <c r="O323" s="113"/>
      <c r="P323" s="113"/>
      <c r="Q323" s="113"/>
      <c r="S323" s="113"/>
      <c r="T323" s="113"/>
      <c r="U323" s="113"/>
    </row>
    <row r="324" customFormat="false" ht="15" hidden="false" customHeight="true" outlineLevel="0" collapsed="false">
      <c r="G324" s="113"/>
      <c r="H324" s="113"/>
      <c r="I324" s="113"/>
      <c r="K324" s="113"/>
      <c r="L324" s="113"/>
      <c r="M324" s="113"/>
      <c r="O324" s="113"/>
      <c r="P324" s="113"/>
      <c r="Q324" s="113"/>
      <c r="S324" s="113"/>
      <c r="T324" s="113"/>
      <c r="U324" s="113"/>
    </row>
    <row r="325" customFormat="false" ht="15" hidden="false" customHeight="true" outlineLevel="0" collapsed="false">
      <c r="G325" s="113"/>
      <c r="H325" s="113"/>
      <c r="I325" s="113"/>
      <c r="K325" s="113"/>
      <c r="L325" s="113"/>
      <c r="M325" s="113"/>
      <c r="O325" s="113"/>
      <c r="P325" s="113"/>
      <c r="Q325" s="113"/>
      <c r="S325" s="113"/>
      <c r="T325" s="113"/>
      <c r="U325" s="113"/>
    </row>
    <row r="326" customFormat="false" ht="15" hidden="false" customHeight="true" outlineLevel="0" collapsed="false">
      <c r="G326" s="113"/>
      <c r="H326" s="113"/>
      <c r="I326" s="113"/>
      <c r="K326" s="113"/>
      <c r="L326" s="113"/>
      <c r="M326" s="113"/>
      <c r="O326" s="113"/>
      <c r="P326" s="113"/>
      <c r="Q326" s="113"/>
      <c r="S326" s="113"/>
      <c r="T326" s="113"/>
      <c r="U326" s="113"/>
    </row>
    <row r="327" customFormat="false" ht="15" hidden="false" customHeight="true" outlineLevel="0" collapsed="false">
      <c r="G327" s="113"/>
      <c r="H327" s="113"/>
      <c r="I327" s="113"/>
      <c r="K327" s="113"/>
      <c r="L327" s="113"/>
      <c r="M327" s="113"/>
      <c r="O327" s="113"/>
      <c r="P327" s="113"/>
      <c r="Q327" s="113"/>
      <c r="S327" s="113"/>
      <c r="T327" s="113"/>
      <c r="U327" s="113"/>
    </row>
    <row r="328" customFormat="false" ht="15" hidden="false" customHeight="true" outlineLevel="0" collapsed="false">
      <c r="G328" s="113"/>
      <c r="H328" s="113"/>
      <c r="I328" s="113"/>
      <c r="K328" s="113"/>
      <c r="L328" s="113"/>
      <c r="M328" s="113"/>
      <c r="O328" s="113"/>
      <c r="P328" s="113"/>
      <c r="Q328" s="113"/>
      <c r="S328" s="113"/>
      <c r="T328" s="113"/>
      <c r="U328" s="113"/>
    </row>
    <row r="329" customFormat="false" ht="15" hidden="false" customHeight="true" outlineLevel="0" collapsed="false">
      <c r="G329" s="113"/>
      <c r="H329" s="113"/>
      <c r="I329" s="113"/>
      <c r="K329" s="113"/>
      <c r="L329" s="113"/>
      <c r="M329" s="113"/>
      <c r="O329" s="113"/>
      <c r="P329" s="113"/>
      <c r="Q329" s="113"/>
      <c r="S329" s="113"/>
      <c r="T329" s="113"/>
      <c r="U329" s="113"/>
    </row>
    <row r="330" customFormat="false" ht="15" hidden="false" customHeight="true" outlineLevel="0" collapsed="false">
      <c r="G330" s="113"/>
      <c r="H330" s="113"/>
      <c r="I330" s="113"/>
      <c r="K330" s="113"/>
      <c r="L330" s="113"/>
      <c r="M330" s="113"/>
      <c r="O330" s="113"/>
      <c r="P330" s="113"/>
      <c r="Q330" s="113"/>
      <c r="S330" s="113"/>
      <c r="T330" s="113"/>
      <c r="U330" s="113"/>
    </row>
    <row r="331" customFormat="false" ht="15" hidden="false" customHeight="true" outlineLevel="0" collapsed="false">
      <c r="G331" s="113"/>
      <c r="H331" s="113"/>
      <c r="I331" s="113"/>
      <c r="K331" s="113"/>
      <c r="L331" s="113"/>
      <c r="M331" s="113"/>
      <c r="O331" s="113"/>
      <c r="P331" s="113"/>
      <c r="Q331" s="113"/>
      <c r="S331" s="113"/>
      <c r="T331" s="113"/>
      <c r="U331" s="113"/>
    </row>
    <row r="332" customFormat="false" ht="15" hidden="false" customHeight="true" outlineLevel="0" collapsed="false">
      <c r="G332" s="113"/>
      <c r="H332" s="113"/>
      <c r="I332" s="113"/>
      <c r="K332" s="113"/>
      <c r="L332" s="113"/>
      <c r="M332" s="113"/>
      <c r="O332" s="113"/>
      <c r="P332" s="113"/>
      <c r="Q332" s="113"/>
      <c r="S332" s="113"/>
      <c r="T332" s="113"/>
      <c r="U332" s="113"/>
    </row>
    <row r="333" customFormat="false" ht="15" hidden="false" customHeight="true" outlineLevel="0" collapsed="false">
      <c r="G333" s="113"/>
      <c r="H333" s="113"/>
      <c r="I333" s="113"/>
      <c r="K333" s="113"/>
      <c r="L333" s="113"/>
      <c r="M333" s="113"/>
      <c r="O333" s="113"/>
      <c r="P333" s="113"/>
      <c r="Q333" s="113"/>
      <c r="S333" s="113"/>
      <c r="T333" s="113"/>
      <c r="U333" s="113"/>
    </row>
    <row r="334" customFormat="false" ht="15" hidden="false" customHeight="true" outlineLevel="0" collapsed="false">
      <c r="G334" s="113"/>
      <c r="H334" s="113"/>
      <c r="I334" s="113"/>
      <c r="K334" s="113"/>
      <c r="L334" s="113"/>
      <c r="M334" s="113"/>
      <c r="O334" s="113"/>
      <c r="P334" s="113"/>
      <c r="Q334" s="113"/>
      <c r="S334" s="113"/>
      <c r="T334" s="113"/>
      <c r="U334" s="113"/>
    </row>
    <row r="335" customFormat="false" ht="15" hidden="false" customHeight="true" outlineLevel="0" collapsed="false">
      <c r="G335" s="113"/>
      <c r="H335" s="113"/>
      <c r="I335" s="113"/>
      <c r="K335" s="113"/>
      <c r="L335" s="113"/>
      <c r="M335" s="113"/>
      <c r="O335" s="113"/>
      <c r="P335" s="113"/>
      <c r="Q335" s="113"/>
      <c r="S335" s="113"/>
      <c r="T335" s="113"/>
      <c r="U335" s="113"/>
    </row>
    <row r="336" customFormat="false" ht="15" hidden="false" customHeight="true" outlineLevel="0" collapsed="false">
      <c r="G336" s="113"/>
      <c r="H336" s="113"/>
      <c r="I336" s="113"/>
      <c r="K336" s="113"/>
      <c r="L336" s="113"/>
      <c r="M336" s="113"/>
      <c r="O336" s="113"/>
      <c r="P336" s="113"/>
      <c r="Q336" s="113"/>
      <c r="S336" s="113"/>
      <c r="T336" s="113"/>
      <c r="U336" s="113"/>
    </row>
    <row r="337" customFormat="false" ht="15" hidden="false" customHeight="true" outlineLevel="0" collapsed="false">
      <c r="G337" s="113"/>
      <c r="H337" s="113"/>
      <c r="I337" s="113"/>
      <c r="K337" s="113"/>
      <c r="L337" s="113"/>
      <c r="M337" s="113"/>
      <c r="O337" s="113"/>
      <c r="P337" s="113"/>
      <c r="Q337" s="113"/>
      <c r="S337" s="113"/>
      <c r="T337" s="113"/>
      <c r="U337" s="113"/>
    </row>
    <row r="338" customFormat="false" ht="15" hidden="false" customHeight="true" outlineLevel="0" collapsed="false">
      <c r="G338" s="113"/>
      <c r="H338" s="113"/>
      <c r="I338" s="113"/>
      <c r="K338" s="113"/>
      <c r="L338" s="113"/>
      <c r="M338" s="113"/>
      <c r="O338" s="113"/>
      <c r="P338" s="113"/>
      <c r="Q338" s="113"/>
      <c r="S338" s="113"/>
      <c r="T338" s="113"/>
      <c r="U338" s="113"/>
    </row>
    <row r="339" customFormat="false" ht="15" hidden="false" customHeight="true" outlineLevel="0" collapsed="false">
      <c r="G339" s="113"/>
      <c r="H339" s="113"/>
      <c r="I339" s="113"/>
      <c r="K339" s="113"/>
      <c r="L339" s="113"/>
      <c r="M339" s="113"/>
      <c r="O339" s="113"/>
      <c r="P339" s="113"/>
      <c r="Q339" s="113"/>
      <c r="S339" s="113"/>
      <c r="T339" s="113"/>
      <c r="U339" s="113"/>
    </row>
    <row r="340" customFormat="false" ht="15" hidden="false" customHeight="true" outlineLevel="0" collapsed="false">
      <c r="G340" s="113"/>
      <c r="H340" s="113"/>
      <c r="I340" s="113"/>
      <c r="K340" s="113"/>
      <c r="L340" s="113"/>
      <c r="M340" s="113"/>
      <c r="O340" s="113"/>
      <c r="P340" s="113"/>
      <c r="Q340" s="113"/>
      <c r="S340" s="113"/>
      <c r="T340" s="113"/>
      <c r="U340" s="113"/>
    </row>
    <row r="341" customFormat="false" ht="15" hidden="false" customHeight="true" outlineLevel="0" collapsed="false">
      <c r="G341" s="113"/>
      <c r="H341" s="113"/>
      <c r="I341" s="113"/>
      <c r="K341" s="113"/>
      <c r="L341" s="113"/>
      <c r="M341" s="113"/>
      <c r="O341" s="113"/>
      <c r="P341" s="113"/>
      <c r="Q341" s="113"/>
      <c r="S341" s="113"/>
      <c r="T341" s="113"/>
      <c r="U341" s="113"/>
    </row>
    <row r="342" customFormat="false" ht="15" hidden="false" customHeight="true" outlineLevel="0" collapsed="false">
      <c r="G342" s="113"/>
      <c r="H342" s="113"/>
      <c r="I342" s="113"/>
      <c r="K342" s="113"/>
      <c r="L342" s="113"/>
      <c r="M342" s="113"/>
      <c r="O342" s="113"/>
      <c r="P342" s="113"/>
      <c r="Q342" s="113"/>
      <c r="S342" s="113"/>
      <c r="T342" s="113"/>
      <c r="U342" s="113"/>
    </row>
    <row r="343" customFormat="false" ht="15" hidden="false" customHeight="true" outlineLevel="0" collapsed="false">
      <c r="G343" s="113"/>
      <c r="H343" s="113"/>
      <c r="I343" s="113"/>
      <c r="K343" s="113"/>
      <c r="L343" s="113"/>
      <c r="M343" s="113"/>
      <c r="O343" s="113"/>
      <c r="P343" s="113"/>
      <c r="Q343" s="113"/>
      <c r="S343" s="113"/>
      <c r="T343" s="113"/>
      <c r="U343" s="113"/>
    </row>
    <row r="344" customFormat="false" ht="15" hidden="false" customHeight="true" outlineLevel="0" collapsed="false">
      <c r="G344" s="113"/>
      <c r="H344" s="113"/>
      <c r="I344" s="113"/>
      <c r="K344" s="113"/>
      <c r="L344" s="113"/>
      <c r="M344" s="113"/>
      <c r="O344" s="113"/>
      <c r="P344" s="113"/>
      <c r="Q344" s="113"/>
      <c r="S344" s="113"/>
      <c r="T344" s="113"/>
      <c r="U344" s="113"/>
    </row>
    <row r="345" customFormat="false" ht="15" hidden="false" customHeight="true" outlineLevel="0" collapsed="false">
      <c r="G345" s="113"/>
      <c r="H345" s="113"/>
      <c r="I345" s="113"/>
      <c r="K345" s="113"/>
      <c r="L345" s="113"/>
      <c r="M345" s="113"/>
      <c r="O345" s="113"/>
      <c r="P345" s="113"/>
      <c r="Q345" s="113"/>
      <c r="S345" s="113"/>
      <c r="T345" s="113"/>
      <c r="U345" s="113"/>
    </row>
    <row r="346" customFormat="false" ht="15" hidden="false" customHeight="true" outlineLevel="0" collapsed="false">
      <c r="G346" s="113"/>
      <c r="H346" s="113"/>
      <c r="I346" s="113"/>
      <c r="K346" s="113"/>
      <c r="L346" s="113"/>
      <c r="M346" s="113"/>
      <c r="O346" s="113"/>
      <c r="P346" s="113"/>
      <c r="Q346" s="113"/>
      <c r="S346" s="113"/>
      <c r="T346" s="113"/>
      <c r="U346" s="113"/>
    </row>
    <row r="347" customFormat="false" ht="15" hidden="false" customHeight="true" outlineLevel="0" collapsed="false">
      <c r="G347" s="113"/>
      <c r="H347" s="113"/>
      <c r="I347" s="113"/>
      <c r="K347" s="113"/>
      <c r="L347" s="113"/>
      <c r="M347" s="113"/>
      <c r="O347" s="113"/>
      <c r="P347" s="113"/>
      <c r="Q347" s="113"/>
      <c r="S347" s="113"/>
      <c r="T347" s="113"/>
      <c r="U347" s="113"/>
    </row>
    <row r="348" customFormat="false" ht="15" hidden="false" customHeight="true" outlineLevel="0" collapsed="false">
      <c r="G348" s="113"/>
      <c r="H348" s="113"/>
      <c r="I348" s="113"/>
      <c r="K348" s="113"/>
      <c r="L348" s="113"/>
      <c r="M348" s="113"/>
      <c r="O348" s="113"/>
      <c r="P348" s="113"/>
      <c r="Q348" s="113"/>
      <c r="S348" s="113"/>
      <c r="T348" s="113"/>
      <c r="U348" s="113"/>
    </row>
    <row r="349" customFormat="false" ht="15" hidden="false" customHeight="true" outlineLevel="0" collapsed="false">
      <c r="G349" s="113"/>
      <c r="H349" s="113"/>
      <c r="I349" s="113"/>
      <c r="K349" s="113"/>
      <c r="L349" s="113"/>
      <c r="M349" s="113"/>
      <c r="O349" s="113"/>
      <c r="P349" s="113"/>
      <c r="Q349" s="113"/>
      <c r="S349" s="113"/>
      <c r="T349" s="113"/>
      <c r="U349" s="113"/>
    </row>
    <row r="350" customFormat="false" ht="15" hidden="false" customHeight="true" outlineLevel="0" collapsed="false">
      <c r="G350" s="113"/>
      <c r="H350" s="113"/>
      <c r="I350" s="113"/>
      <c r="K350" s="113"/>
      <c r="L350" s="113"/>
      <c r="M350" s="113"/>
      <c r="O350" s="113"/>
      <c r="P350" s="113"/>
      <c r="Q350" s="113"/>
      <c r="S350" s="113"/>
      <c r="T350" s="113"/>
      <c r="U350" s="113"/>
    </row>
    <row r="351" customFormat="false" ht="15" hidden="false" customHeight="true" outlineLevel="0" collapsed="false">
      <c r="G351" s="113"/>
      <c r="H351" s="113"/>
      <c r="I351" s="113"/>
      <c r="K351" s="113"/>
      <c r="L351" s="113"/>
      <c r="M351" s="113"/>
      <c r="O351" s="113"/>
      <c r="P351" s="113"/>
      <c r="Q351" s="113"/>
      <c r="S351" s="113"/>
      <c r="T351" s="113"/>
      <c r="U351" s="113"/>
    </row>
    <row r="352" customFormat="false" ht="15" hidden="false" customHeight="true" outlineLevel="0" collapsed="false">
      <c r="G352" s="113"/>
      <c r="H352" s="113"/>
      <c r="I352" s="113"/>
      <c r="K352" s="113"/>
      <c r="L352" s="113"/>
      <c r="M352" s="113"/>
      <c r="O352" s="113"/>
      <c r="P352" s="113"/>
      <c r="Q352" s="113"/>
      <c r="S352" s="113"/>
      <c r="T352" s="113"/>
      <c r="U352" s="113"/>
    </row>
    <row r="353" customFormat="false" ht="15" hidden="false" customHeight="true" outlineLevel="0" collapsed="false">
      <c r="G353" s="113"/>
      <c r="H353" s="113"/>
      <c r="I353" s="113"/>
      <c r="K353" s="113"/>
      <c r="L353" s="113"/>
      <c r="M353" s="113"/>
      <c r="O353" s="113"/>
      <c r="P353" s="113"/>
      <c r="Q353" s="113"/>
      <c r="S353" s="113"/>
      <c r="T353" s="113"/>
      <c r="U353" s="113"/>
    </row>
    <row r="354" customFormat="false" ht="15" hidden="false" customHeight="true" outlineLevel="0" collapsed="false">
      <c r="G354" s="113"/>
      <c r="H354" s="113"/>
      <c r="I354" s="113"/>
      <c r="K354" s="113"/>
      <c r="L354" s="113"/>
      <c r="M354" s="113"/>
      <c r="O354" s="113"/>
      <c r="P354" s="113"/>
      <c r="Q354" s="113"/>
      <c r="S354" s="113"/>
      <c r="T354" s="113"/>
      <c r="U354" s="113"/>
    </row>
    <row r="355" customFormat="false" ht="15" hidden="false" customHeight="true" outlineLevel="0" collapsed="false">
      <c r="G355" s="113"/>
      <c r="H355" s="113"/>
      <c r="I355" s="113"/>
      <c r="K355" s="113"/>
      <c r="L355" s="113"/>
      <c r="M355" s="113"/>
      <c r="O355" s="113"/>
      <c r="P355" s="113"/>
      <c r="Q355" s="113"/>
      <c r="S355" s="113"/>
      <c r="T355" s="113"/>
      <c r="U355" s="113"/>
    </row>
    <row r="356" customFormat="false" ht="15" hidden="false" customHeight="true" outlineLevel="0" collapsed="false">
      <c r="G356" s="113"/>
      <c r="H356" s="113"/>
      <c r="I356" s="113"/>
      <c r="K356" s="113"/>
      <c r="L356" s="113"/>
      <c r="M356" s="113"/>
      <c r="O356" s="113"/>
      <c r="P356" s="113"/>
      <c r="Q356" s="113"/>
      <c r="S356" s="113"/>
      <c r="T356" s="113"/>
      <c r="U356" s="113"/>
    </row>
    <row r="357" customFormat="false" ht="15" hidden="false" customHeight="true" outlineLevel="0" collapsed="false">
      <c r="G357" s="113"/>
      <c r="H357" s="113"/>
      <c r="I357" s="113"/>
      <c r="K357" s="113"/>
      <c r="L357" s="113"/>
      <c r="M357" s="113"/>
      <c r="O357" s="113"/>
      <c r="P357" s="113"/>
      <c r="Q357" s="113"/>
      <c r="S357" s="113"/>
      <c r="T357" s="113"/>
      <c r="U357" s="113"/>
    </row>
    <row r="358" customFormat="false" ht="15" hidden="false" customHeight="true" outlineLevel="0" collapsed="false">
      <c r="G358" s="113"/>
      <c r="H358" s="113"/>
      <c r="I358" s="113"/>
      <c r="K358" s="113"/>
      <c r="L358" s="113"/>
      <c r="M358" s="113"/>
      <c r="O358" s="113"/>
      <c r="P358" s="113"/>
      <c r="Q358" s="113"/>
      <c r="S358" s="113"/>
      <c r="T358" s="113"/>
      <c r="U358" s="113"/>
    </row>
    <row r="359" customFormat="false" ht="15" hidden="false" customHeight="true" outlineLevel="0" collapsed="false">
      <c r="G359" s="113"/>
      <c r="H359" s="113"/>
      <c r="I359" s="113"/>
      <c r="K359" s="113"/>
      <c r="L359" s="113"/>
      <c r="M359" s="113"/>
      <c r="O359" s="113"/>
      <c r="P359" s="113"/>
      <c r="Q359" s="113"/>
      <c r="S359" s="113"/>
      <c r="T359" s="113"/>
      <c r="U359" s="113"/>
    </row>
    <row r="360" customFormat="false" ht="15" hidden="false" customHeight="true" outlineLevel="0" collapsed="false">
      <c r="G360" s="113"/>
      <c r="H360" s="113"/>
      <c r="I360" s="113"/>
      <c r="K360" s="113"/>
      <c r="L360" s="113"/>
      <c r="M360" s="113"/>
      <c r="O360" s="113"/>
      <c r="P360" s="113"/>
      <c r="Q360" s="113"/>
      <c r="S360" s="113"/>
      <c r="T360" s="113"/>
      <c r="U360" s="113"/>
    </row>
    <row r="361" customFormat="false" ht="15" hidden="false" customHeight="true" outlineLevel="0" collapsed="false">
      <c r="G361" s="113"/>
      <c r="H361" s="113"/>
      <c r="I361" s="113"/>
      <c r="K361" s="113"/>
      <c r="L361" s="113"/>
      <c r="M361" s="113"/>
      <c r="O361" s="113"/>
      <c r="P361" s="113"/>
      <c r="Q361" s="113"/>
      <c r="S361" s="113"/>
      <c r="T361" s="113"/>
      <c r="U361" s="113"/>
    </row>
    <row r="362" customFormat="false" ht="15" hidden="false" customHeight="true" outlineLevel="0" collapsed="false">
      <c r="G362" s="113"/>
      <c r="H362" s="113"/>
      <c r="I362" s="113"/>
      <c r="K362" s="113"/>
      <c r="L362" s="113"/>
      <c r="M362" s="113"/>
      <c r="O362" s="113"/>
      <c r="P362" s="113"/>
      <c r="Q362" s="113"/>
      <c r="S362" s="113"/>
      <c r="T362" s="113"/>
      <c r="U362" s="113"/>
    </row>
    <row r="363" customFormat="false" ht="15" hidden="false" customHeight="true" outlineLevel="0" collapsed="false">
      <c r="G363" s="113"/>
      <c r="H363" s="113"/>
      <c r="I363" s="113"/>
      <c r="K363" s="113"/>
      <c r="L363" s="113"/>
      <c r="M363" s="113"/>
      <c r="O363" s="113"/>
      <c r="P363" s="113"/>
      <c r="Q363" s="113"/>
      <c r="S363" s="113"/>
      <c r="T363" s="113"/>
      <c r="U363" s="113"/>
    </row>
    <row r="364" customFormat="false" ht="15" hidden="false" customHeight="true" outlineLevel="0" collapsed="false">
      <c r="G364" s="113"/>
      <c r="H364" s="113"/>
      <c r="I364" s="113"/>
      <c r="K364" s="113"/>
      <c r="L364" s="113"/>
      <c r="M364" s="113"/>
      <c r="O364" s="113"/>
      <c r="P364" s="113"/>
      <c r="Q364" s="113"/>
      <c r="S364" s="113"/>
      <c r="T364" s="113"/>
      <c r="U364" s="113"/>
    </row>
    <row r="365" customFormat="false" ht="15" hidden="false" customHeight="true" outlineLevel="0" collapsed="false">
      <c r="G365" s="113"/>
      <c r="H365" s="113"/>
      <c r="I365" s="113"/>
      <c r="K365" s="113"/>
      <c r="L365" s="113"/>
      <c r="M365" s="113"/>
      <c r="O365" s="113"/>
      <c r="P365" s="113"/>
      <c r="Q365" s="113"/>
      <c r="S365" s="113"/>
      <c r="T365" s="113"/>
      <c r="U365" s="113"/>
    </row>
    <row r="366" customFormat="false" ht="15" hidden="false" customHeight="true" outlineLevel="0" collapsed="false">
      <c r="G366" s="113"/>
      <c r="H366" s="113"/>
      <c r="I366" s="113"/>
      <c r="K366" s="113"/>
      <c r="L366" s="113"/>
      <c r="M366" s="113"/>
      <c r="O366" s="113"/>
      <c r="P366" s="113"/>
      <c r="Q366" s="113"/>
      <c r="S366" s="113"/>
      <c r="T366" s="113"/>
      <c r="U366" s="113"/>
    </row>
    <row r="367" customFormat="false" ht="15" hidden="false" customHeight="true" outlineLevel="0" collapsed="false">
      <c r="G367" s="113"/>
      <c r="H367" s="113"/>
      <c r="I367" s="113"/>
      <c r="K367" s="113"/>
      <c r="L367" s="113"/>
      <c r="M367" s="113"/>
      <c r="O367" s="113"/>
      <c r="P367" s="113"/>
      <c r="Q367" s="113"/>
      <c r="S367" s="113"/>
      <c r="T367" s="113"/>
      <c r="U367" s="113"/>
    </row>
    <row r="368" customFormat="false" ht="15" hidden="false" customHeight="true" outlineLevel="0" collapsed="false">
      <c r="G368" s="113"/>
      <c r="H368" s="113"/>
      <c r="I368" s="113"/>
      <c r="K368" s="113"/>
      <c r="L368" s="113"/>
      <c r="M368" s="113"/>
      <c r="O368" s="113"/>
      <c r="P368" s="113"/>
      <c r="Q368" s="113"/>
      <c r="S368" s="113"/>
      <c r="T368" s="113"/>
      <c r="U368" s="113"/>
    </row>
    <row r="369" customFormat="false" ht="15" hidden="false" customHeight="true" outlineLevel="0" collapsed="false">
      <c r="G369" s="113"/>
      <c r="H369" s="113"/>
      <c r="I369" s="113"/>
      <c r="K369" s="113"/>
      <c r="L369" s="113"/>
      <c r="M369" s="113"/>
      <c r="O369" s="113"/>
      <c r="P369" s="113"/>
      <c r="Q369" s="113"/>
      <c r="S369" s="113"/>
      <c r="T369" s="113"/>
      <c r="U369" s="113"/>
    </row>
    <row r="370" customFormat="false" ht="15" hidden="false" customHeight="true" outlineLevel="0" collapsed="false">
      <c r="G370" s="113"/>
      <c r="H370" s="113"/>
      <c r="I370" s="113"/>
      <c r="K370" s="113"/>
      <c r="L370" s="113"/>
      <c r="M370" s="113"/>
      <c r="O370" s="113"/>
      <c r="P370" s="113"/>
      <c r="Q370" s="113"/>
      <c r="S370" s="113"/>
      <c r="T370" s="113"/>
      <c r="U370" s="113"/>
    </row>
    <row r="371" customFormat="false" ht="15" hidden="false" customHeight="true" outlineLevel="0" collapsed="false">
      <c r="G371" s="113"/>
      <c r="H371" s="113"/>
      <c r="I371" s="113"/>
      <c r="K371" s="113"/>
      <c r="L371" s="113"/>
      <c r="M371" s="113"/>
      <c r="O371" s="113"/>
      <c r="P371" s="113"/>
      <c r="Q371" s="113"/>
      <c r="S371" s="113"/>
      <c r="T371" s="113"/>
      <c r="U371" s="113"/>
    </row>
    <row r="372" customFormat="false" ht="15" hidden="false" customHeight="true" outlineLevel="0" collapsed="false">
      <c r="G372" s="113"/>
      <c r="H372" s="113"/>
      <c r="I372" s="113"/>
      <c r="K372" s="113"/>
      <c r="L372" s="113"/>
      <c r="M372" s="113"/>
      <c r="O372" s="113"/>
      <c r="P372" s="113"/>
      <c r="Q372" s="113"/>
      <c r="S372" s="113"/>
      <c r="T372" s="113"/>
      <c r="U372" s="113"/>
    </row>
    <row r="373" customFormat="false" ht="15" hidden="false" customHeight="true" outlineLevel="0" collapsed="false">
      <c r="G373" s="113"/>
      <c r="H373" s="113"/>
      <c r="I373" s="113"/>
      <c r="K373" s="113"/>
      <c r="L373" s="113"/>
      <c r="M373" s="113"/>
      <c r="O373" s="113"/>
      <c r="P373" s="113"/>
      <c r="Q373" s="113"/>
      <c r="S373" s="113"/>
      <c r="T373" s="113"/>
      <c r="U373" s="113"/>
    </row>
    <row r="374" customFormat="false" ht="15" hidden="false" customHeight="true" outlineLevel="0" collapsed="false">
      <c r="G374" s="113"/>
      <c r="H374" s="113"/>
      <c r="I374" s="113"/>
      <c r="K374" s="113"/>
      <c r="L374" s="113"/>
      <c r="M374" s="113"/>
      <c r="O374" s="113"/>
      <c r="P374" s="113"/>
      <c r="Q374" s="113"/>
      <c r="S374" s="113"/>
      <c r="T374" s="113"/>
      <c r="U374" s="113"/>
    </row>
    <row r="375" customFormat="false" ht="15" hidden="false" customHeight="true" outlineLevel="0" collapsed="false">
      <c r="G375" s="113"/>
      <c r="H375" s="113"/>
      <c r="I375" s="113"/>
      <c r="K375" s="113"/>
      <c r="L375" s="113"/>
      <c r="M375" s="113"/>
      <c r="O375" s="113"/>
      <c r="P375" s="113"/>
      <c r="Q375" s="113"/>
      <c r="S375" s="113"/>
      <c r="T375" s="113"/>
      <c r="U375" s="113"/>
    </row>
    <row r="376" customFormat="false" ht="15" hidden="false" customHeight="true" outlineLevel="0" collapsed="false">
      <c r="G376" s="113"/>
      <c r="H376" s="113"/>
      <c r="I376" s="113"/>
      <c r="K376" s="113"/>
      <c r="L376" s="113"/>
      <c r="M376" s="113"/>
      <c r="O376" s="113"/>
      <c r="P376" s="113"/>
      <c r="Q376" s="113"/>
      <c r="S376" s="113"/>
      <c r="T376" s="113"/>
      <c r="U376" s="113"/>
    </row>
    <row r="377" customFormat="false" ht="15" hidden="false" customHeight="true" outlineLevel="0" collapsed="false">
      <c r="G377" s="113"/>
      <c r="H377" s="113"/>
      <c r="I377" s="113"/>
      <c r="K377" s="113"/>
      <c r="L377" s="113"/>
      <c r="M377" s="113"/>
      <c r="O377" s="113"/>
      <c r="P377" s="113"/>
      <c r="Q377" s="113"/>
      <c r="S377" s="113"/>
      <c r="T377" s="113"/>
      <c r="U377" s="113"/>
    </row>
    <row r="378" customFormat="false" ht="15" hidden="false" customHeight="true" outlineLevel="0" collapsed="false">
      <c r="G378" s="113"/>
      <c r="H378" s="113"/>
      <c r="I378" s="113"/>
      <c r="K378" s="113"/>
      <c r="L378" s="113"/>
      <c r="M378" s="113"/>
      <c r="O378" s="113"/>
      <c r="P378" s="113"/>
      <c r="Q378" s="113"/>
      <c r="S378" s="113"/>
      <c r="T378" s="113"/>
      <c r="U378" s="113"/>
    </row>
    <row r="379" customFormat="false" ht="15" hidden="false" customHeight="true" outlineLevel="0" collapsed="false">
      <c r="G379" s="113"/>
      <c r="H379" s="113"/>
      <c r="I379" s="113"/>
      <c r="K379" s="113"/>
      <c r="L379" s="113"/>
      <c r="M379" s="113"/>
      <c r="O379" s="113"/>
      <c r="P379" s="113"/>
      <c r="Q379" s="113"/>
      <c r="S379" s="113"/>
      <c r="T379" s="113"/>
      <c r="U379" s="113"/>
    </row>
    <row r="380" customFormat="false" ht="15" hidden="false" customHeight="true" outlineLevel="0" collapsed="false">
      <c r="G380" s="113"/>
      <c r="H380" s="113"/>
      <c r="I380" s="113"/>
      <c r="K380" s="113"/>
      <c r="L380" s="113"/>
      <c r="M380" s="113"/>
      <c r="O380" s="113"/>
      <c r="P380" s="113"/>
      <c r="Q380" s="113"/>
      <c r="S380" s="113"/>
      <c r="T380" s="113"/>
      <c r="U380" s="113"/>
    </row>
    <row r="381" customFormat="false" ht="15" hidden="false" customHeight="true" outlineLevel="0" collapsed="false">
      <c r="G381" s="113"/>
      <c r="H381" s="113"/>
      <c r="I381" s="113"/>
      <c r="K381" s="113"/>
      <c r="L381" s="113"/>
      <c r="M381" s="113"/>
      <c r="O381" s="113"/>
      <c r="P381" s="113"/>
      <c r="Q381" s="113"/>
      <c r="S381" s="113"/>
      <c r="T381" s="113"/>
      <c r="U381" s="113"/>
    </row>
    <row r="382" customFormat="false" ht="15" hidden="false" customHeight="true" outlineLevel="0" collapsed="false">
      <c r="G382" s="113"/>
      <c r="H382" s="113"/>
      <c r="I382" s="113"/>
      <c r="K382" s="113"/>
      <c r="L382" s="113"/>
      <c r="M382" s="113"/>
      <c r="O382" s="113"/>
      <c r="P382" s="113"/>
      <c r="Q382" s="113"/>
      <c r="S382" s="113"/>
      <c r="T382" s="113"/>
      <c r="U382" s="113"/>
    </row>
    <row r="383" customFormat="false" ht="15" hidden="false" customHeight="true" outlineLevel="0" collapsed="false">
      <c r="G383" s="113"/>
      <c r="H383" s="113"/>
      <c r="I383" s="113"/>
      <c r="K383" s="113"/>
      <c r="L383" s="113"/>
      <c r="M383" s="113"/>
      <c r="O383" s="113"/>
      <c r="P383" s="113"/>
      <c r="Q383" s="113"/>
      <c r="S383" s="113"/>
      <c r="T383" s="113"/>
      <c r="U383" s="113"/>
    </row>
    <row r="384" customFormat="false" ht="15" hidden="false" customHeight="true" outlineLevel="0" collapsed="false">
      <c r="G384" s="113"/>
      <c r="H384" s="113"/>
      <c r="I384" s="113"/>
      <c r="K384" s="113"/>
      <c r="L384" s="113"/>
      <c r="M384" s="113"/>
      <c r="O384" s="113"/>
      <c r="P384" s="113"/>
      <c r="Q384" s="113"/>
      <c r="S384" s="113"/>
      <c r="T384" s="113"/>
      <c r="U384" s="113"/>
    </row>
    <row r="385" customFormat="false" ht="15" hidden="false" customHeight="true" outlineLevel="0" collapsed="false">
      <c r="G385" s="113"/>
      <c r="H385" s="113"/>
      <c r="I385" s="113"/>
      <c r="K385" s="113"/>
      <c r="L385" s="113"/>
      <c r="M385" s="113"/>
      <c r="O385" s="113"/>
      <c r="P385" s="113"/>
      <c r="Q385" s="113"/>
      <c r="S385" s="113"/>
      <c r="T385" s="113"/>
      <c r="U385" s="113"/>
    </row>
    <row r="386" customFormat="false" ht="15" hidden="false" customHeight="true" outlineLevel="0" collapsed="false">
      <c r="G386" s="113"/>
      <c r="H386" s="113"/>
      <c r="I386" s="113"/>
      <c r="K386" s="113"/>
      <c r="L386" s="113"/>
      <c r="M386" s="113"/>
      <c r="O386" s="113"/>
      <c r="P386" s="113"/>
      <c r="Q386" s="113"/>
      <c r="S386" s="113"/>
      <c r="T386" s="113"/>
      <c r="U386" s="113"/>
    </row>
    <row r="387" customFormat="false" ht="15" hidden="false" customHeight="true" outlineLevel="0" collapsed="false">
      <c r="G387" s="113"/>
      <c r="H387" s="113"/>
      <c r="I387" s="113"/>
      <c r="K387" s="113"/>
      <c r="L387" s="113"/>
      <c r="M387" s="113"/>
      <c r="O387" s="113"/>
      <c r="P387" s="113"/>
      <c r="Q387" s="113"/>
      <c r="S387" s="113"/>
      <c r="T387" s="113"/>
      <c r="U387" s="113"/>
    </row>
    <row r="388" customFormat="false" ht="15" hidden="false" customHeight="true" outlineLevel="0" collapsed="false">
      <c r="G388" s="113"/>
      <c r="H388" s="113"/>
      <c r="I388" s="113"/>
      <c r="K388" s="113"/>
      <c r="L388" s="113"/>
      <c r="M388" s="113"/>
      <c r="O388" s="113"/>
      <c r="P388" s="113"/>
      <c r="Q388" s="113"/>
      <c r="S388" s="113"/>
      <c r="T388" s="113"/>
      <c r="U388" s="113"/>
    </row>
    <row r="389" customFormat="false" ht="15" hidden="false" customHeight="true" outlineLevel="0" collapsed="false">
      <c r="G389" s="113"/>
      <c r="H389" s="113"/>
      <c r="I389" s="113"/>
      <c r="K389" s="113"/>
      <c r="L389" s="113"/>
      <c r="M389" s="113"/>
      <c r="O389" s="113"/>
      <c r="P389" s="113"/>
      <c r="Q389" s="113"/>
      <c r="S389" s="113"/>
      <c r="T389" s="113"/>
      <c r="U389" s="113"/>
    </row>
    <row r="390" customFormat="false" ht="15" hidden="false" customHeight="true" outlineLevel="0" collapsed="false">
      <c r="G390" s="113"/>
      <c r="H390" s="113"/>
      <c r="I390" s="113"/>
      <c r="K390" s="113"/>
      <c r="L390" s="113"/>
      <c r="M390" s="113"/>
      <c r="O390" s="113"/>
      <c r="P390" s="113"/>
      <c r="Q390" s="113"/>
      <c r="S390" s="113"/>
      <c r="T390" s="113"/>
      <c r="U390" s="113"/>
    </row>
    <row r="391" customFormat="false" ht="15" hidden="false" customHeight="true" outlineLevel="0" collapsed="false">
      <c r="G391" s="113"/>
      <c r="H391" s="113"/>
      <c r="I391" s="113"/>
      <c r="K391" s="113"/>
      <c r="L391" s="113"/>
      <c r="M391" s="113"/>
      <c r="O391" s="113"/>
      <c r="P391" s="113"/>
      <c r="Q391" s="113"/>
      <c r="S391" s="113"/>
      <c r="T391" s="113"/>
      <c r="U391" s="113"/>
    </row>
    <row r="392" customFormat="false" ht="15" hidden="false" customHeight="true" outlineLevel="0" collapsed="false">
      <c r="G392" s="113"/>
      <c r="H392" s="113"/>
      <c r="I392" s="113"/>
      <c r="K392" s="113"/>
      <c r="L392" s="113"/>
      <c r="M392" s="113"/>
      <c r="O392" s="113"/>
      <c r="P392" s="113"/>
      <c r="Q392" s="113"/>
      <c r="S392" s="113"/>
      <c r="T392" s="113"/>
      <c r="U392" s="113"/>
    </row>
    <row r="393" customFormat="false" ht="15" hidden="false" customHeight="true" outlineLevel="0" collapsed="false">
      <c r="G393" s="113"/>
      <c r="H393" s="113"/>
      <c r="I393" s="113"/>
      <c r="K393" s="113"/>
      <c r="L393" s="113"/>
      <c r="M393" s="113"/>
      <c r="O393" s="113"/>
      <c r="P393" s="113"/>
      <c r="Q393" s="113"/>
      <c r="S393" s="113"/>
      <c r="T393" s="113"/>
      <c r="U393" s="113"/>
    </row>
    <row r="394" customFormat="false" ht="15" hidden="false" customHeight="true" outlineLevel="0" collapsed="false">
      <c r="G394" s="113"/>
      <c r="H394" s="113"/>
      <c r="I394" s="113"/>
      <c r="K394" s="113"/>
      <c r="L394" s="113"/>
      <c r="M394" s="113"/>
      <c r="O394" s="113"/>
      <c r="P394" s="113"/>
      <c r="Q394" s="113"/>
      <c r="S394" s="113"/>
      <c r="T394" s="113"/>
      <c r="U394" s="113"/>
    </row>
    <row r="395" customFormat="false" ht="15" hidden="false" customHeight="true" outlineLevel="0" collapsed="false">
      <c r="G395" s="113"/>
      <c r="H395" s="113"/>
      <c r="I395" s="113"/>
      <c r="K395" s="113"/>
      <c r="L395" s="113"/>
      <c r="M395" s="113"/>
      <c r="O395" s="113"/>
      <c r="P395" s="113"/>
      <c r="Q395" s="113"/>
      <c r="S395" s="113"/>
      <c r="T395" s="113"/>
      <c r="U395" s="113"/>
    </row>
    <row r="396" customFormat="false" ht="15" hidden="false" customHeight="true" outlineLevel="0" collapsed="false">
      <c r="G396" s="113"/>
      <c r="H396" s="113"/>
      <c r="I396" s="113"/>
      <c r="K396" s="113"/>
      <c r="L396" s="113"/>
      <c r="M396" s="113"/>
      <c r="O396" s="113"/>
      <c r="P396" s="113"/>
      <c r="Q396" s="113"/>
      <c r="S396" s="113"/>
      <c r="T396" s="113"/>
      <c r="U396" s="113"/>
    </row>
    <row r="397" customFormat="false" ht="15" hidden="false" customHeight="true" outlineLevel="0" collapsed="false">
      <c r="G397" s="113"/>
      <c r="H397" s="113"/>
      <c r="I397" s="113"/>
      <c r="K397" s="113"/>
      <c r="L397" s="113"/>
      <c r="M397" s="113"/>
      <c r="O397" s="113"/>
      <c r="P397" s="113"/>
      <c r="Q397" s="113"/>
      <c r="S397" s="113"/>
      <c r="T397" s="113"/>
      <c r="U397" s="113"/>
    </row>
    <row r="398" customFormat="false" ht="15" hidden="false" customHeight="true" outlineLevel="0" collapsed="false">
      <c r="G398" s="113"/>
      <c r="H398" s="113"/>
      <c r="I398" s="113"/>
      <c r="K398" s="113"/>
      <c r="L398" s="113"/>
      <c r="M398" s="113"/>
      <c r="O398" s="113"/>
      <c r="P398" s="113"/>
      <c r="Q398" s="113"/>
      <c r="S398" s="113"/>
      <c r="T398" s="113"/>
      <c r="U398" s="113"/>
    </row>
    <row r="399" customFormat="false" ht="15" hidden="false" customHeight="true" outlineLevel="0" collapsed="false">
      <c r="G399" s="113"/>
      <c r="H399" s="113"/>
      <c r="I399" s="113"/>
      <c r="K399" s="113"/>
      <c r="L399" s="113"/>
      <c r="M399" s="113"/>
      <c r="O399" s="113"/>
      <c r="P399" s="113"/>
      <c r="Q399" s="113"/>
      <c r="S399" s="113"/>
      <c r="T399" s="113"/>
      <c r="U399" s="113"/>
    </row>
    <row r="400" customFormat="false" ht="15" hidden="false" customHeight="true" outlineLevel="0" collapsed="false">
      <c r="G400" s="113"/>
      <c r="H400" s="113"/>
      <c r="I400" s="113"/>
      <c r="K400" s="113"/>
      <c r="L400" s="113"/>
      <c r="M400" s="113"/>
      <c r="O400" s="113"/>
      <c r="P400" s="113"/>
      <c r="Q400" s="113"/>
      <c r="S400" s="113"/>
      <c r="T400" s="113"/>
      <c r="U400" s="113"/>
    </row>
    <row r="401" customFormat="false" ht="15" hidden="false" customHeight="true" outlineLevel="0" collapsed="false">
      <c r="G401" s="113"/>
      <c r="H401" s="113"/>
      <c r="I401" s="113"/>
      <c r="K401" s="113"/>
      <c r="L401" s="113"/>
      <c r="M401" s="113"/>
      <c r="O401" s="113"/>
      <c r="P401" s="113"/>
      <c r="Q401" s="113"/>
      <c r="S401" s="113"/>
      <c r="T401" s="113"/>
      <c r="U401" s="113"/>
    </row>
    <row r="402" customFormat="false" ht="15" hidden="false" customHeight="true" outlineLevel="0" collapsed="false">
      <c r="G402" s="113"/>
      <c r="H402" s="113"/>
      <c r="I402" s="113"/>
      <c r="K402" s="113"/>
      <c r="L402" s="113"/>
      <c r="M402" s="113"/>
      <c r="O402" s="113"/>
      <c r="P402" s="113"/>
      <c r="Q402" s="113"/>
      <c r="S402" s="113"/>
      <c r="T402" s="113"/>
      <c r="U402" s="113"/>
    </row>
    <row r="403" customFormat="false" ht="15" hidden="false" customHeight="true" outlineLevel="0" collapsed="false">
      <c r="G403" s="113"/>
      <c r="H403" s="113"/>
      <c r="I403" s="113"/>
      <c r="K403" s="113"/>
      <c r="L403" s="113"/>
      <c r="M403" s="113"/>
      <c r="O403" s="113"/>
      <c r="P403" s="113"/>
      <c r="Q403" s="113"/>
      <c r="S403" s="113"/>
      <c r="T403" s="113"/>
      <c r="U403" s="113"/>
    </row>
    <row r="404" customFormat="false" ht="15" hidden="false" customHeight="true" outlineLevel="0" collapsed="false">
      <c r="G404" s="113"/>
      <c r="H404" s="113"/>
      <c r="I404" s="113"/>
      <c r="K404" s="113"/>
      <c r="L404" s="113"/>
      <c r="M404" s="113"/>
      <c r="O404" s="113"/>
      <c r="P404" s="113"/>
      <c r="Q404" s="113"/>
      <c r="S404" s="113"/>
      <c r="T404" s="113"/>
      <c r="U404" s="113"/>
    </row>
    <row r="405" customFormat="false" ht="15" hidden="false" customHeight="true" outlineLevel="0" collapsed="false">
      <c r="G405" s="113"/>
      <c r="H405" s="113"/>
      <c r="I405" s="113"/>
      <c r="K405" s="113"/>
      <c r="L405" s="113"/>
      <c r="M405" s="113"/>
      <c r="O405" s="113"/>
      <c r="P405" s="113"/>
      <c r="Q405" s="113"/>
      <c r="S405" s="113"/>
      <c r="T405" s="113"/>
      <c r="U405" s="113"/>
    </row>
    <row r="406" customFormat="false" ht="15" hidden="false" customHeight="true" outlineLevel="0" collapsed="false">
      <c r="G406" s="113"/>
      <c r="H406" s="113"/>
      <c r="I406" s="113"/>
      <c r="K406" s="113"/>
      <c r="L406" s="113"/>
      <c r="M406" s="113"/>
      <c r="O406" s="113"/>
      <c r="P406" s="113"/>
      <c r="Q406" s="113"/>
      <c r="S406" s="113"/>
      <c r="T406" s="113"/>
      <c r="U406" s="113"/>
    </row>
    <row r="407" customFormat="false" ht="15" hidden="false" customHeight="true" outlineLevel="0" collapsed="false">
      <c r="G407" s="113"/>
      <c r="H407" s="113"/>
      <c r="I407" s="113"/>
      <c r="K407" s="113"/>
      <c r="L407" s="113"/>
      <c r="M407" s="113"/>
      <c r="O407" s="113"/>
      <c r="P407" s="113"/>
      <c r="Q407" s="113"/>
      <c r="S407" s="113"/>
      <c r="T407" s="113"/>
      <c r="U407" s="113"/>
    </row>
    <row r="408" customFormat="false" ht="15" hidden="false" customHeight="true" outlineLevel="0" collapsed="false">
      <c r="G408" s="113"/>
      <c r="H408" s="113"/>
      <c r="I408" s="113"/>
      <c r="K408" s="113"/>
      <c r="L408" s="113"/>
      <c r="M408" s="113"/>
      <c r="O408" s="113"/>
      <c r="P408" s="113"/>
      <c r="Q408" s="113"/>
      <c r="S408" s="113"/>
      <c r="T408" s="113"/>
      <c r="U408" s="113"/>
    </row>
    <row r="409" customFormat="false" ht="15" hidden="false" customHeight="true" outlineLevel="0" collapsed="false">
      <c r="G409" s="113"/>
      <c r="H409" s="113"/>
      <c r="I409" s="113"/>
      <c r="K409" s="113"/>
      <c r="L409" s="113"/>
      <c r="M409" s="113"/>
      <c r="O409" s="113"/>
      <c r="P409" s="113"/>
      <c r="Q409" s="113"/>
      <c r="S409" s="113"/>
      <c r="T409" s="113"/>
      <c r="U409" s="113"/>
    </row>
    <row r="410" customFormat="false" ht="15" hidden="false" customHeight="true" outlineLevel="0" collapsed="false">
      <c r="G410" s="113"/>
      <c r="H410" s="113"/>
      <c r="I410" s="113"/>
      <c r="K410" s="113"/>
      <c r="L410" s="113"/>
      <c r="M410" s="113"/>
      <c r="O410" s="113"/>
      <c r="P410" s="113"/>
      <c r="Q410" s="113"/>
      <c r="S410" s="113"/>
      <c r="T410" s="113"/>
      <c r="U410" s="113"/>
    </row>
    <row r="411" customFormat="false" ht="15" hidden="false" customHeight="true" outlineLevel="0" collapsed="false">
      <c r="G411" s="113"/>
      <c r="H411" s="113"/>
      <c r="I411" s="113"/>
      <c r="K411" s="113"/>
      <c r="L411" s="113"/>
      <c r="M411" s="113"/>
      <c r="O411" s="113"/>
      <c r="P411" s="113"/>
      <c r="Q411" s="113"/>
      <c r="S411" s="113"/>
      <c r="T411" s="113"/>
      <c r="U411" s="113"/>
    </row>
    <row r="412" customFormat="false" ht="15" hidden="false" customHeight="true" outlineLevel="0" collapsed="false">
      <c r="G412" s="113"/>
      <c r="H412" s="113"/>
      <c r="I412" s="113"/>
      <c r="K412" s="113"/>
      <c r="L412" s="113"/>
      <c r="M412" s="113"/>
      <c r="O412" s="113"/>
      <c r="P412" s="113"/>
      <c r="Q412" s="113"/>
      <c r="S412" s="113"/>
      <c r="T412" s="113"/>
      <c r="U412" s="113"/>
    </row>
    <row r="413" customFormat="false" ht="15" hidden="false" customHeight="true" outlineLevel="0" collapsed="false">
      <c r="G413" s="113"/>
      <c r="H413" s="113"/>
      <c r="I413" s="113"/>
      <c r="K413" s="113"/>
      <c r="L413" s="113"/>
      <c r="M413" s="113"/>
      <c r="O413" s="113"/>
      <c r="P413" s="113"/>
      <c r="Q413" s="113"/>
      <c r="S413" s="113"/>
      <c r="T413" s="113"/>
      <c r="U413" s="113"/>
    </row>
    <row r="414" customFormat="false" ht="15" hidden="false" customHeight="true" outlineLevel="0" collapsed="false">
      <c r="G414" s="113"/>
      <c r="H414" s="113"/>
      <c r="I414" s="113"/>
      <c r="K414" s="113"/>
      <c r="L414" s="113"/>
      <c r="M414" s="113"/>
      <c r="O414" s="113"/>
      <c r="P414" s="113"/>
      <c r="Q414" s="113"/>
      <c r="S414" s="113"/>
      <c r="T414" s="113"/>
      <c r="U414" s="113"/>
    </row>
    <row r="415" customFormat="false" ht="15" hidden="false" customHeight="true" outlineLevel="0" collapsed="false">
      <c r="G415" s="113"/>
      <c r="H415" s="113"/>
      <c r="I415" s="113"/>
      <c r="K415" s="113"/>
      <c r="L415" s="113"/>
      <c r="M415" s="113"/>
      <c r="O415" s="113"/>
      <c r="P415" s="113"/>
      <c r="Q415" s="113"/>
      <c r="S415" s="113"/>
      <c r="T415" s="113"/>
      <c r="U415" s="113"/>
    </row>
    <row r="416" customFormat="false" ht="15" hidden="false" customHeight="true" outlineLevel="0" collapsed="false">
      <c r="G416" s="113"/>
      <c r="H416" s="113"/>
      <c r="I416" s="113"/>
      <c r="K416" s="113"/>
      <c r="L416" s="113"/>
      <c r="M416" s="113"/>
      <c r="O416" s="113"/>
      <c r="P416" s="113"/>
      <c r="Q416" s="113"/>
      <c r="S416" s="113"/>
      <c r="T416" s="113"/>
      <c r="U416" s="113"/>
    </row>
    <row r="417" customFormat="false" ht="15" hidden="false" customHeight="true" outlineLevel="0" collapsed="false">
      <c r="G417" s="113"/>
      <c r="H417" s="113"/>
      <c r="I417" s="113"/>
      <c r="K417" s="113"/>
      <c r="L417" s="113"/>
      <c r="M417" s="113"/>
      <c r="O417" s="113"/>
      <c r="P417" s="113"/>
      <c r="Q417" s="113"/>
      <c r="S417" s="113"/>
      <c r="T417" s="113"/>
      <c r="U417" s="113"/>
    </row>
    <row r="418" customFormat="false" ht="15" hidden="false" customHeight="true" outlineLevel="0" collapsed="false">
      <c r="G418" s="113"/>
      <c r="H418" s="113"/>
      <c r="I418" s="113"/>
      <c r="K418" s="113"/>
      <c r="L418" s="113"/>
      <c r="M418" s="113"/>
      <c r="O418" s="113"/>
      <c r="P418" s="113"/>
      <c r="Q418" s="113"/>
      <c r="S418" s="113"/>
      <c r="T418" s="113"/>
      <c r="U418" s="113"/>
    </row>
    <row r="419" customFormat="false" ht="15" hidden="false" customHeight="true" outlineLevel="0" collapsed="false">
      <c r="G419" s="113"/>
      <c r="H419" s="113"/>
      <c r="I419" s="113"/>
      <c r="K419" s="113"/>
      <c r="L419" s="113"/>
      <c r="M419" s="113"/>
      <c r="O419" s="113"/>
      <c r="P419" s="113"/>
      <c r="Q419" s="113"/>
      <c r="S419" s="113"/>
      <c r="T419" s="113"/>
      <c r="U419" s="113"/>
    </row>
    <row r="420" customFormat="false" ht="15" hidden="false" customHeight="true" outlineLevel="0" collapsed="false">
      <c r="G420" s="113"/>
      <c r="H420" s="113"/>
      <c r="I420" s="113"/>
      <c r="K420" s="113"/>
      <c r="L420" s="113"/>
      <c r="M420" s="113"/>
      <c r="O420" s="113"/>
      <c r="P420" s="113"/>
      <c r="Q420" s="113"/>
      <c r="S420" s="113"/>
      <c r="T420" s="113"/>
      <c r="U420" s="113"/>
    </row>
    <row r="421" customFormat="false" ht="15" hidden="false" customHeight="true" outlineLevel="0" collapsed="false">
      <c r="G421" s="113"/>
      <c r="H421" s="113"/>
      <c r="I421" s="113"/>
      <c r="K421" s="113"/>
      <c r="L421" s="113"/>
      <c r="M421" s="113"/>
      <c r="O421" s="113"/>
      <c r="P421" s="113"/>
      <c r="Q421" s="113"/>
      <c r="S421" s="113"/>
      <c r="T421" s="113"/>
      <c r="U421" s="113"/>
    </row>
    <row r="422" customFormat="false" ht="15" hidden="false" customHeight="true" outlineLevel="0" collapsed="false">
      <c r="G422" s="113"/>
      <c r="H422" s="113"/>
      <c r="I422" s="113"/>
      <c r="K422" s="113"/>
      <c r="L422" s="113"/>
      <c r="M422" s="113"/>
      <c r="O422" s="113"/>
      <c r="P422" s="113"/>
      <c r="Q422" s="113"/>
      <c r="S422" s="113"/>
      <c r="T422" s="113"/>
      <c r="U422" s="113"/>
    </row>
    <row r="423" customFormat="false" ht="15" hidden="false" customHeight="true" outlineLevel="0" collapsed="false">
      <c r="G423" s="113"/>
      <c r="H423" s="113"/>
      <c r="I423" s="113"/>
      <c r="K423" s="113"/>
      <c r="L423" s="113"/>
      <c r="M423" s="113"/>
      <c r="O423" s="113"/>
      <c r="P423" s="113"/>
      <c r="Q423" s="113"/>
      <c r="S423" s="113"/>
      <c r="T423" s="113"/>
      <c r="U423" s="113"/>
    </row>
    <row r="424" customFormat="false" ht="15" hidden="false" customHeight="true" outlineLevel="0" collapsed="false">
      <c r="G424" s="113"/>
      <c r="H424" s="113"/>
      <c r="I424" s="113"/>
      <c r="K424" s="113"/>
      <c r="L424" s="113"/>
      <c r="M424" s="113"/>
      <c r="O424" s="113"/>
      <c r="P424" s="113"/>
      <c r="Q424" s="113"/>
      <c r="S424" s="113"/>
      <c r="T424" s="113"/>
      <c r="U424" s="113"/>
    </row>
    <row r="425" customFormat="false" ht="15" hidden="false" customHeight="true" outlineLevel="0" collapsed="false">
      <c r="G425" s="113"/>
      <c r="H425" s="113"/>
      <c r="I425" s="113"/>
      <c r="K425" s="113"/>
      <c r="L425" s="113"/>
      <c r="M425" s="113"/>
      <c r="O425" s="113"/>
      <c r="P425" s="113"/>
      <c r="Q425" s="113"/>
      <c r="S425" s="113"/>
      <c r="T425" s="113"/>
      <c r="U425" s="113"/>
    </row>
    <row r="426" customFormat="false" ht="15" hidden="false" customHeight="true" outlineLevel="0" collapsed="false">
      <c r="G426" s="113"/>
      <c r="H426" s="113"/>
      <c r="I426" s="113"/>
      <c r="K426" s="113"/>
      <c r="L426" s="113"/>
      <c r="M426" s="113"/>
      <c r="O426" s="113"/>
      <c r="P426" s="113"/>
      <c r="Q426" s="113"/>
      <c r="S426" s="113"/>
      <c r="T426" s="113"/>
      <c r="U426" s="113"/>
    </row>
    <row r="427" customFormat="false" ht="15" hidden="false" customHeight="true" outlineLevel="0" collapsed="false">
      <c r="G427" s="113"/>
      <c r="H427" s="113"/>
      <c r="I427" s="113"/>
      <c r="K427" s="113"/>
      <c r="L427" s="113"/>
      <c r="M427" s="113"/>
      <c r="O427" s="113"/>
      <c r="P427" s="113"/>
      <c r="Q427" s="113"/>
      <c r="S427" s="113"/>
      <c r="T427" s="113"/>
      <c r="U427" s="113"/>
    </row>
    <row r="428" customFormat="false" ht="15" hidden="false" customHeight="true" outlineLevel="0" collapsed="false">
      <c r="G428" s="113"/>
      <c r="H428" s="113"/>
      <c r="I428" s="113"/>
      <c r="K428" s="113"/>
      <c r="L428" s="113"/>
      <c r="M428" s="113"/>
      <c r="O428" s="113"/>
      <c r="P428" s="113"/>
      <c r="Q428" s="113"/>
      <c r="S428" s="113"/>
      <c r="T428" s="113"/>
      <c r="U428" s="113"/>
    </row>
    <row r="429" customFormat="false" ht="15" hidden="false" customHeight="true" outlineLevel="0" collapsed="false">
      <c r="G429" s="113"/>
      <c r="H429" s="113"/>
      <c r="I429" s="113"/>
      <c r="K429" s="113"/>
      <c r="L429" s="113"/>
      <c r="M429" s="113"/>
      <c r="O429" s="113"/>
      <c r="P429" s="113"/>
      <c r="Q429" s="113"/>
      <c r="S429" s="113"/>
      <c r="T429" s="113"/>
      <c r="U429" s="113"/>
    </row>
    <row r="430" customFormat="false" ht="15" hidden="false" customHeight="true" outlineLevel="0" collapsed="false">
      <c r="G430" s="113"/>
      <c r="H430" s="113"/>
      <c r="I430" s="113"/>
      <c r="K430" s="113"/>
      <c r="L430" s="113"/>
      <c r="M430" s="113"/>
      <c r="O430" s="113"/>
      <c r="P430" s="113"/>
      <c r="Q430" s="113"/>
      <c r="S430" s="113"/>
      <c r="T430" s="113"/>
      <c r="U430" s="113"/>
    </row>
    <row r="431" customFormat="false" ht="15" hidden="false" customHeight="true" outlineLevel="0" collapsed="false">
      <c r="G431" s="113"/>
      <c r="H431" s="113"/>
      <c r="I431" s="113"/>
      <c r="K431" s="113"/>
      <c r="L431" s="113"/>
      <c r="M431" s="113"/>
      <c r="O431" s="113"/>
      <c r="P431" s="113"/>
      <c r="Q431" s="113"/>
      <c r="S431" s="113"/>
      <c r="T431" s="113"/>
      <c r="U431" s="113"/>
    </row>
    <row r="432" customFormat="false" ht="15" hidden="false" customHeight="true" outlineLevel="0" collapsed="false">
      <c r="G432" s="113"/>
      <c r="H432" s="113"/>
      <c r="I432" s="113"/>
      <c r="K432" s="113"/>
      <c r="L432" s="113"/>
      <c r="M432" s="113"/>
      <c r="O432" s="113"/>
      <c r="P432" s="113"/>
      <c r="Q432" s="113"/>
      <c r="S432" s="113"/>
      <c r="T432" s="113"/>
      <c r="U432" s="113"/>
    </row>
    <row r="433" customFormat="false" ht="15" hidden="false" customHeight="true" outlineLevel="0" collapsed="false">
      <c r="G433" s="113"/>
      <c r="H433" s="113"/>
      <c r="I433" s="113"/>
      <c r="K433" s="113"/>
      <c r="L433" s="113"/>
      <c r="M433" s="113"/>
      <c r="O433" s="113"/>
      <c r="P433" s="113"/>
      <c r="Q433" s="113"/>
      <c r="S433" s="113"/>
      <c r="T433" s="113"/>
      <c r="U433" s="113"/>
    </row>
    <row r="434" customFormat="false" ht="15" hidden="false" customHeight="true" outlineLevel="0" collapsed="false">
      <c r="G434" s="113"/>
      <c r="H434" s="113"/>
      <c r="I434" s="113"/>
      <c r="K434" s="113"/>
      <c r="L434" s="113"/>
      <c r="M434" s="113"/>
      <c r="O434" s="113"/>
      <c r="P434" s="113"/>
      <c r="Q434" s="113"/>
      <c r="S434" s="113"/>
      <c r="T434" s="113"/>
      <c r="U434" s="113"/>
    </row>
    <row r="435" customFormat="false" ht="15" hidden="false" customHeight="true" outlineLevel="0" collapsed="false">
      <c r="G435" s="113"/>
      <c r="H435" s="113"/>
      <c r="I435" s="113"/>
      <c r="K435" s="113"/>
      <c r="L435" s="113"/>
      <c r="M435" s="113"/>
      <c r="O435" s="113"/>
      <c r="P435" s="113"/>
      <c r="Q435" s="113"/>
      <c r="S435" s="113"/>
      <c r="T435" s="113"/>
      <c r="U435" s="113"/>
    </row>
    <row r="436" customFormat="false" ht="15" hidden="false" customHeight="true" outlineLevel="0" collapsed="false">
      <c r="G436" s="113"/>
      <c r="H436" s="113"/>
      <c r="I436" s="113"/>
      <c r="K436" s="113"/>
      <c r="L436" s="113"/>
      <c r="M436" s="113"/>
      <c r="O436" s="113"/>
      <c r="P436" s="113"/>
      <c r="Q436" s="113"/>
      <c r="S436" s="113"/>
      <c r="T436" s="113"/>
      <c r="U436" s="113"/>
    </row>
    <row r="437" customFormat="false" ht="15" hidden="false" customHeight="true" outlineLevel="0" collapsed="false">
      <c r="G437" s="113"/>
      <c r="H437" s="113"/>
      <c r="I437" s="113"/>
      <c r="K437" s="113"/>
      <c r="L437" s="113"/>
      <c r="M437" s="113"/>
      <c r="O437" s="113"/>
      <c r="P437" s="113"/>
      <c r="Q437" s="113"/>
      <c r="S437" s="113"/>
      <c r="T437" s="113"/>
      <c r="U437" s="113"/>
    </row>
    <row r="438" customFormat="false" ht="15" hidden="false" customHeight="true" outlineLevel="0" collapsed="false">
      <c r="G438" s="113"/>
      <c r="H438" s="113"/>
      <c r="I438" s="113"/>
      <c r="K438" s="113"/>
      <c r="L438" s="113"/>
      <c r="M438" s="113"/>
      <c r="O438" s="113"/>
      <c r="P438" s="113"/>
      <c r="Q438" s="113"/>
      <c r="S438" s="113"/>
      <c r="T438" s="113"/>
      <c r="U438" s="113"/>
    </row>
    <row r="439" customFormat="false" ht="15" hidden="false" customHeight="true" outlineLevel="0" collapsed="false">
      <c r="G439" s="113"/>
      <c r="H439" s="113"/>
      <c r="I439" s="113"/>
      <c r="K439" s="113"/>
      <c r="L439" s="113"/>
      <c r="M439" s="113"/>
      <c r="O439" s="113"/>
      <c r="P439" s="113"/>
      <c r="Q439" s="113"/>
      <c r="S439" s="113"/>
      <c r="T439" s="113"/>
      <c r="U439" s="113"/>
    </row>
    <row r="440" customFormat="false" ht="15" hidden="false" customHeight="true" outlineLevel="0" collapsed="false">
      <c r="G440" s="113"/>
      <c r="H440" s="113"/>
      <c r="I440" s="113"/>
      <c r="K440" s="113"/>
      <c r="L440" s="113"/>
      <c r="M440" s="113"/>
      <c r="O440" s="113"/>
      <c r="P440" s="113"/>
      <c r="Q440" s="113"/>
      <c r="S440" s="113"/>
      <c r="T440" s="113"/>
      <c r="U440" s="113"/>
    </row>
    <row r="441" customFormat="false" ht="15" hidden="false" customHeight="true" outlineLevel="0" collapsed="false">
      <c r="G441" s="113"/>
      <c r="H441" s="113"/>
      <c r="I441" s="113"/>
      <c r="K441" s="113"/>
      <c r="L441" s="113"/>
      <c r="M441" s="113"/>
      <c r="O441" s="113"/>
      <c r="P441" s="113"/>
      <c r="Q441" s="113"/>
      <c r="S441" s="113"/>
      <c r="T441" s="113"/>
      <c r="U441" s="113"/>
    </row>
    <row r="442" customFormat="false" ht="15" hidden="false" customHeight="true" outlineLevel="0" collapsed="false">
      <c r="G442" s="113"/>
      <c r="H442" s="113"/>
      <c r="I442" s="113"/>
      <c r="K442" s="113"/>
      <c r="L442" s="113"/>
      <c r="M442" s="113"/>
      <c r="O442" s="113"/>
      <c r="P442" s="113"/>
      <c r="Q442" s="113"/>
      <c r="S442" s="113"/>
      <c r="T442" s="113"/>
      <c r="U442" s="113"/>
    </row>
    <row r="443" customFormat="false" ht="15" hidden="false" customHeight="true" outlineLevel="0" collapsed="false">
      <c r="G443" s="113"/>
      <c r="H443" s="113"/>
      <c r="I443" s="113"/>
      <c r="K443" s="113"/>
      <c r="L443" s="113"/>
      <c r="M443" s="113"/>
      <c r="O443" s="113"/>
      <c r="P443" s="113"/>
      <c r="Q443" s="113"/>
      <c r="S443" s="113"/>
      <c r="T443" s="113"/>
      <c r="U443" s="113"/>
    </row>
    <row r="444" customFormat="false" ht="15" hidden="false" customHeight="true" outlineLevel="0" collapsed="false">
      <c r="G444" s="113"/>
      <c r="H444" s="113"/>
      <c r="I444" s="113"/>
      <c r="K444" s="113"/>
      <c r="L444" s="113"/>
      <c r="M444" s="113"/>
      <c r="O444" s="113"/>
      <c r="P444" s="113"/>
      <c r="Q444" s="113"/>
      <c r="S444" s="113"/>
      <c r="T444" s="113"/>
      <c r="U444" s="113"/>
    </row>
    <row r="445" customFormat="false" ht="15" hidden="false" customHeight="true" outlineLevel="0" collapsed="false">
      <c r="G445" s="113"/>
      <c r="H445" s="113"/>
      <c r="I445" s="113"/>
      <c r="K445" s="113"/>
      <c r="L445" s="113"/>
      <c r="M445" s="113"/>
      <c r="O445" s="113"/>
      <c r="P445" s="113"/>
      <c r="Q445" s="113"/>
      <c r="S445" s="113"/>
      <c r="T445" s="113"/>
      <c r="U445" s="113"/>
    </row>
    <row r="446" customFormat="false" ht="15" hidden="false" customHeight="true" outlineLevel="0" collapsed="false">
      <c r="G446" s="113"/>
      <c r="H446" s="113"/>
      <c r="I446" s="113"/>
      <c r="K446" s="113"/>
      <c r="L446" s="113"/>
      <c r="M446" s="113"/>
      <c r="O446" s="113"/>
      <c r="P446" s="113"/>
      <c r="Q446" s="113"/>
      <c r="S446" s="113"/>
      <c r="T446" s="113"/>
      <c r="U446" s="113"/>
    </row>
    <row r="447" customFormat="false" ht="15" hidden="false" customHeight="true" outlineLevel="0" collapsed="false">
      <c r="G447" s="113"/>
      <c r="H447" s="113"/>
      <c r="I447" s="113"/>
      <c r="K447" s="113"/>
      <c r="L447" s="113"/>
      <c r="M447" s="113"/>
      <c r="O447" s="113"/>
      <c r="P447" s="113"/>
      <c r="Q447" s="113"/>
      <c r="S447" s="113"/>
      <c r="T447" s="113"/>
      <c r="U447" s="113"/>
    </row>
    <row r="448" customFormat="false" ht="15" hidden="false" customHeight="true" outlineLevel="0" collapsed="false">
      <c r="G448" s="113"/>
      <c r="H448" s="113"/>
      <c r="I448" s="113"/>
      <c r="K448" s="113"/>
      <c r="L448" s="113"/>
      <c r="M448" s="113"/>
      <c r="O448" s="113"/>
      <c r="P448" s="113"/>
      <c r="Q448" s="113"/>
      <c r="S448" s="113"/>
      <c r="T448" s="113"/>
      <c r="U448" s="113"/>
    </row>
    <row r="449" customFormat="false" ht="15" hidden="false" customHeight="true" outlineLevel="0" collapsed="false">
      <c r="G449" s="113"/>
      <c r="H449" s="113"/>
      <c r="I449" s="113"/>
      <c r="K449" s="113"/>
      <c r="L449" s="113"/>
      <c r="M449" s="113"/>
      <c r="O449" s="113"/>
      <c r="P449" s="113"/>
      <c r="Q449" s="113"/>
      <c r="S449" s="113"/>
      <c r="T449" s="113"/>
      <c r="U449" s="113"/>
    </row>
    <row r="450" customFormat="false" ht="15" hidden="false" customHeight="true" outlineLevel="0" collapsed="false">
      <c r="G450" s="113"/>
      <c r="H450" s="113"/>
      <c r="I450" s="113"/>
      <c r="K450" s="113"/>
      <c r="L450" s="113"/>
      <c r="M450" s="113"/>
      <c r="O450" s="113"/>
      <c r="P450" s="113"/>
      <c r="Q450" s="113"/>
      <c r="S450" s="113"/>
      <c r="T450" s="113"/>
      <c r="U450" s="113"/>
    </row>
    <row r="451" customFormat="false" ht="15" hidden="false" customHeight="true" outlineLevel="0" collapsed="false">
      <c r="G451" s="113"/>
      <c r="H451" s="113"/>
      <c r="I451" s="113"/>
      <c r="K451" s="113"/>
      <c r="L451" s="113"/>
      <c r="M451" s="113"/>
      <c r="O451" s="113"/>
      <c r="P451" s="113"/>
      <c r="Q451" s="113"/>
      <c r="S451" s="113"/>
      <c r="T451" s="113"/>
      <c r="U451" s="113"/>
    </row>
    <row r="452" customFormat="false" ht="15" hidden="false" customHeight="true" outlineLevel="0" collapsed="false">
      <c r="G452" s="113"/>
      <c r="H452" s="113"/>
      <c r="I452" s="113"/>
      <c r="K452" s="113"/>
      <c r="L452" s="113"/>
      <c r="M452" s="113"/>
      <c r="O452" s="113"/>
      <c r="P452" s="113"/>
      <c r="Q452" s="113"/>
      <c r="S452" s="113"/>
      <c r="T452" s="113"/>
      <c r="U452" s="113"/>
    </row>
    <row r="453" customFormat="false" ht="15" hidden="false" customHeight="true" outlineLevel="0" collapsed="false">
      <c r="G453" s="113"/>
      <c r="H453" s="113"/>
      <c r="I453" s="113"/>
      <c r="K453" s="113"/>
      <c r="L453" s="113"/>
      <c r="M453" s="113"/>
      <c r="O453" s="113"/>
      <c r="P453" s="113"/>
      <c r="Q453" s="113"/>
      <c r="S453" s="113"/>
      <c r="T453" s="113"/>
      <c r="U453" s="113"/>
    </row>
    <row r="454" customFormat="false" ht="15" hidden="false" customHeight="true" outlineLevel="0" collapsed="false">
      <c r="G454" s="113"/>
      <c r="H454" s="113"/>
      <c r="I454" s="113"/>
      <c r="K454" s="113"/>
      <c r="L454" s="113"/>
      <c r="M454" s="113"/>
      <c r="O454" s="113"/>
      <c r="P454" s="113"/>
      <c r="Q454" s="113"/>
      <c r="S454" s="113"/>
      <c r="T454" s="113"/>
      <c r="U454" s="113"/>
    </row>
    <row r="455" customFormat="false" ht="15" hidden="false" customHeight="true" outlineLevel="0" collapsed="false">
      <c r="G455" s="113"/>
      <c r="H455" s="113"/>
      <c r="I455" s="113"/>
      <c r="K455" s="113"/>
      <c r="L455" s="113"/>
      <c r="M455" s="113"/>
      <c r="O455" s="113"/>
      <c r="P455" s="113"/>
      <c r="Q455" s="113"/>
      <c r="S455" s="113"/>
      <c r="T455" s="113"/>
      <c r="U455" s="113"/>
    </row>
    <row r="456" customFormat="false" ht="15" hidden="false" customHeight="true" outlineLevel="0" collapsed="false">
      <c r="G456" s="113"/>
      <c r="H456" s="113"/>
      <c r="I456" s="113"/>
      <c r="K456" s="113"/>
      <c r="L456" s="113"/>
      <c r="M456" s="113"/>
      <c r="O456" s="113"/>
      <c r="P456" s="113"/>
      <c r="Q456" s="113"/>
      <c r="S456" s="113"/>
      <c r="T456" s="113"/>
      <c r="U456" s="113"/>
    </row>
    <row r="457" customFormat="false" ht="15" hidden="false" customHeight="true" outlineLevel="0" collapsed="false">
      <c r="G457" s="113"/>
      <c r="H457" s="113"/>
      <c r="I457" s="113"/>
      <c r="K457" s="113"/>
      <c r="L457" s="113"/>
      <c r="M457" s="113"/>
      <c r="O457" s="113"/>
      <c r="P457" s="113"/>
      <c r="Q457" s="113"/>
      <c r="S457" s="113"/>
      <c r="T457" s="113"/>
      <c r="U457" s="113"/>
    </row>
    <row r="458" customFormat="false" ht="15" hidden="false" customHeight="true" outlineLevel="0" collapsed="false">
      <c r="G458" s="113"/>
      <c r="H458" s="113"/>
      <c r="I458" s="113"/>
      <c r="K458" s="113"/>
      <c r="L458" s="113"/>
      <c r="M458" s="113"/>
      <c r="O458" s="113"/>
      <c r="P458" s="113"/>
      <c r="Q458" s="113"/>
      <c r="S458" s="113"/>
      <c r="T458" s="113"/>
      <c r="U458" s="113"/>
    </row>
    <row r="459" customFormat="false" ht="15" hidden="false" customHeight="true" outlineLevel="0" collapsed="false">
      <c r="G459" s="113"/>
      <c r="H459" s="113"/>
      <c r="I459" s="113"/>
      <c r="K459" s="113"/>
      <c r="L459" s="113"/>
      <c r="M459" s="113"/>
      <c r="O459" s="113"/>
      <c r="P459" s="113"/>
      <c r="Q459" s="113"/>
      <c r="S459" s="113"/>
      <c r="T459" s="113"/>
      <c r="U459" s="113"/>
    </row>
    <row r="460" customFormat="false" ht="15" hidden="false" customHeight="true" outlineLevel="0" collapsed="false">
      <c r="G460" s="113"/>
      <c r="H460" s="113"/>
      <c r="I460" s="113"/>
      <c r="K460" s="113"/>
      <c r="L460" s="113"/>
      <c r="M460" s="113"/>
      <c r="O460" s="113"/>
      <c r="P460" s="113"/>
      <c r="Q460" s="113"/>
      <c r="S460" s="113"/>
      <c r="T460" s="113"/>
      <c r="U460" s="113"/>
    </row>
    <row r="461" customFormat="false" ht="15" hidden="false" customHeight="true" outlineLevel="0" collapsed="false">
      <c r="G461" s="113"/>
      <c r="H461" s="113"/>
      <c r="I461" s="113"/>
      <c r="K461" s="113"/>
      <c r="L461" s="113"/>
      <c r="M461" s="113"/>
      <c r="O461" s="113"/>
      <c r="P461" s="113"/>
      <c r="Q461" s="113"/>
      <c r="S461" s="113"/>
      <c r="T461" s="113"/>
      <c r="U461" s="113"/>
    </row>
    <row r="462" customFormat="false" ht="15" hidden="false" customHeight="true" outlineLevel="0" collapsed="false">
      <c r="G462" s="113"/>
      <c r="H462" s="113"/>
      <c r="I462" s="113"/>
      <c r="K462" s="113"/>
      <c r="L462" s="113"/>
      <c r="M462" s="113"/>
      <c r="O462" s="113"/>
      <c r="P462" s="113"/>
      <c r="Q462" s="113"/>
      <c r="S462" s="113"/>
      <c r="T462" s="113"/>
      <c r="U462" s="113"/>
    </row>
    <row r="463" customFormat="false" ht="15" hidden="false" customHeight="true" outlineLevel="0" collapsed="false">
      <c r="G463" s="113"/>
      <c r="H463" s="113"/>
      <c r="I463" s="113"/>
      <c r="K463" s="113"/>
      <c r="L463" s="113"/>
      <c r="M463" s="113"/>
      <c r="O463" s="113"/>
      <c r="P463" s="113"/>
      <c r="Q463" s="113"/>
      <c r="S463" s="113"/>
      <c r="T463" s="113"/>
      <c r="U463" s="113"/>
    </row>
    <row r="464" customFormat="false" ht="15" hidden="false" customHeight="true" outlineLevel="0" collapsed="false">
      <c r="G464" s="113"/>
      <c r="H464" s="113"/>
      <c r="I464" s="113"/>
      <c r="K464" s="113"/>
      <c r="L464" s="113"/>
      <c r="M464" s="113"/>
      <c r="O464" s="113"/>
      <c r="P464" s="113"/>
      <c r="Q464" s="113"/>
      <c r="S464" s="113"/>
      <c r="T464" s="113"/>
      <c r="U464" s="113"/>
    </row>
    <row r="465" customFormat="false" ht="15" hidden="false" customHeight="true" outlineLevel="0" collapsed="false">
      <c r="G465" s="113"/>
      <c r="H465" s="113"/>
      <c r="I465" s="113"/>
      <c r="K465" s="113"/>
      <c r="L465" s="113"/>
      <c r="M465" s="113"/>
      <c r="O465" s="113"/>
      <c r="P465" s="113"/>
      <c r="Q465" s="113"/>
      <c r="S465" s="113"/>
      <c r="T465" s="113"/>
      <c r="U465" s="113"/>
    </row>
    <row r="466" customFormat="false" ht="15" hidden="false" customHeight="true" outlineLevel="0" collapsed="false">
      <c r="G466" s="113"/>
      <c r="H466" s="113"/>
      <c r="I466" s="113"/>
      <c r="K466" s="113"/>
      <c r="L466" s="113"/>
      <c r="M466" s="113"/>
      <c r="O466" s="113"/>
      <c r="P466" s="113"/>
      <c r="Q466" s="113"/>
      <c r="S466" s="113"/>
      <c r="T466" s="113"/>
      <c r="U466" s="113"/>
    </row>
    <row r="467" customFormat="false" ht="15" hidden="false" customHeight="true" outlineLevel="0" collapsed="false">
      <c r="G467" s="113"/>
      <c r="H467" s="113"/>
      <c r="I467" s="113"/>
      <c r="K467" s="113"/>
      <c r="L467" s="113"/>
      <c r="M467" s="113"/>
      <c r="O467" s="113"/>
      <c r="P467" s="113"/>
      <c r="Q467" s="113"/>
      <c r="S467" s="113"/>
      <c r="T467" s="113"/>
      <c r="U467" s="113"/>
    </row>
    <row r="468" customFormat="false" ht="15" hidden="false" customHeight="true" outlineLevel="0" collapsed="false">
      <c r="G468" s="113"/>
      <c r="H468" s="113"/>
      <c r="I468" s="113"/>
      <c r="K468" s="113"/>
      <c r="L468" s="113"/>
      <c r="M468" s="113"/>
      <c r="O468" s="113"/>
      <c r="P468" s="113"/>
      <c r="Q468" s="113"/>
      <c r="S468" s="113"/>
      <c r="T468" s="113"/>
      <c r="U468" s="113"/>
    </row>
    <row r="469" customFormat="false" ht="15" hidden="false" customHeight="true" outlineLevel="0" collapsed="false">
      <c r="G469" s="113"/>
      <c r="H469" s="113"/>
      <c r="I469" s="113"/>
      <c r="K469" s="113"/>
      <c r="L469" s="113"/>
      <c r="M469" s="113"/>
      <c r="O469" s="113"/>
      <c r="P469" s="113"/>
      <c r="Q469" s="113"/>
      <c r="S469" s="113"/>
      <c r="T469" s="113"/>
      <c r="U469" s="113"/>
    </row>
    <row r="470" customFormat="false" ht="15" hidden="false" customHeight="true" outlineLevel="0" collapsed="false">
      <c r="G470" s="113"/>
      <c r="H470" s="113"/>
      <c r="I470" s="113"/>
      <c r="K470" s="113"/>
      <c r="L470" s="113"/>
      <c r="M470" s="113"/>
      <c r="O470" s="113"/>
      <c r="P470" s="113"/>
      <c r="Q470" s="113"/>
      <c r="S470" s="113"/>
      <c r="T470" s="113"/>
      <c r="U470" s="113"/>
    </row>
    <row r="471" customFormat="false" ht="15" hidden="false" customHeight="true" outlineLevel="0" collapsed="false">
      <c r="G471" s="113"/>
      <c r="H471" s="113"/>
      <c r="I471" s="113"/>
      <c r="K471" s="113"/>
      <c r="L471" s="113"/>
      <c r="M471" s="113"/>
      <c r="O471" s="113"/>
      <c r="P471" s="113"/>
      <c r="Q471" s="113"/>
      <c r="S471" s="113"/>
      <c r="T471" s="113"/>
      <c r="U471" s="113"/>
    </row>
    <row r="472" customFormat="false" ht="15" hidden="false" customHeight="true" outlineLevel="0" collapsed="false">
      <c r="G472" s="113"/>
      <c r="H472" s="113"/>
      <c r="I472" s="113"/>
      <c r="K472" s="113"/>
      <c r="L472" s="113"/>
      <c r="M472" s="113"/>
      <c r="O472" s="113"/>
      <c r="P472" s="113"/>
      <c r="Q472" s="113"/>
      <c r="S472" s="113"/>
      <c r="T472" s="113"/>
      <c r="U472" s="113"/>
    </row>
    <row r="473" customFormat="false" ht="15" hidden="false" customHeight="true" outlineLevel="0" collapsed="false">
      <c r="G473" s="113"/>
      <c r="H473" s="113"/>
      <c r="I473" s="113"/>
      <c r="K473" s="113"/>
      <c r="L473" s="113"/>
      <c r="M473" s="113"/>
      <c r="O473" s="113"/>
      <c r="P473" s="113"/>
      <c r="Q473" s="113"/>
      <c r="S473" s="113"/>
      <c r="T473" s="113"/>
      <c r="U473" s="113"/>
    </row>
    <row r="474" customFormat="false" ht="15" hidden="false" customHeight="true" outlineLevel="0" collapsed="false">
      <c r="G474" s="113"/>
      <c r="H474" s="113"/>
      <c r="I474" s="113"/>
      <c r="K474" s="113"/>
      <c r="L474" s="113"/>
      <c r="M474" s="113"/>
      <c r="O474" s="113"/>
      <c r="P474" s="113"/>
      <c r="Q474" s="113"/>
      <c r="S474" s="113"/>
      <c r="T474" s="113"/>
      <c r="U474" s="113"/>
    </row>
    <row r="475" customFormat="false" ht="15" hidden="false" customHeight="true" outlineLevel="0" collapsed="false">
      <c r="G475" s="113"/>
      <c r="H475" s="113"/>
      <c r="I475" s="113"/>
      <c r="K475" s="113"/>
      <c r="L475" s="113"/>
      <c r="M475" s="113"/>
      <c r="O475" s="113"/>
      <c r="P475" s="113"/>
      <c r="Q475" s="113"/>
      <c r="S475" s="113"/>
      <c r="T475" s="113"/>
      <c r="U475" s="113"/>
    </row>
    <row r="476" customFormat="false" ht="15" hidden="false" customHeight="true" outlineLevel="0" collapsed="false">
      <c r="G476" s="113"/>
      <c r="H476" s="113"/>
      <c r="I476" s="113"/>
      <c r="K476" s="113"/>
      <c r="L476" s="113"/>
      <c r="M476" s="113"/>
      <c r="O476" s="113"/>
      <c r="P476" s="113"/>
      <c r="Q476" s="113"/>
      <c r="S476" s="113"/>
      <c r="T476" s="113"/>
      <c r="U476" s="113"/>
    </row>
    <row r="477" customFormat="false" ht="15" hidden="false" customHeight="true" outlineLevel="0" collapsed="false">
      <c r="G477" s="113"/>
      <c r="H477" s="113"/>
      <c r="I477" s="113"/>
      <c r="K477" s="113"/>
      <c r="L477" s="113"/>
      <c r="M477" s="113"/>
      <c r="O477" s="113"/>
      <c r="P477" s="113"/>
      <c r="Q477" s="113"/>
      <c r="S477" s="113"/>
      <c r="T477" s="113"/>
      <c r="U477" s="113"/>
    </row>
    <row r="478" customFormat="false" ht="15" hidden="false" customHeight="true" outlineLevel="0" collapsed="false">
      <c r="G478" s="113"/>
      <c r="H478" s="113"/>
      <c r="I478" s="113"/>
      <c r="K478" s="113"/>
      <c r="L478" s="113"/>
      <c r="M478" s="113"/>
      <c r="O478" s="113"/>
      <c r="P478" s="113"/>
      <c r="Q478" s="113"/>
      <c r="S478" s="113"/>
      <c r="T478" s="113"/>
      <c r="U478" s="113"/>
    </row>
    <row r="479" customFormat="false" ht="15" hidden="false" customHeight="true" outlineLevel="0" collapsed="false">
      <c r="G479" s="113"/>
      <c r="H479" s="113"/>
      <c r="I479" s="113"/>
      <c r="K479" s="113"/>
      <c r="L479" s="113"/>
      <c r="M479" s="113"/>
      <c r="O479" s="113"/>
      <c r="P479" s="113"/>
      <c r="Q479" s="113"/>
      <c r="S479" s="113"/>
      <c r="T479" s="113"/>
      <c r="U479" s="113"/>
    </row>
    <row r="480" customFormat="false" ht="15" hidden="false" customHeight="true" outlineLevel="0" collapsed="false">
      <c r="G480" s="113"/>
      <c r="H480" s="113"/>
      <c r="I480" s="113"/>
      <c r="K480" s="113"/>
      <c r="L480" s="113"/>
      <c r="M480" s="113"/>
      <c r="O480" s="113"/>
      <c r="P480" s="113"/>
      <c r="Q480" s="113"/>
      <c r="S480" s="113"/>
      <c r="T480" s="113"/>
      <c r="U480" s="113"/>
    </row>
    <row r="481" customFormat="false" ht="15" hidden="false" customHeight="true" outlineLevel="0" collapsed="false">
      <c r="G481" s="113"/>
      <c r="H481" s="113"/>
      <c r="I481" s="113"/>
      <c r="K481" s="113"/>
      <c r="L481" s="113"/>
      <c r="M481" s="113"/>
      <c r="O481" s="113"/>
      <c r="P481" s="113"/>
      <c r="Q481" s="113"/>
      <c r="S481" s="113"/>
      <c r="T481" s="113"/>
      <c r="U481" s="113"/>
    </row>
    <row r="482" customFormat="false" ht="15" hidden="false" customHeight="true" outlineLevel="0" collapsed="false">
      <c r="G482" s="113"/>
      <c r="H482" s="113"/>
      <c r="I482" s="113"/>
      <c r="K482" s="113"/>
      <c r="L482" s="113"/>
      <c r="M482" s="113"/>
      <c r="O482" s="113"/>
      <c r="P482" s="113"/>
      <c r="Q482" s="113"/>
      <c r="S482" s="113"/>
      <c r="T482" s="113"/>
      <c r="U482" s="113"/>
    </row>
    <row r="483" customFormat="false" ht="15" hidden="false" customHeight="true" outlineLevel="0" collapsed="false">
      <c r="G483" s="113"/>
      <c r="H483" s="113"/>
      <c r="I483" s="113"/>
      <c r="K483" s="113"/>
      <c r="L483" s="113"/>
      <c r="M483" s="113"/>
      <c r="O483" s="113"/>
      <c r="P483" s="113"/>
      <c r="Q483" s="113"/>
      <c r="S483" s="113"/>
      <c r="T483" s="113"/>
      <c r="U483" s="113"/>
    </row>
    <row r="484" customFormat="false" ht="15" hidden="false" customHeight="true" outlineLevel="0" collapsed="false">
      <c r="G484" s="113"/>
      <c r="H484" s="113"/>
      <c r="I484" s="113"/>
      <c r="K484" s="113"/>
      <c r="L484" s="113"/>
      <c r="M484" s="113"/>
      <c r="O484" s="113"/>
      <c r="P484" s="113"/>
      <c r="Q484" s="113"/>
      <c r="S484" s="113"/>
      <c r="T484" s="113"/>
      <c r="U484" s="113"/>
    </row>
    <row r="485" customFormat="false" ht="15" hidden="false" customHeight="true" outlineLevel="0" collapsed="false">
      <c r="G485" s="113"/>
      <c r="H485" s="113"/>
      <c r="I485" s="113"/>
      <c r="K485" s="113"/>
      <c r="L485" s="113"/>
      <c r="M485" s="113"/>
      <c r="O485" s="113"/>
      <c r="P485" s="113"/>
      <c r="Q485" s="113"/>
      <c r="S485" s="113"/>
      <c r="T485" s="113"/>
      <c r="U485" s="113"/>
    </row>
    <row r="486" customFormat="false" ht="15" hidden="false" customHeight="true" outlineLevel="0" collapsed="false">
      <c r="G486" s="113"/>
      <c r="H486" s="113"/>
      <c r="I486" s="113"/>
      <c r="K486" s="113"/>
      <c r="L486" s="113"/>
      <c r="M486" s="113"/>
      <c r="O486" s="113"/>
      <c r="P486" s="113"/>
      <c r="Q486" s="113"/>
      <c r="S486" s="113"/>
      <c r="T486" s="113"/>
      <c r="U486" s="113"/>
    </row>
    <row r="487" customFormat="false" ht="15" hidden="false" customHeight="true" outlineLevel="0" collapsed="false">
      <c r="G487" s="113"/>
      <c r="H487" s="113"/>
      <c r="I487" s="113"/>
      <c r="K487" s="113"/>
      <c r="L487" s="113"/>
      <c r="M487" s="113"/>
      <c r="O487" s="113"/>
      <c r="P487" s="113"/>
      <c r="Q487" s="113"/>
      <c r="S487" s="113"/>
      <c r="T487" s="113"/>
      <c r="U487" s="113"/>
    </row>
    <row r="488" customFormat="false" ht="15" hidden="false" customHeight="true" outlineLevel="0" collapsed="false">
      <c r="G488" s="113"/>
      <c r="H488" s="113"/>
      <c r="I488" s="113"/>
      <c r="K488" s="113"/>
      <c r="L488" s="113"/>
      <c r="M488" s="113"/>
      <c r="O488" s="113"/>
      <c r="P488" s="113"/>
      <c r="Q488" s="113"/>
      <c r="S488" s="113"/>
      <c r="T488" s="113"/>
      <c r="U488" s="113"/>
    </row>
    <row r="489" customFormat="false" ht="15" hidden="false" customHeight="true" outlineLevel="0" collapsed="false">
      <c r="G489" s="113"/>
      <c r="H489" s="113"/>
      <c r="I489" s="113"/>
      <c r="K489" s="113"/>
      <c r="L489" s="113"/>
      <c r="M489" s="113"/>
      <c r="O489" s="113"/>
      <c r="P489" s="113"/>
      <c r="Q489" s="113"/>
      <c r="S489" s="113"/>
      <c r="T489" s="113"/>
      <c r="U489" s="113"/>
    </row>
    <row r="490" customFormat="false" ht="15" hidden="false" customHeight="true" outlineLevel="0" collapsed="false">
      <c r="G490" s="113"/>
      <c r="H490" s="113"/>
      <c r="I490" s="113"/>
      <c r="K490" s="113"/>
      <c r="L490" s="113"/>
      <c r="M490" s="113"/>
      <c r="O490" s="113"/>
      <c r="P490" s="113"/>
      <c r="Q490" s="113"/>
      <c r="S490" s="113"/>
      <c r="T490" s="113"/>
      <c r="U490" s="113"/>
    </row>
    <row r="491" customFormat="false" ht="15" hidden="false" customHeight="true" outlineLevel="0" collapsed="false">
      <c r="G491" s="113"/>
      <c r="H491" s="113"/>
      <c r="I491" s="113"/>
      <c r="K491" s="113"/>
      <c r="L491" s="113"/>
      <c r="M491" s="113"/>
      <c r="O491" s="113"/>
      <c r="P491" s="113"/>
      <c r="Q491" s="113"/>
      <c r="S491" s="113"/>
      <c r="T491" s="113"/>
      <c r="U491" s="113"/>
    </row>
    <row r="492" customFormat="false" ht="15" hidden="false" customHeight="true" outlineLevel="0" collapsed="false">
      <c r="G492" s="113"/>
      <c r="H492" s="113"/>
      <c r="I492" s="113"/>
      <c r="K492" s="113"/>
      <c r="L492" s="113"/>
      <c r="M492" s="113"/>
      <c r="O492" s="113"/>
      <c r="P492" s="113"/>
      <c r="Q492" s="113"/>
      <c r="S492" s="113"/>
      <c r="T492" s="113"/>
      <c r="U492" s="113"/>
    </row>
    <row r="493" customFormat="false" ht="15" hidden="false" customHeight="true" outlineLevel="0" collapsed="false">
      <c r="G493" s="113"/>
      <c r="H493" s="113"/>
      <c r="I493" s="113"/>
      <c r="K493" s="113"/>
      <c r="L493" s="113"/>
      <c r="M493" s="113"/>
      <c r="O493" s="113"/>
      <c r="P493" s="113"/>
      <c r="Q493" s="113"/>
      <c r="S493" s="113"/>
      <c r="T493" s="113"/>
      <c r="U493" s="113"/>
    </row>
    <row r="494" customFormat="false" ht="15" hidden="false" customHeight="true" outlineLevel="0" collapsed="false">
      <c r="G494" s="113"/>
      <c r="H494" s="113"/>
      <c r="I494" s="113"/>
      <c r="K494" s="113"/>
      <c r="L494" s="113"/>
      <c r="M494" s="113"/>
      <c r="O494" s="113"/>
      <c r="P494" s="113"/>
      <c r="Q494" s="113"/>
      <c r="S494" s="113"/>
      <c r="T494" s="113"/>
      <c r="U494" s="113"/>
    </row>
    <row r="495" customFormat="false" ht="15" hidden="false" customHeight="true" outlineLevel="0" collapsed="false">
      <c r="G495" s="113"/>
      <c r="H495" s="113"/>
      <c r="I495" s="113"/>
      <c r="K495" s="113"/>
      <c r="L495" s="113"/>
      <c r="M495" s="113"/>
      <c r="O495" s="113"/>
      <c r="P495" s="113"/>
      <c r="Q495" s="113"/>
      <c r="S495" s="113"/>
      <c r="T495" s="113"/>
      <c r="U495" s="113"/>
    </row>
    <row r="496" customFormat="false" ht="15" hidden="false" customHeight="true" outlineLevel="0" collapsed="false">
      <c r="G496" s="113"/>
      <c r="H496" s="113"/>
      <c r="I496" s="113"/>
      <c r="K496" s="113"/>
      <c r="L496" s="113"/>
      <c r="M496" s="113"/>
      <c r="O496" s="113"/>
      <c r="P496" s="113"/>
      <c r="Q496" s="113"/>
      <c r="S496" s="113"/>
      <c r="T496" s="113"/>
      <c r="U496" s="113"/>
    </row>
    <row r="497" customFormat="false" ht="15" hidden="false" customHeight="true" outlineLevel="0" collapsed="false">
      <c r="G497" s="113"/>
      <c r="H497" s="113"/>
      <c r="I497" s="113"/>
      <c r="K497" s="113"/>
      <c r="L497" s="113"/>
      <c r="M497" s="113"/>
      <c r="O497" s="113"/>
      <c r="P497" s="113"/>
      <c r="Q497" s="113"/>
      <c r="S497" s="113"/>
      <c r="T497" s="113"/>
      <c r="U497" s="113"/>
    </row>
    <row r="498" customFormat="false" ht="15" hidden="false" customHeight="true" outlineLevel="0" collapsed="false">
      <c r="G498" s="113"/>
      <c r="H498" s="113"/>
      <c r="I498" s="113"/>
      <c r="K498" s="113"/>
      <c r="L498" s="113"/>
      <c r="M498" s="113"/>
      <c r="O498" s="113"/>
      <c r="P498" s="113"/>
      <c r="Q498" s="113"/>
      <c r="S498" s="113"/>
      <c r="T498" s="113"/>
      <c r="U498" s="113"/>
    </row>
    <row r="499" customFormat="false" ht="15" hidden="false" customHeight="true" outlineLevel="0" collapsed="false">
      <c r="G499" s="113"/>
      <c r="H499" s="113"/>
      <c r="I499" s="113"/>
      <c r="K499" s="113"/>
      <c r="L499" s="113"/>
      <c r="M499" s="113"/>
      <c r="O499" s="113"/>
      <c r="P499" s="113"/>
      <c r="Q499" s="113"/>
      <c r="S499" s="113"/>
      <c r="T499" s="113"/>
      <c r="U499" s="113"/>
    </row>
    <row r="500" customFormat="false" ht="15" hidden="false" customHeight="true" outlineLevel="0" collapsed="false">
      <c r="G500" s="113"/>
      <c r="H500" s="113"/>
      <c r="I500" s="113"/>
      <c r="K500" s="113"/>
      <c r="L500" s="113"/>
      <c r="M500" s="113"/>
      <c r="O500" s="113"/>
      <c r="P500" s="113"/>
      <c r="Q500" s="113"/>
      <c r="S500" s="113"/>
      <c r="T500" s="113"/>
      <c r="U500" s="113"/>
    </row>
    <row r="501" customFormat="false" ht="15" hidden="false" customHeight="true" outlineLevel="0" collapsed="false">
      <c r="G501" s="113"/>
      <c r="H501" s="113"/>
      <c r="I501" s="113"/>
      <c r="K501" s="113"/>
      <c r="L501" s="113"/>
      <c r="M501" s="113"/>
      <c r="O501" s="113"/>
      <c r="P501" s="113"/>
      <c r="Q501" s="113"/>
      <c r="S501" s="113"/>
      <c r="T501" s="113"/>
      <c r="U501" s="113"/>
    </row>
    <row r="502" customFormat="false" ht="15" hidden="false" customHeight="true" outlineLevel="0" collapsed="false">
      <c r="G502" s="113"/>
      <c r="H502" s="113"/>
      <c r="I502" s="113"/>
      <c r="K502" s="113"/>
      <c r="L502" s="113"/>
      <c r="M502" s="113"/>
      <c r="O502" s="113"/>
      <c r="P502" s="113"/>
      <c r="Q502" s="113"/>
      <c r="S502" s="113"/>
      <c r="T502" s="113"/>
      <c r="U502" s="113"/>
    </row>
    <row r="503" customFormat="false" ht="15" hidden="false" customHeight="true" outlineLevel="0" collapsed="false">
      <c r="G503" s="113"/>
      <c r="H503" s="113"/>
      <c r="I503" s="113"/>
      <c r="K503" s="113"/>
      <c r="L503" s="113"/>
      <c r="M503" s="113"/>
      <c r="O503" s="113"/>
      <c r="P503" s="113"/>
      <c r="Q503" s="113"/>
      <c r="S503" s="113"/>
      <c r="T503" s="113"/>
      <c r="U503" s="113"/>
    </row>
    <row r="504" customFormat="false" ht="15" hidden="false" customHeight="true" outlineLevel="0" collapsed="false">
      <c r="G504" s="113"/>
      <c r="H504" s="113"/>
      <c r="I504" s="113"/>
      <c r="K504" s="113"/>
      <c r="L504" s="113"/>
      <c r="M504" s="113"/>
      <c r="O504" s="113"/>
      <c r="P504" s="113"/>
      <c r="Q504" s="113"/>
      <c r="S504" s="113"/>
      <c r="T504" s="113"/>
      <c r="U504" s="113"/>
    </row>
    <row r="505" customFormat="false" ht="15" hidden="false" customHeight="true" outlineLevel="0" collapsed="false">
      <c r="G505" s="113"/>
      <c r="H505" s="113"/>
      <c r="I505" s="113"/>
      <c r="K505" s="113"/>
      <c r="L505" s="113"/>
      <c r="M505" s="113"/>
      <c r="O505" s="113"/>
      <c r="P505" s="113"/>
      <c r="Q505" s="113"/>
      <c r="S505" s="113"/>
      <c r="T505" s="113"/>
      <c r="U505" s="113"/>
    </row>
    <row r="506" customFormat="false" ht="15" hidden="false" customHeight="true" outlineLevel="0" collapsed="false">
      <c r="G506" s="113"/>
      <c r="H506" s="113"/>
      <c r="I506" s="113"/>
      <c r="K506" s="113"/>
      <c r="L506" s="113"/>
      <c r="M506" s="113"/>
      <c r="O506" s="113"/>
      <c r="P506" s="113"/>
      <c r="Q506" s="113"/>
      <c r="S506" s="113"/>
      <c r="T506" s="113"/>
      <c r="U506" s="113"/>
    </row>
    <row r="507" customFormat="false" ht="15" hidden="false" customHeight="true" outlineLevel="0" collapsed="false">
      <c r="G507" s="113"/>
      <c r="H507" s="113"/>
      <c r="I507" s="113"/>
      <c r="K507" s="113"/>
      <c r="L507" s="113"/>
      <c r="M507" s="113"/>
      <c r="O507" s="113"/>
      <c r="P507" s="113"/>
      <c r="Q507" s="113"/>
      <c r="S507" s="113"/>
      <c r="T507" s="113"/>
      <c r="U507" s="113"/>
    </row>
    <row r="508" customFormat="false" ht="15" hidden="false" customHeight="true" outlineLevel="0" collapsed="false">
      <c r="G508" s="113"/>
      <c r="H508" s="113"/>
      <c r="I508" s="113"/>
      <c r="K508" s="113"/>
      <c r="L508" s="113"/>
      <c r="M508" s="113"/>
      <c r="O508" s="113"/>
      <c r="P508" s="113"/>
      <c r="Q508" s="113"/>
      <c r="S508" s="113"/>
      <c r="T508" s="113"/>
      <c r="U508" s="113"/>
    </row>
    <row r="509" customFormat="false" ht="15" hidden="false" customHeight="true" outlineLevel="0" collapsed="false">
      <c r="G509" s="113"/>
      <c r="H509" s="113"/>
      <c r="I509" s="113"/>
      <c r="K509" s="113"/>
      <c r="L509" s="113"/>
      <c r="M509" s="113"/>
      <c r="O509" s="113"/>
      <c r="P509" s="113"/>
      <c r="Q509" s="113"/>
      <c r="S509" s="113"/>
      <c r="T509" s="113"/>
      <c r="U509" s="113"/>
    </row>
    <row r="510" customFormat="false" ht="15" hidden="false" customHeight="true" outlineLevel="0" collapsed="false">
      <c r="G510" s="113"/>
      <c r="H510" s="113"/>
      <c r="I510" s="113"/>
      <c r="K510" s="113"/>
      <c r="L510" s="113"/>
      <c r="M510" s="113"/>
      <c r="O510" s="113"/>
      <c r="P510" s="113"/>
      <c r="Q510" s="113"/>
      <c r="S510" s="113"/>
      <c r="T510" s="113"/>
      <c r="U510" s="113"/>
    </row>
    <row r="511" customFormat="false" ht="15" hidden="false" customHeight="true" outlineLevel="0" collapsed="false">
      <c r="G511" s="113"/>
      <c r="H511" s="113"/>
      <c r="I511" s="113"/>
      <c r="K511" s="113"/>
      <c r="L511" s="113"/>
      <c r="M511" s="113"/>
      <c r="O511" s="113"/>
      <c r="P511" s="113"/>
      <c r="Q511" s="113"/>
      <c r="S511" s="113"/>
      <c r="T511" s="113"/>
      <c r="U511" s="113"/>
    </row>
    <row r="512" customFormat="false" ht="15" hidden="false" customHeight="true" outlineLevel="0" collapsed="false">
      <c r="G512" s="113"/>
      <c r="H512" s="113"/>
      <c r="I512" s="113"/>
      <c r="K512" s="113"/>
      <c r="L512" s="113"/>
      <c r="M512" s="113"/>
      <c r="O512" s="113"/>
      <c r="P512" s="113"/>
      <c r="Q512" s="113"/>
      <c r="S512" s="113"/>
      <c r="T512" s="113"/>
      <c r="U512" s="113"/>
    </row>
    <row r="513" customFormat="false" ht="15" hidden="false" customHeight="true" outlineLevel="0" collapsed="false">
      <c r="G513" s="113"/>
      <c r="H513" s="113"/>
      <c r="I513" s="113"/>
      <c r="K513" s="113"/>
      <c r="L513" s="113"/>
      <c r="M513" s="113"/>
      <c r="O513" s="113"/>
      <c r="P513" s="113"/>
      <c r="Q513" s="113"/>
      <c r="S513" s="113"/>
      <c r="T513" s="113"/>
      <c r="U513" s="113"/>
    </row>
    <row r="514" customFormat="false" ht="15" hidden="false" customHeight="true" outlineLevel="0" collapsed="false">
      <c r="G514" s="113"/>
      <c r="H514" s="113"/>
      <c r="I514" s="113"/>
      <c r="K514" s="113"/>
      <c r="L514" s="113"/>
      <c r="M514" s="113"/>
      <c r="O514" s="113"/>
      <c r="P514" s="113"/>
      <c r="Q514" s="113"/>
      <c r="S514" s="113"/>
      <c r="T514" s="113"/>
      <c r="U514" s="113"/>
    </row>
    <row r="515" customFormat="false" ht="15" hidden="false" customHeight="true" outlineLevel="0" collapsed="false">
      <c r="G515" s="113"/>
      <c r="H515" s="113"/>
      <c r="I515" s="113"/>
      <c r="K515" s="113"/>
      <c r="L515" s="113"/>
      <c r="M515" s="113"/>
      <c r="O515" s="113"/>
      <c r="P515" s="113"/>
      <c r="Q515" s="113"/>
      <c r="S515" s="113"/>
      <c r="T515" s="113"/>
      <c r="U515" s="113"/>
    </row>
    <row r="516" customFormat="false" ht="15" hidden="false" customHeight="true" outlineLevel="0" collapsed="false">
      <c r="G516" s="113"/>
      <c r="H516" s="113"/>
      <c r="I516" s="113"/>
      <c r="K516" s="113"/>
      <c r="L516" s="113"/>
      <c r="M516" s="113"/>
      <c r="O516" s="113"/>
      <c r="P516" s="113"/>
      <c r="Q516" s="113"/>
      <c r="S516" s="113"/>
      <c r="T516" s="113"/>
      <c r="U516" s="113"/>
    </row>
    <row r="517" customFormat="false" ht="15" hidden="false" customHeight="true" outlineLevel="0" collapsed="false">
      <c r="G517" s="113"/>
      <c r="H517" s="113"/>
      <c r="I517" s="113"/>
      <c r="K517" s="113"/>
      <c r="L517" s="113"/>
      <c r="M517" s="113"/>
      <c r="O517" s="113"/>
      <c r="P517" s="113"/>
      <c r="Q517" s="113"/>
      <c r="S517" s="113"/>
      <c r="T517" s="113"/>
      <c r="U517" s="113"/>
    </row>
    <row r="518" customFormat="false" ht="15" hidden="false" customHeight="true" outlineLevel="0" collapsed="false">
      <c r="G518" s="113"/>
      <c r="H518" s="113"/>
      <c r="I518" s="113"/>
      <c r="K518" s="113"/>
      <c r="L518" s="113"/>
      <c r="M518" s="113"/>
      <c r="O518" s="113"/>
      <c r="P518" s="113"/>
      <c r="Q518" s="113"/>
      <c r="S518" s="113"/>
      <c r="T518" s="113"/>
      <c r="U518" s="113"/>
    </row>
    <row r="519" customFormat="false" ht="15" hidden="false" customHeight="true" outlineLevel="0" collapsed="false">
      <c r="G519" s="113"/>
      <c r="H519" s="113"/>
      <c r="I519" s="113"/>
      <c r="K519" s="113"/>
      <c r="L519" s="113"/>
      <c r="M519" s="113"/>
      <c r="O519" s="113"/>
      <c r="P519" s="113"/>
      <c r="Q519" s="113"/>
      <c r="S519" s="113"/>
      <c r="T519" s="113"/>
      <c r="U519" s="113"/>
    </row>
    <row r="520" customFormat="false" ht="15" hidden="false" customHeight="true" outlineLevel="0" collapsed="false">
      <c r="G520" s="113"/>
      <c r="H520" s="113"/>
      <c r="I520" s="113"/>
      <c r="K520" s="113"/>
      <c r="L520" s="113"/>
      <c r="M520" s="113"/>
      <c r="O520" s="113"/>
      <c r="P520" s="113"/>
      <c r="Q520" s="113"/>
      <c r="S520" s="113"/>
      <c r="T520" s="113"/>
      <c r="U520" s="113"/>
    </row>
    <row r="521" customFormat="false" ht="15" hidden="false" customHeight="true" outlineLevel="0" collapsed="false">
      <c r="G521" s="113"/>
      <c r="H521" s="113"/>
      <c r="I521" s="113"/>
      <c r="K521" s="113"/>
      <c r="L521" s="113"/>
      <c r="M521" s="113"/>
      <c r="O521" s="113"/>
      <c r="P521" s="113"/>
      <c r="Q521" s="113"/>
      <c r="S521" s="113"/>
      <c r="T521" s="113"/>
      <c r="U521" s="113"/>
    </row>
    <row r="522" customFormat="false" ht="15" hidden="false" customHeight="true" outlineLevel="0" collapsed="false">
      <c r="G522" s="113"/>
      <c r="H522" s="113"/>
      <c r="I522" s="113"/>
      <c r="K522" s="113"/>
      <c r="L522" s="113"/>
      <c r="M522" s="113"/>
      <c r="O522" s="113"/>
      <c r="P522" s="113"/>
      <c r="Q522" s="113"/>
      <c r="S522" s="113"/>
      <c r="T522" s="113"/>
      <c r="U522" s="113"/>
    </row>
    <row r="523" customFormat="false" ht="15" hidden="false" customHeight="true" outlineLevel="0" collapsed="false">
      <c r="G523" s="113"/>
      <c r="H523" s="113"/>
      <c r="I523" s="113"/>
      <c r="K523" s="113"/>
      <c r="L523" s="113"/>
      <c r="M523" s="113"/>
      <c r="O523" s="113"/>
      <c r="P523" s="113"/>
      <c r="Q523" s="113"/>
      <c r="S523" s="113"/>
      <c r="T523" s="113"/>
      <c r="U523" s="113"/>
    </row>
    <row r="524" customFormat="false" ht="15" hidden="false" customHeight="true" outlineLevel="0" collapsed="false">
      <c r="G524" s="113"/>
      <c r="H524" s="113"/>
      <c r="I524" s="113"/>
      <c r="K524" s="113"/>
      <c r="L524" s="113"/>
      <c r="M524" s="113"/>
      <c r="O524" s="113"/>
      <c r="P524" s="113"/>
      <c r="Q524" s="113"/>
      <c r="S524" s="113"/>
      <c r="T524" s="113"/>
      <c r="U524" s="113"/>
    </row>
    <row r="525" customFormat="false" ht="15" hidden="false" customHeight="true" outlineLevel="0" collapsed="false">
      <c r="G525" s="113"/>
      <c r="H525" s="113"/>
      <c r="I525" s="113"/>
      <c r="K525" s="113"/>
      <c r="L525" s="113"/>
      <c r="M525" s="113"/>
      <c r="O525" s="113"/>
      <c r="P525" s="113"/>
      <c r="Q525" s="113"/>
      <c r="S525" s="113"/>
      <c r="T525" s="113"/>
      <c r="U525" s="113"/>
    </row>
    <row r="526" customFormat="false" ht="15" hidden="false" customHeight="true" outlineLevel="0" collapsed="false">
      <c r="G526" s="113"/>
      <c r="H526" s="113"/>
      <c r="I526" s="113"/>
      <c r="K526" s="113"/>
      <c r="L526" s="113"/>
      <c r="M526" s="113"/>
      <c r="O526" s="113"/>
      <c r="P526" s="113"/>
      <c r="Q526" s="113"/>
      <c r="S526" s="113"/>
      <c r="T526" s="113"/>
      <c r="U526" s="113"/>
    </row>
    <row r="527" customFormat="false" ht="15" hidden="false" customHeight="true" outlineLevel="0" collapsed="false">
      <c r="G527" s="113"/>
      <c r="H527" s="113"/>
      <c r="I527" s="113"/>
      <c r="K527" s="113"/>
      <c r="L527" s="113"/>
      <c r="M527" s="113"/>
      <c r="O527" s="113"/>
      <c r="P527" s="113"/>
      <c r="Q527" s="113"/>
      <c r="S527" s="113"/>
      <c r="T527" s="113"/>
      <c r="U527" s="113"/>
    </row>
    <row r="528" customFormat="false" ht="15" hidden="false" customHeight="true" outlineLevel="0" collapsed="false">
      <c r="G528" s="113"/>
      <c r="H528" s="113"/>
      <c r="I528" s="113"/>
      <c r="K528" s="113"/>
      <c r="L528" s="113"/>
      <c r="M528" s="113"/>
      <c r="O528" s="113"/>
      <c r="P528" s="113"/>
      <c r="Q528" s="113"/>
      <c r="S528" s="113"/>
      <c r="T528" s="113"/>
      <c r="U528" s="113"/>
    </row>
    <row r="529" customFormat="false" ht="15" hidden="false" customHeight="true" outlineLevel="0" collapsed="false">
      <c r="G529" s="113"/>
      <c r="H529" s="113"/>
      <c r="I529" s="113"/>
      <c r="K529" s="113"/>
      <c r="L529" s="113"/>
      <c r="M529" s="113"/>
      <c r="O529" s="113"/>
      <c r="P529" s="113"/>
      <c r="Q529" s="113"/>
      <c r="S529" s="113"/>
      <c r="T529" s="113"/>
      <c r="U529" s="113"/>
    </row>
    <row r="530" customFormat="false" ht="15" hidden="false" customHeight="true" outlineLevel="0" collapsed="false">
      <c r="G530" s="113"/>
      <c r="H530" s="113"/>
      <c r="I530" s="113"/>
      <c r="K530" s="113"/>
      <c r="L530" s="113"/>
      <c r="M530" s="113"/>
      <c r="O530" s="113"/>
      <c r="P530" s="113"/>
      <c r="Q530" s="113"/>
      <c r="S530" s="113"/>
      <c r="T530" s="113"/>
      <c r="U530" s="113"/>
    </row>
    <row r="531" customFormat="false" ht="15" hidden="false" customHeight="true" outlineLevel="0" collapsed="false">
      <c r="G531" s="113"/>
      <c r="H531" s="113"/>
      <c r="I531" s="113"/>
      <c r="K531" s="113"/>
      <c r="L531" s="113"/>
      <c r="M531" s="113"/>
      <c r="O531" s="113"/>
      <c r="P531" s="113"/>
      <c r="Q531" s="113"/>
      <c r="S531" s="113"/>
      <c r="T531" s="113"/>
      <c r="U531" s="113"/>
    </row>
    <row r="532" customFormat="false" ht="15" hidden="false" customHeight="true" outlineLevel="0" collapsed="false">
      <c r="G532" s="113"/>
      <c r="H532" s="113"/>
      <c r="I532" s="113"/>
      <c r="K532" s="113"/>
      <c r="L532" s="113"/>
      <c r="M532" s="113"/>
      <c r="O532" s="113"/>
      <c r="P532" s="113"/>
      <c r="Q532" s="113"/>
      <c r="S532" s="113"/>
      <c r="T532" s="113"/>
      <c r="U532" s="113"/>
    </row>
    <row r="533" customFormat="false" ht="15" hidden="false" customHeight="true" outlineLevel="0" collapsed="false">
      <c r="G533" s="113"/>
      <c r="H533" s="113"/>
      <c r="I533" s="113"/>
      <c r="K533" s="113"/>
      <c r="L533" s="113"/>
      <c r="M533" s="113"/>
      <c r="O533" s="113"/>
      <c r="P533" s="113"/>
      <c r="Q533" s="113"/>
      <c r="S533" s="113"/>
      <c r="T533" s="113"/>
      <c r="U533" s="113"/>
    </row>
    <row r="534" customFormat="false" ht="15" hidden="false" customHeight="true" outlineLevel="0" collapsed="false">
      <c r="G534" s="113"/>
      <c r="H534" s="113"/>
      <c r="I534" s="113"/>
      <c r="K534" s="113"/>
      <c r="L534" s="113"/>
      <c r="M534" s="113"/>
      <c r="O534" s="113"/>
      <c r="P534" s="113"/>
      <c r="Q534" s="113"/>
      <c r="S534" s="113"/>
      <c r="T534" s="113"/>
      <c r="U534" s="113"/>
    </row>
    <row r="535" customFormat="false" ht="15" hidden="false" customHeight="true" outlineLevel="0" collapsed="false">
      <c r="G535" s="113"/>
      <c r="H535" s="113"/>
      <c r="I535" s="113"/>
      <c r="K535" s="113"/>
      <c r="L535" s="113"/>
      <c r="M535" s="113"/>
      <c r="O535" s="113"/>
      <c r="P535" s="113"/>
      <c r="Q535" s="113"/>
      <c r="S535" s="113"/>
      <c r="T535" s="113"/>
      <c r="U535" s="113"/>
    </row>
    <row r="536" customFormat="false" ht="15" hidden="false" customHeight="true" outlineLevel="0" collapsed="false">
      <c r="G536" s="113"/>
      <c r="H536" s="113"/>
      <c r="I536" s="113"/>
      <c r="K536" s="113"/>
      <c r="L536" s="113"/>
      <c r="M536" s="113"/>
      <c r="O536" s="113"/>
      <c r="P536" s="113"/>
      <c r="Q536" s="113"/>
      <c r="S536" s="113"/>
      <c r="T536" s="113"/>
      <c r="U536" s="113"/>
    </row>
    <row r="537" customFormat="false" ht="15" hidden="false" customHeight="true" outlineLevel="0" collapsed="false">
      <c r="G537" s="113"/>
      <c r="H537" s="113"/>
      <c r="I537" s="113"/>
      <c r="K537" s="113"/>
      <c r="L537" s="113"/>
      <c r="M537" s="113"/>
      <c r="O537" s="113"/>
      <c r="P537" s="113"/>
      <c r="Q537" s="113"/>
      <c r="S537" s="113"/>
      <c r="T537" s="113"/>
      <c r="U537" s="113"/>
    </row>
    <row r="538" customFormat="false" ht="15" hidden="false" customHeight="true" outlineLevel="0" collapsed="false">
      <c r="G538" s="113"/>
      <c r="H538" s="113"/>
      <c r="I538" s="113"/>
      <c r="K538" s="113"/>
      <c r="L538" s="113"/>
      <c r="M538" s="113"/>
      <c r="O538" s="113"/>
      <c r="P538" s="113"/>
      <c r="Q538" s="113"/>
      <c r="S538" s="113"/>
      <c r="T538" s="113"/>
      <c r="U538" s="113"/>
    </row>
    <row r="539" customFormat="false" ht="15" hidden="false" customHeight="true" outlineLevel="0" collapsed="false">
      <c r="G539" s="113"/>
      <c r="H539" s="113"/>
      <c r="I539" s="113"/>
      <c r="K539" s="113"/>
      <c r="L539" s="113"/>
      <c r="M539" s="113"/>
      <c r="O539" s="113"/>
      <c r="P539" s="113"/>
      <c r="Q539" s="113"/>
      <c r="S539" s="113"/>
      <c r="T539" s="113"/>
      <c r="U539" s="113"/>
    </row>
    <row r="540" customFormat="false" ht="15" hidden="false" customHeight="true" outlineLevel="0" collapsed="false">
      <c r="G540" s="113"/>
      <c r="H540" s="113"/>
      <c r="I540" s="113"/>
      <c r="K540" s="113"/>
      <c r="L540" s="113"/>
      <c r="M540" s="113"/>
      <c r="O540" s="113"/>
      <c r="P540" s="113"/>
      <c r="Q540" s="113"/>
      <c r="S540" s="113"/>
      <c r="T540" s="113"/>
      <c r="U540" s="113"/>
    </row>
    <row r="541" customFormat="false" ht="15" hidden="false" customHeight="true" outlineLevel="0" collapsed="false">
      <c r="G541" s="113"/>
      <c r="H541" s="113"/>
      <c r="I541" s="113"/>
      <c r="K541" s="113"/>
      <c r="L541" s="113"/>
      <c r="M541" s="113"/>
      <c r="O541" s="113"/>
      <c r="P541" s="113"/>
      <c r="Q541" s="113"/>
      <c r="S541" s="113"/>
      <c r="T541" s="113"/>
      <c r="U541" s="113"/>
    </row>
    <row r="542" customFormat="false" ht="15" hidden="false" customHeight="true" outlineLevel="0" collapsed="false">
      <c r="G542" s="113"/>
      <c r="H542" s="113"/>
      <c r="I542" s="113"/>
      <c r="K542" s="113"/>
      <c r="L542" s="113"/>
      <c r="M542" s="113"/>
      <c r="O542" s="113"/>
      <c r="P542" s="113"/>
      <c r="Q542" s="113"/>
      <c r="S542" s="113"/>
      <c r="T542" s="113"/>
      <c r="U542" s="113"/>
    </row>
    <row r="543" customFormat="false" ht="15" hidden="false" customHeight="true" outlineLevel="0" collapsed="false">
      <c r="G543" s="113"/>
      <c r="H543" s="113"/>
      <c r="I543" s="113"/>
      <c r="K543" s="113"/>
      <c r="L543" s="113"/>
      <c r="M543" s="113"/>
      <c r="O543" s="113"/>
      <c r="P543" s="113"/>
      <c r="Q543" s="113"/>
      <c r="S543" s="113"/>
      <c r="T543" s="113"/>
      <c r="U543" s="113"/>
    </row>
    <row r="544" customFormat="false" ht="15" hidden="false" customHeight="true" outlineLevel="0" collapsed="false">
      <c r="G544" s="113"/>
      <c r="H544" s="113"/>
      <c r="I544" s="113"/>
      <c r="K544" s="113"/>
      <c r="L544" s="113"/>
      <c r="M544" s="113"/>
      <c r="O544" s="113"/>
      <c r="P544" s="113"/>
      <c r="Q544" s="113"/>
      <c r="S544" s="113"/>
      <c r="T544" s="113"/>
      <c r="U544" s="113"/>
    </row>
    <row r="545" customFormat="false" ht="15" hidden="false" customHeight="true" outlineLevel="0" collapsed="false">
      <c r="G545" s="113"/>
      <c r="H545" s="113"/>
      <c r="I545" s="113"/>
      <c r="K545" s="113"/>
      <c r="L545" s="113"/>
      <c r="M545" s="113"/>
      <c r="O545" s="113"/>
      <c r="P545" s="113"/>
      <c r="Q545" s="113"/>
      <c r="S545" s="113"/>
      <c r="T545" s="113"/>
      <c r="U545" s="113"/>
    </row>
    <row r="546" customFormat="false" ht="15" hidden="false" customHeight="true" outlineLevel="0" collapsed="false">
      <c r="G546" s="113"/>
      <c r="H546" s="113"/>
      <c r="I546" s="113"/>
      <c r="K546" s="113"/>
      <c r="L546" s="113"/>
      <c r="M546" s="113"/>
      <c r="O546" s="113"/>
      <c r="P546" s="113"/>
      <c r="Q546" s="113"/>
      <c r="S546" s="113"/>
      <c r="T546" s="113"/>
      <c r="U546" s="113"/>
    </row>
    <row r="547" customFormat="false" ht="15" hidden="false" customHeight="true" outlineLevel="0" collapsed="false">
      <c r="G547" s="113"/>
      <c r="H547" s="113"/>
      <c r="I547" s="113"/>
      <c r="K547" s="113"/>
      <c r="L547" s="113"/>
      <c r="M547" s="113"/>
      <c r="O547" s="113"/>
      <c r="P547" s="113"/>
      <c r="Q547" s="113"/>
      <c r="S547" s="113"/>
      <c r="T547" s="113"/>
      <c r="U547" s="113"/>
    </row>
    <row r="548" customFormat="false" ht="15" hidden="false" customHeight="true" outlineLevel="0" collapsed="false">
      <c r="G548" s="113"/>
      <c r="H548" s="113"/>
      <c r="I548" s="113"/>
      <c r="K548" s="113"/>
      <c r="L548" s="113"/>
      <c r="M548" s="113"/>
      <c r="O548" s="113"/>
      <c r="P548" s="113"/>
      <c r="Q548" s="113"/>
      <c r="S548" s="113"/>
      <c r="T548" s="113"/>
      <c r="U548" s="113"/>
    </row>
    <row r="549" customFormat="false" ht="15" hidden="false" customHeight="true" outlineLevel="0" collapsed="false">
      <c r="G549" s="113"/>
      <c r="H549" s="113"/>
      <c r="I549" s="113"/>
      <c r="K549" s="113"/>
      <c r="L549" s="113"/>
      <c r="M549" s="113"/>
      <c r="O549" s="113"/>
      <c r="P549" s="113"/>
      <c r="Q549" s="113"/>
      <c r="S549" s="113"/>
      <c r="T549" s="113"/>
      <c r="U549" s="113"/>
    </row>
    <row r="550" customFormat="false" ht="15" hidden="false" customHeight="true" outlineLevel="0" collapsed="false">
      <c r="G550" s="113"/>
      <c r="H550" s="113"/>
      <c r="I550" s="113"/>
      <c r="K550" s="113"/>
      <c r="L550" s="113"/>
      <c r="M550" s="113"/>
      <c r="O550" s="113"/>
      <c r="P550" s="113"/>
      <c r="Q550" s="113"/>
      <c r="S550" s="113"/>
      <c r="T550" s="113"/>
      <c r="U550" s="113"/>
    </row>
    <row r="551" customFormat="false" ht="15" hidden="false" customHeight="true" outlineLevel="0" collapsed="false">
      <c r="G551" s="113"/>
      <c r="H551" s="113"/>
      <c r="I551" s="113"/>
      <c r="K551" s="113"/>
      <c r="L551" s="113"/>
      <c r="M551" s="113"/>
      <c r="O551" s="113"/>
      <c r="P551" s="113"/>
      <c r="Q551" s="113"/>
      <c r="S551" s="113"/>
      <c r="T551" s="113"/>
      <c r="U551" s="113"/>
    </row>
    <row r="552" customFormat="false" ht="15" hidden="false" customHeight="true" outlineLevel="0" collapsed="false">
      <c r="G552" s="113"/>
      <c r="H552" s="113"/>
      <c r="I552" s="113"/>
      <c r="K552" s="113"/>
      <c r="L552" s="113"/>
      <c r="M552" s="113"/>
      <c r="O552" s="113"/>
      <c r="P552" s="113"/>
      <c r="Q552" s="113"/>
      <c r="S552" s="113"/>
      <c r="T552" s="113"/>
      <c r="U552" s="113"/>
    </row>
    <row r="553" customFormat="false" ht="15" hidden="false" customHeight="true" outlineLevel="0" collapsed="false">
      <c r="G553" s="113"/>
      <c r="H553" s="113"/>
      <c r="I553" s="113"/>
      <c r="K553" s="113"/>
      <c r="L553" s="113"/>
      <c r="M553" s="113"/>
      <c r="O553" s="113"/>
      <c r="P553" s="113"/>
      <c r="Q553" s="113"/>
      <c r="S553" s="113"/>
      <c r="T553" s="113"/>
      <c r="U553" s="113"/>
    </row>
    <row r="554" customFormat="false" ht="15" hidden="false" customHeight="true" outlineLevel="0" collapsed="false">
      <c r="G554" s="113"/>
      <c r="H554" s="113"/>
      <c r="I554" s="113"/>
      <c r="K554" s="113"/>
      <c r="L554" s="113"/>
      <c r="M554" s="113"/>
      <c r="O554" s="113"/>
      <c r="P554" s="113"/>
      <c r="Q554" s="113"/>
      <c r="S554" s="113"/>
      <c r="T554" s="113"/>
      <c r="U554" s="113"/>
    </row>
    <row r="555" customFormat="false" ht="15" hidden="false" customHeight="true" outlineLevel="0" collapsed="false">
      <c r="G555" s="113"/>
      <c r="H555" s="113"/>
      <c r="I555" s="113"/>
      <c r="K555" s="113"/>
      <c r="L555" s="113"/>
      <c r="M555" s="113"/>
      <c r="O555" s="113"/>
      <c r="P555" s="113"/>
      <c r="Q555" s="113"/>
      <c r="S555" s="113"/>
      <c r="T555" s="113"/>
      <c r="U555" s="113"/>
    </row>
    <row r="556" customFormat="false" ht="15" hidden="false" customHeight="true" outlineLevel="0" collapsed="false">
      <c r="G556" s="113"/>
      <c r="H556" s="113"/>
      <c r="I556" s="113"/>
      <c r="K556" s="113"/>
      <c r="L556" s="113"/>
      <c r="M556" s="113"/>
      <c r="O556" s="113"/>
      <c r="P556" s="113"/>
      <c r="Q556" s="113"/>
      <c r="S556" s="113"/>
      <c r="T556" s="113"/>
      <c r="U556" s="113"/>
    </row>
    <row r="557" customFormat="false" ht="15" hidden="false" customHeight="true" outlineLevel="0" collapsed="false">
      <c r="G557" s="113"/>
      <c r="H557" s="113"/>
      <c r="I557" s="113"/>
      <c r="K557" s="113"/>
      <c r="L557" s="113"/>
      <c r="M557" s="113"/>
      <c r="O557" s="113"/>
      <c r="P557" s="113"/>
      <c r="Q557" s="113"/>
      <c r="S557" s="113"/>
      <c r="T557" s="113"/>
      <c r="U557" s="113"/>
    </row>
    <row r="558" customFormat="false" ht="15" hidden="false" customHeight="true" outlineLevel="0" collapsed="false">
      <c r="G558" s="113"/>
      <c r="H558" s="113"/>
      <c r="I558" s="113"/>
      <c r="K558" s="113"/>
      <c r="L558" s="113"/>
      <c r="M558" s="113"/>
      <c r="O558" s="113"/>
      <c r="P558" s="113"/>
      <c r="Q558" s="113"/>
      <c r="S558" s="113"/>
      <c r="T558" s="113"/>
      <c r="U558" s="113"/>
    </row>
    <row r="559" customFormat="false" ht="15" hidden="false" customHeight="true" outlineLevel="0" collapsed="false">
      <c r="G559" s="113"/>
      <c r="H559" s="113"/>
      <c r="I559" s="113"/>
      <c r="K559" s="113"/>
      <c r="L559" s="113"/>
      <c r="M559" s="113"/>
      <c r="O559" s="113"/>
      <c r="P559" s="113"/>
      <c r="Q559" s="113"/>
      <c r="S559" s="113"/>
      <c r="T559" s="113"/>
      <c r="U559" s="113"/>
    </row>
    <row r="560" customFormat="false" ht="15" hidden="false" customHeight="true" outlineLevel="0" collapsed="false">
      <c r="G560" s="113"/>
      <c r="H560" s="113"/>
      <c r="I560" s="113"/>
      <c r="K560" s="113"/>
      <c r="L560" s="113"/>
      <c r="M560" s="113"/>
      <c r="O560" s="113"/>
      <c r="P560" s="113"/>
      <c r="Q560" s="113"/>
      <c r="S560" s="113"/>
      <c r="T560" s="113"/>
      <c r="U560" s="113"/>
    </row>
    <row r="561" customFormat="false" ht="15" hidden="false" customHeight="true" outlineLevel="0" collapsed="false">
      <c r="G561" s="113"/>
      <c r="H561" s="113"/>
      <c r="I561" s="113"/>
      <c r="K561" s="113"/>
      <c r="L561" s="113"/>
      <c r="M561" s="113"/>
      <c r="O561" s="113"/>
      <c r="P561" s="113"/>
      <c r="Q561" s="113"/>
      <c r="S561" s="113"/>
      <c r="T561" s="113"/>
      <c r="U561" s="113"/>
    </row>
    <row r="562" customFormat="false" ht="15" hidden="false" customHeight="true" outlineLevel="0" collapsed="false">
      <c r="G562" s="113"/>
      <c r="H562" s="113"/>
      <c r="I562" s="113"/>
      <c r="K562" s="113"/>
      <c r="L562" s="113"/>
      <c r="M562" s="113"/>
      <c r="O562" s="113"/>
      <c r="P562" s="113"/>
      <c r="Q562" s="113"/>
      <c r="S562" s="113"/>
      <c r="T562" s="113"/>
      <c r="U562" s="113"/>
    </row>
    <row r="563" customFormat="false" ht="15" hidden="false" customHeight="true" outlineLevel="0" collapsed="false">
      <c r="G563" s="113"/>
      <c r="H563" s="113"/>
      <c r="I563" s="113"/>
      <c r="K563" s="113"/>
      <c r="L563" s="113"/>
      <c r="M563" s="113"/>
      <c r="O563" s="113"/>
      <c r="P563" s="113"/>
      <c r="Q563" s="113"/>
      <c r="S563" s="113"/>
      <c r="T563" s="113"/>
      <c r="U563" s="113"/>
    </row>
    <row r="564" customFormat="false" ht="15" hidden="false" customHeight="true" outlineLevel="0" collapsed="false">
      <c r="G564" s="113"/>
      <c r="H564" s="113"/>
      <c r="I564" s="113"/>
      <c r="K564" s="113"/>
      <c r="L564" s="113"/>
      <c r="M564" s="113"/>
      <c r="O564" s="113"/>
      <c r="P564" s="113"/>
      <c r="Q564" s="113"/>
      <c r="S564" s="113"/>
      <c r="T564" s="113"/>
      <c r="U564" s="113"/>
    </row>
    <row r="565" customFormat="false" ht="15" hidden="false" customHeight="true" outlineLevel="0" collapsed="false">
      <c r="G565" s="113"/>
      <c r="H565" s="113"/>
      <c r="I565" s="113"/>
      <c r="K565" s="113"/>
      <c r="L565" s="113"/>
      <c r="M565" s="113"/>
      <c r="O565" s="113"/>
      <c r="P565" s="113"/>
      <c r="Q565" s="113"/>
      <c r="S565" s="113"/>
      <c r="T565" s="113"/>
      <c r="U565" s="113"/>
    </row>
    <row r="566" customFormat="false" ht="15" hidden="false" customHeight="true" outlineLevel="0" collapsed="false">
      <c r="G566" s="113"/>
      <c r="H566" s="113"/>
      <c r="I566" s="113"/>
      <c r="K566" s="113"/>
      <c r="L566" s="113"/>
      <c r="M566" s="113"/>
      <c r="O566" s="113"/>
      <c r="P566" s="113"/>
      <c r="Q566" s="113"/>
      <c r="S566" s="113"/>
      <c r="T566" s="113"/>
      <c r="U566" s="113"/>
    </row>
    <row r="567" customFormat="false" ht="15" hidden="false" customHeight="true" outlineLevel="0" collapsed="false">
      <c r="G567" s="113"/>
      <c r="H567" s="113"/>
      <c r="I567" s="113"/>
      <c r="K567" s="113"/>
      <c r="L567" s="113"/>
      <c r="M567" s="113"/>
      <c r="O567" s="113"/>
      <c r="P567" s="113"/>
      <c r="Q567" s="113"/>
      <c r="S567" s="113"/>
      <c r="T567" s="113"/>
      <c r="U567" s="113"/>
    </row>
    <row r="568" customFormat="false" ht="15" hidden="false" customHeight="true" outlineLevel="0" collapsed="false">
      <c r="G568" s="113"/>
      <c r="H568" s="113"/>
      <c r="I568" s="113"/>
      <c r="K568" s="113"/>
      <c r="L568" s="113"/>
      <c r="M568" s="113"/>
      <c r="O568" s="113"/>
      <c r="P568" s="113"/>
      <c r="Q568" s="113"/>
      <c r="S568" s="113"/>
      <c r="T568" s="113"/>
      <c r="U568" s="113"/>
    </row>
    <row r="569" customFormat="false" ht="15" hidden="false" customHeight="true" outlineLevel="0" collapsed="false">
      <c r="G569" s="113"/>
      <c r="H569" s="113"/>
      <c r="I569" s="113"/>
      <c r="K569" s="113"/>
      <c r="L569" s="113"/>
      <c r="M569" s="113"/>
      <c r="O569" s="113"/>
      <c r="P569" s="113"/>
      <c r="Q569" s="113"/>
      <c r="S569" s="113"/>
      <c r="T569" s="113"/>
      <c r="U569" s="113"/>
    </row>
    <row r="570" customFormat="false" ht="15" hidden="false" customHeight="true" outlineLevel="0" collapsed="false">
      <c r="G570" s="113"/>
      <c r="H570" s="113"/>
      <c r="I570" s="113"/>
      <c r="K570" s="113"/>
      <c r="L570" s="113"/>
      <c r="M570" s="113"/>
      <c r="O570" s="113"/>
      <c r="P570" s="113"/>
      <c r="Q570" s="113"/>
      <c r="S570" s="113"/>
      <c r="T570" s="113"/>
      <c r="U570" s="113"/>
    </row>
    <row r="571" customFormat="false" ht="15" hidden="false" customHeight="true" outlineLevel="0" collapsed="false">
      <c r="G571" s="113"/>
      <c r="H571" s="113"/>
      <c r="I571" s="113"/>
      <c r="K571" s="113"/>
      <c r="L571" s="113"/>
      <c r="M571" s="113"/>
      <c r="O571" s="113"/>
      <c r="P571" s="113"/>
      <c r="Q571" s="113"/>
      <c r="S571" s="113"/>
      <c r="T571" s="113"/>
      <c r="U571" s="113"/>
    </row>
    <row r="572" customFormat="false" ht="15" hidden="false" customHeight="true" outlineLevel="0" collapsed="false">
      <c r="G572" s="113"/>
      <c r="H572" s="113"/>
      <c r="I572" s="113"/>
      <c r="K572" s="113"/>
      <c r="L572" s="113"/>
      <c r="M572" s="113"/>
      <c r="O572" s="113"/>
      <c r="P572" s="113"/>
      <c r="Q572" s="113"/>
      <c r="S572" s="113"/>
      <c r="T572" s="113"/>
      <c r="U572" s="113"/>
    </row>
    <row r="573" customFormat="false" ht="15" hidden="false" customHeight="true" outlineLevel="0" collapsed="false">
      <c r="G573" s="113"/>
      <c r="H573" s="113"/>
      <c r="I573" s="113"/>
      <c r="K573" s="113"/>
      <c r="L573" s="113"/>
      <c r="M573" s="113"/>
      <c r="O573" s="113"/>
      <c r="P573" s="113"/>
      <c r="Q573" s="113"/>
      <c r="S573" s="113"/>
      <c r="T573" s="113"/>
      <c r="U573" s="113"/>
    </row>
    <row r="574" customFormat="false" ht="15" hidden="false" customHeight="true" outlineLevel="0" collapsed="false">
      <c r="G574" s="113"/>
      <c r="H574" s="113"/>
      <c r="I574" s="113"/>
      <c r="K574" s="113"/>
      <c r="L574" s="113"/>
      <c r="M574" s="113"/>
      <c r="O574" s="113"/>
      <c r="P574" s="113"/>
      <c r="Q574" s="113"/>
      <c r="S574" s="113"/>
      <c r="T574" s="113"/>
      <c r="U574" s="113"/>
    </row>
    <row r="575" customFormat="false" ht="15" hidden="false" customHeight="true" outlineLevel="0" collapsed="false">
      <c r="G575" s="113"/>
      <c r="H575" s="113"/>
      <c r="I575" s="113"/>
      <c r="K575" s="113"/>
      <c r="L575" s="113"/>
      <c r="M575" s="113"/>
      <c r="O575" s="113"/>
      <c r="P575" s="113"/>
      <c r="Q575" s="113"/>
      <c r="S575" s="113"/>
      <c r="T575" s="113"/>
      <c r="U575" s="113"/>
    </row>
    <row r="576" customFormat="false" ht="15" hidden="false" customHeight="true" outlineLevel="0" collapsed="false">
      <c r="G576" s="113"/>
      <c r="H576" s="113"/>
      <c r="I576" s="113"/>
      <c r="K576" s="113"/>
      <c r="L576" s="113"/>
      <c r="M576" s="113"/>
      <c r="O576" s="113"/>
      <c r="P576" s="113"/>
      <c r="Q576" s="113"/>
      <c r="S576" s="113"/>
      <c r="T576" s="113"/>
      <c r="U576" s="113"/>
    </row>
    <row r="577" customFormat="false" ht="15" hidden="false" customHeight="true" outlineLevel="0" collapsed="false">
      <c r="G577" s="113"/>
      <c r="H577" s="113"/>
      <c r="I577" s="113"/>
      <c r="K577" s="113"/>
      <c r="L577" s="113"/>
      <c r="M577" s="113"/>
      <c r="O577" s="113"/>
      <c r="P577" s="113"/>
      <c r="Q577" s="113"/>
      <c r="S577" s="113"/>
      <c r="T577" s="113"/>
      <c r="U577" s="113"/>
    </row>
    <row r="578" customFormat="false" ht="15" hidden="false" customHeight="true" outlineLevel="0" collapsed="false">
      <c r="G578" s="113"/>
      <c r="H578" s="113"/>
      <c r="I578" s="113"/>
      <c r="K578" s="113"/>
      <c r="L578" s="113"/>
      <c r="M578" s="113"/>
      <c r="O578" s="113"/>
      <c r="P578" s="113"/>
      <c r="Q578" s="113"/>
      <c r="S578" s="113"/>
      <c r="T578" s="113"/>
      <c r="U578" s="113"/>
    </row>
    <row r="579" customFormat="false" ht="15" hidden="false" customHeight="true" outlineLevel="0" collapsed="false">
      <c r="G579" s="113"/>
      <c r="H579" s="113"/>
      <c r="I579" s="113"/>
      <c r="K579" s="113"/>
      <c r="L579" s="113"/>
      <c r="M579" s="113"/>
      <c r="O579" s="113"/>
      <c r="P579" s="113"/>
      <c r="Q579" s="113"/>
      <c r="S579" s="113"/>
      <c r="T579" s="113"/>
      <c r="U579" s="113"/>
    </row>
    <row r="580" customFormat="false" ht="15" hidden="false" customHeight="true" outlineLevel="0" collapsed="false">
      <c r="G580" s="113"/>
      <c r="H580" s="113"/>
      <c r="I580" s="113"/>
      <c r="K580" s="113"/>
      <c r="L580" s="113"/>
      <c r="M580" s="113"/>
      <c r="O580" s="113"/>
      <c r="P580" s="113"/>
      <c r="Q580" s="113"/>
      <c r="S580" s="113"/>
      <c r="T580" s="113"/>
      <c r="U580" s="113"/>
    </row>
    <row r="581" customFormat="false" ht="15" hidden="false" customHeight="true" outlineLevel="0" collapsed="false">
      <c r="G581" s="113"/>
      <c r="H581" s="113"/>
      <c r="I581" s="113"/>
      <c r="K581" s="113"/>
      <c r="L581" s="113"/>
      <c r="M581" s="113"/>
      <c r="O581" s="113"/>
      <c r="P581" s="113"/>
      <c r="Q581" s="113"/>
      <c r="S581" s="113"/>
      <c r="T581" s="113"/>
      <c r="U581" s="113"/>
    </row>
    <row r="582" customFormat="false" ht="15" hidden="false" customHeight="true" outlineLevel="0" collapsed="false">
      <c r="G582" s="113"/>
      <c r="H582" s="113"/>
      <c r="I582" s="113"/>
      <c r="K582" s="113"/>
      <c r="L582" s="113"/>
      <c r="M582" s="113"/>
      <c r="O582" s="113"/>
      <c r="P582" s="113"/>
      <c r="Q582" s="113"/>
      <c r="S582" s="113"/>
      <c r="T582" s="113"/>
      <c r="U582" s="113"/>
    </row>
    <row r="583" customFormat="false" ht="15" hidden="false" customHeight="true" outlineLevel="0" collapsed="false">
      <c r="G583" s="113"/>
      <c r="H583" s="113"/>
      <c r="I583" s="113"/>
      <c r="K583" s="113"/>
      <c r="L583" s="113"/>
      <c r="M583" s="113"/>
      <c r="O583" s="113"/>
      <c r="P583" s="113"/>
      <c r="Q583" s="113"/>
      <c r="S583" s="113"/>
      <c r="T583" s="113"/>
      <c r="U583" s="113"/>
    </row>
    <row r="584" customFormat="false" ht="15" hidden="false" customHeight="true" outlineLevel="0" collapsed="false">
      <c r="G584" s="113"/>
      <c r="H584" s="113"/>
      <c r="I584" s="113"/>
      <c r="K584" s="113"/>
      <c r="L584" s="113"/>
      <c r="M584" s="113"/>
      <c r="O584" s="113"/>
      <c r="P584" s="113"/>
      <c r="Q584" s="113"/>
      <c r="S584" s="113"/>
      <c r="T584" s="113"/>
      <c r="U584" s="113"/>
    </row>
    <row r="585" customFormat="false" ht="15" hidden="false" customHeight="true" outlineLevel="0" collapsed="false">
      <c r="G585" s="113"/>
      <c r="H585" s="113"/>
      <c r="I585" s="113"/>
      <c r="K585" s="113"/>
      <c r="L585" s="113"/>
      <c r="M585" s="113"/>
      <c r="O585" s="113"/>
      <c r="P585" s="113"/>
      <c r="Q585" s="113"/>
      <c r="S585" s="113"/>
      <c r="T585" s="113"/>
      <c r="U585" s="113"/>
    </row>
    <row r="586" customFormat="false" ht="15" hidden="false" customHeight="true" outlineLevel="0" collapsed="false">
      <c r="G586" s="113"/>
      <c r="H586" s="113"/>
      <c r="I586" s="113"/>
      <c r="K586" s="113"/>
      <c r="L586" s="113"/>
      <c r="M586" s="113"/>
      <c r="O586" s="113"/>
      <c r="P586" s="113"/>
      <c r="Q586" s="113"/>
      <c r="S586" s="113"/>
      <c r="T586" s="113"/>
      <c r="U586" s="113"/>
    </row>
    <row r="587" customFormat="false" ht="15" hidden="false" customHeight="true" outlineLevel="0" collapsed="false">
      <c r="G587" s="113"/>
      <c r="H587" s="113"/>
      <c r="I587" s="113"/>
      <c r="K587" s="113"/>
      <c r="L587" s="113"/>
      <c r="M587" s="113"/>
      <c r="O587" s="113"/>
      <c r="P587" s="113"/>
      <c r="Q587" s="113"/>
      <c r="S587" s="113"/>
      <c r="T587" s="113"/>
      <c r="U587" s="113"/>
    </row>
    <row r="588" customFormat="false" ht="15" hidden="false" customHeight="true" outlineLevel="0" collapsed="false">
      <c r="G588" s="113"/>
      <c r="H588" s="113"/>
      <c r="I588" s="113"/>
      <c r="K588" s="113"/>
      <c r="L588" s="113"/>
      <c r="M588" s="113"/>
      <c r="O588" s="113"/>
      <c r="P588" s="113"/>
      <c r="Q588" s="113"/>
      <c r="S588" s="113"/>
      <c r="T588" s="113"/>
      <c r="U588" s="113"/>
    </row>
    <row r="589" customFormat="false" ht="15" hidden="false" customHeight="true" outlineLevel="0" collapsed="false">
      <c r="G589" s="113"/>
      <c r="H589" s="113"/>
      <c r="I589" s="113"/>
      <c r="K589" s="113"/>
      <c r="L589" s="113"/>
      <c r="M589" s="113"/>
      <c r="O589" s="113"/>
      <c r="P589" s="113"/>
      <c r="Q589" s="113"/>
      <c r="S589" s="113"/>
      <c r="T589" s="113"/>
      <c r="U589" s="113"/>
    </row>
    <row r="590" customFormat="false" ht="15" hidden="false" customHeight="true" outlineLevel="0" collapsed="false">
      <c r="G590" s="113"/>
      <c r="H590" s="113"/>
      <c r="I590" s="113"/>
      <c r="K590" s="113"/>
      <c r="L590" s="113"/>
      <c r="M590" s="113"/>
      <c r="O590" s="113"/>
      <c r="P590" s="113"/>
      <c r="Q590" s="113"/>
      <c r="S590" s="113"/>
      <c r="T590" s="113"/>
      <c r="U590" s="113"/>
    </row>
    <row r="591" customFormat="false" ht="15" hidden="false" customHeight="true" outlineLevel="0" collapsed="false">
      <c r="G591" s="113"/>
      <c r="H591" s="113"/>
      <c r="I591" s="113"/>
      <c r="K591" s="113"/>
      <c r="L591" s="113"/>
      <c r="M591" s="113"/>
      <c r="O591" s="113"/>
      <c r="P591" s="113"/>
      <c r="Q591" s="113"/>
      <c r="S591" s="113"/>
      <c r="T591" s="113"/>
      <c r="U591" s="113"/>
    </row>
    <row r="592" customFormat="false" ht="15" hidden="false" customHeight="true" outlineLevel="0" collapsed="false">
      <c r="G592" s="113"/>
      <c r="H592" s="113"/>
      <c r="I592" s="113"/>
      <c r="K592" s="113"/>
      <c r="L592" s="113"/>
      <c r="M592" s="113"/>
      <c r="O592" s="113"/>
      <c r="P592" s="113"/>
      <c r="Q592" s="113"/>
      <c r="S592" s="113"/>
      <c r="T592" s="113"/>
      <c r="U592" s="113"/>
    </row>
    <row r="593" customFormat="false" ht="15" hidden="false" customHeight="true" outlineLevel="0" collapsed="false">
      <c r="G593" s="113"/>
      <c r="H593" s="113"/>
      <c r="I593" s="113"/>
      <c r="K593" s="113"/>
      <c r="L593" s="113"/>
      <c r="M593" s="113"/>
      <c r="O593" s="113"/>
      <c r="P593" s="113"/>
      <c r="Q593" s="113"/>
      <c r="S593" s="113"/>
      <c r="T593" s="113"/>
      <c r="U593" s="113"/>
    </row>
    <row r="594" customFormat="false" ht="15" hidden="false" customHeight="true" outlineLevel="0" collapsed="false">
      <c r="G594" s="113"/>
      <c r="H594" s="113"/>
      <c r="I594" s="113"/>
      <c r="K594" s="113"/>
      <c r="L594" s="113"/>
      <c r="M594" s="113"/>
      <c r="O594" s="113"/>
      <c r="P594" s="113"/>
      <c r="Q594" s="113"/>
      <c r="S594" s="113"/>
      <c r="T594" s="113"/>
      <c r="U594" s="113"/>
    </row>
    <row r="595" customFormat="false" ht="15" hidden="false" customHeight="true" outlineLevel="0" collapsed="false">
      <c r="G595" s="113"/>
      <c r="H595" s="113"/>
      <c r="I595" s="113"/>
      <c r="K595" s="113"/>
      <c r="L595" s="113"/>
      <c r="M595" s="113"/>
      <c r="O595" s="113"/>
      <c r="P595" s="113"/>
      <c r="Q595" s="113"/>
      <c r="S595" s="113"/>
      <c r="T595" s="113"/>
      <c r="U595" s="113"/>
    </row>
    <row r="596" customFormat="false" ht="15" hidden="false" customHeight="true" outlineLevel="0" collapsed="false">
      <c r="G596" s="113"/>
      <c r="H596" s="113"/>
      <c r="I596" s="113"/>
      <c r="K596" s="113"/>
      <c r="L596" s="113"/>
      <c r="M596" s="113"/>
      <c r="O596" s="113"/>
      <c r="P596" s="113"/>
      <c r="Q596" s="113"/>
      <c r="S596" s="113"/>
      <c r="T596" s="113"/>
      <c r="U596" s="113"/>
    </row>
    <row r="597" customFormat="false" ht="15" hidden="false" customHeight="true" outlineLevel="0" collapsed="false">
      <c r="G597" s="113"/>
      <c r="H597" s="113"/>
      <c r="I597" s="113"/>
      <c r="K597" s="113"/>
      <c r="L597" s="113"/>
      <c r="M597" s="113"/>
      <c r="O597" s="113"/>
      <c r="P597" s="113"/>
      <c r="Q597" s="113"/>
      <c r="S597" s="113"/>
      <c r="T597" s="113"/>
      <c r="U597" s="113"/>
    </row>
    <row r="598" customFormat="false" ht="15" hidden="false" customHeight="true" outlineLevel="0" collapsed="false">
      <c r="G598" s="113"/>
      <c r="H598" s="113"/>
      <c r="I598" s="113"/>
      <c r="K598" s="113"/>
      <c r="L598" s="113"/>
      <c r="M598" s="113"/>
      <c r="O598" s="113"/>
      <c r="P598" s="113"/>
      <c r="Q598" s="113"/>
      <c r="S598" s="113"/>
      <c r="T598" s="113"/>
      <c r="U598" s="113"/>
    </row>
    <row r="599" customFormat="false" ht="15" hidden="false" customHeight="true" outlineLevel="0" collapsed="false">
      <c r="G599" s="113"/>
      <c r="H599" s="113"/>
      <c r="I599" s="113"/>
      <c r="K599" s="113"/>
      <c r="L599" s="113"/>
      <c r="M599" s="113"/>
      <c r="O599" s="113"/>
      <c r="P599" s="113"/>
      <c r="Q599" s="113"/>
      <c r="S599" s="113"/>
      <c r="T599" s="113"/>
      <c r="U599" s="113"/>
    </row>
    <row r="600" customFormat="false" ht="15" hidden="false" customHeight="true" outlineLevel="0" collapsed="false">
      <c r="G600" s="113"/>
      <c r="H600" s="113"/>
      <c r="I600" s="113"/>
      <c r="K600" s="113"/>
      <c r="L600" s="113"/>
      <c r="M600" s="113"/>
      <c r="O600" s="113"/>
      <c r="P600" s="113"/>
      <c r="Q600" s="113"/>
      <c r="S600" s="113"/>
      <c r="T600" s="113"/>
      <c r="U600" s="113"/>
    </row>
    <row r="601" customFormat="false" ht="15" hidden="false" customHeight="true" outlineLevel="0" collapsed="false">
      <c r="G601" s="113"/>
      <c r="H601" s="113"/>
      <c r="I601" s="113"/>
      <c r="K601" s="113"/>
      <c r="L601" s="113"/>
      <c r="M601" s="113"/>
      <c r="O601" s="113"/>
      <c r="P601" s="113"/>
      <c r="Q601" s="113"/>
      <c r="S601" s="113"/>
      <c r="T601" s="113"/>
      <c r="U601" s="113"/>
    </row>
    <row r="602" customFormat="false" ht="15" hidden="false" customHeight="true" outlineLevel="0" collapsed="false">
      <c r="G602" s="113"/>
      <c r="H602" s="113"/>
      <c r="I602" s="113"/>
      <c r="K602" s="113"/>
      <c r="L602" s="113"/>
      <c r="M602" s="113"/>
      <c r="O602" s="113"/>
      <c r="P602" s="113"/>
      <c r="Q602" s="113"/>
      <c r="S602" s="113"/>
      <c r="T602" s="113"/>
      <c r="U602" s="113"/>
    </row>
    <row r="603" customFormat="false" ht="15" hidden="false" customHeight="true" outlineLevel="0" collapsed="false">
      <c r="G603" s="113"/>
      <c r="H603" s="113"/>
      <c r="I603" s="113"/>
      <c r="K603" s="113"/>
      <c r="L603" s="113"/>
      <c r="M603" s="113"/>
      <c r="O603" s="113"/>
      <c r="P603" s="113"/>
      <c r="Q603" s="113"/>
      <c r="S603" s="113"/>
      <c r="T603" s="113"/>
      <c r="U603" s="113"/>
    </row>
    <row r="604" customFormat="false" ht="15" hidden="false" customHeight="true" outlineLevel="0" collapsed="false">
      <c r="G604" s="113"/>
      <c r="H604" s="113"/>
      <c r="I604" s="113"/>
      <c r="K604" s="113"/>
      <c r="L604" s="113"/>
      <c r="M604" s="113"/>
      <c r="O604" s="113"/>
      <c r="P604" s="113"/>
      <c r="Q604" s="113"/>
      <c r="S604" s="113"/>
      <c r="T604" s="113"/>
      <c r="U604" s="113"/>
    </row>
    <row r="605" customFormat="false" ht="15" hidden="false" customHeight="true" outlineLevel="0" collapsed="false">
      <c r="G605" s="113"/>
      <c r="H605" s="113"/>
      <c r="I605" s="113"/>
      <c r="K605" s="113"/>
      <c r="L605" s="113"/>
      <c r="M605" s="113"/>
      <c r="O605" s="113"/>
      <c r="P605" s="113"/>
      <c r="Q605" s="113"/>
      <c r="S605" s="113"/>
      <c r="T605" s="113"/>
      <c r="U605" s="113"/>
    </row>
    <row r="606" customFormat="false" ht="15" hidden="false" customHeight="true" outlineLevel="0" collapsed="false">
      <c r="G606" s="113"/>
      <c r="H606" s="113"/>
      <c r="I606" s="113"/>
      <c r="K606" s="113"/>
      <c r="L606" s="113"/>
      <c r="M606" s="113"/>
      <c r="O606" s="113"/>
      <c r="P606" s="113"/>
      <c r="Q606" s="113"/>
      <c r="S606" s="113"/>
      <c r="T606" s="113"/>
      <c r="U606" s="113"/>
    </row>
    <row r="607" customFormat="false" ht="15" hidden="false" customHeight="true" outlineLevel="0" collapsed="false">
      <c r="G607" s="113"/>
      <c r="H607" s="113"/>
      <c r="I607" s="113"/>
      <c r="K607" s="113"/>
      <c r="L607" s="113"/>
      <c r="M607" s="113"/>
      <c r="O607" s="113"/>
      <c r="P607" s="113"/>
      <c r="Q607" s="113"/>
      <c r="S607" s="113"/>
      <c r="T607" s="113"/>
      <c r="U607" s="113"/>
    </row>
    <row r="608" customFormat="false" ht="15" hidden="false" customHeight="true" outlineLevel="0" collapsed="false">
      <c r="G608" s="113"/>
      <c r="H608" s="113"/>
      <c r="I608" s="113"/>
      <c r="K608" s="113"/>
      <c r="L608" s="113"/>
      <c r="M608" s="113"/>
      <c r="O608" s="113"/>
      <c r="P608" s="113"/>
      <c r="Q608" s="113"/>
      <c r="S608" s="113"/>
      <c r="T608" s="113"/>
      <c r="U608" s="113"/>
    </row>
    <row r="609" customFormat="false" ht="15" hidden="false" customHeight="true" outlineLevel="0" collapsed="false">
      <c r="G609" s="113"/>
      <c r="H609" s="113"/>
      <c r="I609" s="113"/>
      <c r="K609" s="113"/>
      <c r="L609" s="113"/>
      <c r="M609" s="113"/>
      <c r="O609" s="113"/>
      <c r="P609" s="113"/>
      <c r="Q609" s="113"/>
      <c r="S609" s="113"/>
      <c r="T609" s="113"/>
      <c r="U609" s="113"/>
    </row>
    <row r="610" customFormat="false" ht="15" hidden="false" customHeight="true" outlineLevel="0" collapsed="false">
      <c r="G610" s="113"/>
      <c r="H610" s="113"/>
      <c r="I610" s="113"/>
      <c r="K610" s="113"/>
      <c r="L610" s="113"/>
      <c r="M610" s="113"/>
      <c r="O610" s="113"/>
      <c r="P610" s="113"/>
      <c r="Q610" s="113"/>
      <c r="S610" s="113"/>
      <c r="T610" s="113"/>
      <c r="U610" s="113"/>
    </row>
    <row r="611" customFormat="false" ht="15" hidden="false" customHeight="true" outlineLevel="0" collapsed="false">
      <c r="G611" s="113"/>
      <c r="H611" s="113"/>
      <c r="I611" s="113"/>
      <c r="K611" s="113"/>
      <c r="L611" s="113"/>
      <c r="M611" s="113"/>
      <c r="O611" s="113"/>
      <c r="P611" s="113"/>
      <c r="Q611" s="113"/>
      <c r="S611" s="113"/>
      <c r="T611" s="113"/>
      <c r="U611" s="113"/>
    </row>
    <row r="612" customFormat="false" ht="15" hidden="false" customHeight="true" outlineLevel="0" collapsed="false">
      <c r="G612" s="113"/>
      <c r="H612" s="113"/>
      <c r="I612" s="113"/>
      <c r="K612" s="113"/>
      <c r="L612" s="113"/>
      <c r="M612" s="113"/>
      <c r="O612" s="113"/>
      <c r="P612" s="113"/>
      <c r="Q612" s="113"/>
      <c r="S612" s="113"/>
      <c r="T612" s="113"/>
      <c r="U612" s="113"/>
    </row>
    <row r="613" customFormat="false" ht="15" hidden="false" customHeight="true" outlineLevel="0" collapsed="false">
      <c r="G613" s="113"/>
      <c r="H613" s="113"/>
      <c r="I613" s="113"/>
      <c r="K613" s="113"/>
      <c r="L613" s="113"/>
      <c r="M613" s="113"/>
      <c r="O613" s="113"/>
      <c r="P613" s="113"/>
      <c r="Q613" s="113"/>
      <c r="S613" s="113"/>
      <c r="T613" s="113"/>
      <c r="U613" s="113"/>
    </row>
    <row r="614" customFormat="false" ht="15" hidden="false" customHeight="true" outlineLevel="0" collapsed="false">
      <c r="G614" s="113"/>
      <c r="H614" s="113"/>
      <c r="I614" s="113"/>
      <c r="K614" s="113"/>
      <c r="L614" s="113"/>
      <c r="M614" s="113"/>
      <c r="O614" s="113"/>
      <c r="P614" s="113"/>
      <c r="Q614" s="113"/>
      <c r="S614" s="113"/>
      <c r="T614" s="113"/>
      <c r="U614" s="113"/>
    </row>
    <row r="615" customFormat="false" ht="15" hidden="false" customHeight="true" outlineLevel="0" collapsed="false">
      <c r="G615" s="113"/>
      <c r="H615" s="113"/>
      <c r="I615" s="113"/>
      <c r="K615" s="113"/>
      <c r="L615" s="113"/>
      <c r="M615" s="113"/>
      <c r="O615" s="113"/>
      <c r="P615" s="113"/>
      <c r="Q615" s="113"/>
      <c r="S615" s="113"/>
      <c r="T615" s="113"/>
      <c r="U615" s="113"/>
    </row>
    <row r="616" customFormat="false" ht="15" hidden="false" customHeight="true" outlineLevel="0" collapsed="false">
      <c r="G616" s="113"/>
      <c r="H616" s="113"/>
      <c r="I616" s="113"/>
      <c r="K616" s="113"/>
      <c r="L616" s="113"/>
      <c r="M616" s="113"/>
      <c r="O616" s="113"/>
      <c r="P616" s="113"/>
      <c r="Q616" s="113"/>
      <c r="S616" s="113"/>
      <c r="T616" s="113"/>
      <c r="U616" s="113"/>
    </row>
    <row r="617" customFormat="false" ht="15" hidden="false" customHeight="true" outlineLevel="0" collapsed="false">
      <c r="G617" s="113"/>
      <c r="H617" s="113"/>
      <c r="I617" s="113"/>
      <c r="K617" s="113"/>
      <c r="L617" s="113"/>
      <c r="M617" s="113"/>
      <c r="O617" s="113"/>
      <c r="P617" s="113"/>
      <c r="Q617" s="113"/>
      <c r="S617" s="113"/>
      <c r="T617" s="113"/>
      <c r="U617" s="113"/>
    </row>
    <row r="618" customFormat="false" ht="15" hidden="false" customHeight="true" outlineLevel="0" collapsed="false">
      <c r="G618" s="113"/>
      <c r="H618" s="113"/>
      <c r="I618" s="113"/>
      <c r="K618" s="113"/>
      <c r="L618" s="113"/>
      <c r="M618" s="113"/>
      <c r="O618" s="113"/>
      <c r="P618" s="113"/>
      <c r="Q618" s="113"/>
      <c r="S618" s="113"/>
      <c r="T618" s="113"/>
      <c r="U618" s="113"/>
    </row>
    <row r="619" customFormat="false" ht="15" hidden="false" customHeight="true" outlineLevel="0" collapsed="false">
      <c r="G619" s="113"/>
      <c r="H619" s="113"/>
      <c r="I619" s="113"/>
      <c r="K619" s="113"/>
      <c r="L619" s="113"/>
      <c r="M619" s="113"/>
      <c r="O619" s="113"/>
      <c r="P619" s="113"/>
      <c r="Q619" s="113"/>
      <c r="S619" s="113"/>
      <c r="T619" s="113"/>
      <c r="U619" s="113"/>
    </row>
    <row r="620" customFormat="false" ht="15" hidden="false" customHeight="true" outlineLevel="0" collapsed="false">
      <c r="G620" s="113"/>
      <c r="H620" s="113"/>
      <c r="I620" s="113"/>
      <c r="K620" s="113"/>
      <c r="L620" s="113"/>
      <c r="M620" s="113"/>
      <c r="O620" s="113"/>
      <c r="P620" s="113"/>
      <c r="Q620" s="113"/>
      <c r="S620" s="113"/>
      <c r="T620" s="113"/>
      <c r="U620" s="113"/>
    </row>
    <row r="621" customFormat="false" ht="15" hidden="false" customHeight="true" outlineLevel="0" collapsed="false">
      <c r="G621" s="113"/>
      <c r="H621" s="113"/>
      <c r="I621" s="113"/>
      <c r="K621" s="113"/>
      <c r="L621" s="113"/>
      <c r="M621" s="113"/>
      <c r="O621" s="113"/>
      <c r="P621" s="113"/>
      <c r="Q621" s="113"/>
      <c r="S621" s="113"/>
      <c r="T621" s="113"/>
      <c r="U621" s="113"/>
    </row>
    <row r="622" customFormat="false" ht="15" hidden="false" customHeight="true" outlineLevel="0" collapsed="false">
      <c r="G622" s="113"/>
      <c r="H622" s="113"/>
      <c r="I622" s="113"/>
      <c r="K622" s="113"/>
      <c r="L622" s="113"/>
      <c r="M622" s="113"/>
      <c r="O622" s="113"/>
      <c r="P622" s="113"/>
      <c r="Q622" s="113"/>
      <c r="S622" s="113"/>
      <c r="T622" s="113"/>
      <c r="U622" s="113"/>
    </row>
    <row r="623" customFormat="false" ht="15" hidden="false" customHeight="true" outlineLevel="0" collapsed="false">
      <c r="G623" s="113"/>
      <c r="H623" s="113"/>
      <c r="I623" s="113"/>
      <c r="K623" s="113"/>
      <c r="L623" s="113"/>
      <c r="M623" s="113"/>
      <c r="O623" s="113"/>
      <c r="P623" s="113"/>
      <c r="Q623" s="113"/>
      <c r="S623" s="113"/>
      <c r="T623" s="113"/>
      <c r="U623" s="113"/>
    </row>
    <row r="624" customFormat="false" ht="15" hidden="false" customHeight="true" outlineLevel="0" collapsed="false">
      <c r="G624" s="113"/>
      <c r="H624" s="113"/>
      <c r="I624" s="113"/>
      <c r="K624" s="113"/>
      <c r="L624" s="113"/>
      <c r="M624" s="113"/>
      <c r="O624" s="113"/>
      <c r="P624" s="113"/>
      <c r="Q624" s="113"/>
      <c r="S624" s="113"/>
      <c r="T624" s="113"/>
      <c r="U624" s="113"/>
    </row>
    <row r="625" customFormat="false" ht="15" hidden="false" customHeight="true" outlineLevel="0" collapsed="false">
      <c r="G625" s="113"/>
      <c r="H625" s="113"/>
      <c r="I625" s="113"/>
      <c r="K625" s="113"/>
      <c r="L625" s="113"/>
      <c r="M625" s="113"/>
      <c r="O625" s="113"/>
      <c r="P625" s="113"/>
      <c r="Q625" s="113"/>
      <c r="S625" s="113"/>
      <c r="T625" s="113"/>
      <c r="U625" s="113"/>
    </row>
    <row r="626" customFormat="false" ht="15" hidden="false" customHeight="true" outlineLevel="0" collapsed="false">
      <c r="G626" s="113"/>
      <c r="H626" s="113"/>
      <c r="I626" s="113"/>
      <c r="K626" s="113"/>
      <c r="L626" s="113"/>
      <c r="M626" s="113"/>
      <c r="O626" s="113"/>
      <c r="P626" s="113"/>
      <c r="Q626" s="113"/>
      <c r="S626" s="113"/>
      <c r="T626" s="113"/>
      <c r="U626" s="113"/>
    </row>
    <row r="627" customFormat="false" ht="15" hidden="false" customHeight="true" outlineLevel="0" collapsed="false">
      <c r="G627" s="113"/>
      <c r="H627" s="113"/>
      <c r="I627" s="113"/>
      <c r="K627" s="113"/>
      <c r="L627" s="113"/>
      <c r="M627" s="113"/>
      <c r="O627" s="113"/>
      <c r="P627" s="113"/>
      <c r="Q627" s="113"/>
      <c r="S627" s="113"/>
      <c r="T627" s="113"/>
      <c r="U627" s="113"/>
    </row>
    <row r="628" customFormat="false" ht="15" hidden="false" customHeight="true" outlineLevel="0" collapsed="false">
      <c r="G628" s="113"/>
      <c r="H628" s="113"/>
      <c r="I628" s="113"/>
      <c r="K628" s="113"/>
      <c r="L628" s="113"/>
      <c r="M628" s="113"/>
      <c r="O628" s="113"/>
      <c r="P628" s="113"/>
      <c r="Q628" s="113"/>
      <c r="S628" s="113"/>
      <c r="T628" s="113"/>
      <c r="U628" s="113"/>
    </row>
    <row r="629" customFormat="false" ht="15" hidden="false" customHeight="true" outlineLevel="0" collapsed="false">
      <c r="G629" s="113"/>
      <c r="H629" s="113"/>
      <c r="I629" s="113"/>
      <c r="K629" s="113"/>
      <c r="L629" s="113"/>
      <c r="M629" s="113"/>
      <c r="O629" s="113"/>
      <c r="P629" s="113"/>
      <c r="Q629" s="113"/>
      <c r="S629" s="113"/>
      <c r="T629" s="113"/>
      <c r="U629" s="113"/>
    </row>
    <row r="630" customFormat="false" ht="15" hidden="false" customHeight="true" outlineLevel="0" collapsed="false">
      <c r="G630" s="113"/>
      <c r="H630" s="113"/>
      <c r="I630" s="113"/>
      <c r="K630" s="113"/>
      <c r="L630" s="113"/>
      <c r="M630" s="113"/>
      <c r="O630" s="113"/>
      <c r="P630" s="113"/>
      <c r="Q630" s="113"/>
      <c r="S630" s="113"/>
      <c r="T630" s="113"/>
      <c r="U630" s="113"/>
    </row>
    <row r="631" customFormat="false" ht="15" hidden="false" customHeight="true" outlineLevel="0" collapsed="false">
      <c r="G631" s="113"/>
      <c r="H631" s="113"/>
      <c r="I631" s="113"/>
      <c r="K631" s="113"/>
      <c r="L631" s="113"/>
      <c r="M631" s="113"/>
      <c r="O631" s="113"/>
      <c r="P631" s="113"/>
      <c r="Q631" s="113"/>
      <c r="S631" s="113"/>
      <c r="T631" s="113"/>
      <c r="U631" s="113"/>
    </row>
    <row r="632" customFormat="false" ht="15" hidden="false" customHeight="true" outlineLevel="0" collapsed="false">
      <c r="G632" s="113"/>
      <c r="H632" s="113"/>
      <c r="I632" s="113"/>
      <c r="K632" s="113"/>
      <c r="L632" s="113"/>
      <c r="M632" s="113"/>
      <c r="O632" s="113"/>
      <c r="P632" s="113"/>
      <c r="Q632" s="113"/>
      <c r="S632" s="113"/>
      <c r="T632" s="113"/>
      <c r="U632" s="113"/>
    </row>
    <row r="633" customFormat="false" ht="15" hidden="false" customHeight="true" outlineLevel="0" collapsed="false">
      <c r="G633" s="113"/>
      <c r="H633" s="113"/>
      <c r="I633" s="113"/>
      <c r="K633" s="113"/>
      <c r="L633" s="113"/>
      <c r="M633" s="113"/>
      <c r="O633" s="113"/>
      <c r="P633" s="113"/>
      <c r="Q633" s="113"/>
      <c r="S633" s="113"/>
      <c r="T633" s="113"/>
      <c r="U633" s="113"/>
    </row>
    <row r="634" customFormat="false" ht="15" hidden="false" customHeight="true" outlineLevel="0" collapsed="false">
      <c r="G634" s="113"/>
      <c r="H634" s="113"/>
      <c r="I634" s="113"/>
      <c r="K634" s="113"/>
      <c r="L634" s="113"/>
      <c r="M634" s="113"/>
      <c r="O634" s="113"/>
      <c r="P634" s="113"/>
      <c r="Q634" s="113"/>
      <c r="S634" s="113"/>
      <c r="T634" s="113"/>
      <c r="U634" s="113"/>
    </row>
    <row r="635" customFormat="false" ht="15" hidden="false" customHeight="true" outlineLevel="0" collapsed="false">
      <c r="G635" s="113"/>
      <c r="H635" s="113"/>
      <c r="I635" s="113"/>
      <c r="K635" s="113"/>
      <c r="L635" s="113"/>
      <c r="M635" s="113"/>
      <c r="O635" s="113"/>
      <c r="P635" s="113"/>
      <c r="Q635" s="113"/>
      <c r="S635" s="113"/>
      <c r="T635" s="113"/>
      <c r="U635" s="113"/>
    </row>
    <row r="636" customFormat="false" ht="15" hidden="false" customHeight="true" outlineLevel="0" collapsed="false">
      <c r="G636" s="113"/>
      <c r="H636" s="113"/>
      <c r="I636" s="113"/>
      <c r="K636" s="113"/>
      <c r="L636" s="113"/>
      <c r="M636" s="113"/>
      <c r="O636" s="113"/>
      <c r="P636" s="113"/>
      <c r="Q636" s="113"/>
      <c r="S636" s="113"/>
      <c r="T636" s="113"/>
      <c r="U636" s="113"/>
    </row>
    <row r="637" customFormat="false" ht="15" hidden="false" customHeight="true" outlineLevel="0" collapsed="false">
      <c r="G637" s="113"/>
      <c r="H637" s="113"/>
      <c r="I637" s="113"/>
      <c r="K637" s="113"/>
      <c r="L637" s="113"/>
      <c r="M637" s="113"/>
      <c r="O637" s="113"/>
      <c r="P637" s="113"/>
      <c r="Q637" s="113"/>
      <c r="S637" s="113"/>
      <c r="T637" s="113"/>
      <c r="U637" s="113"/>
    </row>
    <row r="638" customFormat="false" ht="15" hidden="false" customHeight="true" outlineLevel="0" collapsed="false">
      <c r="G638" s="113"/>
      <c r="H638" s="113"/>
      <c r="I638" s="113"/>
      <c r="K638" s="113"/>
      <c r="L638" s="113"/>
      <c r="M638" s="113"/>
      <c r="O638" s="113"/>
      <c r="P638" s="113"/>
      <c r="Q638" s="113"/>
      <c r="S638" s="113"/>
      <c r="T638" s="113"/>
      <c r="U638" s="113"/>
    </row>
    <row r="639" customFormat="false" ht="15" hidden="false" customHeight="true" outlineLevel="0" collapsed="false">
      <c r="G639" s="113"/>
      <c r="H639" s="113"/>
      <c r="I639" s="113"/>
      <c r="K639" s="113"/>
      <c r="L639" s="113"/>
      <c r="M639" s="113"/>
      <c r="O639" s="113"/>
      <c r="P639" s="113"/>
      <c r="Q639" s="113"/>
      <c r="S639" s="113"/>
      <c r="T639" s="113"/>
      <c r="U639" s="113"/>
    </row>
    <row r="640" customFormat="false" ht="15" hidden="false" customHeight="true" outlineLevel="0" collapsed="false">
      <c r="G640" s="113"/>
      <c r="H640" s="113"/>
      <c r="I640" s="113"/>
      <c r="K640" s="113"/>
      <c r="L640" s="113"/>
      <c r="M640" s="113"/>
      <c r="O640" s="113"/>
      <c r="P640" s="113"/>
      <c r="Q640" s="113"/>
      <c r="S640" s="113"/>
      <c r="T640" s="113"/>
      <c r="U640" s="113"/>
    </row>
    <row r="641" customFormat="false" ht="15" hidden="false" customHeight="true" outlineLevel="0" collapsed="false">
      <c r="G641" s="113"/>
      <c r="H641" s="113"/>
      <c r="I641" s="113"/>
      <c r="K641" s="113"/>
      <c r="L641" s="113"/>
      <c r="M641" s="113"/>
      <c r="O641" s="113"/>
      <c r="P641" s="113"/>
      <c r="Q641" s="113"/>
      <c r="S641" s="113"/>
      <c r="T641" s="113"/>
      <c r="U641" s="113"/>
    </row>
    <row r="642" customFormat="false" ht="15" hidden="false" customHeight="true" outlineLevel="0" collapsed="false">
      <c r="G642" s="113"/>
      <c r="H642" s="113"/>
      <c r="I642" s="113"/>
      <c r="K642" s="113"/>
      <c r="L642" s="113"/>
      <c r="M642" s="113"/>
      <c r="O642" s="113"/>
      <c r="P642" s="113"/>
      <c r="Q642" s="113"/>
      <c r="S642" s="113"/>
      <c r="T642" s="113"/>
      <c r="U642" s="113"/>
    </row>
    <row r="643" customFormat="false" ht="15" hidden="false" customHeight="true" outlineLevel="0" collapsed="false">
      <c r="G643" s="113"/>
      <c r="H643" s="113"/>
      <c r="I643" s="113"/>
      <c r="K643" s="113"/>
      <c r="L643" s="113"/>
      <c r="M643" s="113"/>
      <c r="O643" s="113"/>
      <c r="P643" s="113"/>
      <c r="Q643" s="113"/>
      <c r="S643" s="113"/>
      <c r="T643" s="113"/>
      <c r="U643" s="113"/>
    </row>
    <row r="644" customFormat="false" ht="15" hidden="false" customHeight="true" outlineLevel="0" collapsed="false">
      <c r="G644" s="113"/>
      <c r="H644" s="113"/>
      <c r="I644" s="113"/>
      <c r="K644" s="113"/>
      <c r="L644" s="113"/>
      <c r="M644" s="113"/>
      <c r="O644" s="113"/>
      <c r="P644" s="113"/>
      <c r="Q644" s="113"/>
      <c r="S644" s="113"/>
      <c r="T644" s="113"/>
      <c r="U644" s="113"/>
    </row>
    <row r="645" customFormat="false" ht="15" hidden="false" customHeight="true" outlineLevel="0" collapsed="false">
      <c r="G645" s="113"/>
      <c r="H645" s="113"/>
      <c r="I645" s="113"/>
      <c r="K645" s="113"/>
      <c r="L645" s="113"/>
      <c r="M645" s="113"/>
      <c r="O645" s="113"/>
      <c r="P645" s="113"/>
      <c r="Q645" s="113"/>
      <c r="S645" s="113"/>
      <c r="T645" s="113"/>
      <c r="U645" s="113"/>
    </row>
    <row r="646" customFormat="false" ht="15" hidden="false" customHeight="true" outlineLevel="0" collapsed="false">
      <c r="G646" s="113"/>
      <c r="H646" s="113"/>
      <c r="I646" s="113"/>
      <c r="K646" s="113"/>
      <c r="L646" s="113"/>
      <c r="M646" s="113"/>
      <c r="O646" s="113"/>
      <c r="P646" s="113"/>
      <c r="Q646" s="113"/>
      <c r="S646" s="113"/>
      <c r="T646" s="113"/>
      <c r="U646" s="113"/>
    </row>
    <row r="647" customFormat="false" ht="15" hidden="false" customHeight="true" outlineLevel="0" collapsed="false">
      <c r="G647" s="113"/>
      <c r="H647" s="113"/>
      <c r="I647" s="113"/>
      <c r="K647" s="113"/>
      <c r="L647" s="113"/>
      <c r="M647" s="113"/>
      <c r="O647" s="113"/>
      <c r="P647" s="113"/>
      <c r="Q647" s="113"/>
      <c r="S647" s="113"/>
      <c r="T647" s="113"/>
      <c r="U647" s="113"/>
    </row>
    <row r="648" customFormat="false" ht="15" hidden="false" customHeight="true" outlineLevel="0" collapsed="false">
      <c r="G648" s="113"/>
      <c r="H648" s="113"/>
      <c r="I648" s="113"/>
      <c r="K648" s="113"/>
      <c r="L648" s="113"/>
      <c r="M648" s="113"/>
      <c r="O648" s="113"/>
      <c r="P648" s="113"/>
      <c r="Q648" s="113"/>
      <c r="S648" s="113"/>
      <c r="T648" s="113"/>
      <c r="U648" s="113"/>
    </row>
    <row r="649" customFormat="false" ht="15" hidden="false" customHeight="true" outlineLevel="0" collapsed="false">
      <c r="G649" s="113"/>
      <c r="H649" s="113"/>
      <c r="I649" s="113"/>
      <c r="K649" s="113"/>
      <c r="L649" s="113"/>
      <c r="M649" s="113"/>
      <c r="O649" s="113"/>
      <c r="P649" s="113"/>
      <c r="Q649" s="113"/>
      <c r="S649" s="113"/>
      <c r="T649" s="113"/>
      <c r="U649" s="113"/>
    </row>
    <row r="650" customFormat="false" ht="15" hidden="false" customHeight="true" outlineLevel="0" collapsed="false">
      <c r="G650" s="113"/>
      <c r="H650" s="113"/>
      <c r="I650" s="113"/>
      <c r="K650" s="113"/>
      <c r="L650" s="113"/>
      <c r="M650" s="113"/>
      <c r="O650" s="113"/>
      <c r="P650" s="113"/>
      <c r="Q650" s="113"/>
      <c r="S650" s="113"/>
      <c r="T650" s="113"/>
      <c r="U650" s="113"/>
    </row>
    <row r="651" customFormat="false" ht="15" hidden="false" customHeight="true" outlineLevel="0" collapsed="false">
      <c r="G651" s="113"/>
      <c r="H651" s="113"/>
      <c r="I651" s="113"/>
      <c r="K651" s="113"/>
      <c r="L651" s="113"/>
      <c r="M651" s="113"/>
      <c r="O651" s="113"/>
      <c r="P651" s="113"/>
      <c r="Q651" s="113"/>
      <c r="S651" s="113"/>
      <c r="T651" s="113"/>
      <c r="U651" s="113"/>
    </row>
    <row r="652" customFormat="false" ht="15" hidden="false" customHeight="true" outlineLevel="0" collapsed="false">
      <c r="G652" s="113"/>
      <c r="H652" s="113"/>
      <c r="I652" s="113"/>
      <c r="K652" s="113"/>
      <c r="L652" s="113"/>
      <c r="M652" s="113"/>
      <c r="O652" s="113"/>
      <c r="P652" s="113"/>
      <c r="Q652" s="113"/>
      <c r="S652" s="113"/>
      <c r="T652" s="113"/>
      <c r="U652" s="113"/>
    </row>
    <row r="653" customFormat="false" ht="15" hidden="false" customHeight="true" outlineLevel="0" collapsed="false">
      <c r="G653" s="113"/>
      <c r="H653" s="113"/>
      <c r="I653" s="113"/>
      <c r="K653" s="113"/>
      <c r="L653" s="113"/>
      <c r="M653" s="113"/>
      <c r="O653" s="113"/>
      <c r="P653" s="113"/>
      <c r="Q653" s="113"/>
      <c r="S653" s="113"/>
      <c r="T653" s="113"/>
      <c r="U653" s="113"/>
    </row>
    <row r="654" customFormat="false" ht="15" hidden="false" customHeight="true" outlineLevel="0" collapsed="false">
      <c r="G654" s="113"/>
      <c r="H654" s="113"/>
      <c r="I654" s="113"/>
      <c r="K654" s="113"/>
      <c r="L654" s="113"/>
      <c r="M654" s="113"/>
      <c r="O654" s="113"/>
      <c r="P654" s="113"/>
      <c r="Q654" s="113"/>
      <c r="S654" s="113"/>
      <c r="T654" s="113"/>
      <c r="U654" s="113"/>
    </row>
    <row r="655" customFormat="false" ht="15" hidden="false" customHeight="true" outlineLevel="0" collapsed="false">
      <c r="G655" s="113"/>
      <c r="H655" s="113"/>
      <c r="I655" s="113"/>
      <c r="K655" s="113"/>
      <c r="L655" s="113"/>
      <c r="M655" s="113"/>
      <c r="O655" s="113"/>
      <c r="P655" s="113"/>
      <c r="Q655" s="113"/>
      <c r="S655" s="113"/>
      <c r="T655" s="113"/>
      <c r="U655" s="113"/>
    </row>
    <row r="656" customFormat="false" ht="15" hidden="false" customHeight="true" outlineLevel="0" collapsed="false">
      <c r="G656" s="113"/>
      <c r="H656" s="113"/>
      <c r="I656" s="113"/>
      <c r="K656" s="113"/>
      <c r="L656" s="113"/>
      <c r="M656" s="113"/>
      <c r="O656" s="113"/>
      <c r="P656" s="113"/>
      <c r="Q656" s="113"/>
      <c r="S656" s="113"/>
      <c r="T656" s="113"/>
      <c r="U656" s="113"/>
    </row>
    <row r="657" customFormat="false" ht="15" hidden="false" customHeight="true" outlineLevel="0" collapsed="false">
      <c r="G657" s="113"/>
      <c r="H657" s="113"/>
      <c r="I657" s="113"/>
      <c r="K657" s="113"/>
      <c r="L657" s="113"/>
      <c r="M657" s="113"/>
      <c r="O657" s="113"/>
      <c r="P657" s="113"/>
      <c r="Q657" s="113"/>
      <c r="S657" s="113"/>
      <c r="T657" s="113"/>
      <c r="U657" s="113"/>
    </row>
    <row r="658" customFormat="false" ht="15" hidden="false" customHeight="true" outlineLevel="0" collapsed="false">
      <c r="G658" s="113"/>
      <c r="H658" s="113"/>
      <c r="I658" s="113"/>
      <c r="K658" s="113"/>
      <c r="L658" s="113"/>
      <c r="M658" s="113"/>
      <c r="O658" s="113"/>
      <c r="P658" s="113"/>
      <c r="Q658" s="113"/>
      <c r="S658" s="113"/>
      <c r="T658" s="113"/>
      <c r="U658" s="113"/>
    </row>
    <row r="659" customFormat="false" ht="15" hidden="false" customHeight="true" outlineLevel="0" collapsed="false">
      <c r="G659" s="113"/>
      <c r="H659" s="113"/>
      <c r="I659" s="113"/>
      <c r="K659" s="113"/>
      <c r="L659" s="113"/>
      <c r="M659" s="113"/>
      <c r="O659" s="113"/>
      <c r="P659" s="113"/>
      <c r="Q659" s="113"/>
      <c r="S659" s="113"/>
      <c r="T659" s="113"/>
      <c r="U659" s="113"/>
    </row>
    <row r="660" customFormat="false" ht="15" hidden="false" customHeight="true" outlineLevel="0" collapsed="false">
      <c r="G660" s="113"/>
      <c r="H660" s="113"/>
      <c r="I660" s="113"/>
      <c r="K660" s="113"/>
      <c r="L660" s="113"/>
      <c r="M660" s="113"/>
      <c r="O660" s="113"/>
      <c r="P660" s="113"/>
      <c r="Q660" s="113"/>
      <c r="S660" s="113"/>
      <c r="T660" s="113"/>
      <c r="U660" s="113"/>
    </row>
    <row r="661" customFormat="false" ht="15" hidden="false" customHeight="true" outlineLevel="0" collapsed="false">
      <c r="G661" s="113"/>
      <c r="H661" s="113"/>
      <c r="I661" s="113"/>
      <c r="K661" s="113"/>
      <c r="L661" s="113"/>
      <c r="M661" s="113"/>
      <c r="O661" s="113"/>
      <c r="P661" s="113"/>
      <c r="Q661" s="113"/>
      <c r="S661" s="113"/>
      <c r="T661" s="113"/>
      <c r="U661" s="113"/>
    </row>
    <row r="662" customFormat="false" ht="15" hidden="false" customHeight="true" outlineLevel="0" collapsed="false">
      <c r="G662" s="113"/>
      <c r="H662" s="113"/>
      <c r="I662" s="113"/>
      <c r="K662" s="113"/>
      <c r="L662" s="113"/>
      <c r="M662" s="113"/>
      <c r="O662" s="113"/>
      <c r="P662" s="113"/>
      <c r="Q662" s="113"/>
      <c r="S662" s="113"/>
      <c r="T662" s="113"/>
      <c r="U662" s="113"/>
    </row>
    <row r="663" customFormat="false" ht="15" hidden="false" customHeight="true" outlineLevel="0" collapsed="false">
      <c r="G663" s="113"/>
      <c r="H663" s="113"/>
      <c r="I663" s="113"/>
      <c r="K663" s="113"/>
      <c r="L663" s="113"/>
      <c r="M663" s="113"/>
      <c r="O663" s="113"/>
      <c r="P663" s="113"/>
      <c r="Q663" s="113"/>
      <c r="S663" s="113"/>
      <c r="T663" s="113"/>
      <c r="U663" s="113"/>
    </row>
    <row r="664" customFormat="false" ht="15" hidden="false" customHeight="true" outlineLevel="0" collapsed="false">
      <c r="G664" s="113"/>
      <c r="H664" s="113"/>
      <c r="I664" s="113"/>
      <c r="K664" s="113"/>
      <c r="L664" s="113"/>
      <c r="M664" s="113"/>
      <c r="O664" s="113"/>
      <c r="P664" s="113"/>
      <c r="Q664" s="113"/>
      <c r="S664" s="113"/>
      <c r="T664" s="113"/>
      <c r="U664" s="113"/>
    </row>
    <row r="665" customFormat="false" ht="15" hidden="false" customHeight="true" outlineLevel="0" collapsed="false">
      <c r="G665" s="113"/>
      <c r="H665" s="113"/>
      <c r="I665" s="113"/>
      <c r="K665" s="113"/>
      <c r="L665" s="113"/>
      <c r="M665" s="113"/>
      <c r="O665" s="113"/>
      <c r="P665" s="113"/>
      <c r="Q665" s="113"/>
      <c r="S665" s="113"/>
      <c r="T665" s="113"/>
      <c r="U665" s="113"/>
    </row>
    <row r="666" customFormat="false" ht="15" hidden="false" customHeight="true" outlineLevel="0" collapsed="false">
      <c r="G666" s="113"/>
      <c r="H666" s="113"/>
      <c r="I666" s="113"/>
      <c r="K666" s="113"/>
      <c r="L666" s="113"/>
      <c r="M666" s="113"/>
      <c r="O666" s="113"/>
      <c r="P666" s="113"/>
      <c r="Q666" s="113"/>
      <c r="S666" s="113"/>
      <c r="T666" s="113"/>
      <c r="U666" s="113"/>
    </row>
    <row r="667" customFormat="false" ht="15" hidden="false" customHeight="true" outlineLevel="0" collapsed="false">
      <c r="G667" s="113"/>
      <c r="H667" s="113"/>
      <c r="I667" s="113"/>
      <c r="K667" s="113"/>
      <c r="L667" s="113"/>
      <c r="M667" s="113"/>
      <c r="O667" s="113"/>
      <c r="P667" s="113"/>
      <c r="Q667" s="113"/>
      <c r="S667" s="113"/>
      <c r="T667" s="113"/>
      <c r="U667" s="113"/>
    </row>
    <row r="668" customFormat="false" ht="15" hidden="false" customHeight="true" outlineLevel="0" collapsed="false">
      <c r="G668" s="113"/>
      <c r="H668" s="113"/>
      <c r="I668" s="113"/>
      <c r="K668" s="113"/>
      <c r="L668" s="113"/>
      <c r="M668" s="113"/>
      <c r="O668" s="113"/>
      <c r="P668" s="113"/>
      <c r="Q668" s="113"/>
      <c r="S668" s="113"/>
      <c r="T668" s="113"/>
      <c r="U668" s="113"/>
    </row>
    <row r="669" customFormat="false" ht="15" hidden="false" customHeight="true" outlineLevel="0" collapsed="false">
      <c r="G669" s="113"/>
      <c r="H669" s="113"/>
      <c r="I669" s="113"/>
      <c r="K669" s="113"/>
      <c r="L669" s="113"/>
      <c r="M669" s="113"/>
      <c r="O669" s="113"/>
      <c r="P669" s="113"/>
      <c r="Q669" s="113"/>
      <c r="S669" s="113"/>
      <c r="T669" s="113"/>
      <c r="U669" s="113"/>
    </row>
    <row r="670" customFormat="false" ht="15" hidden="false" customHeight="true" outlineLevel="0" collapsed="false">
      <c r="G670" s="113"/>
      <c r="H670" s="113"/>
      <c r="I670" s="113"/>
      <c r="K670" s="113"/>
      <c r="L670" s="113"/>
      <c r="M670" s="113"/>
      <c r="O670" s="113"/>
      <c r="P670" s="113"/>
      <c r="Q670" s="113"/>
      <c r="S670" s="113"/>
      <c r="T670" s="113"/>
      <c r="U670" s="113"/>
    </row>
    <row r="671" customFormat="false" ht="15" hidden="false" customHeight="true" outlineLevel="0" collapsed="false">
      <c r="G671" s="113"/>
      <c r="H671" s="113"/>
      <c r="I671" s="113"/>
      <c r="K671" s="113"/>
      <c r="L671" s="113"/>
      <c r="M671" s="113"/>
      <c r="O671" s="113"/>
      <c r="P671" s="113"/>
      <c r="Q671" s="113"/>
      <c r="S671" s="113"/>
      <c r="T671" s="113"/>
      <c r="U671" s="113"/>
    </row>
    <row r="672" customFormat="false" ht="15" hidden="false" customHeight="true" outlineLevel="0" collapsed="false">
      <c r="G672" s="113"/>
      <c r="H672" s="113"/>
      <c r="I672" s="113"/>
      <c r="K672" s="113"/>
      <c r="L672" s="113"/>
      <c r="M672" s="113"/>
      <c r="O672" s="113"/>
      <c r="P672" s="113"/>
      <c r="Q672" s="113"/>
      <c r="S672" s="113"/>
      <c r="T672" s="113"/>
      <c r="U672" s="113"/>
    </row>
    <row r="673" customFormat="false" ht="15" hidden="false" customHeight="true" outlineLevel="0" collapsed="false">
      <c r="G673" s="113"/>
      <c r="H673" s="113"/>
      <c r="I673" s="113"/>
      <c r="K673" s="113"/>
      <c r="L673" s="113"/>
      <c r="M673" s="113"/>
      <c r="O673" s="113"/>
      <c r="P673" s="113"/>
      <c r="Q673" s="113"/>
      <c r="S673" s="113"/>
      <c r="T673" s="113"/>
      <c r="U673" s="113"/>
    </row>
    <row r="674" customFormat="false" ht="15" hidden="false" customHeight="true" outlineLevel="0" collapsed="false">
      <c r="G674" s="113"/>
      <c r="H674" s="113"/>
      <c r="I674" s="113"/>
      <c r="K674" s="113"/>
      <c r="L674" s="113"/>
      <c r="M674" s="113"/>
      <c r="O674" s="113"/>
      <c r="P674" s="113"/>
      <c r="Q674" s="113"/>
      <c r="S674" s="113"/>
      <c r="T674" s="113"/>
      <c r="U674" s="113"/>
    </row>
    <row r="675" customFormat="false" ht="15" hidden="false" customHeight="true" outlineLevel="0" collapsed="false">
      <c r="G675" s="113"/>
      <c r="H675" s="113"/>
      <c r="I675" s="113"/>
      <c r="K675" s="113"/>
      <c r="L675" s="113"/>
      <c r="M675" s="113"/>
      <c r="O675" s="113"/>
      <c r="P675" s="113"/>
      <c r="Q675" s="113"/>
      <c r="S675" s="113"/>
      <c r="T675" s="113"/>
      <c r="U675" s="113"/>
    </row>
    <row r="676" customFormat="false" ht="15" hidden="false" customHeight="true" outlineLevel="0" collapsed="false">
      <c r="G676" s="113"/>
      <c r="H676" s="113"/>
      <c r="I676" s="113"/>
      <c r="K676" s="113"/>
      <c r="L676" s="113"/>
      <c r="M676" s="113"/>
      <c r="O676" s="113"/>
      <c r="P676" s="113"/>
      <c r="Q676" s="113"/>
      <c r="S676" s="113"/>
      <c r="T676" s="113"/>
      <c r="U676" s="113"/>
    </row>
    <row r="677" customFormat="false" ht="15" hidden="false" customHeight="true" outlineLevel="0" collapsed="false">
      <c r="G677" s="113"/>
      <c r="H677" s="113"/>
      <c r="I677" s="113"/>
      <c r="K677" s="113"/>
      <c r="L677" s="113"/>
      <c r="M677" s="113"/>
      <c r="O677" s="113"/>
      <c r="P677" s="113"/>
      <c r="Q677" s="113"/>
      <c r="S677" s="113"/>
      <c r="T677" s="113"/>
      <c r="U677" s="113"/>
    </row>
    <row r="678" customFormat="false" ht="15" hidden="false" customHeight="true" outlineLevel="0" collapsed="false">
      <c r="G678" s="113"/>
      <c r="H678" s="113"/>
      <c r="I678" s="113"/>
      <c r="K678" s="113"/>
      <c r="L678" s="113"/>
      <c r="M678" s="113"/>
      <c r="O678" s="113"/>
      <c r="P678" s="113"/>
      <c r="Q678" s="113"/>
      <c r="S678" s="113"/>
      <c r="T678" s="113"/>
      <c r="U678" s="113"/>
    </row>
    <row r="679" customFormat="false" ht="15" hidden="false" customHeight="true" outlineLevel="0" collapsed="false">
      <c r="G679" s="113"/>
      <c r="H679" s="113"/>
      <c r="I679" s="113"/>
      <c r="K679" s="113"/>
      <c r="L679" s="113"/>
      <c r="M679" s="113"/>
      <c r="O679" s="113"/>
      <c r="P679" s="113"/>
      <c r="Q679" s="113"/>
      <c r="S679" s="113"/>
      <c r="T679" s="113"/>
      <c r="U679" s="113"/>
    </row>
    <row r="680" customFormat="false" ht="15" hidden="false" customHeight="true" outlineLevel="0" collapsed="false">
      <c r="G680" s="113"/>
      <c r="H680" s="113"/>
      <c r="I680" s="113"/>
      <c r="K680" s="113"/>
      <c r="L680" s="113"/>
      <c r="M680" s="113"/>
      <c r="O680" s="113"/>
      <c r="P680" s="113"/>
      <c r="Q680" s="113"/>
      <c r="S680" s="113"/>
      <c r="T680" s="113"/>
      <c r="U680" s="113"/>
    </row>
    <row r="681" customFormat="false" ht="15" hidden="false" customHeight="true" outlineLevel="0" collapsed="false">
      <c r="G681" s="113"/>
      <c r="H681" s="113"/>
      <c r="I681" s="113"/>
      <c r="K681" s="113"/>
      <c r="L681" s="113"/>
      <c r="M681" s="113"/>
      <c r="O681" s="113"/>
      <c r="P681" s="113"/>
      <c r="Q681" s="113"/>
      <c r="S681" s="113"/>
      <c r="T681" s="113"/>
      <c r="U681" s="113"/>
    </row>
    <row r="682" customFormat="false" ht="15" hidden="false" customHeight="true" outlineLevel="0" collapsed="false">
      <c r="G682" s="113"/>
      <c r="H682" s="113"/>
      <c r="I682" s="113"/>
      <c r="K682" s="113"/>
      <c r="L682" s="113"/>
      <c r="M682" s="113"/>
      <c r="O682" s="113"/>
      <c r="P682" s="113"/>
      <c r="Q682" s="113"/>
      <c r="S682" s="113"/>
      <c r="T682" s="113"/>
      <c r="U682" s="113"/>
    </row>
    <row r="683" customFormat="false" ht="15" hidden="false" customHeight="true" outlineLevel="0" collapsed="false">
      <c r="G683" s="113"/>
      <c r="H683" s="113"/>
      <c r="I683" s="113"/>
      <c r="K683" s="113"/>
      <c r="L683" s="113"/>
      <c r="M683" s="113"/>
      <c r="O683" s="113"/>
      <c r="P683" s="113"/>
      <c r="Q683" s="113"/>
      <c r="S683" s="113"/>
      <c r="T683" s="113"/>
      <c r="U683" s="113"/>
    </row>
    <row r="684" customFormat="false" ht="15" hidden="false" customHeight="true" outlineLevel="0" collapsed="false">
      <c r="G684" s="113"/>
      <c r="H684" s="113"/>
      <c r="I684" s="113"/>
      <c r="K684" s="113"/>
      <c r="L684" s="113"/>
      <c r="M684" s="113"/>
      <c r="O684" s="113"/>
      <c r="P684" s="113"/>
      <c r="Q684" s="113"/>
      <c r="S684" s="113"/>
      <c r="T684" s="113"/>
      <c r="U684" s="113"/>
    </row>
    <row r="685" customFormat="false" ht="15" hidden="false" customHeight="true" outlineLevel="0" collapsed="false">
      <c r="G685" s="113"/>
      <c r="H685" s="113"/>
      <c r="I685" s="113"/>
      <c r="K685" s="113"/>
      <c r="L685" s="113"/>
      <c r="M685" s="113"/>
      <c r="O685" s="113"/>
      <c r="P685" s="113"/>
      <c r="Q685" s="113"/>
      <c r="S685" s="113"/>
      <c r="T685" s="113"/>
      <c r="U685" s="113"/>
    </row>
    <row r="686" customFormat="false" ht="15" hidden="false" customHeight="true" outlineLevel="0" collapsed="false">
      <c r="G686" s="113"/>
      <c r="H686" s="113"/>
      <c r="I686" s="113"/>
      <c r="K686" s="113"/>
      <c r="L686" s="113"/>
      <c r="M686" s="113"/>
      <c r="O686" s="113"/>
      <c r="P686" s="113"/>
      <c r="Q686" s="113"/>
      <c r="S686" s="113"/>
      <c r="T686" s="113"/>
      <c r="U686" s="113"/>
    </row>
    <row r="687" customFormat="false" ht="15" hidden="false" customHeight="true" outlineLevel="0" collapsed="false">
      <c r="G687" s="113"/>
      <c r="H687" s="113"/>
      <c r="I687" s="113"/>
      <c r="K687" s="113"/>
      <c r="L687" s="113"/>
      <c r="M687" s="113"/>
      <c r="O687" s="113"/>
      <c r="P687" s="113"/>
      <c r="Q687" s="113"/>
      <c r="S687" s="113"/>
      <c r="T687" s="113"/>
      <c r="U687" s="113"/>
    </row>
    <row r="688" customFormat="false" ht="15" hidden="false" customHeight="true" outlineLevel="0" collapsed="false">
      <c r="G688" s="113"/>
      <c r="H688" s="113"/>
      <c r="I688" s="113"/>
      <c r="K688" s="113"/>
      <c r="L688" s="113"/>
      <c r="M688" s="113"/>
      <c r="O688" s="113"/>
      <c r="P688" s="113"/>
      <c r="Q688" s="113"/>
      <c r="S688" s="113"/>
      <c r="T688" s="113"/>
      <c r="U688" s="113"/>
    </row>
    <row r="689" customFormat="false" ht="15" hidden="false" customHeight="true" outlineLevel="0" collapsed="false">
      <c r="G689" s="113"/>
      <c r="H689" s="113"/>
      <c r="I689" s="113"/>
      <c r="K689" s="113"/>
      <c r="L689" s="113"/>
      <c r="M689" s="113"/>
      <c r="O689" s="113"/>
      <c r="P689" s="113"/>
      <c r="Q689" s="113"/>
      <c r="S689" s="113"/>
      <c r="T689" s="113"/>
      <c r="U689" s="113"/>
    </row>
    <row r="690" customFormat="false" ht="15" hidden="false" customHeight="true" outlineLevel="0" collapsed="false">
      <c r="G690" s="113"/>
      <c r="H690" s="113"/>
      <c r="I690" s="113"/>
      <c r="K690" s="113"/>
      <c r="L690" s="113"/>
      <c r="M690" s="113"/>
      <c r="O690" s="113"/>
      <c r="P690" s="113"/>
      <c r="Q690" s="113"/>
      <c r="S690" s="113"/>
      <c r="T690" s="113"/>
      <c r="U690" s="113"/>
    </row>
    <row r="691" customFormat="false" ht="15" hidden="false" customHeight="true" outlineLevel="0" collapsed="false">
      <c r="G691" s="113"/>
      <c r="H691" s="113"/>
      <c r="I691" s="113"/>
      <c r="K691" s="113"/>
      <c r="L691" s="113"/>
      <c r="M691" s="113"/>
      <c r="O691" s="113"/>
      <c r="P691" s="113"/>
      <c r="Q691" s="113"/>
      <c r="S691" s="113"/>
      <c r="T691" s="113"/>
      <c r="U691" s="113"/>
    </row>
    <row r="692" customFormat="false" ht="15" hidden="false" customHeight="true" outlineLevel="0" collapsed="false">
      <c r="G692" s="113"/>
      <c r="H692" s="113"/>
      <c r="I692" s="113"/>
      <c r="K692" s="113"/>
      <c r="L692" s="113"/>
      <c r="M692" s="113"/>
      <c r="O692" s="113"/>
      <c r="P692" s="113"/>
      <c r="Q692" s="113"/>
      <c r="S692" s="113"/>
      <c r="T692" s="113"/>
      <c r="U692" s="113"/>
    </row>
  </sheetData>
  <mergeCells count="22">
    <mergeCell ref="A7:X7"/>
    <mergeCell ref="B9:C9"/>
    <mergeCell ref="D9:E9"/>
    <mergeCell ref="G9:H9"/>
    <mergeCell ref="I9:J9"/>
    <mergeCell ref="B10:C10"/>
    <mergeCell ref="D10:E10"/>
    <mergeCell ref="G10:H10"/>
    <mergeCell ref="I10:J10"/>
    <mergeCell ref="B11:C12"/>
    <mergeCell ref="D11:E12"/>
    <mergeCell ref="G11:H12"/>
    <mergeCell ref="I11:J12"/>
    <mergeCell ref="B13:C13"/>
    <mergeCell ref="D13:E13"/>
    <mergeCell ref="G13:H13"/>
    <mergeCell ref="I13:J13"/>
    <mergeCell ref="D14:E14"/>
    <mergeCell ref="G14:H14"/>
    <mergeCell ref="I14:J14"/>
    <mergeCell ref="B16:W16"/>
    <mergeCell ref="B26:W26"/>
  </mergeCells>
  <conditionalFormatting sqref="W46:W95">
    <cfRule type="expression" priority="2" aboveAverage="0" equalAverage="0" bottom="0" percent="0" rank="0" text="" dxfId="0">
      <formula>$X46="✓ On Target"</formula>
    </cfRule>
    <cfRule type="expression" priority="3" aboveAverage="0" equalAverage="0" bottom="0" percent="0" rank="0" text="" dxfId="1">
      <formula>$X46="✗ Off Target"</formula>
    </cfRule>
    <cfRule type="expression" priority="4" aboveAverage="0" equalAverage="0" bottom="0" percent="0" rank="0" text="" dxfId="2">
      <formula>$X46="— No Data"</formula>
    </cfRule>
    <cfRule type="expression" priority="5" aboveAverage="0" equalAverage="0" bottom="0" percent="0" rank="0" text="" dxfId="3">
      <formula>$X46="⊘ Non Target"</formula>
    </cfRule>
  </conditionalFormatting>
  <conditionalFormatting sqref="X46:X95">
    <cfRule type="expression" priority="6" aboveAverage="0" equalAverage="0" bottom="0" percent="0" rank="0" text="" dxfId="0">
      <formula>X46="✓ On Target"</formula>
    </cfRule>
    <cfRule type="expression" priority="7" aboveAverage="0" equalAverage="0" bottom="0" percent="0" rank="0" text="" dxfId="1">
      <formula>X46="✗ Off Target"</formula>
    </cfRule>
    <cfRule type="expression" priority="8" aboveAverage="0" equalAverage="0" bottom="0" percent="0" rank="0" text="" dxfId="2">
      <formula>X46="— No Data"</formula>
    </cfRule>
    <cfRule type="expression" priority="9" aboveAverage="0" equalAverage="0" bottom="0" percent="0" rank="0" text="" dxfId="3">
      <formula>X46="⊘ Non Target"</formula>
    </cfRule>
  </conditionalFormatting>
  <conditionalFormatting sqref="G46:V95">
    <cfRule type="expression" priority="10" aboveAverage="0" equalAverage="0" bottom="0" percent="0" rank="0" text="" dxfId="0">
      <formula>AND(ISNUMBER(G46),ISNUMBER($F46),OR(AND($D46="P",G46&gt;=$F46),AND($D46="N",G46&lt;=$F46)))</formula>
    </cfRule>
    <cfRule type="expression" priority="11" aboveAverage="0" equalAverage="0" bottom="0" percent="0" rank="0" text="" dxfId="1">
      <formula>AND(ISNUMBER(G46),ISNUMBER($F46),OR(AND($D46="P",G46&lt;$F46),AND($D46="N",G46&gt;$F46)))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09"/>
  <sheetViews>
    <sheetView showFormulas="false" showGridLines="false" showRowColHeaders="true" showZeros="true" rightToLeft="false" tabSelected="true" showOutlineSymbols="true" defaultGridColor="true" view="normal" topLeftCell="B82" colorId="64" zoomScale="100" zoomScaleNormal="100" zoomScalePageLayoutView="100" workbookViewId="0">
      <selection pane="topLeft" activeCell="F97" activeCellId="0" sqref="F97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8"/>
    <col collapsed="false" customWidth="true" hidden="false" outlineLevel="0" max="3" min="3" style="1" width="15"/>
    <col collapsed="false" customWidth="true" hidden="true" outlineLevel="0" max="4" min="4" style="1" width="3"/>
    <col collapsed="false" customWidth="true" hidden="false" outlineLevel="0" max="5" min="5" style="1" width="12"/>
    <col collapsed="false" customWidth="true" hidden="false" outlineLevel="0" max="11" min="6" style="1" width="10"/>
    <col collapsed="false" customWidth="true" hidden="false" outlineLevel="0" max="13" min="12" style="1" width="14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30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30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2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21.75" hidden="false" customHeight="true" outlineLevel="0" collapsed="false">
      <c r="A7" s="3" t="s">
        <v>244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9" customFormat="false" ht="7.5" hidden="false" customHeight="true" outlineLevel="0" collapsed="false">
      <c r="B9" s="4"/>
      <c r="C9" s="4"/>
      <c r="D9" s="5"/>
      <c r="E9" s="5"/>
      <c r="G9" s="6"/>
      <c r="H9" s="6"/>
      <c r="I9" s="7"/>
      <c r="J9" s="7"/>
    </row>
    <row r="10" customFormat="false" ht="21.75" hidden="false" customHeight="true" outlineLevel="0" collapsed="false">
      <c r="B10" s="9" t="s">
        <v>245</v>
      </c>
      <c r="C10" s="9"/>
      <c r="D10" s="9" t="s">
        <v>246</v>
      </c>
      <c r="E10" s="9"/>
      <c r="G10" s="9" t="s">
        <v>247</v>
      </c>
      <c r="H10" s="9"/>
      <c r="I10" s="9" t="s">
        <v>248</v>
      </c>
      <c r="J10" s="9"/>
    </row>
    <row r="11" customFormat="false" ht="27.75" hidden="false" customHeight="true" outlineLevel="0" collapsed="false">
      <c r="B11" s="10" t="n">
        <v>67</v>
      </c>
      <c r="C11" s="10"/>
      <c r="D11" s="11" t="n">
        <v>28</v>
      </c>
      <c r="E11" s="11"/>
      <c r="G11" s="12" t="n">
        <v>18</v>
      </c>
      <c r="H11" s="12"/>
      <c r="I11" s="13" t="n">
        <v>21</v>
      </c>
      <c r="J11" s="13"/>
    </row>
    <row r="12" customFormat="false" ht="27.75" hidden="false" customHeight="true" outlineLevel="0" collapsed="false">
      <c r="B12" s="10"/>
      <c r="C12" s="10"/>
      <c r="D12" s="11"/>
      <c r="E12" s="11"/>
      <c r="G12" s="12"/>
      <c r="H12" s="12"/>
      <c r="I12" s="13"/>
      <c r="J12" s="13"/>
    </row>
    <row r="13" customFormat="false" ht="21.75" hidden="false" customHeight="true" outlineLevel="0" collapsed="false">
      <c r="B13" s="15" t="s">
        <v>6</v>
      </c>
      <c r="C13" s="15"/>
      <c r="D13" s="15" t="s">
        <v>249</v>
      </c>
      <c r="E13" s="15"/>
      <c r="G13" s="15" t="s">
        <v>250</v>
      </c>
      <c r="H13" s="15"/>
      <c r="I13" s="15" t="s">
        <v>251</v>
      </c>
      <c r="J13" s="15"/>
    </row>
    <row r="14" customFormat="false" ht="31.5" hidden="false" customHeight="true" outlineLevel="0" collapsed="false">
      <c r="B14" s="16" t="s">
        <v>252</v>
      </c>
      <c r="C14" s="17" t="s">
        <v>253</v>
      </c>
      <c r="D14" s="18"/>
      <c r="E14" s="18"/>
      <c r="G14" s="18"/>
      <c r="H14" s="18"/>
      <c r="I14" s="18"/>
      <c r="J14" s="18"/>
    </row>
    <row r="16" customFormat="false" ht="24" hidden="false" customHeight="true" outlineLevel="0" collapsed="false">
      <c r="B16" s="47" t="s">
        <v>64</v>
      </c>
      <c r="C16" s="47"/>
      <c r="D16" s="47"/>
      <c r="E16" s="47"/>
      <c r="F16" s="47"/>
      <c r="G16" s="47"/>
      <c r="H16" s="47"/>
      <c r="I16" s="47"/>
      <c r="J16" s="47"/>
      <c r="K16" s="47"/>
    </row>
    <row r="17" customFormat="false" ht="24" hidden="false" customHeight="true" outlineLevel="0" collapsed="false">
      <c r="B17" s="48" t="s">
        <v>23</v>
      </c>
      <c r="C17" s="48" t="s">
        <v>29</v>
      </c>
      <c r="D17" s="48" t="s">
        <v>65</v>
      </c>
      <c r="E17" s="48" t="s">
        <v>66</v>
      </c>
      <c r="F17" s="48" t="s">
        <v>67</v>
      </c>
      <c r="G17" s="48" t="s">
        <v>30</v>
      </c>
    </row>
    <row r="18" customFormat="false" ht="21.75" hidden="false" customHeight="true" outlineLevel="0" collapsed="false">
      <c r="B18" s="55" t="s">
        <v>33</v>
      </c>
      <c r="C18" s="56" t="n">
        <v>3</v>
      </c>
      <c r="D18" s="57" t="n">
        <v>2</v>
      </c>
      <c r="E18" s="58" t="n">
        <v>0</v>
      </c>
      <c r="F18" s="59" t="n">
        <v>1</v>
      </c>
      <c r="G18" s="60" t="n">
        <v>1</v>
      </c>
    </row>
    <row r="19" customFormat="false" ht="21.75" hidden="false" customHeight="true" outlineLevel="0" collapsed="false">
      <c r="B19" s="49" t="s">
        <v>34</v>
      </c>
      <c r="C19" s="50" t="n">
        <v>26</v>
      </c>
      <c r="D19" s="51" t="n">
        <v>17</v>
      </c>
      <c r="E19" s="52" t="n">
        <v>4</v>
      </c>
      <c r="F19" s="53" t="n">
        <v>5</v>
      </c>
      <c r="G19" s="54" t="n">
        <v>0.80952380952381</v>
      </c>
    </row>
    <row r="20" customFormat="false" ht="21.75" hidden="false" customHeight="true" outlineLevel="0" collapsed="false">
      <c r="B20" s="55" t="s">
        <v>36</v>
      </c>
      <c r="C20" s="56" t="n">
        <v>17</v>
      </c>
      <c r="D20" s="57" t="n">
        <v>10</v>
      </c>
      <c r="E20" s="58" t="n">
        <v>2</v>
      </c>
      <c r="F20" s="59" t="n">
        <v>5</v>
      </c>
      <c r="G20" s="60" t="n">
        <v>0.833333333333333</v>
      </c>
    </row>
    <row r="21" customFormat="false" ht="21.75" hidden="false" customHeight="true" outlineLevel="0" collapsed="false">
      <c r="B21" s="55" t="s">
        <v>35</v>
      </c>
      <c r="C21" s="56" t="n">
        <v>11</v>
      </c>
      <c r="D21" s="57" t="n">
        <v>6</v>
      </c>
      <c r="E21" s="58" t="n">
        <v>2</v>
      </c>
      <c r="F21" s="59" t="n">
        <v>3</v>
      </c>
      <c r="G21" s="60" t="n">
        <v>0.75</v>
      </c>
    </row>
    <row r="22" customFormat="false" ht="21.75" hidden="false" customHeight="true" outlineLevel="0" collapsed="false">
      <c r="B22" s="49" t="s">
        <v>37</v>
      </c>
      <c r="C22" s="50" t="n">
        <v>5</v>
      </c>
      <c r="D22" s="51" t="n">
        <v>1</v>
      </c>
      <c r="E22" s="52" t="n">
        <v>1</v>
      </c>
      <c r="F22" s="53" t="n">
        <v>3</v>
      </c>
      <c r="G22" s="54" t="n">
        <v>0.5</v>
      </c>
    </row>
    <row r="23" customFormat="false" ht="21.75" hidden="false" customHeight="true" outlineLevel="0" collapsed="false">
      <c r="B23" s="49" t="s">
        <v>38</v>
      </c>
      <c r="C23" s="50" t="n">
        <v>2</v>
      </c>
      <c r="D23" s="51" t="n">
        <v>0</v>
      </c>
      <c r="E23" s="52" t="n">
        <v>0</v>
      </c>
      <c r="F23" s="53" t="n">
        <v>2</v>
      </c>
      <c r="G23" s="54" t="s">
        <v>32</v>
      </c>
    </row>
    <row r="24" customFormat="false" ht="21.75" hidden="false" customHeight="true" outlineLevel="0" collapsed="false">
      <c r="B24" s="55" t="s">
        <v>39</v>
      </c>
      <c r="C24" s="56" t="n">
        <v>1</v>
      </c>
      <c r="D24" s="57" t="n">
        <v>0</v>
      </c>
      <c r="E24" s="58" t="n">
        <v>0</v>
      </c>
      <c r="F24" s="59" t="n">
        <v>1</v>
      </c>
      <c r="G24" s="60" t="s">
        <v>32</v>
      </c>
    </row>
    <row r="25" customFormat="false" ht="21.75" hidden="false" customHeight="true" outlineLevel="0" collapsed="false">
      <c r="B25" s="49" t="s">
        <v>40</v>
      </c>
      <c r="C25" s="50" t="n">
        <v>0</v>
      </c>
      <c r="D25" s="51" t="n">
        <v>0</v>
      </c>
      <c r="E25" s="52" t="n">
        <v>0</v>
      </c>
      <c r="F25" s="53" t="n">
        <v>0</v>
      </c>
      <c r="G25" s="54" t="s">
        <v>32</v>
      </c>
    </row>
    <row r="26" customFormat="false" ht="21.75" hidden="false" customHeight="true" outlineLevel="0" collapsed="false">
      <c r="B26" s="55" t="s">
        <v>41</v>
      </c>
      <c r="C26" s="56" t="n">
        <v>1</v>
      </c>
      <c r="D26" s="57" t="n">
        <v>0</v>
      </c>
      <c r="E26" s="58" t="n">
        <v>0</v>
      </c>
      <c r="F26" s="59" t="n">
        <v>1</v>
      </c>
      <c r="G26" s="60" t="s">
        <v>32</v>
      </c>
    </row>
    <row r="27" customFormat="false" ht="25.5" hidden="false" customHeight="true" outlineLevel="0" collapsed="false">
      <c r="B27" s="61" t="s">
        <v>42</v>
      </c>
      <c r="C27" s="62" t="n">
        <v>67</v>
      </c>
      <c r="D27" s="63" t="n">
        <v>36</v>
      </c>
      <c r="E27" s="63" t="n">
        <v>9</v>
      </c>
      <c r="F27" s="63" t="n">
        <v>22</v>
      </c>
      <c r="G27" s="64" t="n">
        <v>0.8</v>
      </c>
    </row>
    <row r="29" customFormat="false" ht="24" hidden="false" customHeight="true" outlineLevel="0" collapsed="false">
      <c r="B29" s="47" t="s">
        <v>254</v>
      </c>
      <c r="C29" s="47"/>
      <c r="D29" s="47"/>
      <c r="E29" s="47"/>
      <c r="F29" s="47"/>
      <c r="G29" s="47"/>
      <c r="H29" s="47"/>
      <c r="I29" s="47"/>
      <c r="J29" s="47"/>
      <c r="K29" s="47"/>
    </row>
    <row r="30" customFormat="false" ht="24" hidden="false" customHeight="true" outlineLevel="0" collapsed="false">
      <c r="B30" s="48" t="s">
        <v>44</v>
      </c>
      <c r="C30" s="48" t="s">
        <v>29</v>
      </c>
      <c r="D30" s="48" t="s">
        <v>65</v>
      </c>
      <c r="E30" s="48" t="s">
        <v>66</v>
      </c>
      <c r="F30" s="48" t="s">
        <v>67</v>
      </c>
      <c r="G30" s="48" t="s">
        <v>30</v>
      </c>
    </row>
    <row r="31" customFormat="false" ht="21.75" hidden="false" customHeight="true" outlineLevel="0" collapsed="false">
      <c r="B31" s="49" t="s">
        <v>51</v>
      </c>
      <c r="C31" s="66" t="n">
        <v>8</v>
      </c>
      <c r="D31" s="51" t="n">
        <v>3</v>
      </c>
      <c r="E31" s="52" t="n">
        <v>1</v>
      </c>
      <c r="F31" s="53" t="n">
        <v>0</v>
      </c>
      <c r="G31" s="54" t="n">
        <v>0.75</v>
      </c>
    </row>
    <row r="32" customFormat="false" ht="21.75" hidden="false" customHeight="true" outlineLevel="0" collapsed="false">
      <c r="B32" s="55" t="s">
        <v>46</v>
      </c>
      <c r="C32" s="65" t="n">
        <v>14</v>
      </c>
      <c r="D32" s="57" t="n">
        <v>9</v>
      </c>
      <c r="E32" s="58" t="n">
        <v>2</v>
      </c>
      <c r="F32" s="59" t="n">
        <v>0</v>
      </c>
      <c r="G32" s="60" t="n">
        <v>0.818181818181818</v>
      </c>
    </row>
    <row r="33" customFormat="false" ht="21.75" hidden="false" customHeight="true" outlineLevel="0" collapsed="false">
      <c r="B33" s="49" t="s">
        <v>48</v>
      </c>
      <c r="C33" s="66" t="n">
        <v>7</v>
      </c>
      <c r="D33" s="51" t="n">
        <v>2</v>
      </c>
      <c r="E33" s="52" t="n">
        <v>1</v>
      </c>
      <c r="F33" s="53" t="n">
        <v>0</v>
      </c>
      <c r="G33" s="54" t="n">
        <v>0.666666666666667</v>
      </c>
    </row>
    <row r="34" customFormat="false" ht="21.75" hidden="false" customHeight="true" outlineLevel="0" collapsed="false">
      <c r="B34" s="49" t="s">
        <v>45</v>
      </c>
      <c r="C34" s="66" t="n">
        <v>45</v>
      </c>
      <c r="D34" s="51" t="n">
        <v>28</v>
      </c>
      <c r="E34" s="52" t="n">
        <v>4</v>
      </c>
      <c r="F34" s="53" t="n">
        <v>9</v>
      </c>
      <c r="G34" s="54" t="n">
        <v>0.875</v>
      </c>
    </row>
    <row r="35" customFormat="false" ht="21.75" hidden="false" customHeight="true" outlineLevel="0" collapsed="false">
      <c r="B35" s="49" t="s">
        <v>52</v>
      </c>
      <c r="C35" s="66" t="n">
        <v>44</v>
      </c>
      <c r="D35" s="51" t="n">
        <v>27</v>
      </c>
      <c r="E35" s="52" t="n">
        <v>6</v>
      </c>
      <c r="F35" s="53" t="n">
        <v>6</v>
      </c>
      <c r="G35" s="54" t="n">
        <v>0.818181818181818</v>
      </c>
    </row>
    <row r="36" customFormat="false" ht="21.75" hidden="false" customHeight="true" outlineLevel="0" collapsed="false">
      <c r="B36" s="55" t="s">
        <v>49</v>
      </c>
      <c r="C36" s="65" t="n">
        <v>7</v>
      </c>
      <c r="D36" s="57" t="n">
        <v>1</v>
      </c>
      <c r="E36" s="58" t="n">
        <v>2</v>
      </c>
      <c r="F36" s="59" t="n">
        <v>0</v>
      </c>
      <c r="G36" s="60" t="n">
        <v>0.333333333333333</v>
      </c>
    </row>
    <row r="37" customFormat="false" ht="21.75" hidden="false" customHeight="true" outlineLevel="0" collapsed="false">
      <c r="B37" s="55" t="s">
        <v>47</v>
      </c>
      <c r="C37" s="65" t="n">
        <v>7</v>
      </c>
      <c r="D37" s="57" t="n">
        <v>2</v>
      </c>
      <c r="E37" s="58" t="n">
        <v>1</v>
      </c>
      <c r="F37" s="59" t="n">
        <v>0</v>
      </c>
      <c r="G37" s="60" t="n">
        <v>0.666666666666667</v>
      </c>
    </row>
    <row r="38" customFormat="false" ht="21.75" hidden="false" customHeight="true" outlineLevel="0" collapsed="false">
      <c r="B38" s="55" t="s">
        <v>54</v>
      </c>
      <c r="C38" s="65" t="n">
        <v>5</v>
      </c>
      <c r="D38" s="57" t="n">
        <v>1</v>
      </c>
      <c r="E38" s="58" t="n">
        <v>1</v>
      </c>
      <c r="F38" s="59" t="n">
        <v>0</v>
      </c>
      <c r="G38" s="60" t="n">
        <v>0.5</v>
      </c>
    </row>
    <row r="39" customFormat="false" ht="21.75" hidden="false" customHeight="true" outlineLevel="0" collapsed="false">
      <c r="B39" s="55" t="s">
        <v>53</v>
      </c>
      <c r="C39" s="65" t="n">
        <v>43</v>
      </c>
      <c r="D39" s="57" t="n">
        <v>24</v>
      </c>
      <c r="E39" s="58" t="n">
        <v>10</v>
      </c>
      <c r="F39" s="59" t="n">
        <v>6</v>
      </c>
      <c r="G39" s="60" t="n">
        <v>0.705882352941177</v>
      </c>
    </row>
    <row r="40" customFormat="false" ht="21.75" hidden="false" customHeight="true" outlineLevel="0" collapsed="false">
      <c r="B40" s="49" t="s">
        <v>50</v>
      </c>
      <c r="C40" s="66" t="n">
        <v>48</v>
      </c>
      <c r="D40" s="51" t="n">
        <v>30</v>
      </c>
      <c r="E40" s="52" t="n">
        <v>10</v>
      </c>
      <c r="F40" s="53" t="n">
        <v>3</v>
      </c>
      <c r="G40" s="54" t="n">
        <v>0.75</v>
      </c>
    </row>
    <row r="41" customFormat="false" ht="21.75" hidden="false" customHeight="true" outlineLevel="0" collapsed="false">
      <c r="B41" s="55" t="s">
        <v>55</v>
      </c>
      <c r="C41" s="65" t="n">
        <v>43</v>
      </c>
      <c r="D41" s="57" t="n">
        <v>27</v>
      </c>
      <c r="E41" s="58" t="n">
        <v>10</v>
      </c>
      <c r="F41" s="59" t="n">
        <v>3</v>
      </c>
      <c r="G41" s="60" t="n">
        <v>0.72972972972973</v>
      </c>
    </row>
    <row r="43" customFormat="false" ht="15.75" hidden="false" customHeight="true" outlineLevel="0" collapsed="false"/>
    <row r="45" customFormat="false" ht="25.5" hidden="false" customHeight="true" outlineLevel="0" collapsed="false">
      <c r="A45" s="67" t="s">
        <v>69</v>
      </c>
      <c r="B45" s="67" t="s">
        <v>70</v>
      </c>
      <c r="C45" s="67" t="s">
        <v>71</v>
      </c>
      <c r="D45" s="67" t="s">
        <v>72</v>
      </c>
      <c r="E45" s="67" t="s">
        <v>73</v>
      </c>
      <c r="F45" s="67" t="s">
        <v>74</v>
      </c>
      <c r="G45" s="67" t="s">
        <v>78</v>
      </c>
      <c r="H45" s="67" t="s">
        <v>82</v>
      </c>
      <c r="I45" s="67" t="s">
        <v>86</v>
      </c>
      <c r="J45" s="67" t="s">
        <v>90</v>
      </c>
      <c r="K45" s="67" t="s">
        <v>91</v>
      </c>
      <c r="L45" s="67" t="s">
        <v>92</v>
      </c>
      <c r="M45" s="68" t="s">
        <v>93</v>
      </c>
      <c r="N45" s="68" t="s">
        <v>94</v>
      </c>
    </row>
    <row r="46" customFormat="false" ht="25.5" hidden="false" customHeight="true" outlineLevel="0" collapsed="false">
      <c r="A46" s="69" t="s">
        <v>255</v>
      </c>
      <c r="B46" s="70" t="s">
        <v>256</v>
      </c>
      <c r="C46" s="71" t="s">
        <v>35</v>
      </c>
      <c r="D46" s="71" t="s">
        <v>110</v>
      </c>
      <c r="E46" s="87" t="n">
        <v>0.33</v>
      </c>
      <c r="F46" s="88" t="n">
        <v>0.34</v>
      </c>
      <c r="G46" s="89" t="n">
        <v>0.667</v>
      </c>
      <c r="H46" s="90" t="n">
        <v>0.88</v>
      </c>
      <c r="I46" s="90"/>
      <c r="J46" s="90"/>
      <c r="K46" s="92" t="n">
        <v>0.667</v>
      </c>
      <c r="L46" s="114" t="s">
        <v>104</v>
      </c>
      <c r="M46" s="78" t="s">
        <v>257</v>
      </c>
      <c r="N46" s="1" t="s">
        <v>101</v>
      </c>
    </row>
    <row r="47" customFormat="false" ht="25.5" hidden="false" customHeight="true" outlineLevel="0" collapsed="false">
      <c r="A47" s="69" t="s">
        <v>258</v>
      </c>
      <c r="B47" s="70" t="s">
        <v>259</v>
      </c>
      <c r="C47" s="71" t="s">
        <v>35</v>
      </c>
      <c r="D47" s="71" t="s">
        <v>97</v>
      </c>
      <c r="E47" s="115" t="n">
        <v>20.7</v>
      </c>
      <c r="F47" s="116" t="n">
        <v>17.595</v>
      </c>
      <c r="G47" s="117" t="n">
        <v>14.6</v>
      </c>
      <c r="H47" s="117" t="s">
        <v>173</v>
      </c>
      <c r="I47" s="117"/>
      <c r="J47" s="117"/>
      <c r="K47" s="118" t="n">
        <v>14.6</v>
      </c>
      <c r="L47" s="114" t="s">
        <v>104</v>
      </c>
      <c r="M47" s="78" t="s">
        <v>257</v>
      </c>
      <c r="N47" s="1" t="s">
        <v>101</v>
      </c>
    </row>
    <row r="48" customFormat="false" ht="25.5" hidden="false" customHeight="true" outlineLevel="0" collapsed="false">
      <c r="A48" s="69" t="s">
        <v>260</v>
      </c>
      <c r="B48" s="70" t="s">
        <v>261</v>
      </c>
      <c r="C48" s="71" t="s">
        <v>35</v>
      </c>
      <c r="D48" s="71" t="s">
        <v>110</v>
      </c>
      <c r="E48" s="72" t="n">
        <v>2.5</v>
      </c>
      <c r="F48" s="107" t="n">
        <v>3</v>
      </c>
      <c r="G48" s="106" t="n">
        <v>2.1</v>
      </c>
      <c r="H48" s="74" t="n">
        <v>307066</v>
      </c>
      <c r="I48" s="74"/>
      <c r="J48" s="74"/>
      <c r="K48" s="76" t="n">
        <v>2.1</v>
      </c>
      <c r="L48" s="114" t="s">
        <v>113</v>
      </c>
      <c r="M48" s="78" t="s">
        <v>190</v>
      </c>
      <c r="N48" s="1" t="s">
        <v>101</v>
      </c>
    </row>
    <row r="49" customFormat="false" ht="25.5" hidden="false" customHeight="true" outlineLevel="0" collapsed="false">
      <c r="A49" s="69" t="s">
        <v>262</v>
      </c>
      <c r="B49" s="70" t="s">
        <v>263</v>
      </c>
      <c r="C49" s="71" t="s">
        <v>35</v>
      </c>
      <c r="D49" s="71" t="s">
        <v>110</v>
      </c>
      <c r="E49" s="87" t="n">
        <v>0.98</v>
      </c>
      <c r="F49" s="91" t="n">
        <v>0.98</v>
      </c>
      <c r="G49" s="89" t="n">
        <v>0.981818181818182</v>
      </c>
      <c r="H49" s="90" t="n">
        <v>0.9818</v>
      </c>
      <c r="I49" s="90"/>
      <c r="J49" s="90"/>
      <c r="K49" s="92" t="n">
        <v>0.981818181818182</v>
      </c>
      <c r="L49" s="114" t="s">
        <v>120</v>
      </c>
      <c r="M49" s="78" t="s">
        <v>264</v>
      </c>
      <c r="N49" s="1" t="s">
        <v>101</v>
      </c>
    </row>
    <row r="50" customFormat="false" ht="25.5" hidden="false" customHeight="true" outlineLevel="0" collapsed="false">
      <c r="A50" s="69" t="s">
        <v>265</v>
      </c>
      <c r="B50" s="70" t="s">
        <v>266</v>
      </c>
      <c r="C50" s="71" t="s">
        <v>35</v>
      </c>
      <c r="D50" s="71" t="s">
        <v>97</v>
      </c>
      <c r="E50" s="87" t="n">
        <v>0.52</v>
      </c>
      <c r="F50" s="88" t="s">
        <v>267</v>
      </c>
      <c r="G50" s="89" t="n">
        <v>0.559</v>
      </c>
      <c r="H50" s="90"/>
      <c r="I50" s="90"/>
      <c r="J50" s="90"/>
      <c r="K50" s="92" t="n">
        <v>0.559</v>
      </c>
      <c r="L50" s="114" t="s">
        <v>113</v>
      </c>
      <c r="M50" s="78" t="s">
        <v>257</v>
      </c>
      <c r="N50" s="1" t="s">
        <v>101</v>
      </c>
    </row>
    <row r="51" customFormat="false" ht="25.5" hidden="false" customHeight="true" outlineLevel="0" collapsed="false">
      <c r="A51" s="69" t="s">
        <v>268</v>
      </c>
      <c r="B51" s="70" t="s">
        <v>269</v>
      </c>
      <c r="C51" s="71" t="s">
        <v>35</v>
      </c>
      <c r="D51" s="71" t="s">
        <v>110</v>
      </c>
      <c r="E51" s="102" t="n">
        <v>16.5</v>
      </c>
      <c r="F51" s="82" t="n">
        <v>16.5</v>
      </c>
      <c r="G51" s="81" t="n">
        <v>24.5</v>
      </c>
      <c r="H51" s="103" t="n">
        <v>159</v>
      </c>
      <c r="I51" s="103"/>
      <c r="J51" s="103"/>
      <c r="K51" s="104" t="n">
        <v>24.5</v>
      </c>
      <c r="L51" s="114" t="s">
        <v>104</v>
      </c>
      <c r="M51" s="78" t="s">
        <v>190</v>
      </c>
      <c r="N51" s="1" t="s">
        <v>101</v>
      </c>
    </row>
    <row r="52" customFormat="false" ht="25.5" hidden="false" customHeight="true" outlineLevel="0" collapsed="false">
      <c r="A52" s="69" t="s">
        <v>270</v>
      </c>
      <c r="B52" s="70" t="s">
        <v>271</v>
      </c>
      <c r="C52" s="71" t="s">
        <v>35</v>
      </c>
      <c r="D52" s="71" t="s">
        <v>97</v>
      </c>
      <c r="E52" s="96" t="n">
        <v>4.7</v>
      </c>
      <c r="F52" s="119" t="n">
        <v>3.99</v>
      </c>
      <c r="G52" s="120" t="n">
        <v>4.1</v>
      </c>
      <c r="H52" s="98"/>
      <c r="I52" s="98"/>
      <c r="J52" s="98"/>
      <c r="K52" s="100" t="n">
        <v>4.1</v>
      </c>
      <c r="L52" s="114" t="s">
        <v>113</v>
      </c>
      <c r="M52" s="78" t="s">
        <v>257</v>
      </c>
      <c r="N52" s="1" t="s">
        <v>101</v>
      </c>
    </row>
    <row r="53" customFormat="false" ht="25.5" hidden="false" customHeight="true" outlineLevel="0" collapsed="false">
      <c r="A53" s="69" t="s">
        <v>272</v>
      </c>
      <c r="B53" s="70" t="s">
        <v>273</v>
      </c>
      <c r="C53" s="71" t="s">
        <v>35</v>
      </c>
      <c r="D53" s="71" t="s">
        <v>97</v>
      </c>
      <c r="E53" s="87" t="n">
        <v>0.025</v>
      </c>
      <c r="F53" s="88" t="n">
        <v>0.0213</v>
      </c>
      <c r="G53" s="89" t="n">
        <v>0.022</v>
      </c>
      <c r="H53" s="90"/>
      <c r="I53" s="90"/>
      <c r="J53" s="90"/>
      <c r="K53" s="92" t="n">
        <v>0.022</v>
      </c>
      <c r="L53" s="114" t="s">
        <v>113</v>
      </c>
      <c r="M53" s="78" t="s">
        <v>257</v>
      </c>
      <c r="N53" s="1" t="s">
        <v>101</v>
      </c>
    </row>
    <row r="54" customFormat="false" ht="25.5" hidden="false" customHeight="true" outlineLevel="0" collapsed="false">
      <c r="A54" s="69" t="s">
        <v>274</v>
      </c>
      <c r="B54" s="70" t="s">
        <v>275</v>
      </c>
      <c r="C54" s="71" t="s">
        <v>35</v>
      </c>
      <c r="D54" s="71" t="s">
        <v>110</v>
      </c>
      <c r="E54" s="102" t="n">
        <v>0.3</v>
      </c>
      <c r="F54" s="82" t="n">
        <v>0.3</v>
      </c>
      <c r="G54" s="81" t="n">
        <v>0.5</v>
      </c>
      <c r="H54" s="103" t="s">
        <v>276</v>
      </c>
      <c r="I54" s="103"/>
      <c r="J54" s="103"/>
      <c r="K54" s="104" t="n">
        <v>0.5</v>
      </c>
      <c r="L54" s="114" t="s">
        <v>104</v>
      </c>
      <c r="M54" s="78" t="s">
        <v>257</v>
      </c>
      <c r="N54" s="1" t="s">
        <v>101</v>
      </c>
    </row>
    <row r="55" customFormat="false" ht="25.5" hidden="false" customHeight="true" outlineLevel="0" collapsed="false">
      <c r="A55" s="69" t="s">
        <v>277</v>
      </c>
      <c r="B55" s="70" t="s">
        <v>278</v>
      </c>
      <c r="C55" s="71" t="s">
        <v>35</v>
      </c>
      <c r="D55" s="71" t="s">
        <v>110</v>
      </c>
      <c r="E55" s="87" t="n">
        <v>0.5879</v>
      </c>
      <c r="F55" s="91" t="n">
        <v>0.716</v>
      </c>
      <c r="G55" s="89" t="n">
        <v>0.6234</v>
      </c>
      <c r="H55" s="90" t="n">
        <v>0.8552</v>
      </c>
      <c r="I55" s="90"/>
      <c r="J55" s="90"/>
      <c r="K55" s="92" t="n">
        <v>0.6234</v>
      </c>
      <c r="L55" s="114" t="s">
        <v>120</v>
      </c>
      <c r="M55" s="78" t="s">
        <v>190</v>
      </c>
      <c r="N55" s="1" t="s">
        <v>101</v>
      </c>
    </row>
    <row r="56" customFormat="false" ht="25.5" hidden="false" customHeight="true" outlineLevel="0" collapsed="false">
      <c r="A56" s="69" t="s">
        <v>279</v>
      </c>
      <c r="B56" s="70" t="s">
        <v>280</v>
      </c>
      <c r="C56" s="71" t="s">
        <v>35</v>
      </c>
      <c r="D56" s="71" t="s">
        <v>110</v>
      </c>
      <c r="E56" s="87" t="s">
        <v>98</v>
      </c>
      <c r="F56" s="91" t="s">
        <v>98</v>
      </c>
      <c r="G56" s="90"/>
      <c r="H56" s="90" t="s">
        <v>173</v>
      </c>
      <c r="I56" s="90"/>
      <c r="J56" s="90"/>
      <c r="K56" s="92"/>
      <c r="L56" s="114" t="s">
        <v>99</v>
      </c>
      <c r="M56" s="78" t="s">
        <v>190</v>
      </c>
      <c r="N56" s="1" t="s">
        <v>101</v>
      </c>
    </row>
    <row r="57" customFormat="false" ht="25.5" hidden="false" customHeight="true" outlineLevel="0" collapsed="false">
      <c r="A57" s="69" t="s">
        <v>281</v>
      </c>
      <c r="B57" s="70" t="s">
        <v>282</v>
      </c>
      <c r="C57" s="71" t="s">
        <v>34</v>
      </c>
      <c r="D57" s="71" t="s">
        <v>110</v>
      </c>
      <c r="E57" s="87" t="n">
        <v>0.974</v>
      </c>
      <c r="F57" s="91" t="n">
        <v>0.9779</v>
      </c>
      <c r="G57" s="89" t="n">
        <v>0.99983874917135</v>
      </c>
      <c r="H57" s="90" t="n">
        <v>0.9998</v>
      </c>
      <c r="I57" s="90"/>
      <c r="J57" s="90"/>
      <c r="K57" s="92" t="n">
        <v>0.99983874917135</v>
      </c>
      <c r="L57" s="114" t="s">
        <v>120</v>
      </c>
      <c r="M57" s="78" t="s">
        <v>190</v>
      </c>
      <c r="N57" s="1" t="s">
        <v>101</v>
      </c>
    </row>
    <row r="58" customFormat="false" ht="25.5" hidden="false" customHeight="true" outlineLevel="0" collapsed="false">
      <c r="A58" s="69" t="s">
        <v>283</v>
      </c>
      <c r="B58" s="70" t="s">
        <v>284</v>
      </c>
      <c r="C58" s="71" t="s">
        <v>34</v>
      </c>
      <c r="D58" s="71" t="s">
        <v>110</v>
      </c>
      <c r="E58" s="87" t="n">
        <v>0.767</v>
      </c>
      <c r="F58" s="88" t="n">
        <v>0.9</v>
      </c>
      <c r="G58" s="89" t="n">
        <v>0.981</v>
      </c>
      <c r="H58" s="90"/>
      <c r="I58" s="90"/>
      <c r="J58" s="90"/>
      <c r="K58" s="92" t="n">
        <v>0.981</v>
      </c>
      <c r="L58" s="114" t="s">
        <v>104</v>
      </c>
      <c r="M58" s="78" t="s">
        <v>257</v>
      </c>
      <c r="N58" s="1" t="s">
        <v>101</v>
      </c>
    </row>
    <row r="59" customFormat="false" ht="25.5" hidden="false" customHeight="true" outlineLevel="0" collapsed="false">
      <c r="A59" s="69" t="s">
        <v>285</v>
      </c>
      <c r="B59" s="70" t="s">
        <v>286</v>
      </c>
      <c r="C59" s="71" t="s">
        <v>34</v>
      </c>
      <c r="D59" s="71" t="s">
        <v>110</v>
      </c>
      <c r="E59" s="87" t="n">
        <v>0.776</v>
      </c>
      <c r="F59" s="88" t="n">
        <v>0.9</v>
      </c>
      <c r="G59" s="89" t="n">
        <v>0.852</v>
      </c>
      <c r="H59" s="90"/>
      <c r="I59" s="90"/>
      <c r="J59" s="90"/>
      <c r="K59" s="92" t="n">
        <v>0.852</v>
      </c>
      <c r="L59" s="114" t="s">
        <v>113</v>
      </c>
      <c r="M59" s="78" t="s">
        <v>257</v>
      </c>
      <c r="N59" s="1" t="s">
        <v>101</v>
      </c>
    </row>
    <row r="60" customFormat="false" ht="25.5" hidden="false" customHeight="true" outlineLevel="0" collapsed="false">
      <c r="A60" s="69" t="s">
        <v>287</v>
      </c>
      <c r="B60" s="70" t="s">
        <v>288</v>
      </c>
      <c r="C60" s="71" t="s">
        <v>34</v>
      </c>
      <c r="D60" s="71" t="s">
        <v>110</v>
      </c>
      <c r="E60" s="87" t="n">
        <v>0.454</v>
      </c>
      <c r="F60" s="88" t="n">
        <v>0.9</v>
      </c>
      <c r="G60" s="89" t="n">
        <v>0.988</v>
      </c>
      <c r="H60" s="90"/>
      <c r="I60" s="90"/>
      <c r="J60" s="90"/>
      <c r="K60" s="92" t="n">
        <v>0.988</v>
      </c>
      <c r="L60" s="114" t="s">
        <v>104</v>
      </c>
      <c r="M60" s="78" t="s">
        <v>257</v>
      </c>
      <c r="N60" s="1" t="s">
        <v>101</v>
      </c>
    </row>
    <row r="61" customFormat="false" ht="25.5" hidden="false" customHeight="true" outlineLevel="0" collapsed="false">
      <c r="A61" s="69" t="s">
        <v>289</v>
      </c>
      <c r="B61" s="70" t="s">
        <v>290</v>
      </c>
      <c r="C61" s="71" t="s">
        <v>34</v>
      </c>
      <c r="D61" s="71" t="s">
        <v>110</v>
      </c>
      <c r="E61" s="87" t="n">
        <v>0.637</v>
      </c>
      <c r="F61" s="88" t="n">
        <v>0.9</v>
      </c>
      <c r="G61" s="89" t="n">
        <v>0.992</v>
      </c>
      <c r="H61" s="90"/>
      <c r="I61" s="90"/>
      <c r="J61" s="90"/>
      <c r="K61" s="92" t="n">
        <v>0.992</v>
      </c>
      <c r="L61" s="114" t="s">
        <v>104</v>
      </c>
      <c r="M61" s="78" t="s">
        <v>257</v>
      </c>
      <c r="N61" s="1" t="s">
        <v>101</v>
      </c>
    </row>
    <row r="62" customFormat="false" ht="25.5" hidden="false" customHeight="true" outlineLevel="0" collapsed="false">
      <c r="A62" s="69" t="s">
        <v>291</v>
      </c>
      <c r="B62" s="70" t="s">
        <v>292</v>
      </c>
      <c r="C62" s="71" t="s">
        <v>34</v>
      </c>
      <c r="D62" s="71" t="s">
        <v>110</v>
      </c>
      <c r="E62" s="87" t="n">
        <v>0.92</v>
      </c>
      <c r="F62" s="88" t="n">
        <v>0.93</v>
      </c>
      <c r="G62" s="89" t="n">
        <v>1.272</v>
      </c>
      <c r="H62" s="90"/>
      <c r="I62" s="90"/>
      <c r="J62" s="90"/>
      <c r="K62" s="92" t="n">
        <v>1.272</v>
      </c>
      <c r="L62" s="114" t="s">
        <v>104</v>
      </c>
      <c r="M62" s="78" t="s">
        <v>257</v>
      </c>
      <c r="N62" s="1" t="s">
        <v>101</v>
      </c>
    </row>
    <row r="63" customFormat="false" ht="25.5" hidden="false" customHeight="true" outlineLevel="0" collapsed="false">
      <c r="A63" s="69" t="s">
        <v>293</v>
      </c>
      <c r="B63" s="70" t="s">
        <v>294</v>
      </c>
      <c r="C63" s="71" t="s">
        <v>34</v>
      </c>
      <c r="D63" s="71" t="s">
        <v>110</v>
      </c>
      <c r="E63" s="87" t="n">
        <v>0.88</v>
      </c>
      <c r="F63" s="88" t="n">
        <v>0.9</v>
      </c>
      <c r="G63" s="89" t="n">
        <v>1.039</v>
      </c>
      <c r="H63" s="90"/>
      <c r="I63" s="90"/>
      <c r="J63" s="90"/>
      <c r="K63" s="92" t="n">
        <v>1.039</v>
      </c>
      <c r="L63" s="114" t="s">
        <v>104</v>
      </c>
      <c r="M63" s="78" t="s">
        <v>257</v>
      </c>
      <c r="N63" s="1" t="s">
        <v>101</v>
      </c>
    </row>
    <row r="64" customFormat="false" ht="25.5" hidden="false" customHeight="true" outlineLevel="0" collapsed="false">
      <c r="A64" s="69" t="s">
        <v>295</v>
      </c>
      <c r="B64" s="70" t="s">
        <v>296</v>
      </c>
      <c r="C64" s="71" t="s">
        <v>34</v>
      </c>
      <c r="D64" s="71" t="s">
        <v>110</v>
      </c>
      <c r="E64" s="87" t="n">
        <v>0.841</v>
      </c>
      <c r="F64" s="88" t="n">
        <v>0.8649</v>
      </c>
      <c r="G64" s="89" t="n">
        <v>0.914</v>
      </c>
      <c r="H64" s="90"/>
      <c r="I64" s="90"/>
      <c r="J64" s="90"/>
      <c r="K64" s="92" t="n">
        <v>0.914</v>
      </c>
      <c r="L64" s="114" t="s">
        <v>104</v>
      </c>
      <c r="M64" s="78" t="s">
        <v>257</v>
      </c>
      <c r="N64" s="1" t="s">
        <v>101</v>
      </c>
    </row>
    <row r="65" customFormat="false" ht="25.5" hidden="false" customHeight="true" outlineLevel="0" collapsed="false">
      <c r="A65" s="69" t="s">
        <v>297</v>
      </c>
      <c r="B65" s="70" t="s">
        <v>298</v>
      </c>
      <c r="C65" s="71" t="s">
        <v>34</v>
      </c>
      <c r="D65" s="71" t="s">
        <v>110</v>
      </c>
      <c r="E65" s="87" t="n">
        <v>1</v>
      </c>
      <c r="F65" s="88" t="n">
        <v>1</v>
      </c>
      <c r="G65" s="89" t="n">
        <v>0.899</v>
      </c>
      <c r="H65" s="90"/>
      <c r="I65" s="90"/>
      <c r="J65" s="90"/>
      <c r="K65" s="92" t="n">
        <v>0.899</v>
      </c>
      <c r="L65" s="114" t="s">
        <v>113</v>
      </c>
      <c r="M65" s="78" t="s">
        <v>257</v>
      </c>
      <c r="N65" s="1" t="s">
        <v>101</v>
      </c>
    </row>
    <row r="66" customFormat="false" ht="25.5" hidden="false" customHeight="true" outlineLevel="0" collapsed="false">
      <c r="A66" s="69" t="s">
        <v>299</v>
      </c>
      <c r="B66" s="70" t="s">
        <v>300</v>
      </c>
      <c r="C66" s="71" t="s">
        <v>34</v>
      </c>
      <c r="D66" s="71" t="s">
        <v>110</v>
      </c>
      <c r="E66" s="87" t="n">
        <v>0.938</v>
      </c>
      <c r="F66" s="88" t="n">
        <v>0.9473</v>
      </c>
      <c r="G66" s="89" t="n">
        <v>1.028</v>
      </c>
      <c r="H66" s="90"/>
      <c r="I66" s="90"/>
      <c r="J66" s="90"/>
      <c r="K66" s="92" t="n">
        <v>1.028</v>
      </c>
      <c r="L66" s="114" t="s">
        <v>104</v>
      </c>
      <c r="M66" s="78" t="s">
        <v>257</v>
      </c>
      <c r="N66" s="1" t="s">
        <v>101</v>
      </c>
    </row>
    <row r="67" customFormat="false" ht="25.5" hidden="false" customHeight="true" outlineLevel="0" collapsed="false">
      <c r="A67" s="69" t="s">
        <v>301</v>
      </c>
      <c r="B67" s="70" t="s">
        <v>302</v>
      </c>
      <c r="C67" s="71" t="s">
        <v>34</v>
      </c>
      <c r="D67" s="71" t="s">
        <v>110</v>
      </c>
      <c r="E67" s="87" t="n">
        <v>0.995</v>
      </c>
      <c r="F67" s="91" t="n">
        <v>0.83</v>
      </c>
      <c r="G67" s="89" t="n">
        <v>0.9842771550058</v>
      </c>
      <c r="H67" s="90" t="n">
        <v>1</v>
      </c>
      <c r="I67" s="90"/>
      <c r="J67" s="90"/>
      <c r="K67" s="92" t="n">
        <v>0.9842771550058</v>
      </c>
      <c r="L67" s="114" t="s">
        <v>104</v>
      </c>
      <c r="M67" s="78" t="s">
        <v>257</v>
      </c>
      <c r="N67" s="1" t="s">
        <v>101</v>
      </c>
    </row>
    <row r="68" customFormat="false" ht="25.5" hidden="false" customHeight="true" outlineLevel="0" collapsed="false">
      <c r="A68" s="69" t="s">
        <v>303</v>
      </c>
      <c r="B68" s="70" t="s">
        <v>304</v>
      </c>
      <c r="C68" s="71" t="s">
        <v>34</v>
      </c>
      <c r="D68" s="71" t="s">
        <v>110</v>
      </c>
      <c r="E68" s="87" t="s">
        <v>98</v>
      </c>
      <c r="F68" s="91" t="n">
        <v>0.9</v>
      </c>
      <c r="G68" s="90"/>
      <c r="H68" s="90" t="s">
        <v>173</v>
      </c>
      <c r="I68" s="90"/>
      <c r="J68" s="90"/>
      <c r="K68" s="92"/>
      <c r="L68" s="114" t="s">
        <v>99</v>
      </c>
      <c r="M68" s="78" t="s">
        <v>190</v>
      </c>
      <c r="N68" s="1" t="s">
        <v>101</v>
      </c>
    </row>
    <row r="69" customFormat="false" ht="25.5" hidden="false" customHeight="true" outlineLevel="0" collapsed="false">
      <c r="A69" s="69" t="s">
        <v>305</v>
      </c>
      <c r="B69" s="70" t="s">
        <v>306</v>
      </c>
      <c r="C69" s="71" t="s">
        <v>34</v>
      </c>
      <c r="D69" s="71" t="s">
        <v>97</v>
      </c>
      <c r="E69" s="87" t="s">
        <v>32</v>
      </c>
      <c r="F69" s="91" t="s">
        <v>32</v>
      </c>
      <c r="G69" s="89" t="n">
        <v>0.346169945583926</v>
      </c>
      <c r="H69" s="90" t="n">
        <v>360</v>
      </c>
      <c r="I69" s="90"/>
      <c r="J69" s="90"/>
      <c r="K69" s="92" t="n">
        <v>0.346169945583926</v>
      </c>
      <c r="L69" s="114" t="s">
        <v>120</v>
      </c>
      <c r="M69" s="78" t="s">
        <v>307</v>
      </c>
      <c r="N69" s="1" t="s">
        <v>101</v>
      </c>
    </row>
    <row r="70" customFormat="false" ht="25.5" hidden="false" customHeight="true" outlineLevel="0" collapsed="false">
      <c r="A70" s="69" t="s">
        <v>308</v>
      </c>
      <c r="B70" s="70" t="s">
        <v>309</v>
      </c>
      <c r="C70" s="71" t="s">
        <v>34</v>
      </c>
      <c r="D70" s="71" t="s">
        <v>97</v>
      </c>
      <c r="E70" s="102" t="n">
        <v>0</v>
      </c>
      <c r="F70" s="121" t="s">
        <v>310</v>
      </c>
      <c r="G70" s="81" t="n">
        <v>0.4</v>
      </c>
      <c r="H70" s="103" t="n">
        <v>0.47</v>
      </c>
      <c r="I70" s="103"/>
      <c r="J70" s="103"/>
      <c r="K70" s="104" t="n">
        <v>0.4</v>
      </c>
      <c r="L70" s="114" t="s">
        <v>104</v>
      </c>
      <c r="M70" s="78" t="s">
        <v>257</v>
      </c>
      <c r="N70" s="1" t="s">
        <v>101</v>
      </c>
    </row>
    <row r="71" customFormat="false" ht="25.5" hidden="false" customHeight="true" outlineLevel="0" collapsed="false">
      <c r="A71" s="69" t="s">
        <v>311</v>
      </c>
      <c r="B71" s="70" t="s">
        <v>312</v>
      </c>
      <c r="C71" s="71" t="s">
        <v>34</v>
      </c>
      <c r="D71" s="71" t="s">
        <v>97</v>
      </c>
      <c r="E71" s="102" t="n">
        <v>0.4</v>
      </c>
      <c r="F71" s="75" t="n">
        <v>0.34</v>
      </c>
      <c r="G71" s="81" t="n">
        <v>0.2</v>
      </c>
      <c r="H71" s="103" t="n">
        <v>0.22</v>
      </c>
      <c r="I71" s="103"/>
      <c r="J71" s="103"/>
      <c r="K71" s="104" t="n">
        <v>0.2</v>
      </c>
      <c r="L71" s="114" t="s">
        <v>104</v>
      </c>
      <c r="M71" s="78" t="s">
        <v>257</v>
      </c>
      <c r="N71" s="1" t="s">
        <v>101</v>
      </c>
    </row>
    <row r="72" customFormat="false" ht="25.5" hidden="false" customHeight="true" outlineLevel="0" collapsed="false">
      <c r="A72" s="69" t="s">
        <v>313</v>
      </c>
      <c r="B72" s="70" t="s">
        <v>314</v>
      </c>
      <c r="C72" s="71" t="s">
        <v>34</v>
      </c>
      <c r="D72" s="71" t="s">
        <v>97</v>
      </c>
      <c r="E72" s="102" t="n">
        <v>0.13</v>
      </c>
      <c r="F72" s="122" t="n">
        <v>1.5</v>
      </c>
      <c r="G72" s="81" t="n">
        <v>0.6</v>
      </c>
      <c r="H72" s="103" t="n">
        <v>0</v>
      </c>
      <c r="I72" s="103"/>
      <c r="J72" s="103"/>
      <c r="K72" s="104" t="n">
        <v>0.6</v>
      </c>
      <c r="L72" s="114" t="s">
        <v>104</v>
      </c>
      <c r="M72" s="78" t="s">
        <v>257</v>
      </c>
      <c r="N72" s="1" t="s">
        <v>101</v>
      </c>
    </row>
    <row r="73" customFormat="false" ht="25.5" hidden="false" customHeight="true" outlineLevel="0" collapsed="false">
      <c r="A73" s="69" t="s">
        <v>315</v>
      </c>
      <c r="B73" s="70" t="s">
        <v>316</v>
      </c>
      <c r="C73" s="71" t="s">
        <v>34</v>
      </c>
      <c r="D73" s="71" t="s">
        <v>97</v>
      </c>
      <c r="E73" s="102" t="n">
        <v>0.47</v>
      </c>
      <c r="F73" s="82" t="n">
        <v>0.4</v>
      </c>
      <c r="G73" s="81" t="n">
        <v>0.300706660652534</v>
      </c>
      <c r="H73" s="103" t="n">
        <v>0.15</v>
      </c>
      <c r="I73" s="103"/>
      <c r="J73" s="103"/>
      <c r="K73" s="104" t="n">
        <v>0.300706660652534</v>
      </c>
      <c r="L73" s="114" t="s">
        <v>104</v>
      </c>
      <c r="M73" s="78" t="s">
        <v>100</v>
      </c>
      <c r="N73" s="1" t="s">
        <v>101</v>
      </c>
    </row>
    <row r="74" customFormat="false" ht="25.5" hidden="false" customHeight="true" outlineLevel="0" collapsed="false">
      <c r="A74" s="69" t="s">
        <v>317</v>
      </c>
      <c r="B74" s="70" t="s">
        <v>318</v>
      </c>
      <c r="C74" s="71" t="s">
        <v>34</v>
      </c>
      <c r="D74" s="71" t="s">
        <v>97</v>
      </c>
      <c r="E74" s="102" t="n">
        <v>0.36</v>
      </c>
      <c r="F74" s="82" t="n">
        <v>0.3</v>
      </c>
      <c r="G74" s="81" t="n">
        <v>0</v>
      </c>
      <c r="H74" s="103" t="n">
        <v>0.52</v>
      </c>
      <c r="I74" s="103"/>
      <c r="J74" s="103"/>
      <c r="K74" s="104" t="n">
        <v>0</v>
      </c>
      <c r="L74" s="114" t="s">
        <v>104</v>
      </c>
      <c r="M74" s="78" t="s">
        <v>224</v>
      </c>
      <c r="N74" s="1" t="s">
        <v>101</v>
      </c>
    </row>
    <row r="75" customFormat="false" ht="25.5" hidden="false" customHeight="true" outlineLevel="0" collapsed="false">
      <c r="A75" s="69" t="s">
        <v>319</v>
      </c>
      <c r="B75" s="70" t="s">
        <v>320</v>
      </c>
      <c r="C75" s="71" t="s">
        <v>34</v>
      </c>
      <c r="D75" s="71" t="s">
        <v>97</v>
      </c>
      <c r="E75" s="102" t="n">
        <v>4.5</v>
      </c>
      <c r="F75" s="75" t="n">
        <v>1.85</v>
      </c>
      <c r="G75" s="81" t="n">
        <v>1.6</v>
      </c>
      <c r="H75" s="103" t="n">
        <v>7.11</v>
      </c>
      <c r="I75" s="103"/>
      <c r="J75" s="103"/>
      <c r="K75" s="104" t="n">
        <v>1.6</v>
      </c>
      <c r="L75" s="114" t="s">
        <v>120</v>
      </c>
      <c r="M75" s="78" t="s">
        <v>100</v>
      </c>
      <c r="N75" s="1" t="s">
        <v>101</v>
      </c>
    </row>
    <row r="76" customFormat="false" ht="25.5" hidden="false" customHeight="true" outlineLevel="0" collapsed="false">
      <c r="A76" s="69" t="s">
        <v>321</v>
      </c>
      <c r="B76" s="70" t="s">
        <v>322</v>
      </c>
      <c r="C76" s="71" t="s">
        <v>34</v>
      </c>
      <c r="D76" s="71" t="s">
        <v>97</v>
      </c>
      <c r="E76" s="102" t="n">
        <v>3.1</v>
      </c>
      <c r="F76" s="82" t="n">
        <v>2.64</v>
      </c>
      <c r="G76" s="81" t="n">
        <v>3.17082837891399</v>
      </c>
      <c r="H76" s="103" t="n">
        <v>2.44</v>
      </c>
      <c r="I76" s="103"/>
      <c r="J76" s="103"/>
      <c r="K76" s="104" t="n">
        <v>3.17082837891399</v>
      </c>
      <c r="L76" s="114" t="s">
        <v>113</v>
      </c>
      <c r="M76" s="78" t="s">
        <v>100</v>
      </c>
      <c r="N76" s="1" t="s">
        <v>101</v>
      </c>
    </row>
    <row r="77" customFormat="false" ht="25.5" hidden="false" customHeight="true" outlineLevel="0" collapsed="false">
      <c r="A77" s="69" t="s">
        <v>323</v>
      </c>
      <c r="B77" s="70" t="s">
        <v>324</v>
      </c>
      <c r="C77" s="71" t="s">
        <v>34</v>
      </c>
      <c r="D77" s="71" t="s">
        <v>97</v>
      </c>
      <c r="E77" s="102" t="n">
        <v>0.9</v>
      </c>
      <c r="F77" s="122" t="n">
        <v>0.76</v>
      </c>
      <c r="G77" s="81" t="n">
        <v>0.2</v>
      </c>
      <c r="H77" s="103" t="n">
        <v>0.52</v>
      </c>
      <c r="I77" s="103"/>
      <c r="J77" s="103"/>
      <c r="K77" s="104" t="n">
        <v>0.2</v>
      </c>
      <c r="L77" s="114" t="s">
        <v>104</v>
      </c>
      <c r="M77" s="78" t="s">
        <v>257</v>
      </c>
      <c r="N77" s="1" t="s">
        <v>101</v>
      </c>
    </row>
    <row r="78" customFormat="false" ht="25.5" hidden="false" customHeight="true" outlineLevel="0" collapsed="false">
      <c r="A78" s="69" t="s">
        <v>325</v>
      </c>
      <c r="B78" s="70" t="s">
        <v>326</v>
      </c>
      <c r="C78" s="71" t="s">
        <v>34</v>
      </c>
      <c r="D78" s="71" t="s">
        <v>110</v>
      </c>
      <c r="E78" s="102" t="n">
        <v>0.9</v>
      </c>
      <c r="F78" s="82" t="n">
        <v>0.9</v>
      </c>
      <c r="G78" s="81" t="n">
        <v>0.6</v>
      </c>
      <c r="H78" s="103" t="n">
        <v>0.68</v>
      </c>
      <c r="I78" s="103"/>
      <c r="J78" s="103"/>
      <c r="K78" s="104" t="n">
        <v>0.6</v>
      </c>
      <c r="L78" s="114" t="s">
        <v>113</v>
      </c>
      <c r="M78" s="78" t="s">
        <v>257</v>
      </c>
      <c r="N78" s="1" t="s">
        <v>101</v>
      </c>
    </row>
    <row r="79" customFormat="false" ht="25.5" hidden="false" customHeight="true" outlineLevel="0" collapsed="false">
      <c r="A79" s="69" t="s">
        <v>327</v>
      </c>
      <c r="B79" s="70" t="s">
        <v>328</v>
      </c>
      <c r="C79" s="71" t="s">
        <v>34</v>
      </c>
      <c r="D79" s="71" t="s">
        <v>110</v>
      </c>
      <c r="E79" s="87" t="n">
        <v>0.777</v>
      </c>
      <c r="F79" s="88" t="n">
        <v>0.81</v>
      </c>
      <c r="G79" s="89" t="n">
        <v>0.7</v>
      </c>
      <c r="H79" s="90" t="n">
        <v>0.7222</v>
      </c>
      <c r="I79" s="90"/>
      <c r="J79" s="90"/>
      <c r="K79" s="92" t="n">
        <v>0.7</v>
      </c>
      <c r="L79" s="114" t="s">
        <v>113</v>
      </c>
      <c r="M79" s="78" t="s">
        <v>257</v>
      </c>
      <c r="N79" s="1" t="s">
        <v>101</v>
      </c>
    </row>
    <row r="80" customFormat="false" ht="25.5" hidden="false" customHeight="true" outlineLevel="0" collapsed="false">
      <c r="A80" s="69" t="s">
        <v>329</v>
      </c>
      <c r="B80" s="70" t="s">
        <v>330</v>
      </c>
      <c r="C80" s="71" t="s">
        <v>34</v>
      </c>
      <c r="D80" s="71" t="s">
        <v>97</v>
      </c>
      <c r="E80" s="102" t="n">
        <v>28.6</v>
      </c>
      <c r="F80" s="122" t="n">
        <v>14.3</v>
      </c>
      <c r="G80" s="81" t="n">
        <v>80</v>
      </c>
      <c r="H80" s="103" t="n">
        <v>0.046</v>
      </c>
      <c r="I80" s="103"/>
      <c r="J80" s="103"/>
      <c r="K80" s="104" t="n">
        <v>80</v>
      </c>
      <c r="L80" s="114" t="s">
        <v>113</v>
      </c>
      <c r="M80" s="78" t="s">
        <v>257</v>
      </c>
      <c r="N80" s="1" t="s">
        <v>101</v>
      </c>
    </row>
    <row r="81" customFormat="false" ht="25.5" hidden="false" customHeight="true" outlineLevel="0" collapsed="false">
      <c r="A81" s="69" t="s">
        <v>331</v>
      </c>
      <c r="B81" s="70" t="s">
        <v>332</v>
      </c>
      <c r="C81" s="71" t="s">
        <v>166</v>
      </c>
      <c r="D81" s="71" t="s">
        <v>110</v>
      </c>
      <c r="E81" s="87" t="n">
        <v>0.8827</v>
      </c>
      <c r="F81" s="91" t="n">
        <v>0.8902</v>
      </c>
      <c r="G81" s="90" t="n">
        <v>0.8647</v>
      </c>
      <c r="H81" s="90"/>
      <c r="I81" s="90"/>
      <c r="J81" s="90"/>
      <c r="K81" s="92" t="n">
        <v>0.8647</v>
      </c>
      <c r="L81" s="114" t="s">
        <v>113</v>
      </c>
      <c r="M81" s="78" t="s">
        <v>190</v>
      </c>
      <c r="N81" s="1" t="s">
        <v>101</v>
      </c>
    </row>
    <row r="82" customFormat="false" ht="25.5" hidden="false" customHeight="true" outlineLevel="0" collapsed="false">
      <c r="A82" s="69" t="s">
        <v>333</v>
      </c>
      <c r="B82" s="70" t="s">
        <v>334</v>
      </c>
      <c r="C82" s="71" t="s">
        <v>166</v>
      </c>
      <c r="D82" s="71" t="s">
        <v>110</v>
      </c>
      <c r="E82" s="87" t="n">
        <v>0.624</v>
      </c>
      <c r="F82" s="91" t="n">
        <v>0.65</v>
      </c>
      <c r="G82" s="90" t="n">
        <v>0.654</v>
      </c>
      <c r="H82" s="90"/>
      <c r="I82" s="90"/>
      <c r="J82" s="90"/>
      <c r="K82" s="92" t="n">
        <v>0.654</v>
      </c>
      <c r="L82" s="114" t="s">
        <v>104</v>
      </c>
      <c r="M82" s="78" t="s">
        <v>257</v>
      </c>
      <c r="N82" s="1" t="s">
        <v>101</v>
      </c>
    </row>
    <row r="83" customFormat="false" ht="25.5" hidden="false" customHeight="true" outlineLevel="0" collapsed="false">
      <c r="A83" s="69" t="s">
        <v>335</v>
      </c>
      <c r="B83" s="70" t="s">
        <v>336</v>
      </c>
      <c r="C83" s="71" t="s">
        <v>166</v>
      </c>
      <c r="D83" s="71" t="s">
        <v>110</v>
      </c>
      <c r="E83" s="87" t="n">
        <v>0.76</v>
      </c>
      <c r="F83" s="91" t="n">
        <v>0.796</v>
      </c>
      <c r="G83" s="90"/>
      <c r="H83" s="90"/>
      <c r="I83" s="90"/>
      <c r="J83" s="90"/>
      <c r="K83" s="92"/>
      <c r="L83" s="114" t="s">
        <v>99</v>
      </c>
      <c r="M83" s="78" t="s">
        <v>257</v>
      </c>
      <c r="N83" s="1" t="s">
        <v>101</v>
      </c>
    </row>
    <row r="84" customFormat="false" ht="25.5" hidden="false" customHeight="true" outlineLevel="0" collapsed="false">
      <c r="A84" s="69" t="s">
        <v>337</v>
      </c>
      <c r="B84" s="70" t="s">
        <v>338</v>
      </c>
      <c r="C84" s="71" t="s">
        <v>166</v>
      </c>
      <c r="D84" s="71" t="s">
        <v>110</v>
      </c>
      <c r="E84" s="87" t="s">
        <v>98</v>
      </c>
      <c r="F84" s="91" t="n">
        <v>0.85</v>
      </c>
      <c r="G84" s="90"/>
      <c r="H84" s="90"/>
      <c r="I84" s="90"/>
      <c r="J84" s="90"/>
      <c r="K84" s="92"/>
      <c r="L84" s="114" t="s">
        <v>99</v>
      </c>
      <c r="M84" s="78" t="s">
        <v>257</v>
      </c>
      <c r="N84" s="1" t="s">
        <v>101</v>
      </c>
    </row>
    <row r="85" customFormat="false" ht="25.5" hidden="false" customHeight="true" outlineLevel="0" collapsed="false">
      <c r="A85" s="69" t="s">
        <v>339</v>
      </c>
      <c r="B85" s="70" t="s">
        <v>340</v>
      </c>
      <c r="C85" s="71" t="s">
        <v>166</v>
      </c>
      <c r="D85" s="71" t="s">
        <v>110</v>
      </c>
      <c r="E85" s="87" t="n">
        <v>0.91</v>
      </c>
      <c r="F85" s="88" t="n">
        <v>0.92</v>
      </c>
      <c r="G85" s="89" t="n">
        <v>0.910112359550562</v>
      </c>
      <c r="H85" s="90" t="n">
        <v>0.910112359550562</v>
      </c>
      <c r="I85" s="90"/>
      <c r="J85" s="90"/>
      <c r="K85" s="92" t="n">
        <v>0.910112359550562</v>
      </c>
      <c r="L85" s="114" t="s">
        <v>113</v>
      </c>
      <c r="M85" s="78" t="s">
        <v>341</v>
      </c>
      <c r="N85" s="1" t="s">
        <v>101</v>
      </c>
    </row>
    <row r="86" customFormat="false" ht="25.5" hidden="false" customHeight="true" outlineLevel="0" collapsed="false">
      <c r="A86" s="69" t="s">
        <v>342</v>
      </c>
      <c r="B86" s="70" t="s">
        <v>343</v>
      </c>
      <c r="C86" s="71" t="s">
        <v>166</v>
      </c>
      <c r="D86" s="71" t="s">
        <v>110</v>
      </c>
      <c r="E86" s="87" t="n">
        <v>0.78</v>
      </c>
      <c r="F86" s="91" t="n">
        <v>0.9</v>
      </c>
      <c r="G86" s="89" t="n">
        <v>0.909090909090909</v>
      </c>
      <c r="H86" s="90" t="n">
        <v>11</v>
      </c>
      <c r="I86" s="90"/>
      <c r="J86" s="90"/>
      <c r="K86" s="92" t="n">
        <v>0.909090909090909</v>
      </c>
      <c r="L86" s="114" t="s">
        <v>104</v>
      </c>
      <c r="M86" s="78" t="s">
        <v>344</v>
      </c>
      <c r="N86" s="1" t="s">
        <v>101</v>
      </c>
    </row>
    <row r="87" customFormat="false" ht="25.5" hidden="false" customHeight="true" outlineLevel="0" collapsed="false">
      <c r="A87" s="69" t="s">
        <v>345</v>
      </c>
      <c r="B87" s="70" t="s">
        <v>346</v>
      </c>
      <c r="C87" s="71" t="s">
        <v>166</v>
      </c>
      <c r="D87" s="71" t="s">
        <v>110</v>
      </c>
      <c r="E87" s="87" t="n">
        <v>0.786</v>
      </c>
      <c r="F87" s="88" t="n">
        <v>0.8181</v>
      </c>
      <c r="G87" s="89" t="n">
        <v>0.966</v>
      </c>
      <c r="H87" s="90" t="n">
        <v>0.979953876175271</v>
      </c>
      <c r="I87" s="90"/>
      <c r="J87" s="90"/>
      <c r="K87" s="92" t="n">
        <v>0.966</v>
      </c>
      <c r="L87" s="114" t="s">
        <v>104</v>
      </c>
      <c r="M87" s="78" t="s">
        <v>257</v>
      </c>
      <c r="N87" s="1" t="s">
        <v>101</v>
      </c>
    </row>
    <row r="88" customFormat="false" ht="25.5" hidden="false" customHeight="true" outlineLevel="0" collapsed="false">
      <c r="A88" s="69" t="s">
        <v>347</v>
      </c>
      <c r="B88" s="70" t="s">
        <v>348</v>
      </c>
      <c r="C88" s="71" t="s">
        <v>166</v>
      </c>
      <c r="D88" s="71" t="s">
        <v>110</v>
      </c>
      <c r="E88" s="87" t="n">
        <v>0.98</v>
      </c>
      <c r="F88" s="88" t="n">
        <v>0.98</v>
      </c>
      <c r="G88" s="89" t="n">
        <v>0.987</v>
      </c>
      <c r="H88" s="90"/>
      <c r="I88" s="90"/>
      <c r="J88" s="90"/>
      <c r="K88" s="92" t="n">
        <v>0.987</v>
      </c>
      <c r="L88" s="114" t="s">
        <v>104</v>
      </c>
      <c r="M88" s="78" t="s">
        <v>257</v>
      </c>
      <c r="N88" s="1" t="s">
        <v>101</v>
      </c>
    </row>
    <row r="89" customFormat="false" ht="25.5" hidden="false" customHeight="true" outlineLevel="0" collapsed="false">
      <c r="A89" s="69" t="s">
        <v>349</v>
      </c>
      <c r="B89" s="70" t="s">
        <v>350</v>
      </c>
      <c r="C89" s="71" t="s">
        <v>166</v>
      </c>
      <c r="D89" s="71" t="s">
        <v>97</v>
      </c>
      <c r="E89" s="94" t="n">
        <v>13.3</v>
      </c>
      <c r="F89" s="109" t="n">
        <v>11.305</v>
      </c>
      <c r="G89" s="123" t="n">
        <v>16.5</v>
      </c>
      <c r="H89" s="124" t="n">
        <v>0</v>
      </c>
      <c r="I89" s="124"/>
      <c r="J89" s="124"/>
      <c r="K89" s="125" t="n">
        <v>16.5</v>
      </c>
      <c r="L89" s="114" t="s">
        <v>113</v>
      </c>
      <c r="M89" s="78" t="s">
        <v>257</v>
      </c>
      <c r="N89" s="1" t="s">
        <v>101</v>
      </c>
    </row>
    <row r="90" customFormat="false" ht="25.5" hidden="false" customHeight="true" outlineLevel="0" collapsed="false">
      <c r="A90" s="69" t="s">
        <v>351</v>
      </c>
      <c r="B90" s="70" t="s">
        <v>352</v>
      </c>
      <c r="C90" s="71" t="s">
        <v>166</v>
      </c>
      <c r="D90" s="71" t="s">
        <v>97</v>
      </c>
      <c r="E90" s="102" t="n">
        <v>31.9</v>
      </c>
      <c r="F90" s="122" t="n">
        <v>15.95</v>
      </c>
      <c r="G90" s="81" t="n">
        <v>63.2</v>
      </c>
      <c r="H90" s="103" t="n">
        <v>41.2371134020619</v>
      </c>
      <c r="I90" s="103"/>
      <c r="J90" s="103"/>
      <c r="K90" s="104" t="n">
        <v>63.2</v>
      </c>
      <c r="L90" s="114" t="s">
        <v>113</v>
      </c>
      <c r="M90" s="78" t="s">
        <v>257</v>
      </c>
      <c r="N90" s="1" t="s">
        <v>101</v>
      </c>
    </row>
    <row r="91" customFormat="false" ht="25.5" hidden="false" customHeight="true" outlineLevel="0" collapsed="false">
      <c r="A91" s="69" t="s">
        <v>353</v>
      </c>
      <c r="B91" s="70" t="s">
        <v>354</v>
      </c>
      <c r="C91" s="71" t="s">
        <v>166</v>
      </c>
      <c r="D91" s="71" t="s">
        <v>97</v>
      </c>
      <c r="E91" s="102" t="n">
        <v>56.1</v>
      </c>
      <c r="F91" s="122" t="n">
        <v>28.05</v>
      </c>
      <c r="G91" s="81" t="n">
        <v>76.9</v>
      </c>
      <c r="H91" s="103"/>
      <c r="I91" s="103"/>
      <c r="J91" s="103"/>
      <c r="K91" s="104" t="n">
        <v>76.9</v>
      </c>
      <c r="L91" s="114" t="s">
        <v>113</v>
      </c>
      <c r="M91" s="78" t="s">
        <v>257</v>
      </c>
      <c r="N91" s="1" t="s">
        <v>101</v>
      </c>
    </row>
    <row r="92" customFormat="false" ht="25.5" hidden="false" customHeight="true" outlineLevel="0" collapsed="false">
      <c r="A92" s="69" t="s">
        <v>355</v>
      </c>
      <c r="B92" s="70" t="s">
        <v>356</v>
      </c>
      <c r="C92" s="71" t="s">
        <v>166</v>
      </c>
      <c r="D92" s="71" t="s">
        <v>97</v>
      </c>
      <c r="E92" s="102" t="n">
        <v>39.8</v>
      </c>
      <c r="F92" s="122" t="n">
        <v>10</v>
      </c>
      <c r="G92" s="81" t="n">
        <v>0</v>
      </c>
      <c r="H92" s="103" t="n">
        <v>0</v>
      </c>
      <c r="I92" s="103"/>
      <c r="J92" s="103"/>
      <c r="K92" s="104" t="n">
        <v>0</v>
      </c>
      <c r="L92" s="114" t="s">
        <v>104</v>
      </c>
      <c r="M92" s="78" t="s">
        <v>257</v>
      </c>
      <c r="N92" s="1" t="s">
        <v>101</v>
      </c>
    </row>
    <row r="93" customFormat="false" ht="25.5" hidden="false" customHeight="true" outlineLevel="0" collapsed="false">
      <c r="A93" s="69" t="s">
        <v>357</v>
      </c>
      <c r="B93" s="70" t="s">
        <v>358</v>
      </c>
      <c r="C93" s="71" t="s">
        <v>166</v>
      </c>
      <c r="D93" s="71" t="s">
        <v>97</v>
      </c>
      <c r="E93" s="102" t="n">
        <v>15.7</v>
      </c>
      <c r="F93" s="122" t="n">
        <v>7.85</v>
      </c>
      <c r="G93" s="81" t="n">
        <v>0</v>
      </c>
      <c r="H93" s="103" t="n">
        <v>39.032006245121</v>
      </c>
      <c r="I93" s="103"/>
      <c r="J93" s="103"/>
      <c r="K93" s="104" t="n">
        <v>0</v>
      </c>
      <c r="L93" s="114" t="s">
        <v>104</v>
      </c>
      <c r="M93" s="78" t="s">
        <v>100</v>
      </c>
      <c r="N93" s="1" t="s">
        <v>101</v>
      </c>
    </row>
    <row r="94" customFormat="false" ht="25.5" hidden="false" customHeight="true" outlineLevel="0" collapsed="false">
      <c r="A94" s="69" t="s">
        <v>359</v>
      </c>
      <c r="B94" s="70" t="s">
        <v>360</v>
      </c>
      <c r="C94" s="71" t="s">
        <v>166</v>
      </c>
      <c r="D94" s="71" t="s">
        <v>97</v>
      </c>
      <c r="E94" s="102" t="n">
        <v>11.7</v>
      </c>
      <c r="F94" s="82" t="n">
        <v>5.85</v>
      </c>
      <c r="G94" s="81" t="n">
        <v>10.8</v>
      </c>
      <c r="H94" s="103" t="n">
        <v>6.24512099921936</v>
      </c>
      <c r="I94" s="103"/>
      <c r="J94" s="103"/>
      <c r="K94" s="104" t="n">
        <v>10.8</v>
      </c>
      <c r="L94" s="114" t="s">
        <v>113</v>
      </c>
      <c r="M94" s="78" t="s">
        <v>257</v>
      </c>
      <c r="N94" s="1" t="s">
        <v>101</v>
      </c>
    </row>
    <row r="95" customFormat="false" ht="25.5" hidden="false" customHeight="true" outlineLevel="0" collapsed="false">
      <c r="A95" s="69" t="s">
        <v>361</v>
      </c>
      <c r="B95" s="70" t="s">
        <v>362</v>
      </c>
      <c r="C95" s="71" t="s">
        <v>166</v>
      </c>
      <c r="D95" s="71" t="s">
        <v>97</v>
      </c>
      <c r="E95" s="102" t="n">
        <v>137</v>
      </c>
      <c r="F95" s="82" t="n">
        <v>68.5</v>
      </c>
      <c r="G95" s="81" t="n">
        <v>3.85181898299653</v>
      </c>
      <c r="H95" s="103"/>
      <c r="I95" s="103"/>
      <c r="J95" s="103"/>
      <c r="K95" s="104" t="n">
        <v>3.85181898299653</v>
      </c>
      <c r="L95" s="114" t="s">
        <v>104</v>
      </c>
      <c r="M95" s="78" t="s">
        <v>190</v>
      </c>
      <c r="N95" s="1" t="s">
        <v>101</v>
      </c>
    </row>
    <row r="96" customFormat="false" ht="25.5" hidden="false" customHeight="true" outlineLevel="0" collapsed="false">
      <c r="A96" s="69" t="s">
        <v>363</v>
      </c>
      <c r="B96" s="70" t="s">
        <v>364</v>
      </c>
      <c r="C96" s="71" t="s">
        <v>166</v>
      </c>
      <c r="D96" s="71" t="s">
        <v>97</v>
      </c>
      <c r="E96" s="87" t="s">
        <v>98</v>
      </c>
      <c r="F96" s="91" t="s">
        <v>98</v>
      </c>
      <c r="G96" s="89" t="n">
        <v>0.421052631578947</v>
      </c>
      <c r="H96" s="90"/>
      <c r="I96" s="90"/>
      <c r="J96" s="90"/>
      <c r="K96" s="92" t="n">
        <v>0.421052631578947</v>
      </c>
      <c r="L96" s="114" t="s">
        <v>120</v>
      </c>
      <c r="M96" s="78" t="s">
        <v>214</v>
      </c>
      <c r="N96" s="1" t="s">
        <v>101</v>
      </c>
    </row>
    <row r="97" customFormat="false" ht="25.5" hidden="false" customHeight="true" outlineLevel="0" collapsed="false">
      <c r="A97" s="69" t="s">
        <v>365</v>
      </c>
      <c r="B97" s="70" t="s">
        <v>366</v>
      </c>
      <c r="C97" s="71" t="s">
        <v>166</v>
      </c>
      <c r="D97" s="71" t="s">
        <v>110</v>
      </c>
      <c r="E97" s="87" t="n">
        <v>0.68</v>
      </c>
      <c r="F97" s="91" t="n">
        <v>0.73</v>
      </c>
      <c r="G97" s="90"/>
      <c r="H97" s="90" t="n">
        <v>0</v>
      </c>
      <c r="I97" s="90"/>
      <c r="J97" s="90"/>
      <c r="K97" s="92"/>
      <c r="L97" s="114" t="s">
        <v>99</v>
      </c>
      <c r="M97" s="78" t="s">
        <v>190</v>
      </c>
      <c r="N97" s="1" t="s">
        <v>101</v>
      </c>
    </row>
    <row r="98" customFormat="false" ht="25.5" hidden="false" customHeight="true" outlineLevel="0" collapsed="false">
      <c r="A98" s="69" t="s">
        <v>367</v>
      </c>
      <c r="B98" s="70" t="s">
        <v>368</v>
      </c>
      <c r="C98" s="71" t="s">
        <v>213</v>
      </c>
      <c r="D98" s="71" t="s">
        <v>110</v>
      </c>
      <c r="E98" s="87" t="n">
        <v>1</v>
      </c>
      <c r="F98" s="91" t="n">
        <v>1</v>
      </c>
      <c r="G98" s="90" t="s">
        <v>369</v>
      </c>
      <c r="H98" s="90"/>
      <c r="I98" s="90"/>
      <c r="J98" s="90"/>
      <c r="K98" s="92"/>
      <c r="L98" s="114" t="s">
        <v>99</v>
      </c>
      <c r="M98" s="78" t="s">
        <v>105</v>
      </c>
      <c r="N98" s="1" t="s">
        <v>101</v>
      </c>
    </row>
    <row r="99" customFormat="false" ht="25.5" hidden="false" customHeight="true" outlineLevel="0" collapsed="false">
      <c r="A99" s="69" t="s">
        <v>370</v>
      </c>
      <c r="B99" s="70" t="s">
        <v>371</v>
      </c>
      <c r="C99" s="71" t="s">
        <v>372</v>
      </c>
      <c r="D99" s="71" t="s">
        <v>110</v>
      </c>
      <c r="E99" s="87" t="n">
        <v>0.89</v>
      </c>
      <c r="F99" s="91" t="n">
        <v>1</v>
      </c>
      <c r="G99" s="90"/>
      <c r="H99" s="90" t="n">
        <v>0.46</v>
      </c>
      <c r="I99" s="90"/>
      <c r="J99" s="90"/>
      <c r="K99" s="92"/>
      <c r="L99" s="114" t="s">
        <v>99</v>
      </c>
      <c r="M99" s="78" t="s">
        <v>190</v>
      </c>
      <c r="N99" s="1" t="s">
        <v>101</v>
      </c>
    </row>
    <row r="100" customFormat="false" ht="25.5" hidden="false" customHeight="true" outlineLevel="0" collapsed="false">
      <c r="A100" s="69" t="s">
        <v>373</v>
      </c>
      <c r="B100" s="70" t="s">
        <v>374</v>
      </c>
      <c r="C100" s="71" t="s">
        <v>38</v>
      </c>
      <c r="D100" s="71" t="s">
        <v>110</v>
      </c>
      <c r="E100" s="87" t="s">
        <v>32</v>
      </c>
      <c r="F100" s="91" t="s">
        <v>32</v>
      </c>
      <c r="G100" s="90"/>
      <c r="H100" s="90"/>
      <c r="I100" s="90"/>
      <c r="J100" s="90"/>
      <c r="K100" s="92"/>
      <c r="L100" s="114" t="s">
        <v>99</v>
      </c>
      <c r="M100" s="78" t="s">
        <v>190</v>
      </c>
      <c r="N100" s="1" t="s">
        <v>101</v>
      </c>
    </row>
    <row r="101" customFormat="false" ht="25.5" hidden="false" customHeight="true" outlineLevel="0" collapsed="false">
      <c r="A101" s="69" t="s">
        <v>375</v>
      </c>
      <c r="B101" s="70" t="s">
        <v>376</v>
      </c>
      <c r="C101" s="71" t="s">
        <v>38</v>
      </c>
      <c r="D101" s="71" t="s">
        <v>110</v>
      </c>
      <c r="E101" s="87" t="s">
        <v>32</v>
      </c>
      <c r="F101" s="91" t="s">
        <v>32</v>
      </c>
      <c r="G101" s="90"/>
      <c r="H101" s="90"/>
      <c r="I101" s="90"/>
      <c r="J101" s="90"/>
      <c r="K101" s="92"/>
      <c r="L101" s="114" t="s">
        <v>99</v>
      </c>
      <c r="M101" s="78" t="s">
        <v>190</v>
      </c>
      <c r="N101" s="1" t="s">
        <v>101</v>
      </c>
    </row>
    <row r="102" customFormat="false" ht="25.5" hidden="false" customHeight="true" outlineLevel="0" collapsed="false">
      <c r="A102" s="69" t="s">
        <v>377</v>
      </c>
      <c r="B102" s="70" t="s">
        <v>378</v>
      </c>
      <c r="C102" s="71" t="s">
        <v>236</v>
      </c>
      <c r="D102" s="71" t="s">
        <v>110</v>
      </c>
      <c r="E102" s="87" t="n">
        <v>0.483</v>
      </c>
      <c r="F102" s="88" t="n">
        <v>0.483</v>
      </c>
      <c r="G102" s="89" t="n">
        <v>0.493878865979381</v>
      </c>
      <c r="H102" s="90" t="n">
        <v>0.490400260331923</v>
      </c>
      <c r="I102" s="90"/>
      <c r="J102" s="90"/>
      <c r="K102" s="92" t="n">
        <v>0.493878865979381</v>
      </c>
      <c r="L102" s="114" t="s">
        <v>104</v>
      </c>
      <c r="M102" s="78" t="s">
        <v>190</v>
      </c>
      <c r="N102" s="1" t="s">
        <v>101</v>
      </c>
    </row>
    <row r="103" customFormat="false" ht="25.5" hidden="false" customHeight="true" outlineLevel="0" collapsed="false">
      <c r="A103" s="69" t="s">
        <v>379</v>
      </c>
      <c r="B103" s="70" t="s">
        <v>380</v>
      </c>
      <c r="C103" s="71" t="s">
        <v>236</v>
      </c>
      <c r="D103" s="71" t="s">
        <v>97</v>
      </c>
      <c r="E103" s="87" t="s">
        <v>98</v>
      </c>
      <c r="F103" s="91" t="s">
        <v>381</v>
      </c>
      <c r="G103" s="89" t="n">
        <v>0.13395942234429</v>
      </c>
      <c r="H103" s="90"/>
      <c r="I103" s="90"/>
      <c r="J103" s="90"/>
      <c r="K103" s="92" t="n">
        <v>0.13395942234429</v>
      </c>
      <c r="L103" s="114" t="s">
        <v>120</v>
      </c>
      <c r="M103" s="78" t="s">
        <v>105</v>
      </c>
      <c r="N103" s="1" t="s">
        <v>101</v>
      </c>
    </row>
    <row r="104" customFormat="false" ht="25.5" hidden="false" customHeight="true" outlineLevel="0" collapsed="false">
      <c r="A104" s="69" t="s">
        <v>382</v>
      </c>
      <c r="B104" s="70" t="s">
        <v>383</v>
      </c>
      <c r="C104" s="71" t="s">
        <v>236</v>
      </c>
      <c r="D104" s="71" t="s">
        <v>97</v>
      </c>
      <c r="E104" s="87" t="n">
        <v>0.07</v>
      </c>
      <c r="F104" s="88" t="n">
        <v>0.06</v>
      </c>
      <c r="G104" s="89" t="n">
        <v>0.099</v>
      </c>
      <c r="H104" s="90"/>
      <c r="I104" s="90"/>
      <c r="J104" s="90"/>
      <c r="K104" s="92" t="n">
        <v>0.099</v>
      </c>
      <c r="L104" s="114" t="s">
        <v>113</v>
      </c>
      <c r="M104" s="78" t="s">
        <v>257</v>
      </c>
      <c r="N104" s="1" t="s">
        <v>101</v>
      </c>
    </row>
    <row r="105" customFormat="false" ht="25.5" hidden="false" customHeight="true" outlineLevel="0" collapsed="false">
      <c r="A105" s="69" t="s">
        <v>384</v>
      </c>
      <c r="B105" s="70" t="s">
        <v>385</v>
      </c>
      <c r="C105" s="71" t="s">
        <v>236</v>
      </c>
      <c r="D105" s="71" t="s">
        <v>97</v>
      </c>
      <c r="E105" s="87" t="n">
        <v>0</v>
      </c>
      <c r="F105" s="91" t="n">
        <v>0</v>
      </c>
      <c r="G105" s="90" t="n">
        <v>0.125</v>
      </c>
      <c r="H105" s="90" t="n">
        <v>0</v>
      </c>
      <c r="I105" s="90"/>
      <c r="J105" s="90"/>
      <c r="K105" s="92"/>
      <c r="L105" s="114" t="s">
        <v>99</v>
      </c>
      <c r="M105" s="78" t="s">
        <v>100</v>
      </c>
      <c r="N105" s="1" t="s">
        <v>101</v>
      </c>
    </row>
    <row r="106" customFormat="false" ht="25.5" hidden="false" customHeight="true" outlineLevel="0" collapsed="false">
      <c r="A106" s="69" t="s">
        <v>386</v>
      </c>
      <c r="B106" s="70" t="s">
        <v>387</v>
      </c>
      <c r="C106" s="71" t="s">
        <v>236</v>
      </c>
      <c r="D106" s="71" t="s">
        <v>97</v>
      </c>
      <c r="E106" s="87" t="n">
        <v>0.004</v>
      </c>
      <c r="F106" s="88" t="n">
        <v>0.0034</v>
      </c>
      <c r="G106" s="90" t="n">
        <v>0.00402</v>
      </c>
      <c r="H106" s="90" t="n">
        <v>0.00455911304528028</v>
      </c>
      <c r="I106" s="90"/>
      <c r="J106" s="90"/>
      <c r="K106" s="92"/>
      <c r="L106" s="114" t="s">
        <v>99</v>
      </c>
      <c r="M106" s="78" t="s">
        <v>105</v>
      </c>
      <c r="N106" s="1" t="s">
        <v>101</v>
      </c>
    </row>
    <row r="107" customFormat="false" ht="25.5" hidden="false" customHeight="true" outlineLevel="0" collapsed="false">
      <c r="A107" s="69" t="s">
        <v>388</v>
      </c>
      <c r="B107" s="70" t="s">
        <v>389</v>
      </c>
      <c r="C107" s="71" t="s">
        <v>33</v>
      </c>
      <c r="D107" s="71" t="s">
        <v>97</v>
      </c>
      <c r="E107" s="87" t="s">
        <v>98</v>
      </c>
      <c r="F107" s="91" t="n">
        <v>0</v>
      </c>
      <c r="G107" s="89" t="n">
        <v>0.426636363630333</v>
      </c>
      <c r="H107" s="90"/>
      <c r="I107" s="90"/>
      <c r="J107" s="90"/>
      <c r="K107" s="92" t="n">
        <v>0.426636363630333</v>
      </c>
      <c r="L107" s="114" t="s">
        <v>120</v>
      </c>
      <c r="M107" s="78" t="s">
        <v>190</v>
      </c>
      <c r="N107" s="1" t="s">
        <v>101</v>
      </c>
    </row>
    <row r="108" customFormat="false" ht="25.5" hidden="false" customHeight="true" outlineLevel="0" collapsed="false">
      <c r="A108" s="69" t="s">
        <v>390</v>
      </c>
      <c r="B108" s="70" t="s">
        <v>391</v>
      </c>
      <c r="C108" s="71" t="s">
        <v>33</v>
      </c>
      <c r="D108" s="71" t="s">
        <v>110</v>
      </c>
      <c r="E108" s="87" t="s">
        <v>98</v>
      </c>
      <c r="F108" s="88" t="n">
        <v>0.8</v>
      </c>
      <c r="G108" s="89" t="n">
        <v>0.636</v>
      </c>
      <c r="H108" s="90" t="n">
        <v>0.727</v>
      </c>
      <c r="I108" s="90"/>
      <c r="J108" s="90"/>
      <c r="K108" s="92" t="n">
        <v>0.636</v>
      </c>
      <c r="L108" s="114" t="s">
        <v>104</v>
      </c>
      <c r="M108" s="78" t="s">
        <v>190</v>
      </c>
      <c r="N108" s="1" t="s">
        <v>101</v>
      </c>
    </row>
    <row r="109" customFormat="false" ht="25.5" hidden="false" customHeight="true" outlineLevel="0" collapsed="false">
      <c r="A109" s="69" t="s">
        <v>392</v>
      </c>
      <c r="B109" s="70" t="s">
        <v>393</v>
      </c>
      <c r="C109" s="71" t="s">
        <v>33</v>
      </c>
      <c r="D109" s="71" t="s">
        <v>97</v>
      </c>
      <c r="E109" s="87" t="n">
        <v>0.4</v>
      </c>
      <c r="F109" s="88" t="n">
        <v>0.05</v>
      </c>
      <c r="G109" s="89" t="n">
        <v>0.4</v>
      </c>
      <c r="H109" s="90" t="n">
        <v>0.3</v>
      </c>
      <c r="I109" s="90"/>
      <c r="J109" s="90"/>
      <c r="K109" s="92" t="n">
        <v>0.4</v>
      </c>
      <c r="L109" s="114" t="s">
        <v>104</v>
      </c>
      <c r="M109" s="78" t="s">
        <v>190</v>
      </c>
      <c r="N109" s="1" t="s">
        <v>101</v>
      </c>
    </row>
    <row r="110" customFormat="false" ht="25.5" hidden="false" customHeight="true" outlineLevel="0" collapsed="false">
      <c r="A110" s="69" t="s">
        <v>394</v>
      </c>
      <c r="B110" s="70" t="s">
        <v>395</v>
      </c>
      <c r="C110" s="71" t="s">
        <v>41</v>
      </c>
      <c r="D110" s="71" t="s">
        <v>110</v>
      </c>
      <c r="E110" s="87" t="s">
        <v>98</v>
      </c>
      <c r="F110" s="91" t="s">
        <v>98</v>
      </c>
      <c r="G110" s="90" t="n">
        <v>0.0501</v>
      </c>
      <c r="H110" s="90" t="n">
        <v>0.8252</v>
      </c>
      <c r="I110" s="90"/>
      <c r="J110" s="90"/>
      <c r="K110" s="92" t="n">
        <v>0.0501</v>
      </c>
      <c r="L110" s="114" t="s">
        <v>120</v>
      </c>
      <c r="M110" s="78" t="s">
        <v>396</v>
      </c>
      <c r="N110" s="1" t="s">
        <v>101</v>
      </c>
    </row>
    <row r="111" customFormat="false" ht="25.5" hidden="false" customHeight="true" outlineLevel="0" collapsed="false">
      <c r="A111" s="69" t="s">
        <v>397</v>
      </c>
      <c r="B111" s="70" t="s">
        <v>398</v>
      </c>
      <c r="C111" s="71" t="s">
        <v>35</v>
      </c>
      <c r="D111" s="71" t="s">
        <v>97</v>
      </c>
      <c r="E111" s="115" t="n">
        <v>20.7</v>
      </c>
      <c r="F111" s="116" t="n">
        <v>21</v>
      </c>
      <c r="G111" s="117"/>
      <c r="H111" s="117"/>
      <c r="I111" s="117"/>
      <c r="J111" s="117"/>
      <c r="K111" s="118"/>
      <c r="L111" s="114" t="s">
        <v>99</v>
      </c>
      <c r="M111" s="78" t="s">
        <v>257</v>
      </c>
      <c r="N111" s="1" t="s">
        <v>101</v>
      </c>
    </row>
    <row r="112" customFormat="false" ht="25.5" hidden="false" customHeight="true" outlineLevel="0" collapsed="false">
      <c r="A112" s="69" t="s">
        <v>399</v>
      </c>
      <c r="B112" s="70" t="s">
        <v>400</v>
      </c>
      <c r="C112" s="71" t="s">
        <v>33</v>
      </c>
      <c r="D112" s="71" t="s">
        <v>110</v>
      </c>
      <c r="E112" s="115" t="s">
        <v>98</v>
      </c>
      <c r="F112" s="116" t="n">
        <v>2</v>
      </c>
      <c r="G112" s="117"/>
      <c r="H112" s="117"/>
      <c r="I112" s="117"/>
      <c r="J112" s="117"/>
      <c r="K112" s="118"/>
      <c r="L112" s="114"/>
      <c r="M112" s="78" t="s">
        <v>401</v>
      </c>
      <c r="N112" s="1" t="s">
        <v>217</v>
      </c>
    </row>
    <row r="113" customFormat="false" ht="25.5" hidden="false" customHeight="true" outlineLevel="0" collapsed="false">
      <c r="A113" s="69" t="s">
        <v>402</v>
      </c>
      <c r="B113" s="70" t="s">
        <v>403</v>
      </c>
      <c r="C113" s="71" t="s">
        <v>33</v>
      </c>
      <c r="D113" s="71" t="s">
        <v>97</v>
      </c>
      <c r="E113" s="87" t="n">
        <v>0.189</v>
      </c>
      <c r="F113" s="91" t="n">
        <v>0.1607</v>
      </c>
      <c r="G113" s="117"/>
      <c r="H113" s="117"/>
      <c r="I113" s="117"/>
      <c r="J113" s="117"/>
      <c r="K113" s="118"/>
      <c r="L113" s="114"/>
      <c r="M113" s="78" t="s">
        <v>190</v>
      </c>
      <c r="N113" s="1" t="s">
        <v>217</v>
      </c>
    </row>
    <row r="114" customFormat="false" ht="15" hidden="false" customHeight="true" outlineLevel="0" collapsed="false">
      <c r="A114" s="69" t="s">
        <v>404</v>
      </c>
      <c r="B114" s="70" t="s">
        <v>405</v>
      </c>
      <c r="C114" s="71" t="s">
        <v>35</v>
      </c>
      <c r="D114" s="71" t="s">
        <v>227</v>
      </c>
      <c r="E114" s="87"/>
      <c r="F114" s="88"/>
      <c r="G114" s="89"/>
      <c r="H114" s="90"/>
      <c r="I114" s="90"/>
      <c r="J114" s="90"/>
      <c r="K114" s="92"/>
      <c r="L114" s="114" t="s">
        <v>99</v>
      </c>
      <c r="M114" s="78" t="s">
        <v>105</v>
      </c>
      <c r="N114" s="1" t="s">
        <v>217</v>
      </c>
    </row>
    <row r="115" customFormat="false" ht="15" hidden="false" customHeight="true" outlineLevel="0" collapsed="false">
      <c r="A115" s="69" t="s">
        <v>406</v>
      </c>
      <c r="B115" s="70" t="s">
        <v>407</v>
      </c>
      <c r="C115" s="71" t="s">
        <v>34</v>
      </c>
      <c r="D115" s="71" t="s">
        <v>110</v>
      </c>
      <c r="E115" s="87"/>
      <c r="F115" s="88"/>
      <c r="G115" s="89"/>
      <c r="H115" s="90"/>
      <c r="I115" s="90"/>
      <c r="J115" s="90"/>
      <c r="K115" s="92"/>
      <c r="L115" s="114" t="s">
        <v>99</v>
      </c>
      <c r="M115" s="78" t="s">
        <v>241</v>
      </c>
      <c r="N115" s="1" t="s">
        <v>217</v>
      </c>
    </row>
    <row r="116" customFormat="false" ht="15" hidden="false" customHeight="true" outlineLevel="0" collapsed="false">
      <c r="A116" s="69" t="s">
        <v>408</v>
      </c>
      <c r="B116" s="70" t="s">
        <v>409</v>
      </c>
      <c r="C116" s="71" t="s">
        <v>213</v>
      </c>
      <c r="D116" s="71" t="s">
        <v>110</v>
      </c>
      <c r="E116" s="87"/>
      <c r="F116" s="91" t="n">
        <v>1</v>
      </c>
      <c r="G116" s="89"/>
      <c r="H116" s="90"/>
      <c r="I116" s="90"/>
      <c r="J116" s="90"/>
      <c r="K116" s="92"/>
      <c r="L116" s="114" t="s">
        <v>99</v>
      </c>
      <c r="M116" s="78" t="s">
        <v>410</v>
      </c>
      <c r="N116" s="1" t="s">
        <v>217</v>
      </c>
    </row>
    <row r="117" customFormat="false" ht="15" hidden="false" customHeight="true" outlineLevel="0" collapsed="false">
      <c r="A117" s="69" t="s">
        <v>411</v>
      </c>
      <c r="B117" s="70" t="s">
        <v>412</v>
      </c>
      <c r="C117" s="71" t="s">
        <v>213</v>
      </c>
      <c r="D117" s="71" t="s">
        <v>227</v>
      </c>
      <c r="E117" s="87"/>
      <c r="F117" s="88"/>
      <c r="G117" s="89"/>
      <c r="H117" s="90"/>
      <c r="I117" s="90"/>
      <c r="J117" s="90"/>
      <c r="K117" s="92"/>
      <c r="L117" s="114" t="s">
        <v>99</v>
      </c>
      <c r="M117" s="78" t="s">
        <v>241</v>
      </c>
      <c r="N117" s="1" t="s">
        <v>217</v>
      </c>
    </row>
    <row r="118" customFormat="false" ht="24" hidden="false" customHeight="true" outlineLevel="0" collapsed="false">
      <c r="A118" s="69" t="s">
        <v>413</v>
      </c>
      <c r="B118" s="70" t="s">
        <v>414</v>
      </c>
      <c r="C118" s="71" t="s">
        <v>34</v>
      </c>
      <c r="D118" s="71" t="s">
        <v>227</v>
      </c>
      <c r="E118" s="87"/>
      <c r="F118" s="88"/>
      <c r="G118" s="89"/>
      <c r="H118" s="90"/>
      <c r="I118" s="90"/>
      <c r="J118" s="90"/>
      <c r="K118" s="92"/>
      <c r="L118" s="114" t="s">
        <v>99</v>
      </c>
      <c r="M118" s="78" t="s">
        <v>241</v>
      </c>
      <c r="N118" s="1" t="s">
        <v>217</v>
      </c>
    </row>
    <row r="119" customFormat="false" ht="24" hidden="false" customHeight="true" outlineLevel="0" collapsed="false">
      <c r="A119" s="69" t="s">
        <v>415</v>
      </c>
      <c r="B119" s="70" t="s">
        <v>416</v>
      </c>
      <c r="C119" s="71" t="s">
        <v>31</v>
      </c>
      <c r="D119" s="71" t="s">
        <v>227</v>
      </c>
      <c r="E119" s="87"/>
      <c r="F119" s="88"/>
      <c r="G119" s="89"/>
      <c r="H119" s="90"/>
      <c r="I119" s="90"/>
      <c r="J119" s="90"/>
      <c r="K119" s="92"/>
      <c r="L119" s="114" t="s">
        <v>99</v>
      </c>
      <c r="M119" s="78" t="s">
        <v>241</v>
      </c>
      <c r="N119" s="1" t="s">
        <v>217</v>
      </c>
    </row>
    <row r="120" customFormat="false" ht="15" hidden="false" customHeight="true" outlineLevel="0" collapsed="false">
      <c r="A120" s="69" t="s">
        <v>417</v>
      </c>
      <c r="B120" s="70" t="s">
        <v>418</v>
      </c>
      <c r="C120" s="71" t="s">
        <v>236</v>
      </c>
      <c r="D120" s="71" t="s">
        <v>227</v>
      </c>
      <c r="E120" s="87"/>
      <c r="F120" s="88"/>
      <c r="G120" s="89"/>
      <c r="H120" s="90"/>
      <c r="I120" s="90"/>
      <c r="J120" s="90"/>
      <c r="K120" s="92"/>
      <c r="L120" s="114" t="s">
        <v>99</v>
      </c>
      <c r="M120" s="78" t="s">
        <v>241</v>
      </c>
      <c r="N120" s="1" t="s">
        <v>217</v>
      </c>
    </row>
    <row r="121" customFormat="false" ht="15" hidden="false" customHeight="true" outlineLevel="0" collapsed="false">
      <c r="A121" s="69" t="s">
        <v>419</v>
      </c>
      <c r="B121" s="70" t="s">
        <v>420</v>
      </c>
      <c r="C121" s="71" t="s">
        <v>236</v>
      </c>
      <c r="D121" s="71" t="s">
        <v>227</v>
      </c>
      <c r="E121" s="87"/>
      <c r="F121" s="88"/>
      <c r="G121" s="89"/>
      <c r="H121" s="90"/>
      <c r="I121" s="90"/>
      <c r="J121" s="90"/>
      <c r="K121" s="92"/>
      <c r="L121" s="114" t="s">
        <v>99</v>
      </c>
      <c r="M121" s="78" t="s">
        <v>241</v>
      </c>
      <c r="N121" s="1" t="s">
        <v>217</v>
      </c>
    </row>
    <row r="122" customFormat="false" ht="24" hidden="false" customHeight="true" outlineLevel="0" collapsed="false">
      <c r="A122" s="69" t="s">
        <v>421</v>
      </c>
      <c r="B122" s="70" t="s">
        <v>422</v>
      </c>
      <c r="C122" s="71" t="s">
        <v>33</v>
      </c>
      <c r="D122" s="71" t="s">
        <v>227</v>
      </c>
      <c r="E122" s="87"/>
      <c r="F122" s="88"/>
      <c r="G122" s="89"/>
      <c r="H122" s="90"/>
      <c r="I122" s="90"/>
      <c r="J122" s="90"/>
      <c r="K122" s="92"/>
      <c r="L122" s="114" t="s">
        <v>99</v>
      </c>
      <c r="M122" s="78" t="s">
        <v>105</v>
      </c>
      <c r="N122" s="1" t="s">
        <v>217</v>
      </c>
    </row>
    <row r="123" customFormat="false" ht="15" hidden="false" customHeight="true" outlineLevel="0" collapsed="false">
      <c r="A123" s="69" t="s">
        <v>423</v>
      </c>
      <c r="B123" s="70" t="s">
        <v>424</v>
      </c>
      <c r="C123" s="71" t="s">
        <v>33</v>
      </c>
      <c r="D123" s="71" t="s">
        <v>227</v>
      </c>
      <c r="E123" s="87"/>
      <c r="F123" s="88"/>
      <c r="G123" s="89"/>
      <c r="H123" s="90"/>
      <c r="I123" s="90"/>
      <c r="J123" s="90"/>
      <c r="K123" s="92"/>
      <c r="L123" s="114" t="s">
        <v>99</v>
      </c>
      <c r="M123" s="78" t="s">
        <v>233</v>
      </c>
      <c r="N123" s="1" t="s">
        <v>217</v>
      </c>
    </row>
    <row r="124" customFormat="false" ht="15" hidden="false" customHeight="true" outlineLevel="0" collapsed="false">
      <c r="A124" s="69" t="s">
        <v>425</v>
      </c>
      <c r="B124" s="70" t="s">
        <v>426</v>
      </c>
      <c r="C124" s="71" t="s">
        <v>33</v>
      </c>
      <c r="D124" s="71" t="s">
        <v>227</v>
      </c>
      <c r="E124" s="87"/>
      <c r="F124" s="88"/>
      <c r="G124" s="89"/>
      <c r="H124" s="90"/>
      <c r="I124" s="90"/>
      <c r="J124" s="90"/>
      <c r="K124" s="92"/>
      <c r="L124" s="114" t="s">
        <v>99</v>
      </c>
      <c r="M124" s="78" t="s">
        <v>233</v>
      </c>
      <c r="N124" s="1" t="s">
        <v>217</v>
      </c>
    </row>
    <row r="125" customFormat="false" ht="15" hidden="false" customHeight="true" outlineLevel="0" collapsed="false">
      <c r="A125" s="69" t="s">
        <v>427</v>
      </c>
      <c r="B125" s="70" t="s">
        <v>428</v>
      </c>
      <c r="C125" s="71" t="s">
        <v>33</v>
      </c>
      <c r="D125" s="71" t="s">
        <v>227</v>
      </c>
      <c r="E125" s="87"/>
      <c r="F125" s="88"/>
      <c r="G125" s="89"/>
      <c r="H125" s="90"/>
      <c r="I125" s="90"/>
      <c r="J125" s="90"/>
      <c r="K125" s="92"/>
      <c r="L125" s="114" t="s">
        <v>99</v>
      </c>
      <c r="M125" s="78" t="s">
        <v>233</v>
      </c>
      <c r="N125" s="1" t="s">
        <v>217</v>
      </c>
    </row>
    <row r="126" customFormat="false" ht="24" hidden="false" customHeight="true" outlineLevel="0" collapsed="false">
      <c r="A126" s="69" t="s">
        <v>429</v>
      </c>
      <c r="B126" s="70" t="s">
        <v>430</v>
      </c>
      <c r="C126" s="71" t="s">
        <v>38</v>
      </c>
      <c r="D126" s="71" t="s">
        <v>227</v>
      </c>
      <c r="E126" s="87"/>
      <c r="F126" s="88"/>
      <c r="G126" s="89"/>
      <c r="H126" s="90"/>
      <c r="I126" s="90"/>
      <c r="J126" s="90"/>
      <c r="K126" s="92"/>
      <c r="L126" s="114" t="s">
        <v>99</v>
      </c>
      <c r="M126" s="78" t="s">
        <v>190</v>
      </c>
      <c r="N126" s="1" t="s">
        <v>217</v>
      </c>
    </row>
    <row r="127" customFormat="false" ht="15" hidden="false" customHeight="true" outlineLevel="0" collapsed="false">
      <c r="A127" s="69" t="s">
        <v>431</v>
      </c>
      <c r="B127" s="70" t="s">
        <v>432</v>
      </c>
      <c r="C127" s="71" t="s">
        <v>33</v>
      </c>
      <c r="D127" s="71" t="s">
        <v>227</v>
      </c>
      <c r="E127" s="87"/>
      <c r="F127" s="88"/>
      <c r="G127" s="89"/>
      <c r="H127" s="90"/>
      <c r="I127" s="90"/>
      <c r="J127" s="90"/>
      <c r="K127" s="92"/>
      <c r="L127" s="114" t="s">
        <v>99</v>
      </c>
      <c r="M127" s="78" t="s">
        <v>233</v>
      </c>
      <c r="N127" s="1" t="s">
        <v>217</v>
      </c>
    </row>
    <row r="128" customFormat="false" ht="15" hidden="false" customHeight="true" outlineLevel="0" collapsed="false">
      <c r="A128" s="69" t="s">
        <v>433</v>
      </c>
      <c r="B128" s="70" t="s">
        <v>434</v>
      </c>
      <c r="C128" s="71" t="s">
        <v>38</v>
      </c>
      <c r="D128" s="71" t="s">
        <v>227</v>
      </c>
      <c r="E128" s="87"/>
      <c r="F128" s="88"/>
      <c r="G128" s="89"/>
      <c r="H128" s="90"/>
      <c r="I128" s="90"/>
      <c r="J128" s="90"/>
      <c r="K128" s="92"/>
      <c r="L128" s="114" t="s">
        <v>99</v>
      </c>
      <c r="M128" s="78" t="s">
        <v>190</v>
      </c>
      <c r="N128" s="1" t="s">
        <v>217</v>
      </c>
    </row>
    <row r="129" customFormat="false" ht="15" hidden="false" customHeight="true" outlineLevel="0" collapsed="false">
      <c r="A129" s="69" t="s">
        <v>435</v>
      </c>
      <c r="B129" s="70" t="s">
        <v>436</v>
      </c>
      <c r="C129" s="71" t="s">
        <v>38</v>
      </c>
      <c r="D129" s="71" t="s">
        <v>227</v>
      </c>
      <c r="E129" s="87"/>
      <c r="F129" s="88"/>
      <c r="G129" s="89"/>
      <c r="H129" s="90"/>
      <c r="I129" s="90"/>
      <c r="J129" s="90"/>
      <c r="K129" s="92"/>
      <c r="L129" s="114" t="s">
        <v>99</v>
      </c>
      <c r="M129" s="78" t="s">
        <v>105</v>
      </c>
      <c r="N129" s="1" t="s">
        <v>217</v>
      </c>
    </row>
    <row r="130" customFormat="false" ht="15" hidden="false" customHeight="true" outlineLevel="0" collapsed="false">
      <c r="A130" s="69" t="s">
        <v>437</v>
      </c>
      <c r="B130" s="70" t="s">
        <v>438</v>
      </c>
      <c r="C130" s="71" t="s">
        <v>38</v>
      </c>
      <c r="D130" s="71" t="s">
        <v>227</v>
      </c>
      <c r="E130" s="87"/>
      <c r="F130" s="88"/>
      <c r="G130" s="89"/>
      <c r="H130" s="90"/>
      <c r="I130" s="90"/>
      <c r="J130" s="90"/>
      <c r="K130" s="92"/>
      <c r="L130" s="114" t="s">
        <v>99</v>
      </c>
      <c r="M130" s="78" t="s">
        <v>233</v>
      </c>
      <c r="N130" s="1" t="s">
        <v>217</v>
      </c>
    </row>
    <row r="131" customFormat="false" ht="15" hidden="false" customHeight="true" outlineLevel="0" collapsed="false">
      <c r="A131" s="69" t="s">
        <v>439</v>
      </c>
      <c r="B131" s="70" t="s">
        <v>440</v>
      </c>
      <c r="C131" s="71" t="s">
        <v>38</v>
      </c>
      <c r="D131" s="71" t="s">
        <v>227</v>
      </c>
      <c r="E131" s="87"/>
      <c r="F131" s="88"/>
      <c r="G131" s="89"/>
      <c r="H131" s="90"/>
      <c r="I131" s="90"/>
      <c r="J131" s="90"/>
      <c r="K131" s="92"/>
      <c r="L131" s="114" t="s">
        <v>99</v>
      </c>
      <c r="M131" s="78" t="s">
        <v>241</v>
      </c>
      <c r="N131" s="1" t="s">
        <v>217</v>
      </c>
    </row>
    <row r="132" customFormat="false" ht="24" hidden="false" customHeight="true" outlineLevel="0" collapsed="false">
      <c r="A132" s="69" t="s">
        <v>441</v>
      </c>
      <c r="B132" s="70" t="s">
        <v>442</v>
      </c>
      <c r="C132" s="71" t="s">
        <v>38</v>
      </c>
      <c r="D132" s="71" t="s">
        <v>227</v>
      </c>
      <c r="E132" s="87"/>
      <c r="F132" s="88"/>
      <c r="G132" s="89"/>
      <c r="H132" s="90"/>
      <c r="I132" s="90"/>
      <c r="J132" s="90"/>
      <c r="K132" s="92"/>
      <c r="L132" s="114" t="s">
        <v>99</v>
      </c>
      <c r="M132" s="78" t="s">
        <v>241</v>
      </c>
      <c r="N132" s="1" t="s">
        <v>217</v>
      </c>
    </row>
    <row r="133" customFormat="false" ht="24" hidden="false" customHeight="true" outlineLevel="0" collapsed="false">
      <c r="G133" s="113"/>
      <c r="H133" s="113"/>
      <c r="I133" s="113"/>
      <c r="J133" s="113"/>
    </row>
    <row r="134" customFormat="false" ht="15" hidden="false" customHeight="true" outlineLevel="0" collapsed="false">
      <c r="G134" s="113"/>
      <c r="H134" s="113"/>
      <c r="I134" s="113"/>
      <c r="J134" s="113"/>
    </row>
    <row r="135" customFormat="false" ht="15" hidden="false" customHeight="true" outlineLevel="0" collapsed="false">
      <c r="G135" s="113"/>
      <c r="H135" s="113"/>
      <c r="I135" s="113"/>
      <c r="J135" s="113"/>
    </row>
    <row r="136" customFormat="false" ht="15" hidden="false" customHeight="true" outlineLevel="0" collapsed="false">
      <c r="G136" s="113"/>
      <c r="H136" s="113"/>
      <c r="I136" s="113"/>
      <c r="J136" s="113"/>
    </row>
    <row r="137" customFormat="false" ht="15" hidden="false" customHeight="true" outlineLevel="0" collapsed="false">
      <c r="G137" s="113"/>
      <c r="H137" s="113"/>
      <c r="I137" s="113"/>
      <c r="J137" s="113"/>
    </row>
    <row r="138" customFormat="false" ht="15" hidden="false" customHeight="true" outlineLevel="0" collapsed="false">
      <c r="G138" s="113"/>
      <c r="H138" s="113"/>
      <c r="I138" s="113"/>
      <c r="J138" s="113"/>
    </row>
    <row r="139" customFormat="false" ht="15" hidden="false" customHeight="true" outlineLevel="0" collapsed="false">
      <c r="G139" s="113"/>
      <c r="H139" s="113"/>
      <c r="I139" s="113"/>
      <c r="J139" s="113"/>
    </row>
    <row r="140" customFormat="false" ht="15" hidden="false" customHeight="true" outlineLevel="0" collapsed="false">
      <c r="G140" s="113"/>
      <c r="H140" s="113"/>
      <c r="I140" s="113"/>
      <c r="J140" s="113"/>
    </row>
    <row r="141" customFormat="false" ht="15" hidden="false" customHeight="true" outlineLevel="0" collapsed="false">
      <c r="G141" s="113"/>
      <c r="H141" s="113"/>
      <c r="I141" s="113"/>
      <c r="J141" s="113"/>
    </row>
    <row r="142" customFormat="false" ht="15" hidden="false" customHeight="true" outlineLevel="0" collapsed="false">
      <c r="G142" s="113"/>
      <c r="H142" s="113"/>
      <c r="I142" s="113"/>
      <c r="J142" s="113"/>
    </row>
    <row r="143" customFormat="false" ht="15" hidden="false" customHeight="true" outlineLevel="0" collapsed="false">
      <c r="G143" s="113"/>
      <c r="H143" s="113"/>
      <c r="I143" s="113"/>
      <c r="J143" s="113"/>
    </row>
    <row r="144" customFormat="false" ht="15" hidden="false" customHeight="true" outlineLevel="0" collapsed="false">
      <c r="G144" s="113"/>
      <c r="H144" s="113"/>
      <c r="I144" s="113"/>
      <c r="J144" s="113"/>
    </row>
    <row r="145" customFormat="false" ht="15" hidden="false" customHeight="true" outlineLevel="0" collapsed="false">
      <c r="G145" s="113"/>
      <c r="H145" s="113"/>
      <c r="I145" s="113"/>
      <c r="J145" s="113"/>
    </row>
    <row r="146" customFormat="false" ht="15" hidden="false" customHeight="true" outlineLevel="0" collapsed="false">
      <c r="G146" s="113"/>
      <c r="H146" s="113"/>
      <c r="I146" s="113"/>
      <c r="J146" s="113"/>
    </row>
    <row r="147" customFormat="false" ht="15" hidden="false" customHeight="true" outlineLevel="0" collapsed="false">
      <c r="G147" s="113"/>
      <c r="H147" s="113"/>
      <c r="I147" s="113"/>
      <c r="J147" s="113"/>
    </row>
    <row r="148" customFormat="false" ht="15" hidden="false" customHeight="true" outlineLevel="0" collapsed="false">
      <c r="G148" s="113"/>
      <c r="H148" s="113"/>
      <c r="I148" s="113"/>
      <c r="J148" s="113"/>
    </row>
    <row r="149" customFormat="false" ht="15" hidden="false" customHeight="true" outlineLevel="0" collapsed="false">
      <c r="G149" s="113"/>
      <c r="H149" s="113"/>
      <c r="I149" s="113"/>
      <c r="J149" s="113"/>
    </row>
    <row r="150" customFormat="false" ht="15" hidden="false" customHeight="true" outlineLevel="0" collapsed="false">
      <c r="G150" s="113"/>
      <c r="H150" s="113"/>
      <c r="I150" s="113"/>
      <c r="J150" s="113"/>
    </row>
    <row r="151" customFormat="false" ht="15" hidden="false" customHeight="true" outlineLevel="0" collapsed="false">
      <c r="G151" s="113"/>
      <c r="H151" s="113"/>
      <c r="I151" s="113"/>
      <c r="J151" s="113"/>
    </row>
    <row r="152" customFormat="false" ht="15" hidden="false" customHeight="true" outlineLevel="0" collapsed="false">
      <c r="G152" s="113"/>
      <c r="H152" s="113"/>
      <c r="I152" s="113"/>
      <c r="J152" s="113"/>
    </row>
    <row r="153" customFormat="false" ht="15" hidden="false" customHeight="true" outlineLevel="0" collapsed="false">
      <c r="G153" s="113"/>
      <c r="H153" s="113"/>
      <c r="I153" s="113"/>
      <c r="J153" s="113"/>
    </row>
    <row r="154" customFormat="false" ht="15" hidden="false" customHeight="true" outlineLevel="0" collapsed="false">
      <c r="G154" s="113"/>
      <c r="H154" s="113"/>
      <c r="I154" s="113"/>
      <c r="J154" s="113"/>
    </row>
    <row r="155" customFormat="false" ht="15" hidden="false" customHeight="true" outlineLevel="0" collapsed="false">
      <c r="G155" s="113"/>
      <c r="H155" s="113"/>
      <c r="I155" s="113"/>
      <c r="J155" s="113"/>
    </row>
    <row r="156" customFormat="false" ht="15" hidden="false" customHeight="true" outlineLevel="0" collapsed="false">
      <c r="G156" s="113"/>
      <c r="H156" s="113"/>
      <c r="I156" s="113"/>
      <c r="J156" s="113"/>
    </row>
    <row r="157" customFormat="false" ht="15" hidden="false" customHeight="true" outlineLevel="0" collapsed="false">
      <c r="G157" s="113"/>
      <c r="H157" s="113"/>
      <c r="I157" s="113"/>
      <c r="J157" s="113"/>
    </row>
    <row r="158" customFormat="false" ht="15" hidden="false" customHeight="true" outlineLevel="0" collapsed="false">
      <c r="G158" s="113"/>
      <c r="H158" s="113"/>
      <c r="I158" s="113"/>
      <c r="J158" s="113"/>
    </row>
    <row r="159" customFormat="false" ht="15" hidden="false" customHeight="true" outlineLevel="0" collapsed="false">
      <c r="G159" s="113"/>
      <c r="H159" s="113"/>
      <c r="I159" s="113"/>
      <c r="J159" s="113"/>
    </row>
    <row r="160" customFormat="false" ht="15" hidden="false" customHeight="true" outlineLevel="0" collapsed="false">
      <c r="G160" s="113"/>
      <c r="H160" s="113"/>
      <c r="I160" s="113"/>
      <c r="J160" s="113"/>
    </row>
    <row r="161" customFormat="false" ht="15" hidden="false" customHeight="true" outlineLevel="0" collapsed="false">
      <c r="G161" s="113"/>
      <c r="H161" s="113"/>
      <c r="I161" s="113"/>
      <c r="J161" s="113"/>
    </row>
    <row r="162" customFormat="false" ht="15" hidden="false" customHeight="true" outlineLevel="0" collapsed="false">
      <c r="G162" s="113"/>
      <c r="H162" s="113"/>
      <c r="I162" s="113"/>
      <c r="J162" s="113"/>
    </row>
    <row r="163" customFormat="false" ht="15" hidden="false" customHeight="true" outlineLevel="0" collapsed="false">
      <c r="G163" s="113"/>
      <c r="H163" s="113"/>
      <c r="I163" s="113"/>
      <c r="J163" s="113"/>
    </row>
    <row r="164" customFormat="false" ht="15" hidden="false" customHeight="true" outlineLevel="0" collapsed="false">
      <c r="G164" s="113"/>
      <c r="H164" s="113"/>
      <c r="I164" s="113"/>
      <c r="J164" s="113"/>
    </row>
    <row r="165" customFormat="false" ht="15" hidden="false" customHeight="true" outlineLevel="0" collapsed="false">
      <c r="G165" s="113"/>
      <c r="H165" s="113"/>
      <c r="I165" s="113"/>
      <c r="J165" s="113"/>
    </row>
    <row r="166" customFormat="false" ht="15" hidden="false" customHeight="true" outlineLevel="0" collapsed="false">
      <c r="G166" s="113"/>
      <c r="H166" s="113"/>
      <c r="I166" s="113"/>
      <c r="J166" s="113"/>
    </row>
    <row r="167" customFormat="false" ht="15" hidden="false" customHeight="true" outlineLevel="0" collapsed="false">
      <c r="G167" s="113"/>
      <c r="H167" s="113"/>
      <c r="I167" s="113"/>
      <c r="J167" s="113"/>
    </row>
    <row r="168" customFormat="false" ht="15" hidden="false" customHeight="true" outlineLevel="0" collapsed="false">
      <c r="G168" s="113"/>
      <c r="H168" s="113"/>
      <c r="I168" s="113"/>
      <c r="J168" s="113"/>
    </row>
    <row r="169" customFormat="false" ht="15" hidden="false" customHeight="true" outlineLevel="0" collapsed="false">
      <c r="G169" s="113"/>
      <c r="H169" s="113"/>
      <c r="I169" s="113"/>
      <c r="J169" s="113"/>
    </row>
    <row r="170" customFormat="false" ht="15" hidden="false" customHeight="true" outlineLevel="0" collapsed="false">
      <c r="G170" s="113"/>
      <c r="H170" s="113"/>
      <c r="I170" s="113"/>
      <c r="J170" s="113"/>
    </row>
    <row r="171" customFormat="false" ht="15" hidden="false" customHeight="true" outlineLevel="0" collapsed="false">
      <c r="G171" s="113"/>
      <c r="H171" s="113"/>
      <c r="I171" s="113"/>
      <c r="J171" s="113"/>
    </row>
    <row r="172" customFormat="false" ht="15" hidden="false" customHeight="true" outlineLevel="0" collapsed="false">
      <c r="G172" s="113"/>
      <c r="H172" s="113"/>
      <c r="I172" s="113"/>
      <c r="J172" s="113"/>
    </row>
    <row r="173" customFormat="false" ht="15" hidden="false" customHeight="true" outlineLevel="0" collapsed="false">
      <c r="G173" s="113"/>
      <c r="H173" s="113"/>
      <c r="I173" s="113"/>
      <c r="J173" s="113"/>
    </row>
    <row r="174" customFormat="false" ht="15" hidden="false" customHeight="true" outlineLevel="0" collapsed="false">
      <c r="G174" s="113"/>
      <c r="H174" s="113"/>
      <c r="I174" s="113"/>
      <c r="J174" s="113"/>
    </row>
    <row r="175" customFormat="false" ht="15" hidden="false" customHeight="true" outlineLevel="0" collapsed="false">
      <c r="G175" s="113"/>
      <c r="H175" s="113"/>
      <c r="I175" s="113"/>
      <c r="J175" s="113"/>
    </row>
    <row r="176" customFormat="false" ht="15" hidden="false" customHeight="true" outlineLevel="0" collapsed="false">
      <c r="G176" s="113"/>
      <c r="H176" s="113"/>
      <c r="I176" s="113"/>
      <c r="J176" s="113"/>
    </row>
    <row r="177" customFormat="false" ht="15" hidden="false" customHeight="true" outlineLevel="0" collapsed="false">
      <c r="G177" s="113"/>
      <c r="H177" s="113"/>
      <c r="I177" s="113"/>
      <c r="J177" s="113"/>
    </row>
    <row r="178" customFormat="false" ht="15" hidden="false" customHeight="true" outlineLevel="0" collapsed="false">
      <c r="G178" s="113"/>
      <c r="H178" s="113"/>
      <c r="I178" s="113"/>
      <c r="J178" s="113"/>
    </row>
    <row r="179" customFormat="false" ht="15" hidden="false" customHeight="true" outlineLevel="0" collapsed="false">
      <c r="G179" s="113"/>
      <c r="H179" s="113"/>
      <c r="I179" s="113"/>
      <c r="J179" s="113"/>
    </row>
    <row r="180" customFormat="false" ht="15" hidden="false" customHeight="true" outlineLevel="0" collapsed="false">
      <c r="G180" s="113"/>
      <c r="H180" s="113"/>
      <c r="I180" s="113"/>
      <c r="J180" s="113"/>
    </row>
    <row r="181" customFormat="false" ht="15" hidden="false" customHeight="true" outlineLevel="0" collapsed="false">
      <c r="G181" s="113"/>
      <c r="H181" s="113"/>
      <c r="I181" s="113"/>
      <c r="J181" s="113"/>
    </row>
    <row r="182" customFormat="false" ht="15" hidden="false" customHeight="true" outlineLevel="0" collapsed="false">
      <c r="G182" s="113"/>
      <c r="H182" s="113"/>
      <c r="I182" s="113"/>
      <c r="J182" s="113"/>
    </row>
    <row r="183" customFormat="false" ht="15" hidden="false" customHeight="true" outlineLevel="0" collapsed="false">
      <c r="G183" s="113"/>
      <c r="H183" s="113"/>
      <c r="I183" s="113"/>
      <c r="J183" s="113"/>
    </row>
    <row r="184" customFormat="false" ht="15" hidden="false" customHeight="true" outlineLevel="0" collapsed="false">
      <c r="G184" s="113"/>
      <c r="H184" s="113"/>
      <c r="I184" s="113"/>
      <c r="J184" s="113"/>
    </row>
    <row r="185" customFormat="false" ht="15" hidden="false" customHeight="true" outlineLevel="0" collapsed="false">
      <c r="G185" s="113"/>
      <c r="H185" s="113"/>
      <c r="I185" s="113"/>
      <c r="J185" s="113"/>
    </row>
    <row r="186" customFormat="false" ht="15" hidden="false" customHeight="true" outlineLevel="0" collapsed="false">
      <c r="G186" s="113"/>
      <c r="H186" s="113"/>
      <c r="I186" s="113"/>
      <c r="J186" s="113"/>
    </row>
    <row r="187" customFormat="false" ht="15" hidden="false" customHeight="true" outlineLevel="0" collapsed="false">
      <c r="G187" s="113"/>
      <c r="H187" s="113"/>
      <c r="I187" s="113"/>
      <c r="J187" s="113"/>
    </row>
    <row r="188" customFormat="false" ht="15" hidden="false" customHeight="true" outlineLevel="0" collapsed="false">
      <c r="G188" s="113"/>
      <c r="H188" s="113"/>
      <c r="I188" s="113"/>
      <c r="J188" s="113"/>
    </row>
    <row r="189" customFormat="false" ht="15" hidden="false" customHeight="true" outlineLevel="0" collapsed="false">
      <c r="G189" s="113"/>
      <c r="H189" s="113"/>
      <c r="I189" s="113"/>
      <c r="J189" s="113"/>
    </row>
    <row r="190" customFormat="false" ht="15" hidden="false" customHeight="true" outlineLevel="0" collapsed="false">
      <c r="G190" s="113"/>
      <c r="H190" s="113"/>
      <c r="I190" s="113"/>
      <c r="J190" s="113"/>
    </row>
    <row r="191" customFormat="false" ht="15" hidden="false" customHeight="true" outlineLevel="0" collapsed="false">
      <c r="G191" s="113"/>
      <c r="H191" s="113"/>
      <c r="I191" s="113"/>
      <c r="J191" s="113"/>
    </row>
    <row r="192" customFormat="false" ht="15" hidden="false" customHeight="true" outlineLevel="0" collapsed="false">
      <c r="G192" s="113"/>
      <c r="H192" s="113"/>
      <c r="I192" s="113"/>
      <c r="J192" s="113"/>
    </row>
    <row r="193" customFormat="false" ht="15" hidden="false" customHeight="true" outlineLevel="0" collapsed="false">
      <c r="G193" s="113"/>
      <c r="H193" s="113"/>
      <c r="I193" s="113"/>
      <c r="J193" s="113"/>
    </row>
    <row r="194" customFormat="false" ht="15" hidden="false" customHeight="true" outlineLevel="0" collapsed="false">
      <c r="G194" s="113"/>
      <c r="H194" s="113"/>
      <c r="I194" s="113"/>
      <c r="J194" s="113"/>
    </row>
    <row r="195" customFormat="false" ht="15" hidden="false" customHeight="true" outlineLevel="0" collapsed="false">
      <c r="G195" s="113"/>
      <c r="H195" s="113"/>
      <c r="I195" s="113"/>
      <c r="J195" s="113"/>
    </row>
    <row r="196" customFormat="false" ht="15" hidden="false" customHeight="true" outlineLevel="0" collapsed="false">
      <c r="G196" s="113"/>
      <c r="H196" s="113"/>
      <c r="I196" s="113"/>
      <c r="J196" s="113"/>
    </row>
    <row r="197" customFormat="false" ht="15" hidden="false" customHeight="true" outlineLevel="0" collapsed="false">
      <c r="G197" s="113"/>
      <c r="H197" s="113"/>
      <c r="I197" s="113"/>
      <c r="J197" s="113"/>
    </row>
    <row r="198" customFormat="false" ht="15" hidden="false" customHeight="true" outlineLevel="0" collapsed="false">
      <c r="G198" s="113"/>
      <c r="H198" s="113"/>
      <c r="I198" s="113"/>
      <c r="J198" s="113"/>
    </row>
    <row r="199" customFormat="false" ht="15" hidden="false" customHeight="true" outlineLevel="0" collapsed="false">
      <c r="G199" s="113"/>
      <c r="H199" s="113"/>
      <c r="I199" s="113"/>
      <c r="J199" s="113"/>
    </row>
    <row r="200" customFormat="false" ht="15" hidden="false" customHeight="true" outlineLevel="0" collapsed="false">
      <c r="G200" s="113"/>
      <c r="H200" s="113"/>
      <c r="I200" s="113"/>
      <c r="J200" s="113"/>
    </row>
    <row r="201" customFormat="false" ht="15" hidden="false" customHeight="true" outlineLevel="0" collapsed="false">
      <c r="G201" s="113"/>
      <c r="H201" s="113"/>
      <c r="I201" s="113"/>
      <c r="J201" s="113"/>
    </row>
    <row r="202" customFormat="false" ht="15" hidden="false" customHeight="true" outlineLevel="0" collapsed="false">
      <c r="G202" s="113"/>
      <c r="H202" s="113"/>
      <c r="I202" s="113"/>
      <c r="J202" s="113"/>
    </row>
    <row r="203" customFormat="false" ht="15" hidden="false" customHeight="true" outlineLevel="0" collapsed="false">
      <c r="G203" s="113"/>
      <c r="H203" s="113"/>
      <c r="I203" s="113"/>
      <c r="J203" s="113"/>
    </row>
    <row r="204" customFormat="false" ht="15" hidden="false" customHeight="true" outlineLevel="0" collapsed="false">
      <c r="G204" s="113"/>
      <c r="H204" s="113"/>
      <c r="I204" s="113"/>
      <c r="J204" s="113"/>
    </row>
    <row r="205" customFormat="false" ht="15" hidden="false" customHeight="true" outlineLevel="0" collapsed="false">
      <c r="G205" s="113"/>
      <c r="H205" s="113"/>
      <c r="I205" s="113"/>
      <c r="J205" s="113"/>
    </row>
    <row r="206" customFormat="false" ht="15" hidden="false" customHeight="true" outlineLevel="0" collapsed="false">
      <c r="G206" s="113"/>
      <c r="H206" s="113"/>
      <c r="I206" s="113"/>
      <c r="J206" s="113"/>
    </row>
    <row r="207" customFormat="false" ht="15" hidden="false" customHeight="true" outlineLevel="0" collapsed="false">
      <c r="G207" s="113"/>
      <c r="H207" s="113"/>
      <c r="I207" s="113"/>
      <c r="J207" s="113"/>
    </row>
    <row r="208" customFormat="false" ht="15" hidden="false" customHeight="true" outlineLevel="0" collapsed="false">
      <c r="G208" s="113"/>
      <c r="H208" s="113"/>
      <c r="I208" s="113"/>
      <c r="J208" s="113"/>
    </row>
    <row r="209" customFormat="false" ht="15" hidden="false" customHeight="true" outlineLevel="0" collapsed="false">
      <c r="G209" s="113"/>
      <c r="H209" s="113"/>
      <c r="I209" s="113"/>
      <c r="J209" s="113"/>
    </row>
    <row r="210" customFormat="false" ht="15" hidden="false" customHeight="true" outlineLevel="0" collapsed="false">
      <c r="G210" s="113"/>
      <c r="H210" s="113"/>
      <c r="I210" s="113"/>
      <c r="J210" s="113"/>
    </row>
    <row r="211" customFormat="false" ht="15" hidden="false" customHeight="true" outlineLevel="0" collapsed="false">
      <c r="G211" s="113"/>
      <c r="H211" s="113"/>
      <c r="I211" s="113"/>
      <c r="J211" s="113"/>
    </row>
    <row r="212" customFormat="false" ht="15" hidden="false" customHeight="true" outlineLevel="0" collapsed="false">
      <c r="G212" s="113"/>
      <c r="H212" s="113"/>
      <c r="I212" s="113"/>
      <c r="J212" s="113"/>
    </row>
    <row r="213" customFormat="false" ht="15" hidden="false" customHeight="true" outlineLevel="0" collapsed="false">
      <c r="G213" s="113"/>
      <c r="H213" s="113"/>
      <c r="I213" s="113"/>
      <c r="J213" s="113"/>
    </row>
    <row r="214" customFormat="false" ht="15" hidden="false" customHeight="true" outlineLevel="0" collapsed="false">
      <c r="G214" s="113"/>
      <c r="H214" s="113"/>
      <c r="I214" s="113"/>
      <c r="J214" s="113"/>
    </row>
    <row r="215" customFormat="false" ht="15" hidden="false" customHeight="true" outlineLevel="0" collapsed="false">
      <c r="G215" s="113"/>
      <c r="H215" s="113"/>
      <c r="I215" s="113"/>
      <c r="J215" s="113"/>
    </row>
    <row r="216" customFormat="false" ht="15" hidden="false" customHeight="true" outlineLevel="0" collapsed="false">
      <c r="G216" s="113"/>
      <c r="H216" s="113"/>
      <c r="I216" s="113"/>
      <c r="J216" s="113"/>
    </row>
    <row r="217" customFormat="false" ht="15" hidden="false" customHeight="true" outlineLevel="0" collapsed="false">
      <c r="G217" s="113"/>
      <c r="H217" s="113"/>
      <c r="I217" s="113"/>
      <c r="J217" s="113"/>
    </row>
    <row r="218" customFormat="false" ht="15" hidden="false" customHeight="true" outlineLevel="0" collapsed="false">
      <c r="G218" s="113"/>
      <c r="H218" s="113"/>
      <c r="I218" s="113"/>
      <c r="J218" s="113"/>
    </row>
    <row r="219" customFormat="false" ht="15" hidden="false" customHeight="true" outlineLevel="0" collapsed="false">
      <c r="G219" s="113"/>
      <c r="H219" s="113"/>
      <c r="I219" s="113"/>
      <c r="J219" s="113"/>
    </row>
    <row r="220" customFormat="false" ht="15" hidden="false" customHeight="true" outlineLevel="0" collapsed="false">
      <c r="G220" s="113"/>
      <c r="H220" s="113"/>
      <c r="I220" s="113"/>
      <c r="J220" s="113"/>
    </row>
    <row r="221" customFormat="false" ht="15" hidden="false" customHeight="true" outlineLevel="0" collapsed="false">
      <c r="G221" s="113"/>
      <c r="H221" s="113"/>
      <c r="I221" s="113"/>
      <c r="J221" s="113"/>
    </row>
    <row r="222" customFormat="false" ht="15" hidden="false" customHeight="true" outlineLevel="0" collapsed="false">
      <c r="G222" s="113"/>
      <c r="H222" s="113"/>
      <c r="I222" s="113"/>
      <c r="J222" s="113"/>
    </row>
    <row r="223" customFormat="false" ht="15" hidden="false" customHeight="true" outlineLevel="0" collapsed="false">
      <c r="G223" s="113"/>
      <c r="H223" s="113"/>
      <c r="I223" s="113"/>
      <c r="J223" s="113"/>
    </row>
    <row r="224" customFormat="false" ht="15" hidden="false" customHeight="true" outlineLevel="0" collapsed="false">
      <c r="G224" s="113"/>
      <c r="H224" s="113"/>
      <c r="I224" s="113"/>
      <c r="J224" s="113"/>
    </row>
    <row r="225" customFormat="false" ht="15" hidden="false" customHeight="true" outlineLevel="0" collapsed="false">
      <c r="G225" s="113"/>
      <c r="H225" s="113"/>
      <c r="I225" s="113"/>
      <c r="J225" s="113"/>
    </row>
    <row r="226" customFormat="false" ht="15" hidden="false" customHeight="true" outlineLevel="0" collapsed="false">
      <c r="G226" s="113"/>
      <c r="H226" s="113"/>
      <c r="I226" s="113"/>
      <c r="J226" s="113"/>
    </row>
    <row r="227" customFormat="false" ht="15" hidden="false" customHeight="true" outlineLevel="0" collapsed="false">
      <c r="G227" s="113"/>
      <c r="H227" s="113"/>
      <c r="I227" s="113"/>
      <c r="J227" s="113"/>
    </row>
    <row r="228" customFormat="false" ht="15" hidden="false" customHeight="true" outlineLevel="0" collapsed="false">
      <c r="G228" s="113"/>
      <c r="H228" s="113"/>
      <c r="I228" s="113"/>
      <c r="J228" s="113"/>
    </row>
    <row r="229" customFormat="false" ht="15" hidden="false" customHeight="true" outlineLevel="0" collapsed="false">
      <c r="G229" s="113"/>
      <c r="H229" s="113"/>
      <c r="I229" s="113"/>
      <c r="J229" s="113"/>
    </row>
    <row r="230" customFormat="false" ht="15" hidden="false" customHeight="true" outlineLevel="0" collapsed="false">
      <c r="G230" s="113"/>
      <c r="H230" s="113"/>
      <c r="I230" s="113"/>
      <c r="J230" s="113"/>
    </row>
    <row r="231" customFormat="false" ht="15" hidden="false" customHeight="true" outlineLevel="0" collapsed="false">
      <c r="G231" s="113"/>
      <c r="H231" s="113"/>
      <c r="I231" s="113"/>
      <c r="J231" s="113"/>
    </row>
    <row r="232" customFormat="false" ht="15" hidden="false" customHeight="true" outlineLevel="0" collapsed="false">
      <c r="G232" s="113"/>
      <c r="H232" s="113"/>
      <c r="I232" s="113"/>
      <c r="J232" s="113"/>
    </row>
    <row r="233" customFormat="false" ht="15" hidden="false" customHeight="true" outlineLevel="0" collapsed="false">
      <c r="G233" s="113"/>
      <c r="H233" s="113"/>
      <c r="I233" s="113"/>
      <c r="J233" s="113"/>
    </row>
    <row r="234" customFormat="false" ht="15" hidden="false" customHeight="true" outlineLevel="0" collapsed="false">
      <c r="G234" s="113"/>
      <c r="H234" s="113"/>
      <c r="I234" s="113"/>
      <c r="J234" s="113"/>
    </row>
    <row r="235" customFormat="false" ht="15" hidden="false" customHeight="true" outlineLevel="0" collapsed="false">
      <c r="G235" s="113"/>
      <c r="H235" s="113"/>
      <c r="I235" s="113"/>
      <c r="J235" s="113"/>
    </row>
    <row r="236" customFormat="false" ht="15" hidden="false" customHeight="true" outlineLevel="0" collapsed="false">
      <c r="G236" s="113"/>
      <c r="H236" s="113"/>
      <c r="I236" s="113"/>
      <c r="J236" s="113"/>
    </row>
    <row r="237" customFormat="false" ht="15" hidden="false" customHeight="true" outlineLevel="0" collapsed="false">
      <c r="G237" s="113"/>
      <c r="H237" s="113"/>
      <c r="I237" s="113"/>
      <c r="J237" s="113"/>
    </row>
    <row r="238" customFormat="false" ht="15" hidden="false" customHeight="true" outlineLevel="0" collapsed="false">
      <c r="G238" s="113"/>
      <c r="H238" s="113"/>
      <c r="I238" s="113"/>
      <c r="J238" s="113"/>
    </row>
    <row r="239" customFormat="false" ht="15" hidden="false" customHeight="true" outlineLevel="0" collapsed="false">
      <c r="G239" s="113"/>
      <c r="H239" s="113"/>
      <c r="I239" s="113"/>
      <c r="J239" s="113"/>
    </row>
    <row r="240" customFormat="false" ht="15" hidden="false" customHeight="true" outlineLevel="0" collapsed="false">
      <c r="G240" s="113"/>
      <c r="H240" s="113"/>
      <c r="I240" s="113"/>
      <c r="J240" s="113"/>
    </row>
    <row r="241" customFormat="false" ht="15" hidden="false" customHeight="true" outlineLevel="0" collapsed="false">
      <c r="G241" s="113"/>
      <c r="H241" s="113"/>
      <c r="I241" s="113"/>
      <c r="J241" s="113"/>
    </row>
    <row r="242" customFormat="false" ht="15" hidden="false" customHeight="true" outlineLevel="0" collapsed="false">
      <c r="G242" s="113"/>
      <c r="H242" s="113"/>
      <c r="I242" s="113"/>
      <c r="J242" s="113"/>
    </row>
    <row r="243" customFormat="false" ht="15" hidden="false" customHeight="true" outlineLevel="0" collapsed="false">
      <c r="G243" s="113"/>
      <c r="H243" s="113"/>
      <c r="I243" s="113"/>
      <c r="J243" s="113"/>
    </row>
    <row r="244" customFormat="false" ht="15" hidden="false" customHeight="true" outlineLevel="0" collapsed="false">
      <c r="G244" s="113"/>
      <c r="H244" s="113"/>
      <c r="I244" s="113"/>
      <c r="J244" s="113"/>
    </row>
    <row r="245" customFormat="false" ht="15" hidden="false" customHeight="true" outlineLevel="0" collapsed="false">
      <c r="G245" s="113"/>
      <c r="H245" s="113"/>
      <c r="I245" s="113"/>
      <c r="J245" s="113"/>
    </row>
    <row r="246" customFormat="false" ht="15" hidden="false" customHeight="true" outlineLevel="0" collapsed="false">
      <c r="G246" s="113"/>
      <c r="H246" s="113"/>
      <c r="I246" s="113"/>
      <c r="J246" s="113"/>
    </row>
    <row r="247" customFormat="false" ht="15" hidden="false" customHeight="true" outlineLevel="0" collapsed="false">
      <c r="G247" s="113"/>
      <c r="H247" s="113"/>
      <c r="I247" s="113"/>
      <c r="J247" s="113"/>
    </row>
    <row r="248" customFormat="false" ht="15" hidden="false" customHeight="true" outlineLevel="0" collapsed="false">
      <c r="G248" s="113"/>
      <c r="H248" s="113"/>
      <c r="I248" s="113"/>
      <c r="J248" s="113"/>
    </row>
    <row r="249" customFormat="false" ht="15" hidden="false" customHeight="true" outlineLevel="0" collapsed="false">
      <c r="G249" s="113"/>
      <c r="H249" s="113"/>
      <c r="I249" s="113"/>
      <c r="J249" s="113"/>
    </row>
    <row r="250" customFormat="false" ht="15" hidden="false" customHeight="true" outlineLevel="0" collapsed="false">
      <c r="G250" s="113"/>
      <c r="H250" s="113"/>
      <c r="I250" s="113"/>
      <c r="J250" s="113"/>
    </row>
    <row r="251" customFormat="false" ht="15" hidden="false" customHeight="true" outlineLevel="0" collapsed="false">
      <c r="G251" s="113"/>
      <c r="H251" s="113"/>
      <c r="I251" s="113"/>
      <c r="J251" s="113"/>
    </row>
    <row r="252" customFormat="false" ht="15" hidden="false" customHeight="true" outlineLevel="0" collapsed="false">
      <c r="G252" s="113"/>
      <c r="H252" s="113"/>
      <c r="I252" s="113"/>
      <c r="J252" s="113"/>
    </row>
    <row r="253" customFormat="false" ht="15" hidden="false" customHeight="true" outlineLevel="0" collapsed="false">
      <c r="G253" s="113"/>
      <c r="H253" s="113"/>
      <c r="I253" s="113"/>
      <c r="J253" s="113"/>
    </row>
    <row r="254" customFormat="false" ht="15" hidden="false" customHeight="true" outlineLevel="0" collapsed="false">
      <c r="G254" s="113"/>
      <c r="H254" s="113"/>
      <c r="I254" s="113"/>
      <c r="J254" s="113"/>
    </row>
    <row r="255" customFormat="false" ht="15" hidden="false" customHeight="true" outlineLevel="0" collapsed="false">
      <c r="G255" s="113"/>
      <c r="H255" s="113"/>
      <c r="I255" s="113"/>
      <c r="J255" s="113"/>
    </row>
    <row r="256" customFormat="false" ht="15" hidden="false" customHeight="true" outlineLevel="0" collapsed="false">
      <c r="G256" s="113"/>
      <c r="H256" s="113"/>
      <c r="I256" s="113"/>
      <c r="J256" s="113"/>
    </row>
    <row r="257" customFormat="false" ht="15" hidden="false" customHeight="true" outlineLevel="0" collapsed="false">
      <c r="G257" s="113"/>
      <c r="H257" s="113"/>
      <c r="I257" s="113"/>
      <c r="J257" s="113"/>
    </row>
    <row r="258" customFormat="false" ht="15" hidden="false" customHeight="true" outlineLevel="0" collapsed="false">
      <c r="G258" s="113"/>
      <c r="H258" s="113"/>
      <c r="I258" s="113"/>
      <c r="J258" s="113"/>
    </row>
    <row r="259" customFormat="false" ht="15" hidden="false" customHeight="true" outlineLevel="0" collapsed="false">
      <c r="G259" s="113"/>
      <c r="H259" s="113"/>
      <c r="I259" s="113"/>
      <c r="J259" s="113"/>
    </row>
    <row r="260" customFormat="false" ht="15" hidden="false" customHeight="true" outlineLevel="0" collapsed="false">
      <c r="G260" s="113"/>
      <c r="H260" s="113"/>
      <c r="I260" s="113"/>
      <c r="J260" s="113"/>
    </row>
    <row r="261" customFormat="false" ht="15" hidden="false" customHeight="true" outlineLevel="0" collapsed="false">
      <c r="G261" s="113"/>
      <c r="H261" s="113"/>
      <c r="I261" s="113"/>
      <c r="J261" s="113"/>
    </row>
    <row r="262" customFormat="false" ht="15" hidden="false" customHeight="true" outlineLevel="0" collapsed="false">
      <c r="G262" s="113"/>
      <c r="H262" s="113"/>
      <c r="I262" s="113"/>
      <c r="J262" s="113"/>
    </row>
    <row r="263" customFormat="false" ht="15" hidden="false" customHeight="true" outlineLevel="0" collapsed="false">
      <c r="G263" s="113"/>
      <c r="H263" s="113"/>
      <c r="I263" s="113"/>
      <c r="J263" s="113"/>
    </row>
    <row r="264" customFormat="false" ht="15" hidden="false" customHeight="true" outlineLevel="0" collapsed="false">
      <c r="G264" s="113"/>
      <c r="H264" s="113"/>
      <c r="I264" s="113"/>
      <c r="J264" s="113"/>
    </row>
    <row r="265" customFormat="false" ht="15" hidden="false" customHeight="true" outlineLevel="0" collapsed="false">
      <c r="G265" s="113"/>
      <c r="H265" s="113"/>
      <c r="I265" s="113"/>
      <c r="J265" s="113"/>
    </row>
    <row r="266" customFormat="false" ht="15" hidden="false" customHeight="true" outlineLevel="0" collapsed="false">
      <c r="G266" s="113"/>
      <c r="H266" s="113"/>
      <c r="I266" s="113"/>
      <c r="J266" s="113"/>
    </row>
    <row r="267" customFormat="false" ht="15" hidden="false" customHeight="true" outlineLevel="0" collapsed="false">
      <c r="G267" s="113"/>
      <c r="H267" s="113"/>
      <c r="I267" s="113"/>
      <c r="J267" s="113"/>
    </row>
    <row r="268" customFormat="false" ht="15" hidden="false" customHeight="true" outlineLevel="0" collapsed="false">
      <c r="G268" s="113"/>
      <c r="H268" s="113"/>
      <c r="I268" s="113"/>
      <c r="J268" s="113"/>
    </row>
    <row r="269" customFormat="false" ht="15" hidden="false" customHeight="true" outlineLevel="0" collapsed="false">
      <c r="G269" s="113"/>
      <c r="H269" s="113"/>
      <c r="I269" s="113"/>
      <c r="J269" s="113"/>
    </row>
    <row r="270" customFormat="false" ht="15" hidden="false" customHeight="true" outlineLevel="0" collapsed="false">
      <c r="G270" s="113"/>
      <c r="H270" s="113"/>
      <c r="I270" s="113"/>
      <c r="J270" s="113"/>
    </row>
    <row r="271" customFormat="false" ht="15" hidden="false" customHeight="true" outlineLevel="0" collapsed="false">
      <c r="G271" s="113"/>
      <c r="H271" s="113"/>
      <c r="I271" s="113"/>
      <c r="J271" s="113"/>
    </row>
    <row r="272" customFormat="false" ht="15" hidden="false" customHeight="true" outlineLevel="0" collapsed="false">
      <c r="G272" s="113"/>
      <c r="H272" s="113"/>
      <c r="I272" s="113"/>
      <c r="J272" s="113"/>
    </row>
    <row r="273" customFormat="false" ht="15" hidden="false" customHeight="true" outlineLevel="0" collapsed="false">
      <c r="G273" s="113"/>
      <c r="H273" s="113"/>
      <c r="I273" s="113"/>
      <c r="J273" s="113"/>
    </row>
    <row r="274" customFormat="false" ht="15" hidden="false" customHeight="true" outlineLevel="0" collapsed="false">
      <c r="G274" s="113"/>
      <c r="H274" s="113"/>
      <c r="I274" s="113"/>
      <c r="J274" s="113"/>
    </row>
    <row r="275" customFormat="false" ht="15" hidden="false" customHeight="true" outlineLevel="0" collapsed="false">
      <c r="G275" s="113"/>
      <c r="H275" s="113"/>
      <c r="I275" s="113"/>
      <c r="J275" s="113"/>
    </row>
    <row r="276" customFormat="false" ht="15" hidden="false" customHeight="true" outlineLevel="0" collapsed="false">
      <c r="G276" s="113"/>
      <c r="H276" s="113"/>
      <c r="I276" s="113"/>
      <c r="J276" s="113"/>
    </row>
    <row r="277" customFormat="false" ht="15" hidden="false" customHeight="true" outlineLevel="0" collapsed="false">
      <c r="G277" s="113"/>
      <c r="H277" s="113"/>
      <c r="I277" s="113"/>
      <c r="J277" s="113"/>
    </row>
    <row r="278" customFormat="false" ht="15" hidden="false" customHeight="true" outlineLevel="0" collapsed="false">
      <c r="G278" s="113"/>
      <c r="H278" s="113"/>
      <c r="I278" s="113"/>
      <c r="J278" s="113"/>
    </row>
    <row r="279" customFormat="false" ht="15" hidden="false" customHeight="true" outlineLevel="0" collapsed="false">
      <c r="G279" s="113"/>
      <c r="H279" s="113"/>
      <c r="I279" s="113"/>
      <c r="J279" s="113"/>
    </row>
    <row r="280" customFormat="false" ht="15" hidden="false" customHeight="true" outlineLevel="0" collapsed="false">
      <c r="G280" s="113"/>
      <c r="H280" s="113"/>
      <c r="I280" s="113"/>
      <c r="J280" s="113"/>
    </row>
    <row r="281" customFormat="false" ht="15" hidden="false" customHeight="true" outlineLevel="0" collapsed="false">
      <c r="G281" s="113"/>
      <c r="H281" s="113"/>
      <c r="I281" s="113"/>
      <c r="J281" s="113"/>
    </row>
    <row r="282" customFormat="false" ht="15" hidden="false" customHeight="true" outlineLevel="0" collapsed="false">
      <c r="G282" s="113"/>
      <c r="H282" s="113"/>
      <c r="I282" s="113"/>
      <c r="J282" s="113"/>
    </row>
    <row r="283" customFormat="false" ht="15" hidden="false" customHeight="true" outlineLevel="0" collapsed="false">
      <c r="G283" s="113"/>
      <c r="H283" s="113"/>
      <c r="I283" s="113"/>
      <c r="J283" s="113"/>
    </row>
    <row r="284" customFormat="false" ht="15" hidden="false" customHeight="true" outlineLevel="0" collapsed="false">
      <c r="G284" s="113"/>
      <c r="H284" s="113"/>
      <c r="I284" s="113"/>
      <c r="J284" s="113"/>
    </row>
    <row r="285" customFormat="false" ht="15" hidden="false" customHeight="true" outlineLevel="0" collapsed="false">
      <c r="G285" s="113"/>
      <c r="H285" s="113"/>
      <c r="I285" s="113"/>
      <c r="J285" s="113"/>
    </row>
    <row r="286" customFormat="false" ht="15" hidden="false" customHeight="true" outlineLevel="0" collapsed="false">
      <c r="G286" s="113"/>
      <c r="H286" s="113"/>
      <c r="I286" s="113"/>
      <c r="J286" s="113"/>
    </row>
    <row r="287" customFormat="false" ht="15" hidden="false" customHeight="true" outlineLevel="0" collapsed="false">
      <c r="G287" s="113"/>
      <c r="H287" s="113"/>
      <c r="I287" s="113"/>
      <c r="J287" s="113"/>
    </row>
    <row r="288" customFormat="false" ht="15" hidden="false" customHeight="true" outlineLevel="0" collapsed="false">
      <c r="G288" s="113"/>
      <c r="H288" s="113"/>
      <c r="I288" s="113"/>
      <c r="J288" s="113"/>
    </row>
    <row r="289" customFormat="false" ht="15" hidden="false" customHeight="true" outlineLevel="0" collapsed="false">
      <c r="G289" s="113"/>
      <c r="H289" s="113"/>
      <c r="I289" s="113"/>
      <c r="J289" s="113"/>
    </row>
    <row r="290" customFormat="false" ht="15" hidden="false" customHeight="true" outlineLevel="0" collapsed="false">
      <c r="G290" s="113"/>
      <c r="H290" s="113"/>
      <c r="I290" s="113"/>
      <c r="J290" s="113"/>
    </row>
    <row r="291" customFormat="false" ht="15" hidden="false" customHeight="true" outlineLevel="0" collapsed="false">
      <c r="G291" s="113"/>
      <c r="H291" s="113"/>
      <c r="I291" s="113"/>
      <c r="J291" s="113"/>
    </row>
    <row r="292" customFormat="false" ht="15" hidden="false" customHeight="true" outlineLevel="0" collapsed="false">
      <c r="G292" s="113"/>
      <c r="H292" s="113"/>
      <c r="I292" s="113"/>
      <c r="J292" s="113"/>
    </row>
    <row r="293" customFormat="false" ht="15" hidden="false" customHeight="true" outlineLevel="0" collapsed="false">
      <c r="G293" s="113"/>
      <c r="H293" s="113"/>
      <c r="I293" s="113"/>
      <c r="J293" s="113"/>
    </row>
    <row r="294" customFormat="false" ht="15" hidden="false" customHeight="true" outlineLevel="0" collapsed="false">
      <c r="G294" s="113"/>
      <c r="H294" s="113"/>
      <c r="I294" s="113"/>
      <c r="J294" s="113"/>
    </row>
    <row r="295" customFormat="false" ht="15" hidden="false" customHeight="true" outlineLevel="0" collapsed="false">
      <c r="G295" s="113"/>
      <c r="H295" s="113"/>
      <c r="I295" s="113"/>
      <c r="J295" s="113"/>
    </row>
    <row r="296" customFormat="false" ht="15" hidden="false" customHeight="true" outlineLevel="0" collapsed="false">
      <c r="G296" s="113"/>
      <c r="H296" s="113"/>
      <c r="I296" s="113"/>
      <c r="J296" s="113"/>
    </row>
    <row r="297" customFormat="false" ht="15" hidden="false" customHeight="true" outlineLevel="0" collapsed="false">
      <c r="G297" s="113"/>
      <c r="H297" s="113"/>
      <c r="I297" s="113"/>
      <c r="J297" s="113"/>
    </row>
    <row r="298" customFormat="false" ht="15" hidden="false" customHeight="true" outlineLevel="0" collapsed="false">
      <c r="G298" s="113"/>
      <c r="H298" s="113"/>
      <c r="I298" s="113"/>
      <c r="J298" s="113"/>
    </row>
    <row r="299" customFormat="false" ht="15" hidden="false" customHeight="true" outlineLevel="0" collapsed="false">
      <c r="G299" s="113"/>
      <c r="H299" s="113"/>
      <c r="I299" s="113"/>
      <c r="J299" s="113"/>
    </row>
    <row r="300" customFormat="false" ht="15" hidden="false" customHeight="true" outlineLevel="0" collapsed="false">
      <c r="G300" s="113"/>
      <c r="H300" s="113"/>
      <c r="I300" s="113"/>
      <c r="J300" s="113"/>
    </row>
    <row r="301" customFormat="false" ht="15" hidden="false" customHeight="true" outlineLevel="0" collapsed="false">
      <c r="G301" s="113"/>
      <c r="H301" s="113"/>
      <c r="I301" s="113"/>
      <c r="J301" s="113"/>
    </row>
    <row r="302" customFormat="false" ht="15" hidden="false" customHeight="true" outlineLevel="0" collapsed="false">
      <c r="G302" s="113"/>
      <c r="H302" s="113"/>
      <c r="I302" s="113"/>
      <c r="J302" s="113"/>
    </row>
    <row r="303" customFormat="false" ht="15" hidden="false" customHeight="true" outlineLevel="0" collapsed="false">
      <c r="G303" s="113"/>
      <c r="H303" s="113"/>
      <c r="I303" s="113"/>
      <c r="J303" s="113"/>
    </row>
    <row r="304" customFormat="false" ht="15" hidden="false" customHeight="true" outlineLevel="0" collapsed="false">
      <c r="G304" s="113"/>
      <c r="H304" s="113"/>
      <c r="I304" s="113"/>
      <c r="J304" s="113"/>
    </row>
    <row r="305" customFormat="false" ht="15" hidden="false" customHeight="true" outlineLevel="0" collapsed="false">
      <c r="G305" s="113"/>
      <c r="H305" s="113"/>
      <c r="I305" s="113"/>
      <c r="J305" s="113"/>
    </row>
    <row r="306" customFormat="false" ht="15" hidden="false" customHeight="true" outlineLevel="0" collapsed="false">
      <c r="G306" s="113"/>
      <c r="H306" s="113"/>
      <c r="I306" s="113"/>
      <c r="J306" s="113"/>
    </row>
    <row r="307" customFormat="false" ht="15" hidden="false" customHeight="true" outlineLevel="0" collapsed="false">
      <c r="G307" s="113"/>
      <c r="H307" s="113"/>
      <c r="I307" s="113"/>
      <c r="J307" s="113"/>
    </row>
    <row r="308" customFormat="false" ht="15" hidden="false" customHeight="true" outlineLevel="0" collapsed="false">
      <c r="G308" s="113"/>
      <c r="H308" s="113"/>
      <c r="I308" s="113"/>
      <c r="J308" s="113"/>
    </row>
    <row r="309" customFormat="false" ht="15" hidden="false" customHeight="true" outlineLevel="0" collapsed="false">
      <c r="G309" s="113"/>
      <c r="H309" s="113"/>
      <c r="I309" s="113"/>
      <c r="J309" s="113"/>
    </row>
    <row r="310" customFormat="false" ht="15" hidden="false" customHeight="true" outlineLevel="0" collapsed="false">
      <c r="G310" s="113"/>
      <c r="H310" s="113"/>
      <c r="I310" s="113"/>
      <c r="J310" s="113"/>
    </row>
    <row r="311" customFormat="false" ht="15" hidden="false" customHeight="true" outlineLevel="0" collapsed="false">
      <c r="G311" s="113"/>
      <c r="H311" s="113"/>
      <c r="I311" s="113"/>
      <c r="J311" s="113"/>
    </row>
    <row r="312" customFormat="false" ht="15" hidden="false" customHeight="true" outlineLevel="0" collapsed="false">
      <c r="G312" s="113"/>
      <c r="H312" s="113"/>
      <c r="I312" s="113"/>
      <c r="J312" s="113"/>
    </row>
    <row r="313" customFormat="false" ht="15" hidden="false" customHeight="true" outlineLevel="0" collapsed="false">
      <c r="G313" s="113"/>
      <c r="H313" s="113"/>
      <c r="I313" s="113"/>
      <c r="J313" s="113"/>
    </row>
    <row r="314" customFormat="false" ht="15" hidden="false" customHeight="true" outlineLevel="0" collapsed="false">
      <c r="G314" s="113"/>
      <c r="H314" s="113"/>
      <c r="I314" s="113"/>
      <c r="J314" s="113"/>
    </row>
    <row r="315" customFormat="false" ht="15" hidden="false" customHeight="true" outlineLevel="0" collapsed="false">
      <c r="G315" s="113"/>
      <c r="H315" s="113"/>
      <c r="I315" s="113"/>
      <c r="J315" s="113"/>
    </row>
    <row r="316" customFormat="false" ht="15" hidden="false" customHeight="true" outlineLevel="0" collapsed="false">
      <c r="G316" s="113"/>
      <c r="H316" s="113"/>
      <c r="I316" s="113"/>
      <c r="J316" s="113"/>
    </row>
    <row r="317" customFormat="false" ht="15" hidden="false" customHeight="true" outlineLevel="0" collapsed="false">
      <c r="G317" s="113"/>
      <c r="H317" s="113"/>
      <c r="I317" s="113"/>
      <c r="J317" s="113"/>
    </row>
    <row r="318" customFormat="false" ht="15" hidden="false" customHeight="true" outlineLevel="0" collapsed="false">
      <c r="G318" s="113"/>
      <c r="H318" s="113"/>
      <c r="I318" s="113"/>
      <c r="J318" s="113"/>
    </row>
    <row r="319" customFormat="false" ht="15" hidden="false" customHeight="true" outlineLevel="0" collapsed="false">
      <c r="G319" s="113"/>
      <c r="H319" s="113"/>
      <c r="I319" s="113"/>
      <c r="J319" s="113"/>
    </row>
    <row r="320" customFormat="false" ht="15" hidden="false" customHeight="true" outlineLevel="0" collapsed="false">
      <c r="G320" s="113"/>
      <c r="H320" s="113"/>
      <c r="I320" s="113"/>
      <c r="J320" s="113"/>
    </row>
    <row r="321" customFormat="false" ht="15" hidden="false" customHeight="true" outlineLevel="0" collapsed="false">
      <c r="G321" s="113"/>
      <c r="H321" s="113"/>
      <c r="I321" s="113"/>
      <c r="J321" s="113"/>
    </row>
    <row r="322" customFormat="false" ht="15" hidden="false" customHeight="true" outlineLevel="0" collapsed="false">
      <c r="G322" s="113"/>
      <c r="H322" s="113"/>
      <c r="I322" s="113"/>
      <c r="J322" s="113"/>
    </row>
    <row r="323" customFormat="false" ht="15" hidden="false" customHeight="true" outlineLevel="0" collapsed="false">
      <c r="G323" s="113"/>
      <c r="H323" s="113"/>
      <c r="I323" s="113"/>
      <c r="J323" s="113"/>
    </row>
    <row r="324" customFormat="false" ht="15" hidden="false" customHeight="true" outlineLevel="0" collapsed="false">
      <c r="G324" s="113"/>
      <c r="H324" s="113"/>
      <c r="I324" s="113"/>
      <c r="J324" s="113"/>
    </row>
    <row r="325" customFormat="false" ht="15" hidden="false" customHeight="true" outlineLevel="0" collapsed="false">
      <c r="G325" s="113"/>
      <c r="H325" s="113"/>
      <c r="I325" s="113"/>
      <c r="J325" s="113"/>
    </row>
    <row r="326" customFormat="false" ht="15" hidden="false" customHeight="true" outlineLevel="0" collapsed="false">
      <c r="G326" s="113"/>
      <c r="H326" s="113"/>
      <c r="I326" s="113"/>
      <c r="J326" s="113"/>
    </row>
    <row r="327" customFormat="false" ht="15" hidden="false" customHeight="true" outlineLevel="0" collapsed="false">
      <c r="G327" s="113"/>
      <c r="H327" s="113"/>
      <c r="I327" s="113"/>
      <c r="J327" s="113"/>
    </row>
    <row r="328" customFormat="false" ht="15" hidden="false" customHeight="true" outlineLevel="0" collapsed="false">
      <c r="G328" s="113"/>
      <c r="H328" s="113"/>
      <c r="I328" s="113"/>
      <c r="J328" s="113"/>
    </row>
    <row r="329" customFormat="false" ht="15" hidden="false" customHeight="true" outlineLevel="0" collapsed="false">
      <c r="G329" s="113"/>
      <c r="H329" s="113"/>
      <c r="I329" s="113"/>
      <c r="J329" s="113"/>
    </row>
    <row r="330" customFormat="false" ht="15" hidden="false" customHeight="true" outlineLevel="0" collapsed="false">
      <c r="G330" s="113"/>
      <c r="H330" s="113"/>
      <c r="I330" s="113"/>
      <c r="J330" s="113"/>
    </row>
    <row r="331" customFormat="false" ht="15" hidden="false" customHeight="true" outlineLevel="0" collapsed="false">
      <c r="G331" s="113"/>
      <c r="H331" s="113"/>
      <c r="I331" s="113"/>
      <c r="J331" s="113"/>
    </row>
    <row r="332" customFormat="false" ht="15" hidden="false" customHeight="true" outlineLevel="0" collapsed="false">
      <c r="G332" s="113"/>
      <c r="H332" s="113"/>
      <c r="I332" s="113"/>
      <c r="J332" s="113"/>
    </row>
    <row r="333" customFormat="false" ht="15" hidden="false" customHeight="true" outlineLevel="0" collapsed="false">
      <c r="G333" s="113"/>
      <c r="H333" s="113"/>
      <c r="I333" s="113"/>
      <c r="J333" s="113"/>
    </row>
    <row r="334" customFormat="false" ht="15" hidden="false" customHeight="true" outlineLevel="0" collapsed="false">
      <c r="G334" s="113"/>
      <c r="H334" s="113"/>
      <c r="I334" s="113"/>
      <c r="J334" s="113"/>
    </row>
    <row r="335" customFormat="false" ht="15" hidden="false" customHeight="true" outlineLevel="0" collapsed="false">
      <c r="G335" s="113"/>
      <c r="H335" s="113"/>
      <c r="I335" s="113"/>
      <c r="J335" s="113"/>
    </row>
    <row r="336" customFormat="false" ht="15" hidden="false" customHeight="true" outlineLevel="0" collapsed="false">
      <c r="G336" s="113"/>
      <c r="H336" s="113"/>
      <c r="I336" s="113"/>
      <c r="J336" s="113"/>
    </row>
    <row r="337" customFormat="false" ht="15" hidden="false" customHeight="true" outlineLevel="0" collapsed="false">
      <c r="G337" s="113"/>
      <c r="H337" s="113"/>
      <c r="I337" s="113"/>
      <c r="J337" s="113"/>
    </row>
    <row r="338" customFormat="false" ht="15" hidden="false" customHeight="true" outlineLevel="0" collapsed="false">
      <c r="G338" s="113"/>
      <c r="H338" s="113"/>
      <c r="I338" s="113"/>
      <c r="J338" s="113"/>
    </row>
    <row r="339" customFormat="false" ht="15" hidden="false" customHeight="true" outlineLevel="0" collapsed="false">
      <c r="G339" s="113"/>
      <c r="H339" s="113"/>
      <c r="I339" s="113"/>
      <c r="J339" s="113"/>
    </row>
    <row r="340" customFormat="false" ht="15" hidden="false" customHeight="true" outlineLevel="0" collapsed="false">
      <c r="G340" s="113"/>
      <c r="H340" s="113"/>
      <c r="I340" s="113"/>
      <c r="J340" s="113"/>
    </row>
    <row r="341" customFormat="false" ht="15" hidden="false" customHeight="true" outlineLevel="0" collapsed="false">
      <c r="G341" s="113"/>
      <c r="H341" s="113"/>
      <c r="I341" s="113"/>
      <c r="J341" s="113"/>
    </row>
    <row r="342" customFormat="false" ht="15" hidden="false" customHeight="true" outlineLevel="0" collapsed="false">
      <c r="G342" s="113"/>
      <c r="H342" s="113"/>
      <c r="I342" s="113"/>
      <c r="J342" s="113"/>
    </row>
    <row r="343" customFormat="false" ht="15" hidden="false" customHeight="true" outlineLevel="0" collapsed="false">
      <c r="G343" s="113"/>
      <c r="H343" s="113"/>
      <c r="I343" s="113"/>
      <c r="J343" s="113"/>
    </row>
    <row r="344" customFormat="false" ht="15" hidden="false" customHeight="true" outlineLevel="0" collapsed="false">
      <c r="G344" s="113"/>
      <c r="H344" s="113"/>
      <c r="I344" s="113"/>
      <c r="J344" s="113"/>
    </row>
    <row r="345" customFormat="false" ht="15" hidden="false" customHeight="true" outlineLevel="0" collapsed="false">
      <c r="G345" s="113"/>
      <c r="H345" s="113"/>
      <c r="I345" s="113"/>
      <c r="J345" s="113"/>
    </row>
    <row r="346" customFormat="false" ht="15" hidden="false" customHeight="true" outlineLevel="0" collapsed="false">
      <c r="G346" s="113"/>
      <c r="H346" s="113"/>
      <c r="I346" s="113"/>
      <c r="J346" s="113"/>
    </row>
    <row r="347" customFormat="false" ht="15" hidden="false" customHeight="true" outlineLevel="0" collapsed="false">
      <c r="G347" s="113"/>
      <c r="H347" s="113"/>
      <c r="I347" s="113"/>
      <c r="J347" s="113"/>
    </row>
    <row r="348" customFormat="false" ht="15" hidden="false" customHeight="true" outlineLevel="0" collapsed="false">
      <c r="G348" s="113"/>
      <c r="H348" s="113"/>
      <c r="I348" s="113"/>
      <c r="J348" s="113"/>
    </row>
    <row r="349" customFormat="false" ht="15" hidden="false" customHeight="true" outlineLevel="0" collapsed="false">
      <c r="G349" s="113"/>
      <c r="H349" s="113"/>
      <c r="I349" s="113"/>
      <c r="J349" s="113"/>
    </row>
    <row r="350" customFormat="false" ht="15" hidden="false" customHeight="true" outlineLevel="0" collapsed="false">
      <c r="G350" s="113"/>
      <c r="H350" s="113"/>
      <c r="I350" s="113"/>
      <c r="J350" s="113"/>
    </row>
    <row r="351" customFormat="false" ht="15" hidden="false" customHeight="true" outlineLevel="0" collapsed="false">
      <c r="G351" s="113"/>
      <c r="H351" s="113"/>
      <c r="I351" s="113"/>
      <c r="J351" s="113"/>
    </row>
    <row r="352" customFormat="false" ht="15" hidden="false" customHeight="true" outlineLevel="0" collapsed="false">
      <c r="G352" s="113"/>
      <c r="H352" s="113"/>
      <c r="I352" s="113"/>
      <c r="J352" s="113"/>
    </row>
    <row r="353" customFormat="false" ht="15" hidden="false" customHeight="true" outlineLevel="0" collapsed="false">
      <c r="G353" s="113"/>
      <c r="H353" s="113"/>
      <c r="I353" s="113"/>
      <c r="J353" s="113"/>
    </row>
    <row r="354" customFormat="false" ht="15" hidden="false" customHeight="true" outlineLevel="0" collapsed="false">
      <c r="G354" s="113"/>
      <c r="H354" s="113"/>
      <c r="I354" s="113"/>
      <c r="J354" s="113"/>
    </row>
    <row r="355" customFormat="false" ht="15" hidden="false" customHeight="true" outlineLevel="0" collapsed="false">
      <c r="G355" s="113"/>
      <c r="H355" s="113"/>
      <c r="I355" s="113"/>
      <c r="J355" s="113"/>
    </row>
    <row r="356" customFormat="false" ht="15" hidden="false" customHeight="true" outlineLevel="0" collapsed="false">
      <c r="G356" s="113"/>
      <c r="H356" s="113"/>
      <c r="I356" s="113"/>
      <c r="J356" s="113"/>
    </row>
    <row r="357" customFormat="false" ht="15" hidden="false" customHeight="true" outlineLevel="0" collapsed="false">
      <c r="G357" s="113"/>
      <c r="H357" s="113"/>
      <c r="I357" s="113"/>
      <c r="J357" s="113"/>
    </row>
    <row r="358" customFormat="false" ht="15" hidden="false" customHeight="true" outlineLevel="0" collapsed="false">
      <c r="G358" s="113"/>
      <c r="H358" s="113"/>
      <c r="I358" s="113"/>
      <c r="J358" s="113"/>
    </row>
    <row r="359" customFormat="false" ht="15" hidden="false" customHeight="true" outlineLevel="0" collapsed="false">
      <c r="G359" s="113"/>
      <c r="H359" s="113"/>
      <c r="I359" s="113"/>
      <c r="J359" s="113"/>
    </row>
    <row r="360" customFormat="false" ht="15" hidden="false" customHeight="true" outlineLevel="0" collapsed="false">
      <c r="G360" s="113"/>
      <c r="H360" s="113"/>
      <c r="I360" s="113"/>
      <c r="J360" s="113"/>
    </row>
    <row r="361" customFormat="false" ht="15" hidden="false" customHeight="true" outlineLevel="0" collapsed="false">
      <c r="G361" s="113"/>
      <c r="H361" s="113"/>
      <c r="I361" s="113"/>
      <c r="J361" s="113"/>
    </row>
    <row r="362" customFormat="false" ht="15" hidden="false" customHeight="true" outlineLevel="0" collapsed="false">
      <c r="G362" s="113"/>
      <c r="H362" s="113"/>
      <c r="I362" s="113"/>
      <c r="J362" s="113"/>
    </row>
    <row r="363" customFormat="false" ht="15" hidden="false" customHeight="true" outlineLevel="0" collapsed="false">
      <c r="G363" s="113"/>
      <c r="H363" s="113"/>
      <c r="I363" s="113"/>
      <c r="J363" s="113"/>
    </row>
    <row r="364" customFormat="false" ht="15" hidden="false" customHeight="true" outlineLevel="0" collapsed="false">
      <c r="G364" s="113"/>
      <c r="H364" s="113"/>
      <c r="I364" s="113"/>
      <c r="J364" s="113"/>
    </row>
    <row r="365" customFormat="false" ht="15" hidden="false" customHeight="true" outlineLevel="0" collapsed="false">
      <c r="G365" s="113"/>
      <c r="H365" s="113"/>
      <c r="I365" s="113"/>
      <c r="J365" s="113"/>
    </row>
    <row r="366" customFormat="false" ht="15" hidden="false" customHeight="true" outlineLevel="0" collapsed="false">
      <c r="G366" s="113"/>
      <c r="H366" s="113"/>
      <c r="I366" s="113"/>
      <c r="J366" s="113"/>
    </row>
    <row r="367" customFormat="false" ht="15" hidden="false" customHeight="true" outlineLevel="0" collapsed="false">
      <c r="G367" s="113"/>
      <c r="H367" s="113"/>
      <c r="I367" s="113"/>
      <c r="J367" s="113"/>
    </row>
    <row r="368" customFormat="false" ht="15" hidden="false" customHeight="true" outlineLevel="0" collapsed="false">
      <c r="G368" s="113"/>
      <c r="H368" s="113"/>
      <c r="I368" s="113"/>
      <c r="J368" s="113"/>
    </row>
    <row r="369" customFormat="false" ht="15" hidden="false" customHeight="true" outlineLevel="0" collapsed="false">
      <c r="G369" s="113"/>
      <c r="H369" s="113"/>
      <c r="I369" s="113"/>
      <c r="J369" s="113"/>
    </row>
    <row r="370" customFormat="false" ht="15" hidden="false" customHeight="true" outlineLevel="0" collapsed="false">
      <c r="G370" s="113"/>
      <c r="H370" s="113"/>
      <c r="I370" s="113"/>
      <c r="J370" s="113"/>
    </row>
    <row r="371" customFormat="false" ht="15" hidden="false" customHeight="true" outlineLevel="0" collapsed="false">
      <c r="G371" s="113"/>
      <c r="H371" s="113"/>
      <c r="I371" s="113"/>
      <c r="J371" s="113"/>
    </row>
    <row r="372" customFormat="false" ht="15" hidden="false" customHeight="true" outlineLevel="0" collapsed="false">
      <c r="G372" s="113"/>
      <c r="H372" s="113"/>
      <c r="I372" s="113"/>
      <c r="J372" s="113"/>
    </row>
    <row r="373" customFormat="false" ht="15" hidden="false" customHeight="true" outlineLevel="0" collapsed="false">
      <c r="G373" s="113"/>
      <c r="H373" s="113"/>
      <c r="I373" s="113"/>
      <c r="J373" s="113"/>
    </row>
    <row r="374" customFormat="false" ht="15" hidden="false" customHeight="true" outlineLevel="0" collapsed="false">
      <c r="G374" s="113"/>
      <c r="H374" s="113"/>
      <c r="I374" s="113"/>
      <c r="J374" s="113"/>
    </row>
    <row r="375" customFormat="false" ht="15" hidden="false" customHeight="true" outlineLevel="0" collapsed="false">
      <c r="G375" s="113"/>
      <c r="H375" s="113"/>
      <c r="I375" s="113"/>
      <c r="J375" s="113"/>
    </row>
    <row r="376" customFormat="false" ht="15" hidden="false" customHeight="true" outlineLevel="0" collapsed="false">
      <c r="G376" s="113"/>
      <c r="H376" s="113"/>
      <c r="I376" s="113"/>
      <c r="J376" s="113"/>
    </row>
    <row r="377" customFormat="false" ht="15" hidden="false" customHeight="true" outlineLevel="0" collapsed="false">
      <c r="G377" s="113"/>
      <c r="H377" s="113"/>
      <c r="I377" s="113"/>
      <c r="J377" s="113"/>
    </row>
    <row r="378" customFormat="false" ht="15" hidden="false" customHeight="true" outlineLevel="0" collapsed="false">
      <c r="G378" s="113"/>
      <c r="H378" s="113"/>
      <c r="I378" s="113"/>
      <c r="J378" s="113"/>
    </row>
    <row r="379" customFormat="false" ht="15" hidden="false" customHeight="true" outlineLevel="0" collapsed="false">
      <c r="G379" s="113"/>
      <c r="H379" s="113"/>
      <c r="I379" s="113"/>
      <c r="J379" s="113"/>
    </row>
    <row r="380" customFormat="false" ht="15" hidden="false" customHeight="true" outlineLevel="0" collapsed="false">
      <c r="G380" s="113"/>
      <c r="H380" s="113"/>
      <c r="I380" s="113"/>
      <c r="J380" s="113"/>
    </row>
    <row r="381" customFormat="false" ht="15" hidden="false" customHeight="true" outlineLevel="0" collapsed="false">
      <c r="G381" s="113"/>
      <c r="H381" s="113"/>
      <c r="I381" s="113"/>
      <c r="J381" s="113"/>
    </row>
    <row r="382" customFormat="false" ht="15" hidden="false" customHeight="true" outlineLevel="0" collapsed="false">
      <c r="G382" s="113"/>
      <c r="H382" s="113"/>
      <c r="I382" s="113"/>
      <c r="J382" s="113"/>
    </row>
    <row r="383" customFormat="false" ht="15" hidden="false" customHeight="true" outlineLevel="0" collapsed="false">
      <c r="G383" s="113"/>
      <c r="H383" s="113"/>
      <c r="I383" s="113"/>
      <c r="J383" s="113"/>
    </row>
    <row r="384" customFormat="false" ht="15" hidden="false" customHeight="true" outlineLevel="0" collapsed="false">
      <c r="G384" s="113"/>
      <c r="H384" s="113"/>
      <c r="I384" s="113"/>
      <c r="J384" s="113"/>
    </row>
    <row r="385" customFormat="false" ht="15" hidden="false" customHeight="true" outlineLevel="0" collapsed="false">
      <c r="G385" s="113"/>
      <c r="H385" s="113"/>
      <c r="I385" s="113"/>
      <c r="J385" s="113"/>
    </row>
    <row r="386" customFormat="false" ht="15" hidden="false" customHeight="true" outlineLevel="0" collapsed="false">
      <c r="G386" s="113"/>
      <c r="H386" s="113"/>
      <c r="I386" s="113"/>
      <c r="J386" s="113"/>
    </row>
    <row r="387" customFormat="false" ht="15" hidden="false" customHeight="true" outlineLevel="0" collapsed="false">
      <c r="G387" s="113"/>
      <c r="H387" s="113"/>
      <c r="I387" s="113"/>
      <c r="J387" s="113"/>
    </row>
    <row r="388" customFormat="false" ht="15" hidden="false" customHeight="true" outlineLevel="0" collapsed="false">
      <c r="G388" s="113"/>
      <c r="H388" s="113"/>
      <c r="I388" s="113"/>
      <c r="J388" s="113"/>
    </row>
    <row r="389" customFormat="false" ht="15" hidden="false" customHeight="true" outlineLevel="0" collapsed="false">
      <c r="G389" s="113"/>
      <c r="H389" s="113"/>
      <c r="I389" s="113"/>
      <c r="J389" s="113"/>
    </row>
    <row r="390" customFormat="false" ht="15" hidden="false" customHeight="true" outlineLevel="0" collapsed="false">
      <c r="G390" s="113"/>
      <c r="H390" s="113"/>
      <c r="I390" s="113"/>
      <c r="J390" s="113"/>
    </row>
    <row r="391" customFormat="false" ht="15" hidden="false" customHeight="true" outlineLevel="0" collapsed="false">
      <c r="G391" s="113"/>
      <c r="H391" s="113"/>
      <c r="I391" s="113"/>
      <c r="J391" s="113"/>
    </row>
    <row r="392" customFormat="false" ht="15" hidden="false" customHeight="true" outlineLevel="0" collapsed="false">
      <c r="G392" s="113"/>
      <c r="H392" s="113"/>
      <c r="I392" s="113"/>
      <c r="J392" s="113"/>
    </row>
    <row r="393" customFormat="false" ht="15" hidden="false" customHeight="true" outlineLevel="0" collapsed="false">
      <c r="G393" s="113"/>
      <c r="H393" s="113"/>
      <c r="I393" s="113"/>
      <c r="J393" s="113"/>
    </row>
    <row r="394" customFormat="false" ht="15" hidden="false" customHeight="true" outlineLevel="0" collapsed="false">
      <c r="G394" s="113"/>
      <c r="H394" s="113"/>
      <c r="I394" s="113"/>
      <c r="J394" s="113"/>
    </row>
    <row r="395" customFormat="false" ht="15" hidden="false" customHeight="true" outlineLevel="0" collapsed="false">
      <c r="G395" s="113"/>
      <c r="H395" s="113"/>
      <c r="I395" s="113"/>
      <c r="J395" s="113"/>
    </row>
    <row r="396" customFormat="false" ht="15" hidden="false" customHeight="true" outlineLevel="0" collapsed="false">
      <c r="G396" s="113"/>
      <c r="H396" s="113"/>
      <c r="I396" s="113"/>
      <c r="J396" s="113"/>
    </row>
    <row r="397" customFormat="false" ht="15" hidden="false" customHeight="true" outlineLevel="0" collapsed="false">
      <c r="G397" s="113"/>
      <c r="H397" s="113"/>
      <c r="I397" s="113"/>
      <c r="J397" s="113"/>
    </row>
    <row r="398" customFormat="false" ht="15" hidden="false" customHeight="true" outlineLevel="0" collapsed="false">
      <c r="G398" s="113"/>
      <c r="H398" s="113"/>
      <c r="I398" s="113"/>
      <c r="J398" s="113"/>
    </row>
    <row r="399" customFormat="false" ht="15" hidden="false" customHeight="true" outlineLevel="0" collapsed="false">
      <c r="G399" s="113"/>
      <c r="H399" s="113"/>
      <c r="I399" s="113"/>
      <c r="J399" s="113"/>
    </row>
    <row r="400" customFormat="false" ht="15" hidden="false" customHeight="true" outlineLevel="0" collapsed="false">
      <c r="G400" s="113"/>
      <c r="H400" s="113"/>
      <c r="I400" s="113"/>
      <c r="J400" s="113"/>
    </row>
    <row r="401" customFormat="false" ht="15" hidden="false" customHeight="true" outlineLevel="0" collapsed="false">
      <c r="G401" s="113"/>
      <c r="H401" s="113"/>
      <c r="I401" s="113"/>
      <c r="J401" s="113"/>
    </row>
    <row r="402" customFormat="false" ht="15" hidden="false" customHeight="true" outlineLevel="0" collapsed="false">
      <c r="G402" s="113"/>
      <c r="H402" s="113"/>
      <c r="I402" s="113"/>
      <c r="J402" s="113"/>
    </row>
    <row r="403" customFormat="false" ht="15" hidden="false" customHeight="true" outlineLevel="0" collapsed="false">
      <c r="G403" s="113"/>
      <c r="H403" s="113"/>
      <c r="I403" s="113"/>
      <c r="J403" s="113"/>
    </row>
    <row r="404" customFormat="false" ht="15" hidden="false" customHeight="true" outlineLevel="0" collapsed="false">
      <c r="G404" s="113"/>
      <c r="H404" s="113"/>
      <c r="I404" s="113"/>
      <c r="J404" s="113"/>
    </row>
    <row r="405" customFormat="false" ht="15" hidden="false" customHeight="true" outlineLevel="0" collapsed="false">
      <c r="G405" s="113"/>
      <c r="H405" s="113"/>
      <c r="I405" s="113"/>
      <c r="J405" s="113"/>
    </row>
    <row r="406" customFormat="false" ht="15" hidden="false" customHeight="true" outlineLevel="0" collapsed="false">
      <c r="G406" s="113"/>
      <c r="H406" s="113"/>
      <c r="I406" s="113"/>
      <c r="J406" s="113"/>
    </row>
    <row r="407" customFormat="false" ht="15" hidden="false" customHeight="true" outlineLevel="0" collapsed="false">
      <c r="G407" s="113"/>
      <c r="H407" s="113"/>
      <c r="I407" s="113"/>
      <c r="J407" s="113"/>
    </row>
    <row r="408" customFormat="false" ht="15" hidden="false" customHeight="true" outlineLevel="0" collapsed="false">
      <c r="G408" s="113"/>
      <c r="H408" s="113"/>
      <c r="I408" s="113"/>
      <c r="J408" s="113"/>
    </row>
    <row r="409" customFormat="false" ht="15" hidden="false" customHeight="true" outlineLevel="0" collapsed="false">
      <c r="G409" s="113"/>
      <c r="H409" s="113"/>
      <c r="I409" s="113"/>
      <c r="J409" s="113"/>
    </row>
    <row r="410" customFormat="false" ht="15" hidden="false" customHeight="true" outlineLevel="0" collapsed="false">
      <c r="G410" s="113"/>
      <c r="H410" s="113"/>
      <c r="I410" s="113"/>
      <c r="J410" s="113"/>
    </row>
    <row r="411" customFormat="false" ht="15" hidden="false" customHeight="true" outlineLevel="0" collapsed="false">
      <c r="G411" s="113"/>
      <c r="H411" s="113"/>
      <c r="I411" s="113"/>
      <c r="J411" s="113"/>
    </row>
    <row r="412" customFormat="false" ht="15" hidden="false" customHeight="true" outlineLevel="0" collapsed="false">
      <c r="G412" s="113"/>
      <c r="H412" s="113"/>
      <c r="I412" s="113"/>
      <c r="J412" s="113"/>
    </row>
    <row r="413" customFormat="false" ht="15" hidden="false" customHeight="true" outlineLevel="0" collapsed="false">
      <c r="G413" s="113"/>
      <c r="H413" s="113"/>
      <c r="I413" s="113"/>
      <c r="J413" s="113"/>
    </row>
    <row r="414" customFormat="false" ht="15" hidden="false" customHeight="true" outlineLevel="0" collapsed="false">
      <c r="G414" s="113"/>
      <c r="H414" s="113"/>
      <c r="I414" s="113"/>
      <c r="J414" s="113"/>
    </row>
    <row r="415" customFormat="false" ht="15" hidden="false" customHeight="true" outlineLevel="0" collapsed="false">
      <c r="G415" s="113"/>
      <c r="H415" s="113"/>
      <c r="I415" s="113"/>
      <c r="J415" s="113"/>
    </row>
    <row r="416" customFormat="false" ht="15" hidden="false" customHeight="true" outlineLevel="0" collapsed="false">
      <c r="G416" s="113"/>
      <c r="H416" s="113"/>
      <c r="I416" s="113"/>
      <c r="J416" s="113"/>
    </row>
    <row r="417" customFormat="false" ht="15" hidden="false" customHeight="true" outlineLevel="0" collapsed="false">
      <c r="G417" s="113"/>
      <c r="H417" s="113"/>
      <c r="I417" s="113"/>
      <c r="J417" s="113"/>
    </row>
    <row r="418" customFormat="false" ht="15" hidden="false" customHeight="true" outlineLevel="0" collapsed="false">
      <c r="G418" s="113"/>
      <c r="H418" s="113"/>
      <c r="I418" s="113"/>
      <c r="J418" s="113"/>
    </row>
    <row r="419" customFormat="false" ht="15" hidden="false" customHeight="true" outlineLevel="0" collapsed="false">
      <c r="G419" s="113"/>
      <c r="H419" s="113"/>
      <c r="I419" s="113"/>
      <c r="J419" s="113"/>
    </row>
    <row r="420" customFormat="false" ht="15" hidden="false" customHeight="true" outlineLevel="0" collapsed="false">
      <c r="G420" s="113"/>
      <c r="H420" s="113"/>
      <c r="I420" s="113"/>
      <c r="J420" s="113"/>
    </row>
    <row r="421" customFormat="false" ht="15" hidden="false" customHeight="true" outlineLevel="0" collapsed="false">
      <c r="G421" s="113"/>
      <c r="H421" s="113"/>
      <c r="I421" s="113"/>
      <c r="J421" s="113"/>
    </row>
    <row r="422" customFormat="false" ht="15" hidden="false" customHeight="true" outlineLevel="0" collapsed="false">
      <c r="G422" s="113"/>
      <c r="H422" s="113"/>
      <c r="I422" s="113"/>
      <c r="J422" s="113"/>
    </row>
    <row r="423" customFormat="false" ht="15" hidden="false" customHeight="true" outlineLevel="0" collapsed="false">
      <c r="G423" s="113"/>
      <c r="H423" s="113"/>
      <c r="I423" s="113"/>
      <c r="J423" s="113"/>
    </row>
    <row r="424" customFormat="false" ht="15" hidden="false" customHeight="true" outlineLevel="0" collapsed="false">
      <c r="G424" s="113"/>
      <c r="H424" s="113"/>
      <c r="I424" s="113"/>
      <c r="J424" s="113"/>
    </row>
    <row r="425" customFormat="false" ht="15" hidden="false" customHeight="true" outlineLevel="0" collapsed="false">
      <c r="G425" s="113"/>
      <c r="H425" s="113"/>
      <c r="I425" s="113"/>
      <c r="J425" s="113"/>
    </row>
    <row r="426" customFormat="false" ht="15" hidden="false" customHeight="true" outlineLevel="0" collapsed="false">
      <c r="G426" s="113"/>
      <c r="H426" s="113"/>
      <c r="I426" s="113"/>
      <c r="J426" s="113"/>
    </row>
    <row r="427" customFormat="false" ht="15" hidden="false" customHeight="true" outlineLevel="0" collapsed="false">
      <c r="G427" s="113"/>
      <c r="H427" s="113"/>
      <c r="I427" s="113"/>
      <c r="J427" s="113"/>
    </row>
    <row r="428" customFormat="false" ht="15" hidden="false" customHeight="true" outlineLevel="0" collapsed="false">
      <c r="G428" s="113"/>
      <c r="H428" s="113"/>
      <c r="I428" s="113"/>
      <c r="J428" s="113"/>
    </row>
    <row r="429" customFormat="false" ht="15" hidden="false" customHeight="true" outlineLevel="0" collapsed="false">
      <c r="G429" s="113"/>
      <c r="H429" s="113"/>
      <c r="I429" s="113"/>
      <c r="J429" s="113"/>
    </row>
    <row r="430" customFormat="false" ht="15" hidden="false" customHeight="true" outlineLevel="0" collapsed="false">
      <c r="G430" s="113"/>
      <c r="H430" s="113"/>
      <c r="I430" s="113"/>
      <c r="J430" s="113"/>
    </row>
    <row r="431" customFormat="false" ht="15" hidden="false" customHeight="true" outlineLevel="0" collapsed="false">
      <c r="G431" s="113"/>
      <c r="H431" s="113"/>
      <c r="I431" s="113"/>
      <c r="J431" s="113"/>
    </row>
    <row r="432" customFormat="false" ht="15" hidden="false" customHeight="true" outlineLevel="0" collapsed="false">
      <c r="G432" s="113"/>
      <c r="H432" s="113"/>
      <c r="I432" s="113"/>
      <c r="J432" s="113"/>
    </row>
    <row r="433" customFormat="false" ht="15" hidden="false" customHeight="true" outlineLevel="0" collapsed="false">
      <c r="G433" s="113"/>
      <c r="H433" s="113"/>
      <c r="I433" s="113"/>
      <c r="J433" s="113"/>
    </row>
    <row r="434" customFormat="false" ht="15" hidden="false" customHeight="true" outlineLevel="0" collapsed="false">
      <c r="G434" s="113"/>
      <c r="H434" s="113"/>
      <c r="I434" s="113"/>
      <c r="J434" s="113"/>
    </row>
    <row r="435" customFormat="false" ht="15" hidden="false" customHeight="true" outlineLevel="0" collapsed="false">
      <c r="G435" s="113"/>
      <c r="H435" s="113"/>
      <c r="I435" s="113"/>
      <c r="J435" s="113"/>
    </row>
    <row r="436" customFormat="false" ht="15" hidden="false" customHeight="true" outlineLevel="0" collapsed="false">
      <c r="G436" s="113"/>
      <c r="H436" s="113"/>
      <c r="I436" s="113"/>
      <c r="J436" s="113"/>
    </row>
    <row r="437" customFormat="false" ht="15" hidden="false" customHeight="true" outlineLevel="0" collapsed="false">
      <c r="G437" s="113"/>
      <c r="H437" s="113"/>
      <c r="I437" s="113"/>
      <c r="J437" s="113"/>
    </row>
    <row r="438" customFormat="false" ht="15" hidden="false" customHeight="true" outlineLevel="0" collapsed="false">
      <c r="G438" s="113"/>
      <c r="H438" s="113"/>
      <c r="I438" s="113"/>
      <c r="J438" s="113"/>
    </row>
    <row r="439" customFormat="false" ht="15" hidden="false" customHeight="true" outlineLevel="0" collapsed="false">
      <c r="G439" s="113"/>
      <c r="H439" s="113"/>
      <c r="I439" s="113"/>
      <c r="J439" s="113"/>
    </row>
    <row r="440" customFormat="false" ht="15" hidden="false" customHeight="true" outlineLevel="0" collapsed="false">
      <c r="G440" s="113"/>
      <c r="H440" s="113"/>
      <c r="I440" s="113"/>
      <c r="J440" s="113"/>
    </row>
    <row r="441" customFormat="false" ht="15" hidden="false" customHeight="true" outlineLevel="0" collapsed="false">
      <c r="G441" s="113"/>
      <c r="H441" s="113"/>
      <c r="I441" s="113"/>
      <c r="J441" s="113"/>
    </row>
    <row r="442" customFormat="false" ht="15" hidden="false" customHeight="true" outlineLevel="0" collapsed="false">
      <c r="G442" s="113"/>
      <c r="H442" s="113"/>
      <c r="I442" s="113"/>
      <c r="J442" s="113"/>
    </row>
    <row r="443" customFormat="false" ht="15" hidden="false" customHeight="true" outlineLevel="0" collapsed="false">
      <c r="G443" s="113"/>
      <c r="H443" s="113"/>
      <c r="I443" s="113"/>
      <c r="J443" s="113"/>
    </row>
    <row r="444" customFormat="false" ht="15" hidden="false" customHeight="true" outlineLevel="0" collapsed="false">
      <c r="G444" s="113"/>
      <c r="H444" s="113"/>
      <c r="I444" s="113"/>
      <c r="J444" s="113"/>
    </row>
    <row r="445" customFormat="false" ht="15" hidden="false" customHeight="true" outlineLevel="0" collapsed="false">
      <c r="G445" s="113"/>
      <c r="H445" s="113"/>
      <c r="I445" s="113"/>
      <c r="J445" s="113"/>
    </row>
    <row r="446" customFormat="false" ht="15" hidden="false" customHeight="true" outlineLevel="0" collapsed="false">
      <c r="G446" s="113"/>
      <c r="H446" s="113"/>
      <c r="I446" s="113"/>
      <c r="J446" s="113"/>
    </row>
    <row r="447" customFormat="false" ht="15" hidden="false" customHeight="true" outlineLevel="0" collapsed="false">
      <c r="G447" s="113"/>
      <c r="H447" s="113"/>
      <c r="I447" s="113"/>
      <c r="J447" s="113"/>
    </row>
    <row r="448" customFormat="false" ht="15" hidden="false" customHeight="true" outlineLevel="0" collapsed="false">
      <c r="G448" s="113"/>
      <c r="H448" s="113"/>
      <c r="I448" s="113"/>
      <c r="J448" s="113"/>
    </row>
    <row r="449" customFormat="false" ht="15" hidden="false" customHeight="true" outlineLevel="0" collapsed="false">
      <c r="G449" s="113"/>
      <c r="H449" s="113"/>
      <c r="I449" s="113"/>
      <c r="J449" s="113"/>
    </row>
    <row r="450" customFormat="false" ht="15" hidden="false" customHeight="true" outlineLevel="0" collapsed="false">
      <c r="G450" s="113"/>
      <c r="H450" s="113"/>
      <c r="I450" s="113"/>
      <c r="J450" s="113"/>
    </row>
    <row r="451" customFormat="false" ht="15" hidden="false" customHeight="true" outlineLevel="0" collapsed="false">
      <c r="G451" s="113"/>
      <c r="H451" s="113"/>
      <c r="I451" s="113"/>
      <c r="J451" s="113"/>
    </row>
    <row r="452" customFormat="false" ht="15" hidden="false" customHeight="true" outlineLevel="0" collapsed="false">
      <c r="G452" s="113"/>
      <c r="H452" s="113"/>
      <c r="I452" s="113"/>
      <c r="J452" s="113"/>
    </row>
    <row r="453" customFormat="false" ht="15" hidden="false" customHeight="true" outlineLevel="0" collapsed="false">
      <c r="G453" s="113"/>
      <c r="H453" s="113"/>
      <c r="I453" s="113"/>
      <c r="J453" s="113"/>
    </row>
    <row r="454" customFormat="false" ht="15" hidden="false" customHeight="true" outlineLevel="0" collapsed="false">
      <c r="G454" s="113"/>
      <c r="H454" s="113"/>
      <c r="I454" s="113"/>
      <c r="J454" s="113"/>
    </row>
    <row r="455" customFormat="false" ht="15" hidden="false" customHeight="true" outlineLevel="0" collapsed="false">
      <c r="G455" s="113"/>
      <c r="H455" s="113"/>
      <c r="I455" s="113"/>
      <c r="J455" s="113"/>
    </row>
    <row r="456" customFormat="false" ht="15" hidden="false" customHeight="true" outlineLevel="0" collapsed="false">
      <c r="G456" s="113"/>
      <c r="H456" s="113"/>
      <c r="I456" s="113"/>
      <c r="J456" s="113"/>
    </row>
    <row r="457" customFormat="false" ht="15" hidden="false" customHeight="true" outlineLevel="0" collapsed="false">
      <c r="G457" s="113"/>
      <c r="H457" s="113"/>
      <c r="I457" s="113"/>
      <c r="J457" s="113"/>
    </row>
    <row r="458" customFormat="false" ht="15" hidden="false" customHeight="true" outlineLevel="0" collapsed="false">
      <c r="G458" s="113"/>
      <c r="H458" s="113"/>
      <c r="I458" s="113"/>
      <c r="J458" s="113"/>
    </row>
    <row r="459" customFormat="false" ht="15" hidden="false" customHeight="true" outlineLevel="0" collapsed="false">
      <c r="G459" s="113"/>
      <c r="H459" s="113"/>
      <c r="I459" s="113"/>
      <c r="J459" s="113"/>
    </row>
    <row r="460" customFormat="false" ht="15" hidden="false" customHeight="true" outlineLevel="0" collapsed="false">
      <c r="G460" s="113"/>
      <c r="H460" s="113"/>
      <c r="I460" s="113"/>
      <c r="J460" s="113"/>
    </row>
    <row r="461" customFormat="false" ht="15" hidden="false" customHeight="true" outlineLevel="0" collapsed="false">
      <c r="G461" s="113"/>
      <c r="H461" s="113"/>
      <c r="I461" s="113"/>
      <c r="J461" s="113"/>
    </row>
    <row r="462" customFormat="false" ht="15" hidden="false" customHeight="true" outlineLevel="0" collapsed="false">
      <c r="G462" s="113"/>
      <c r="H462" s="113"/>
      <c r="I462" s="113"/>
      <c r="J462" s="113"/>
    </row>
    <row r="463" customFormat="false" ht="15" hidden="false" customHeight="true" outlineLevel="0" collapsed="false">
      <c r="G463" s="113"/>
      <c r="H463" s="113"/>
      <c r="I463" s="113"/>
      <c r="J463" s="113"/>
    </row>
    <row r="464" customFormat="false" ht="15" hidden="false" customHeight="true" outlineLevel="0" collapsed="false">
      <c r="G464" s="113"/>
      <c r="H464" s="113"/>
      <c r="I464" s="113"/>
      <c r="J464" s="113"/>
    </row>
    <row r="465" customFormat="false" ht="15" hidden="false" customHeight="true" outlineLevel="0" collapsed="false">
      <c r="G465" s="113"/>
      <c r="H465" s="113"/>
      <c r="I465" s="113"/>
      <c r="J465" s="113"/>
    </row>
    <row r="466" customFormat="false" ht="15" hidden="false" customHeight="true" outlineLevel="0" collapsed="false">
      <c r="G466" s="113"/>
      <c r="H466" s="113"/>
      <c r="I466" s="113"/>
      <c r="J466" s="113"/>
    </row>
    <row r="467" customFormat="false" ht="15" hidden="false" customHeight="true" outlineLevel="0" collapsed="false">
      <c r="G467" s="113"/>
      <c r="H467" s="113"/>
      <c r="I467" s="113"/>
      <c r="J467" s="113"/>
    </row>
    <row r="468" customFormat="false" ht="15" hidden="false" customHeight="true" outlineLevel="0" collapsed="false">
      <c r="G468" s="113"/>
      <c r="H468" s="113"/>
      <c r="I468" s="113"/>
      <c r="J468" s="113"/>
    </row>
    <row r="469" customFormat="false" ht="15" hidden="false" customHeight="true" outlineLevel="0" collapsed="false">
      <c r="G469" s="113"/>
      <c r="H469" s="113"/>
      <c r="I469" s="113"/>
      <c r="J469" s="113"/>
    </row>
    <row r="470" customFormat="false" ht="15" hidden="false" customHeight="true" outlineLevel="0" collapsed="false">
      <c r="G470" s="113"/>
      <c r="H470" s="113"/>
      <c r="I470" s="113"/>
      <c r="J470" s="113"/>
    </row>
    <row r="471" customFormat="false" ht="15" hidden="false" customHeight="true" outlineLevel="0" collapsed="false">
      <c r="G471" s="113"/>
      <c r="H471" s="113"/>
      <c r="I471" s="113"/>
      <c r="J471" s="113"/>
    </row>
    <row r="472" customFormat="false" ht="15" hidden="false" customHeight="true" outlineLevel="0" collapsed="false">
      <c r="G472" s="113"/>
      <c r="H472" s="113"/>
      <c r="I472" s="113"/>
      <c r="J472" s="113"/>
    </row>
    <row r="473" customFormat="false" ht="15" hidden="false" customHeight="true" outlineLevel="0" collapsed="false">
      <c r="G473" s="113"/>
      <c r="H473" s="113"/>
      <c r="I473" s="113"/>
      <c r="J473" s="113"/>
    </row>
    <row r="474" customFormat="false" ht="15" hidden="false" customHeight="true" outlineLevel="0" collapsed="false">
      <c r="G474" s="113"/>
      <c r="H474" s="113"/>
      <c r="I474" s="113"/>
      <c r="J474" s="113"/>
    </row>
    <row r="475" customFormat="false" ht="15" hidden="false" customHeight="true" outlineLevel="0" collapsed="false">
      <c r="G475" s="113"/>
      <c r="H475" s="113"/>
      <c r="I475" s="113"/>
      <c r="J475" s="113"/>
    </row>
    <row r="476" customFormat="false" ht="15" hidden="false" customHeight="true" outlineLevel="0" collapsed="false">
      <c r="G476" s="113"/>
      <c r="H476" s="113"/>
      <c r="I476" s="113"/>
      <c r="J476" s="113"/>
    </row>
    <row r="477" customFormat="false" ht="15" hidden="false" customHeight="true" outlineLevel="0" collapsed="false">
      <c r="G477" s="113"/>
      <c r="H477" s="113"/>
      <c r="I477" s="113"/>
      <c r="J477" s="113"/>
    </row>
    <row r="478" customFormat="false" ht="15" hidden="false" customHeight="true" outlineLevel="0" collapsed="false">
      <c r="G478" s="113"/>
      <c r="H478" s="113"/>
      <c r="I478" s="113"/>
      <c r="J478" s="113"/>
    </row>
    <row r="479" customFormat="false" ht="15" hidden="false" customHeight="true" outlineLevel="0" collapsed="false">
      <c r="G479" s="113"/>
      <c r="H479" s="113"/>
      <c r="I479" s="113"/>
      <c r="J479" s="113"/>
    </row>
    <row r="480" customFormat="false" ht="15" hidden="false" customHeight="true" outlineLevel="0" collapsed="false">
      <c r="G480" s="113"/>
      <c r="H480" s="113"/>
      <c r="I480" s="113"/>
      <c r="J480" s="113"/>
    </row>
    <row r="481" customFormat="false" ht="15" hidden="false" customHeight="true" outlineLevel="0" collapsed="false">
      <c r="G481" s="113"/>
      <c r="H481" s="113"/>
      <c r="I481" s="113"/>
      <c r="J481" s="113"/>
    </row>
    <row r="482" customFormat="false" ht="15" hidden="false" customHeight="true" outlineLevel="0" collapsed="false">
      <c r="G482" s="113"/>
      <c r="H482" s="113"/>
      <c r="I482" s="113"/>
      <c r="J482" s="113"/>
    </row>
    <row r="483" customFormat="false" ht="15" hidden="false" customHeight="true" outlineLevel="0" collapsed="false">
      <c r="G483" s="113"/>
      <c r="H483" s="113"/>
      <c r="I483" s="113"/>
      <c r="J483" s="113"/>
    </row>
    <row r="484" customFormat="false" ht="15" hidden="false" customHeight="true" outlineLevel="0" collapsed="false">
      <c r="G484" s="113"/>
      <c r="H484" s="113"/>
      <c r="I484" s="113"/>
      <c r="J484" s="113"/>
    </row>
    <row r="485" customFormat="false" ht="15" hidden="false" customHeight="true" outlineLevel="0" collapsed="false">
      <c r="G485" s="113"/>
      <c r="H485" s="113"/>
      <c r="I485" s="113"/>
      <c r="J485" s="113"/>
    </row>
    <row r="486" customFormat="false" ht="15" hidden="false" customHeight="true" outlineLevel="0" collapsed="false">
      <c r="G486" s="113"/>
      <c r="H486" s="113"/>
      <c r="I486" s="113"/>
      <c r="J486" s="113"/>
    </row>
    <row r="487" customFormat="false" ht="15" hidden="false" customHeight="true" outlineLevel="0" collapsed="false">
      <c r="G487" s="113"/>
      <c r="H487" s="113"/>
      <c r="I487" s="113"/>
      <c r="J487" s="113"/>
    </row>
    <row r="488" customFormat="false" ht="15" hidden="false" customHeight="true" outlineLevel="0" collapsed="false">
      <c r="G488" s="113"/>
      <c r="H488" s="113"/>
      <c r="I488" s="113"/>
      <c r="J488" s="113"/>
    </row>
    <row r="489" customFormat="false" ht="15" hidden="false" customHeight="true" outlineLevel="0" collapsed="false">
      <c r="G489" s="113"/>
      <c r="H489" s="113"/>
      <c r="I489" s="113"/>
      <c r="J489" s="113"/>
    </row>
    <row r="490" customFormat="false" ht="15" hidden="false" customHeight="true" outlineLevel="0" collapsed="false">
      <c r="G490" s="113"/>
      <c r="H490" s="113"/>
      <c r="I490" s="113"/>
      <c r="J490" s="113"/>
    </row>
    <row r="491" customFormat="false" ht="15" hidden="false" customHeight="true" outlineLevel="0" collapsed="false">
      <c r="G491" s="113"/>
      <c r="H491" s="113"/>
      <c r="I491" s="113"/>
      <c r="J491" s="113"/>
    </row>
    <row r="492" customFormat="false" ht="15" hidden="false" customHeight="true" outlineLevel="0" collapsed="false">
      <c r="G492" s="113"/>
      <c r="H492" s="113"/>
      <c r="I492" s="113"/>
      <c r="J492" s="113"/>
    </row>
    <row r="493" customFormat="false" ht="15" hidden="false" customHeight="true" outlineLevel="0" collapsed="false">
      <c r="G493" s="113"/>
      <c r="H493" s="113"/>
      <c r="I493" s="113"/>
      <c r="J493" s="113"/>
    </row>
    <row r="494" customFormat="false" ht="15" hidden="false" customHeight="true" outlineLevel="0" collapsed="false">
      <c r="G494" s="113"/>
      <c r="H494" s="113"/>
      <c r="I494" s="113"/>
      <c r="J494" s="113"/>
    </row>
    <row r="495" customFormat="false" ht="15" hidden="false" customHeight="true" outlineLevel="0" collapsed="false">
      <c r="G495" s="113"/>
      <c r="H495" s="113"/>
      <c r="I495" s="113"/>
      <c r="J495" s="113"/>
    </row>
    <row r="496" customFormat="false" ht="15" hidden="false" customHeight="true" outlineLevel="0" collapsed="false">
      <c r="G496" s="113"/>
      <c r="H496" s="113"/>
      <c r="I496" s="113"/>
      <c r="J496" s="113"/>
    </row>
    <row r="497" customFormat="false" ht="15" hidden="false" customHeight="true" outlineLevel="0" collapsed="false">
      <c r="G497" s="113"/>
      <c r="H497" s="113"/>
      <c r="I497" s="113"/>
      <c r="J497" s="113"/>
    </row>
    <row r="498" customFormat="false" ht="15" hidden="false" customHeight="true" outlineLevel="0" collapsed="false">
      <c r="G498" s="113"/>
      <c r="H498" s="113"/>
      <c r="I498" s="113"/>
      <c r="J498" s="113"/>
    </row>
    <row r="499" customFormat="false" ht="15" hidden="false" customHeight="true" outlineLevel="0" collapsed="false">
      <c r="G499" s="113"/>
      <c r="H499" s="113"/>
      <c r="I499" s="113"/>
      <c r="J499" s="113"/>
    </row>
    <row r="500" customFormat="false" ht="15" hidden="false" customHeight="true" outlineLevel="0" collapsed="false">
      <c r="G500" s="113"/>
      <c r="H500" s="113"/>
      <c r="I500" s="113"/>
      <c r="J500" s="113"/>
    </row>
    <row r="501" customFormat="false" ht="15" hidden="false" customHeight="true" outlineLevel="0" collapsed="false">
      <c r="G501" s="113"/>
      <c r="H501" s="113"/>
      <c r="I501" s="113"/>
      <c r="J501" s="113"/>
    </row>
    <row r="502" customFormat="false" ht="15" hidden="false" customHeight="true" outlineLevel="0" collapsed="false">
      <c r="G502" s="113"/>
      <c r="H502" s="113"/>
      <c r="I502" s="113"/>
      <c r="J502" s="113"/>
    </row>
    <row r="503" customFormat="false" ht="15" hidden="false" customHeight="true" outlineLevel="0" collapsed="false">
      <c r="G503" s="113"/>
      <c r="H503" s="113"/>
      <c r="I503" s="113"/>
      <c r="J503" s="113"/>
    </row>
    <row r="504" customFormat="false" ht="15" hidden="false" customHeight="true" outlineLevel="0" collapsed="false">
      <c r="G504" s="113"/>
      <c r="H504" s="113"/>
      <c r="I504" s="113"/>
      <c r="J504" s="113"/>
    </row>
    <row r="505" customFormat="false" ht="15" hidden="false" customHeight="true" outlineLevel="0" collapsed="false">
      <c r="G505" s="113"/>
      <c r="H505" s="113"/>
      <c r="I505" s="113"/>
      <c r="J505" s="113"/>
    </row>
    <row r="506" customFormat="false" ht="15" hidden="false" customHeight="true" outlineLevel="0" collapsed="false">
      <c r="G506" s="113"/>
      <c r="H506" s="113"/>
      <c r="I506" s="113"/>
      <c r="J506" s="113"/>
    </row>
    <row r="507" customFormat="false" ht="15" hidden="false" customHeight="true" outlineLevel="0" collapsed="false">
      <c r="G507" s="113"/>
      <c r="H507" s="113"/>
      <c r="I507" s="113"/>
      <c r="J507" s="113"/>
    </row>
    <row r="508" customFormat="false" ht="15" hidden="false" customHeight="true" outlineLevel="0" collapsed="false">
      <c r="G508" s="113"/>
      <c r="H508" s="113"/>
      <c r="I508" s="113"/>
      <c r="J508" s="113"/>
    </row>
    <row r="509" customFormat="false" ht="15" hidden="false" customHeight="true" outlineLevel="0" collapsed="false">
      <c r="G509" s="113"/>
      <c r="H509" s="113"/>
      <c r="I509" s="113"/>
      <c r="J509" s="113"/>
    </row>
    <row r="510" customFormat="false" ht="15" hidden="false" customHeight="true" outlineLevel="0" collapsed="false">
      <c r="G510" s="113"/>
      <c r="H510" s="113"/>
      <c r="I510" s="113"/>
      <c r="J510" s="113"/>
    </row>
    <row r="511" customFormat="false" ht="15" hidden="false" customHeight="true" outlineLevel="0" collapsed="false">
      <c r="G511" s="113"/>
      <c r="H511" s="113"/>
      <c r="I511" s="113"/>
      <c r="J511" s="113"/>
    </row>
    <row r="512" customFormat="false" ht="15" hidden="false" customHeight="true" outlineLevel="0" collapsed="false">
      <c r="G512" s="113"/>
      <c r="H512" s="113"/>
      <c r="I512" s="113"/>
      <c r="J512" s="113"/>
    </row>
    <row r="513" customFormat="false" ht="15" hidden="false" customHeight="true" outlineLevel="0" collapsed="false">
      <c r="G513" s="113"/>
      <c r="H513" s="113"/>
      <c r="I513" s="113"/>
      <c r="J513" s="113"/>
    </row>
    <row r="514" customFormat="false" ht="15" hidden="false" customHeight="true" outlineLevel="0" collapsed="false">
      <c r="G514" s="113"/>
      <c r="H514" s="113"/>
      <c r="I514" s="113"/>
      <c r="J514" s="113"/>
    </row>
    <row r="515" customFormat="false" ht="15" hidden="false" customHeight="true" outlineLevel="0" collapsed="false">
      <c r="G515" s="113"/>
      <c r="H515" s="113"/>
      <c r="I515" s="113"/>
      <c r="J515" s="113"/>
    </row>
    <row r="516" customFormat="false" ht="15" hidden="false" customHeight="true" outlineLevel="0" collapsed="false">
      <c r="G516" s="113"/>
      <c r="H516" s="113"/>
      <c r="I516" s="113"/>
      <c r="J516" s="113"/>
    </row>
    <row r="517" customFormat="false" ht="15" hidden="false" customHeight="true" outlineLevel="0" collapsed="false">
      <c r="G517" s="113"/>
      <c r="H517" s="113"/>
      <c r="I517" s="113"/>
      <c r="J517" s="113"/>
    </row>
    <row r="518" customFormat="false" ht="15" hidden="false" customHeight="true" outlineLevel="0" collapsed="false">
      <c r="G518" s="113"/>
      <c r="H518" s="113"/>
      <c r="I518" s="113"/>
      <c r="J518" s="113"/>
    </row>
    <row r="519" customFormat="false" ht="15" hidden="false" customHeight="true" outlineLevel="0" collapsed="false">
      <c r="G519" s="113"/>
      <c r="H519" s="113"/>
      <c r="I519" s="113"/>
      <c r="J519" s="113"/>
    </row>
    <row r="520" customFormat="false" ht="15" hidden="false" customHeight="true" outlineLevel="0" collapsed="false">
      <c r="G520" s="113"/>
      <c r="H520" s="113"/>
      <c r="I520" s="113"/>
      <c r="J520" s="113"/>
    </row>
    <row r="521" customFormat="false" ht="15" hidden="false" customHeight="true" outlineLevel="0" collapsed="false">
      <c r="G521" s="113"/>
      <c r="H521" s="113"/>
      <c r="I521" s="113"/>
      <c r="J521" s="113"/>
    </row>
    <row r="522" customFormat="false" ht="15" hidden="false" customHeight="true" outlineLevel="0" collapsed="false">
      <c r="G522" s="113"/>
      <c r="H522" s="113"/>
      <c r="I522" s="113"/>
      <c r="J522" s="113"/>
    </row>
    <row r="523" customFormat="false" ht="15" hidden="false" customHeight="true" outlineLevel="0" collapsed="false">
      <c r="G523" s="113"/>
      <c r="H523" s="113"/>
      <c r="I523" s="113"/>
      <c r="J523" s="113"/>
    </row>
    <row r="524" customFormat="false" ht="15" hidden="false" customHeight="true" outlineLevel="0" collapsed="false">
      <c r="G524" s="113"/>
      <c r="H524" s="113"/>
      <c r="I524" s="113"/>
      <c r="J524" s="113"/>
    </row>
    <row r="525" customFormat="false" ht="15" hidden="false" customHeight="true" outlineLevel="0" collapsed="false">
      <c r="G525" s="113"/>
      <c r="H525" s="113"/>
      <c r="I525" s="113"/>
      <c r="J525" s="113"/>
    </row>
    <row r="526" customFormat="false" ht="15" hidden="false" customHeight="true" outlineLevel="0" collapsed="false">
      <c r="G526" s="113"/>
      <c r="H526" s="113"/>
      <c r="I526" s="113"/>
      <c r="J526" s="113"/>
    </row>
    <row r="527" customFormat="false" ht="15" hidden="false" customHeight="true" outlineLevel="0" collapsed="false">
      <c r="G527" s="113"/>
      <c r="H527" s="113"/>
      <c r="I527" s="113"/>
      <c r="J527" s="113"/>
    </row>
    <row r="528" customFormat="false" ht="15" hidden="false" customHeight="true" outlineLevel="0" collapsed="false">
      <c r="G528" s="113"/>
      <c r="H528" s="113"/>
      <c r="I528" s="113"/>
      <c r="J528" s="113"/>
    </row>
    <row r="529" customFormat="false" ht="15" hidden="false" customHeight="true" outlineLevel="0" collapsed="false">
      <c r="G529" s="113"/>
      <c r="H529" s="113"/>
      <c r="I529" s="113"/>
      <c r="J529" s="113"/>
    </row>
    <row r="530" customFormat="false" ht="15" hidden="false" customHeight="true" outlineLevel="0" collapsed="false">
      <c r="G530" s="113"/>
      <c r="H530" s="113"/>
      <c r="I530" s="113"/>
      <c r="J530" s="113"/>
    </row>
    <row r="531" customFormat="false" ht="15" hidden="false" customHeight="true" outlineLevel="0" collapsed="false">
      <c r="G531" s="113"/>
      <c r="H531" s="113"/>
      <c r="I531" s="113"/>
      <c r="J531" s="113"/>
    </row>
    <row r="532" customFormat="false" ht="15" hidden="false" customHeight="true" outlineLevel="0" collapsed="false">
      <c r="G532" s="113"/>
      <c r="H532" s="113"/>
      <c r="I532" s="113"/>
      <c r="J532" s="113"/>
    </row>
    <row r="533" customFormat="false" ht="15" hidden="false" customHeight="true" outlineLevel="0" collapsed="false">
      <c r="G533" s="113"/>
      <c r="H533" s="113"/>
      <c r="I533" s="113"/>
      <c r="J533" s="113"/>
    </row>
    <row r="534" customFormat="false" ht="15" hidden="false" customHeight="true" outlineLevel="0" collapsed="false">
      <c r="G534" s="113"/>
      <c r="H534" s="113"/>
      <c r="I534" s="113"/>
      <c r="J534" s="113"/>
    </row>
    <row r="535" customFormat="false" ht="15" hidden="false" customHeight="true" outlineLevel="0" collapsed="false">
      <c r="G535" s="113"/>
      <c r="H535" s="113"/>
      <c r="I535" s="113"/>
      <c r="J535" s="113"/>
    </row>
    <row r="536" customFormat="false" ht="15" hidden="false" customHeight="true" outlineLevel="0" collapsed="false">
      <c r="G536" s="113"/>
      <c r="H536" s="113"/>
      <c r="I536" s="113"/>
      <c r="J536" s="113"/>
    </row>
    <row r="537" customFormat="false" ht="15" hidden="false" customHeight="true" outlineLevel="0" collapsed="false">
      <c r="G537" s="113"/>
      <c r="H537" s="113"/>
      <c r="I537" s="113"/>
      <c r="J537" s="113"/>
    </row>
    <row r="538" customFormat="false" ht="15" hidden="false" customHeight="true" outlineLevel="0" collapsed="false">
      <c r="G538" s="113"/>
      <c r="H538" s="113"/>
      <c r="I538" s="113"/>
      <c r="J538" s="113"/>
    </row>
    <row r="539" customFormat="false" ht="15" hidden="false" customHeight="true" outlineLevel="0" collapsed="false">
      <c r="G539" s="113"/>
      <c r="H539" s="113"/>
      <c r="I539" s="113"/>
      <c r="J539" s="113"/>
    </row>
    <row r="540" customFormat="false" ht="15" hidden="false" customHeight="true" outlineLevel="0" collapsed="false">
      <c r="G540" s="113"/>
      <c r="H540" s="113"/>
      <c r="I540" s="113"/>
      <c r="J540" s="113"/>
    </row>
    <row r="541" customFormat="false" ht="15" hidden="false" customHeight="true" outlineLevel="0" collapsed="false">
      <c r="G541" s="113"/>
      <c r="H541" s="113"/>
      <c r="I541" s="113"/>
      <c r="J541" s="113"/>
    </row>
    <row r="542" customFormat="false" ht="15" hidden="false" customHeight="true" outlineLevel="0" collapsed="false">
      <c r="G542" s="113"/>
      <c r="H542" s="113"/>
      <c r="I542" s="113"/>
      <c r="J542" s="113"/>
    </row>
    <row r="543" customFormat="false" ht="15" hidden="false" customHeight="true" outlineLevel="0" collapsed="false">
      <c r="G543" s="113"/>
      <c r="H543" s="113"/>
      <c r="I543" s="113"/>
      <c r="J543" s="113"/>
    </row>
    <row r="544" customFormat="false" ht="15" hidden="false" customHeight="true" outlineLevel="0" collapsed="false">
      <c r="G544" s="113"/>
      <c r="H544" s="113"/>
      <c r="I544" s="113"/>
      <c r="J544" s="113"/>
    </row>
    <row r="545" customFormat="false" ht="15" hidden="false" customHeight="true" outlineLevel="0" collapsed="false">
      <c r="G545" s="113"/>
      <c r="H545" s="113"/>
      <c r="I545" s="113"/>
      <c r="J545" s="113"/>
    </row>
    <row r="546" customFormat="false" ht="15" hidden="false" customHeight="true" outlineLevel="0" collapsed="false">
      <c r="G546" s="113"/>
      <c r="H546" s="113"/>
      <c r="I546" s="113"/>
      <c r="J546" s="113"/>
    </row>
    <row r="547" customFormat="false" ht="15" hidden="false" customHeight="true" outlineLevel="0" collapsed="false">
      <c r="G547" s="113"/>
      <c r="H547" s="113"/>
      <c r="I547" s="113"/>
      <c r="J547" s="113"/>
    </row>
    <row r="548" customFormat="false" ht="15" hidden="false" customHeight="true" outlineLevel="0" collapsed="false">
      <c r="G548" s="113"/>
      <c r="H548" s="113"/>
      <c r="I548" s="113"/>
      <c r="J548" s="113"/>
    </row>
    <row r="549" customFormat="false" ht="15" hidden="false" customHeight="true" outlineLevel="0" collapsed="false">
      <c r="G549" s="113"/>
      <c r="H549" s="113"/>
      <c r="I549" s="113"/>
      <c r="J549" s="113"/>
    </row>
    <row r="550" customFormat="false" ht="15" hidden="false" customHeight="true" outlineLevel="0" collapsed="false">
      <c r="G550" s="113"/>
      <c r="H550" s="113"/>
      <c r="I550" s="113"/>
      <c r="J550" s="113"/>
    </row>
    <row r="551" customFormat="false" ht="15" hidden="false" customHeight="true" outlineLevel="0" collapsed="false">
      <c r="G551" s="113"/>
      <c r="H551" s="113"/>
      <c r="I551" s="113"/>
      <c r="J551" s="113"/>
    </row>
    <row r="552" customFormat="false" ht="15" hidden="false" customHeight="true" outlineLevel="0" collapsed="false">
      <c r="G552" s="113"/>
      <c r="H552" s="113"/>
      <c r="I552" s="113"/>
      <c r="J552" s="113"/>
    </row>
    <row r="553" customFormat="false" ht="15" hidden="false" customHeight="true" outlineLevel="0" collapsed="false">
      <c r="G553" s="113"/>
      <c r="H553" s="113"/>
      <c r="I553" s="113"/>
      <c r="J553" s="113"/>
    </row>
    <row r="554" customFormat="false" ht="15" hidden="false" customHeight="true" outlineLevel="0" collapsed="false">
      <c r="G554" s="113"/>
      <c r="H554" s="113"/>
      <c r="I554" s="113"/>
      <c r="J554" s="113"/>
    </row>
    <row r="555" customFormat="false" ht="15" hidden="false" customHeight="true" outlineLevel="0" collapsed="false">
      <c r="G555" s="113"/>
      <c r="H555" s="113"/>
      <c r="I555" s="113"/>
      <c r="J555" s="113"/>
    </row>
    <row r="556" customFormat="false" ht="15" hidden="false" customHeight="true" outlineLevel="0" collapsed="false">
      <c r="G556" s="113"/>
      <c r="H556" s="113"/>
      <c r="I556" s="113"/>
      <c r="J556" s="113"/>
    </row>
    <row r="557" customFormat="false" ht="15" hidden="false" customHeight="true" outlineLevel="0" collapsed="false">
      <c r="G557" s="113"/>
      <c r="H557" s="113"/>
      <c r="I557" s="113"/>
      <c r="J557" s="113"/>
    </row>
    <row r="558" customFormat="false" ht="15" hidden="false" customHeight="true" outlineLevel="0" collapsed="false">
      <c r="G558" s="113"/>
      <c r="H558" s="113"/>
      <c r="I558" s="113"/>
      <c r="J558" s="113"/>
    </row>
    <row r="559" customFormat="false" ht="15" hidden="false" customHeight="true" outlineLevel="0" collapsed="false">
      <c r="G559" s="113"/>
      <c r="H559" s="113"/>
      <c r="I559" s="113"/>
      <c r="J559" s="113"/>
    </row>
    <row r="560" customFormat="false" ht="15" hidden="false" customHeight="true" outlineLevel="0" collapsed="false">
      <c r="G560" s="113"/>
      <c r="H560" s="113"/>
      <c r="I560" s="113"/>
      <c r="J560" s="113"/>
    </row>
    <row r="561" customFormat="false" ht="15" hidden="false" customHeight="true" outlineLevel="0" collapsed="false">
      <c r="G561" s="113"/>
      <c r="H561" s="113"/>
      <c r="I561" s="113"/>
      <c r="J561" s="113"/>
    </row>
    <row r="562" customFormat="false" ht="15" hidden="false" customHeight="true" outlineLevel="0" collapsed="false">
      <c r="G562" s="113"/>
      <c r="H562" s="113"/>
      <c r="I562" s="113"/>
      <c r="J562" s="113"/>
    </row>
    <row r="563" customFormat="false" ht="15" hidden="false" customHeight="true" outlineLevel="0" collapsed="false">
      <c r="G563" s="113"/>
      <c r="H563" s="113"/>
      <c r="I563" s="113"/>
      <c r="J563" s="113"/>
    </row>
    <row r="564" customFormat="false" ht="15" hidden="false" customHeight="true" outlineLevel="0" collapsed="false">
      <c r="G564" s="113"/>
      <c r="H564" s="113"/>
      <c r="I564" s="113"/>
      <c r="J564" s="113"/>
    </row>
    <row r="565" customFormat="false" ht="15" hidden="false" customHeight="true" outlineLevel="0" collapsed="false">
      <c r="G565" s="113"/>
      <c r="H565" s="113"/>
      <c r="I565" s="113"/>
      <c r="J565" s="113"/>
    </row>
    <row r="566" customFormat="false" ht="15" hidden="false" customHeight="true" outlineLevel="0" collapsed="false">
      <c r="G566" s="113"/>
      <c r="H566" s="113"/>
      <c r="I566" s="113"/>
      <c r="J566" s="113"/>
    </row>
    <row r="567" customFormat="false" ht="15" hidden="false" customHeight="true" outlineLevel="0" collapsed="false">
      <c r="G567" s="113"/>
      <c r="H567" s="113"/>
      <c r="I567" s="113"/>
      <c r="J567" s="113"/>
    </row>
    <row r="568" customFormat="false" ht="15" hidden="false" customHeight="true" outlineLevel="0" collapsed="false">
      <c r="G568" s="113"/>
      <c r="H568" s="113"/>
      <c r="I568" s="113"/>
      <c r="J568" s="113"/>
    </row>
    <row r="569" customFormat="false" ht="15" hidden="false" customHeight="true" outlineLevel="0" collapsed="false">
      <c r="G569" s="113"/>
      <c r="H569" s="113"/>
      <c r="I569" s="113"/>
      <c r="J569" s="113"/>
    </row>
    <row r="570" customFormat="false" ht="15" hidden="false" customHeight="true" outlineLevel="0" collapsed="false">
      <c r="G570" s="113"/>
      <c r="H570" s="113"/>
      <c r="I570" s="113"/>
      <c r="J570" s="113"/>
    </row>
    <row r="571" customFormat="false" ht="15" hidden="false" customHeight="true" outlineLevel="0" collapsed="false">
      <c r="G571" s="113"/>
      <c r="H571" s="113"/>
      <c r="I571" s="113"/>
      <c r="J571" s="113"/>
    </row>
    <row r="572" customFormat="false" ht="15" hidden="false" customHeight="true" outlineLevel="0" collapsed="false">
      <c r="G572" s="113"/>
      <c r="H572" s="113"/>
      <c r="I572" s="113"/>
      <c r="J572" s="113"/>
    </row>
    <row r="573" customFormat="false" ht="15" hidden="false" customHeight="true" outlineLevel="0" collapsed="false">
      <c r="G573" s="113"/>
      <c r="H573" s="113"/>
      <c r="I573" s="113"/>
      <c r="J573" s="113"/>
    </row>
    <row r="574" customFormat="false" ht="15" hidden="false" customHeight="true" outlineLevel="0" collapsed="false">
      <c r="G574" s="113"/>
      <c r="H574" s="113"/>
      <c r="I574" s="113"/>
      <c r="J574" s="113"/>
    </row>
    <row r="575" customFormat="false" ht="15" hidden="false" customHeight="true" outlineLevel="0" collapsed="false">
      <c r="G575" s="113"/>
      <c r="H575" s="113"/>
      <c r="I575" s="113"/>
      <c r="J575" s="113"/>
    </row>
    <row r="576" customFormat="false" ht="15" hidden="false" customHeight="true" outlineLevel="0" collapsed="false">
      <c r="G576" s="113"/>
      <c r="H576" s="113"/>
      <c r="I576" s="113"/>
      <c r="J576" s="113"/>
    </row>
    <row r="577" customFormat="false" ht="15" hidden="false" customHeight="true" outlineLevel="0" collapsed="false">
      <c r="G577" s="113"/>
      <c r="H577" s="113"/>
      <c r="I577" s="113"/>
      <c r="J577" s="113"/>
    </row>
    <row r="578" customFormat="false" ht="15" hidden="false" customHeight="true" outlineLevel="0" collapsed="false">
      <c r="G578" s="113"/>
      <c r="H578" s="113"/>
      <c r="I578" s="113"/>
      <c r="J578" s="113"/>
    </row>
    <row r="579" customFormat="false" ht="15" hidden="false" customHeight="true" outlineLevel="0" collapsed="false">
      <c r="G579" s="113"/>
      <c r="H579" s="113"/>
      <c r="I579" s="113"/>
      <c r="J579" s="113"/>
    </row>
    <row r="580" customFormat="false" ht="15" hidden="false" customHeight="true" outlineLevel="0" collapsed="false">
      <c r="G580" s="113"/>
      <c r="H580" s="113"/>
      <c r="I580" s="113"/>
      <c r="J580" s="113"/>
    </row>
    <row r="581" customFormat="false" ht="15" hidden="false" customHeight="true" outlineLevel="0" collapsed="false">
      <c r="G581" s="113"/>
      <c r="H581" s="113"/>
      <c r="I581" s="113"/>
      <c r="J581" s="113"/>
    </row>
    <row r="582" customFormat="false" ht="15" hidden="false" customHeight="true" outlineLevel="0" collapsed="false">
      <c r="G582" s="113"/>
      <c r="H582" s="113"/>
      <c r="I582" s="113"/>
      <c r="J582" s="113"/>
    </row>
    <row r="583" customFormat="false" ht="15" hidden="false" customHeight="true" outlineLevel="0" collapsed="false">
      <c r="G583" s="113"/>
      <c r="H583" s="113"/>
      <c r="I583" s="113"/>
      <c r="J583" s="113"/>
    </row>
    <row r="584" customFormat="false" ht="15" hidden="false" customHeight="true" outlineLevel="0" collapsed="false">
      <c r="G584" s="113"/>
      <c r="H584" s="113"/>
      <c r="I584" s="113"/>
      <c r="J584" s="113"/>
    </row>
    <row r="585" customFormat="false" ht="15" hidden="false" customHeight="true" outlineLevel="0" collapsed="false">
      <c r="G585" s="113"/>
      <c r="H585" s="113"/>
      <c r="I585" s="113"/>
      <c r="J585" s="113"/>
    </row>
    <row r="586" customFormat="false" ht="15" hidden="false" customHeight="true" outlineLevel="0" collapsed="false">
      <c r="G586" s="113"/>
      <c r="H586" s="113"/>
      <c r="I586" s="113"/>
      <c r="J586" s="113"/>
    </row>
    <row r="587" customFormat="false" ht="15" hidden="false" customHeight="true" outlineLevel="0" collapsed="false">
      <c r="G587" s="113"/>
      <c r="H587" s="113"/>
      <c r="I587" s="113"/>
      <c r="J587" s="113"/>
    </row>
    <row r="588" customFormat="false" ht="15" hidden="false" customHeight="true" outlineLevel="0" collapsed="false">
      <c r="G588" s="113"/>
      <c r="H588" s="113"/>
      <c r="I588" s="113"/>
      <c r="J588" s="113"/>
    </row>
    <row r="589" customFormat="false" ht="15" hidden="false" customHeight="true" outlineLevel="0" collapsed="false">
      <c r="G589" s="113"/>
      <c r="H589" s="113"/>
      <c r="I589" s="113"/>
      <c r="J589" s="113"/>
    </row>
    <row r="590" customFormat="false" ht="15" hidden="false" customHeight="true" outlineLevel="0" collapsed="false">
      <c r="G590" s="113"/>
      <c r="H590" s="113"/>
      <c r="I590" s="113"/>
      <c r="J590" s="113"/>
    </row>
    <row r="591" customFormat="false" ht="15" hidden="false" customHeight="true" outlineLevel="0" collapsed="false">
      <c r="G591" s="113"/>
      <c r="H591" s="113"/>
      <c r="I591" s="113"/>
      <c r="J591" s="113"/>
    </row>
    <row r="592" customFormat="false" ht="15" hidden="false" customHeight="true" outlineLevel="0" collapsed="false">
      <c r="G592" s="113"/>
      <c r="H592" s="113"/>
      <c r="I592" s="113"/>
      <c r="J592" s="113"/>
    </row>
    <row r="593" customFormat="false" ht="15" hidden="false" customHeight="true" outlineLevel="0" collapsed="false">
      <c r="G593" s="113"/>
      <c r="H593" s="113"/>
      <c r="I593" s="113"/>
      <c r="J593" s="113"/>
    </row>
    <row r="594" customFormat="false" ht="15" hidden="false" customHeight="true" outlineLevel="0" collapsed="false">
      <c r="G594" s="113"/>
      <c r="H594" s="113"/>
      <c r="I594" s="113"/>
      <c r="J594" s="113"/>
    </row>
    <row r="595" customFormat="false" ht="15" hidden="false" customHeight="true" outlineLevel="0" collapsed="false">
      <c r="G595" s="113"/>
      <c r="H595" s="113"/>
      <c r="I595" s="113"/>
      <c r="J595" s="113"/>
    </row>
    <row r="596" customFormat="false" ht="15" hidden="false" customHeight="true" outlineLevel="0" collapsed="false">
      <c r="G596" s="113"/>
      <c r="H596" s="113"/>
      <c r="I596" s="113"/>
      <c r="J596" s="113"/>
    </row>
    <row r="597" customFormat="false" ht="15" hidden="false" customHeight="true" outlineLevel="0" collapsed="false">
      <c r="G597" s="113"/>
      <c r="H597" s="113"/>
      <c r="I597" s="113"/>
      <c r="J597" s="113"/>
    </row>
    <row r="598" customFormat="false" ht="15" hidden="false" customHeight="true" outlineLevel="0" collapsed="false">
      <c r="G598" s="113"/>
      <c r="H598" s="113"/>
      <c r="I598" s="113"/>
      <c r="J598" s="113"/>
    </row>
    <row r="599" customFormat="false" ht="15" hidden="false" customHeight="true" outlineLevel="0" collapsed="false">
      <c r="G599" s="113"/>
      <c r="H599" s="113"/>
      <c r="I599" s="113"/>
      <c r="J599" s="113"/>
    </row>
    <row r="600" customFormat="false" ht="15" hidden="false" customHeight="true" outlineLevel="0" collapsed="false">
      <c r="G600" s="113"/>
      <c r="H600" s="113"/>
      <c r="I600" s="113"/>
      <c r="J600" s="113"/>
    </row>
    <row r="601" customFormat="false" ht="15" hidden="false" customHeight="true" outlineLevel="0" collapsed="false">
      <c r="G601" s="113"/>
      <c r="H601" s="113"/>
      <c r="I601" s="113"/>
      <c r="J601" s="113"/>
    </row>
    <row r="602" customFormat="false" ht="15" hidden="false" customHeight="true" outlineLevel="0" collapsed="false">
      <c r="G602" s="113"/>
      <c r="H602" s="113"/>
      <c r="I602" s="113"/>
      <c r="J602" s="113"/>
    </row>
    <row r="603" customFormat="false" ht="15" hidden="false" customHeight="true" outlineLevel="0" collapsed="false">
      <c r="G603" s="113"/>
      <c r="H603" s="113"/>
      <c r="I603" s="113"/>
      <c r="J603" s="113"/>
    </row>
    <row r="604" customFormat="false" ht="15" hidden="false" customHeight="true" outlineLevel="0" collapsed="false">
      <c r="G604" s="113"/>
      <c r="H604" s="113"/>
      <c r="I604" s="113"/>
      <c r="J604" s="113"/>
    </row>
    <row r="605" customFormat="false" ht="15" hidden="false" customHeight="true" outlineLevel="0" collapsed="false">
      <c r="G605" s="113"/>
      <c r="H605" s="113"/>
      <c r="I605" s="113"/>
      <c r="J605" s="113"/>
    </row>
    <row r="606" customFormat="false" ht="15" hidden="false" customHeight="true" outlineLevel="0" collapsed="false">
      <c r="G606" s="113"/>
      <c r="H606" s="113"/>
      <c r="I606" s="113"/>
      <c r="J606" s="113"/>
    </row>
    <row r="607" customFormat="false" ht="15" hidden="false" customHeight="true" outlineLevel="0" collapsed="false">
      <c r="G607" s="113"/>
      <c r="H607" s="113"/>
      <c r="I607" s="113"/>
      <c r="J607" s="113"/>
    </row>
    <row r="608" customFormat="false" ht="15" hidden="false" customHeight="true" outlineLevel="0" collapsed="false">
      <c r="G608" s="113"/>
      <c r="H608" s="113"/>
      <c r="I608" s="113"/>
      <c r="J608" s="113"/>
    </row>
    <row r="609" customFormat="false" ht="15" hidden="false" customHeight="true" outlineLevel="0" collapsed="false">
      <c r="G609" s="113"/>
      <c r="H609" s="113"/>
      <c r="I609" s="113"/>
      <c r="J609" s="113"/>
    </row>
    <row r="610" customFormat="false" ht="15" hidden="false" customHeight="true" outlineLevel="0" collapsed="false">
      <c r="G610" s="113"/>
      <c r="H610" s="113"/>
      <c r="I610" s="113"/>
      <c r="J610" s="113"/>
    </row>
    <row r="611" customFormat="false" ht="15" hidden="false" customHeight="true" outlineLevel="0" collapsed="false">
      <c r="G611" s="113"/>
      <c r="H611" s="113"/>
      <c r="I611" s="113"/>
      <c r="J611" s="113"/>
    </row>
    <row r="612" customFormat="false" ht="15" hidden="false" customHeight="true" outlineLevel="0" collapsed="false">
      <c r="G612" s="113"/>
      <c r="H612" s="113"/>
      <c r="I612" s="113"/>
      <c r="J612" s="113"/>
    </row>
    <row r="613" customFormat="false" ht="15" hidden="false" customHeight="true" outlineLevel="0" collapsed="false">
      <c r="G613" s="113"/>
      <c r="H613" s="113"/>
      <c r="I613" s="113"/>
      <c r="J613" s="113"/>
    </row>
    <row r="614" customFormat="false" ht="15" hidden="false" customHeight="true" outlineLevel="0" collapsed="false">
      <c r="G614" s="113"/>
      <c r="H614" s="113"/>
      <c r="I614" s="113"/>
      <c r="J614" s="113"/>
    </row>
    <row r="615" customFormat="false" ht="15" hidden="false" customHeight="true" outlineLevel="0" collapsed="false">
      <c r="G615" s="113"/>
      <c r="H615" s="113"/>
      <c r="I615" s="113"/>
      <c r="J615" s="113"/>
    </row>
    <row r="616" customFormat="false" ht="15" hidden="false" customHeight="true" outlineLevel="0" collapsed="false">
      <c r="G616" s="113"/>
      <c r="H616" s="113"/>
      <c r="I616" s="113"/>
      <c r="J616" s="113"/>
    </row>
    <row r="617" customFormat="false" ht="15" hidden="false" customHeight="true" outlineLevel="0" collapsed="false">
      <c r="G617" s="113"/>
      <c r="H617" s="113"/>
      <c r="I617" s="113"/>
      <c r="J617" s="113"/>
    </row>
    <row r="618" customFormat="false" ht="15" hidden="false" customHeight="true" outlineLevel="0" collapsed="false">
      <c r="G618" s="113"/>
      <c r="H618" s="113"/>
      <c r="I618" s="113"/>
      <c r="J618" s="113"/>
    </row>
    <row r="619" customFormat="false" ht="15" hidden="false" customHeight="true" outlineLevel="0" collapsed="false">
      <c r="G619" s="113"/>
      <c r="H619" s="113"/>
      <c r="I619" s="113"/>
      <c r="J619" s="113"/>
    </row>
    <row r="620" customFormat="false" ht="15" hidden="false" customHeight="true" outlineLevel="0" collapsed="false">
      <c r="G620" s="113"/>
      <c r="H620" s="113"/>
      <c r="I620" s="113"/>
      <c r="J620" s="113"/>
    </row>
    <row r="621" customFormat="false" ht="15" hidden="false" customHeight="true" outlineLevel="0" collapsed="false">
      <c r="G621" s="113"/>
      <c r="H621" s="113"/>
      <c r="I621" s="113"/>
      <c r="J621" s="113"/>
    </row>
    <row r="622" customFormat="false" ht="15" hidden="false" customHeight="true" outlineLevel="0" collapsed="false">
      <c r="G622" s="113"/>
      <c r="H622" s="113"/>
      <c r="I622" s="113"/>
      <c r="J622" s="113"/>
    </row>
    <row r="623" customFormat="false" ht="15" hidden="false" customHeight="true" outlineLevel="0" collapsed="false">
      <c r="G623" s="113"/>
      <c r="H623" s="113"/>
      <c r="I623" s="113"/>
      <c r="J623" s="113"/>
    </row>
    <row r="624" customFormat="false" ht="15" hidden="false" customHeight="true" outlineLevel="0" collapsed="false">
      <c r="G624" s="113"/>
      <c r="H624" s="113"/>
      <c r="I624" s="113"/>
      <c r="J624" s="113"/>
    </row>
    <row r="625" customFormat="false" ht="15" hidden="false" customHeight="true" outlineLevel="0" collapsed="false">
      <c r="G625" s="113"/>
      <c r="H625" s="113"/>
      <c r="I625" s="113"/>
      <c r="J625" s="113"/>
    </row>
    <row r="626" customFormat="false" ht="15" hidden="false" customHeight="true" outlineLevel="0" collapsed="false">
      <c r="G626" s="113"/>
      <c r="H626" s="113"/>
      <c r="I626" s="113"/>
      <c r="J626" s="113"/>
    </row>
    <row r="627" customFormat="false" ht="15" hidden="false" customHeight="true" outlineLevel="0" collapsed="false">
      <c r="G627" s="113"/>
      <c r="H627" s="113"/>
      <c r="I627" s="113"/>
      <c r="J627" s="113"/>
    </row>
    <row r="628" customFormat="false" ht="15" hidden="false" customHeight="true" outlineLevel="0" collapsed="false">
      <c r="G628" s="113"/>
      <c r="H628" s="113"/>
      <c r="I628" s="113"/>
      <c r="J628" s="113"/>
    </row>
    <row r="629" customFormat="false" ht="15" hidden="false" customHeight="true" outlineLevel="0" collapsed="false">
      <c r="G629" s="113"/>
      <c r="H629" s="113"/>
      <c r="I629" s="113"/>
      <c r="J629" s="113"/>
    </row>
    <row r="630" customFormat="false" ht="15" hidden="false" customHeight="true" outlineLevel="0" collapsed="false">
      <c r="G630" s="113"/>
      <c r="H630" s="113"/>
      <c r="I630" s="113"/>
      <c r="J630" s="113"/>
    </row>
    <row r="631" customFormat="false" ht="15" hidden="false" customHeight="true" outlineLevel="0" collapsed="false">
      <c r="G631" s="113"/>
      <c r="H631" s="113"/>
      <c r="I631" s="113"/>
      <c r="J631" s="113"/>
    </row>
    <row r="632" customFormat="false" ht="15" hidden="false" customHeight="true" outlineLevel="0" collapsed="false">
      <c r="G632" s="113"/>
      <c r="H632" s="113"/>
      <c r="I632" s="113"/>
      <c r="J632" s="113"/>
    </row>
    <row r="633" customFormat="false" ht="15" hidden="false" customHeight="true" outlineLevel="0" collapsed="false">
      <c r="G633" s="113"/>
      <c r="H633" s="113"/>
      <c r="I633" s="113"/>
      <c r="J633" s="113"/>
    </row>
    <row r="634" customFormat="false" ht="15" hidden="false" customHeight="true" outlineLevel="0" collapsed="false">
      <c r="G634" s="113"/>
      <c r="H634" s="113"/>
      <c r="I634" s="113"/>
      <c r="J634" s="113"/>
    </row>
    <row r="635" customFormat="false" ht="15" hidden="false" customHeight="true" outlineLevel="0" collapsed="false">
      <c r="G635" s="113"/>
      <c r="H635" s="113"/>
      <c r="I635" s="113"/>
      <c r="J635" s="113"/>
    </row>
    <row r="636" customFormat="false" ht="15" hidden="false" customHeight="true" outlineLevel="0" collapsed="false">
      <c r="G636" s="113"/>
      <c r="H636" s="113"/>
      <c r="I636" s="113"/>
      <c r="J636" s="113"/>
    </row>
    <row r="637" customFormat="false" ht="15" hidden="false" customHeight="true" outlineLevel="0" collapsed="false">
      <c r="G637" s="113"/>
      <c r="H637" s="113"/>
      <c r="I637" s="113"/>
      <c r="J637" s="113"/>
    </row>
    <row r="638" customFormat="false" ht="15" hidden="false" customHeight="true" outlineLevel="0" collapsed="false">
      <c r="G638" s="113"/>
      <c r="H638" s="113"/>
      <c r="I638" s="113"/>
      <c r="J638" s="113"/>
    </row>
    <row r="639" customFormat="false" ht="15" hidden="false" customHeight="true" outlineLevel="0" collapsed="false">
      <c r="G639" s="113"/>
      <c r="H639" s="113"/>
      <c r="I639" s="113"/>
      <c r="J639" s="113"/>
    </row>
    <row r="640" customFormat="false" ht="15" hidden="false" customHeight="true" outlineLevel="0" collapsed="false">
      <c r="G640" s="113"/>
      <c r="H640" s="113"/>
      <c r="I640" s="113"/>
      <c r="J640" s="113"/>
    </row>
    <row r="641" customFormat="false" ht="15" hidden="false" customHeight="true" outlineLevel="0" collapsed="false">
      <c r="G641" s="113"/>
      <c r="H641" s="113"/>
      <c r="I641" s="113"/>
      <c r="J641" s="113"/>
    </row>
    <row r="642" customFormat="false" ht="15" hidden="false" customHeight="true" outlineLevel="0" collapsed="false">
      <c r="G642" s="113"/>
      <c r="H642" s="113"/>
      <c r="I642" s="113"/>
      <c r="J642" s="113"/>
    </row>
    <row r="643" customFormat="false" ht="15" hidden="false" customHeight="true" outlineLevel="0" collapsed="false">
      <c r="G643" s="113"/>
      <c r="H643" s="113"/>
      <c r="I643" s="113"/>
      <c r="J643" s="113"/>
    </row>
    <row r="644" customFormat="false" ht="15" hidden="false" customHeight="true" outlineLevel="0" collapsed="false">
      <c r="G644" s="113"/>
      <c r="H644" s="113"/>
      <c r="I644" s="113"/>
      <c r="J644" s="113"/>
    </row>
    <row r="645" customFormat="false" ht="15" hidden="false" customHeight="true" outlineLevel="0" collapsed="false">
      <c r="G645" s="113"/>
      <c r="H645" s="113"/>
      <c r="I645" s="113"/>
      <c r="J645" s="113"/>
    </row>
    <row r="646" customFormat="false" ht="15" hidden="false" customHeight="true" outlineLevel="0" collapsed="false">
      <c r="G646" s="113"/>
      <c r="H646" s="113"/>
      <c r="I646" s="113"/>
      <c r="J646" s="113"/>
    </row>
    <row r="647" customFormat="false" ht="15" hidden="false" customHeight="true" outlineLevel="0" collapsed="false">
      <c r="G647" s="113"/>
      <c r="H647" s="113"/>
      <c r="I647" s="113"/>
      <c r="J647" s="113"/>
    </row>
    <row r="648" customFormat="false" ht="15" hidden="false" customHeight="true" outlineLevel="0" collapsed="false">
      <c r="G648" s="113"/>
      <c r="H648" s="113"/>
      <c r="I648" s="113"/>
      <c r="J648" s="113"/>
    </row>
    <row r="649" customFormat="false" ht="15" hidden="false" customHeight="true" outlineLevel="0" collapsed="false">
      <c r="G649" s="113"/>
      <c r="H649" s="113"/>
      <c r="I649" s="113"/>
      <c r="J649" s="113"/>
    </row>
    <row r="650" customFormat="false" ht="15" hidden="false" customHeight="true" outlineLevel="0" collapsed="false">
      <c r="G650" s="113"/>
      <c r="H650" s="113"/>
      <c r="I650" s="113"/>
      <c r="J650" s="113"/>
    </row>
    <row r="651" customFormat="false" ht="15" hidden="false" customHeight="true" outlineLevel="0" collapsed="false">
      <c r="G651" s="113"/>
      <c r="H651" s="113"/>
      <c r="I651" s="113"/>
      <c r="J651" s="113"/>
    </row>
    <row r="652" customFormat="false" ht="15" hidden="false" customHeight="true" outlineLevel="0" collapsed="false">
      <c r="G652" s="113"/>
      <c r="H652" s="113"/>
      <c r="I652" s="113"/>
      <c r="J652" s="113"/>
    </row>
    <row r="653" customFormat="false" ht="15" hidden="false" customHeight="true" outlineLevel="0" collapsed="false">
      <c r="G653" s="113"/>
      <c r="H653" s="113"/>
      <c r="I653" s="113"/>
      <c r="J653" s="113"/>
    </row>
    <row r="654" customFormat="false" ht="15" hidden="false" customHeight="true" outlineLevel="0" collapsed="false">
      <c r="G654" s="113"/>
      <c r="H654" s="113"/>
      <c r="I654" s="113"/>
      <c r="J654" s="113"/>
    </row>
    <row r="655" customFormat="false" ht="15" hidden="false" customHeight="true" outlineLevel="0" collapsed="false">
      <c r="G655" s="113"/>
      <c r="H655" s="113"/>
      <c r="I655" s="113"/>
      <c r="J655" s="113"/>
    </row>
    <row r="656" customFormat="false" ht="15" hidden="false" customHeight="true" outlineLevel="0" collapsed="false">
      <c r="G656" s="113"/>
      <c r="H656" s="113"/>
      <c r="I656" s="113"/>
      <c r="J656" s="113"/>
    </row>
    <row r="657" customFormat="false" ht="15" hidden="false" customHeight="true" outlineLevel="0" collapsed="false">
      <c r="G657" s="113"/>
      <c r="H657" s="113"/>
      <c r="I657" s="113"/>
      <c r="J657" s="113"/>
    </row>
    <row r="658" customFormat="false" ht="15" hidden="false" customHeight="true" outlineLevel="0" collapsed="false">
      <c r="G658" s="113"/>
      <c r="H658" s="113"/>
      <c r="I658" s="113"/>
      <c r="J658" s="113"/>
    </row>
    <row r="659" customFormat="false" ht="15" hidden="false" customHeight="true" outlineLevel="0" collapsed="false">
      <c r="G659" s="113"/>
      <c r="H659" s="113"/>
      <c r="I659" s="113"/>
      <c r="J659" s="113"/>
    </row>
    <row r="660" customFormat="false" ht="15" hidden="false" customHeight="true" outlineLevel="0" collapsed="false">
      <c r="G660" s="113"/>
      <c r="H660" s="113"/>
      <c r="I660" s="113"/>
      <c r="J660" s="113"/>
    </row>
    <row r="661" customFormat="false" ht="15" hidden="false" customHeight="true" outlineLevel="0" collapsed="false">
      <c r="G661" s="113"/>
      <c r="H661" s="113"/>
      <c r="I661" s="113"/>
      <c r="J661" s="113"/>
    </row>
    <row r="662" customFormat="false" ht="15" hidden="false" customHeight="true" outlineLevel="0" collapsed="false">
      <c r="G662" s="113"/>
      <c r="H662" s="113"/>
      <c r="I662" s="113"/>
      <c r="J662" s="113"/>
    </row>
    <row r="663" customFormat="false" ht="15" hidden="false" customHeight="true" outlineLevel="0" collapsed="false">
      <c r="G663" s="113"/>
      <c r="H663" s="113"/>
      <c r="I663" s="113"/>
      <c r="J663" s="113"/>
    </row>
    <row r="664" customFormat="false" ht="15" hidden="false" customHeight="true" outlineLevel="0" collapsed="false">
      <c r="G664" s="113"/>
      <c r="H664" s="113"/>
      <c r="I664" s="113"/>
      <c r="J664" s="113"/>
    </row>
    <row r="665" customFormat="false" ht="15" hidden="false" customHeight="true" outlineLevel="0" collapsed="false">
      <c r="G665" s="113"/>
      <c r="H665" s="113"/>
      <c r="I665" s="113"/>
      <c r="J665" s="113"/>
    </row>
    <row r="666" customFormat="false" ht="15" hidden="false" customHeight="true" outlineLevel="0" collapsed="false">
      <c r="G666" s="113"/>
      <c r="H666" s="113"/>
      <c r="I666" s="113"/>
      <c r="J666" s="113"/>
    </row>
    <row r="667" customFormat="false" ht="15" hidden="false" customHeight="true" outlineLevel="0" collapsed="false">
      <c r="G667" s="113"/>
      <c r="H667" s="113"/>
      <c r="I667" s="113"/>
      <c r="J667" s="113"/>
    </row>
    <row r="668" customFormat="false" ht="15" hidden="false" customHeight="true" outlineLevel="0" collapsed="false">
      <c r="G668" s="113"/>
      <c r="H668" s="113"/>
      <c r="I668" s="113"/>
      <c r="J668" s="113"/>
    </row>
    <row r="669" customFormat="false" ht="15" hidden="false" customHeight="true" outlineLevel="0" collapsed="false">
      <c r="G669" s="113"/>
      <c r="H669" s="113"/>
      <c r="I669" s="113"/>
      <c r="J669" s="113"/>
    </row>
    <row r="670" customFormat="false" ht="15" hidden="false" customHeight="true" outlineLevel="0" collapsed="false">
      <c r="G670" s="113"/>
      <c r="H670" s="113"/>
      <c r="I670" s="113"/>
      <c r="J670" s="113"/>
    </row>
    <row r="671" customFormat="false" ht="15" hidden="false" customHeight="true" outlineLevel="0" collapsed="false">
      <c r="G671" s="113"/>
      <c r="H671" s="113"/>
      <c r="I671" s="113"/>
      <c r="J671" s="113"/>
    </row>
    <row r="672" customFormat="false" ht="15" hidden="false" customHeight="true" outlineLevel="0" collapsed="false">
      <c r="G672" s="113"/>
      <c r="H672" s="113"/>
      <c r="I672" s="113"/>
      <c r="J672" s="113"/>
    </row>
    <row r="673" customFormat="false" ht="15" hidden="false" customHeight="true" outlineLevel="0" collapsed="false">
      <c r="G673" s="113"/>
      <c r="H673" s="113"/>
      <c r="I673" s="113"/>
      <c r="J673" s="113"/>
    </row>
    <row r="674" customFormat="false" ht="15" hidden="false" customHeight="true" outlineLevel="0" collapsed="false">
      <c r="G674" s="113"/>
      <c r="H674" s="113"/>
      <c r="I674" s="113"/>
      <c r="J674" s="113"/>
    </row>
    <row r="675" customFormat="false" ht="15" hidden="false" customHeight="true" outlineLevel="0" collapsed="false">
      <c r="G675" s="113"/>
      <c r="H675" s="113"/>
      <c r="I675" s="113"/>
      <c r="J675" s="113"/>
    </row>
    <row r="676" customFormat="false" ht="15" hidden="false" customHeight="true" outlineLevel="0" collapsed="false">
      <c r="G676" s="113"/>
      <c r="H676" s="113"/>
      <c r="I676" s="113"/>
      <c r="J676" s="113"/>
    </row>
    <row r="677" customFormat="false" ht="15" hidden="false" customHeight="true" outlineLevel="0" collapsed="false">
      <c r="G677" s="113"/>
      <c r="H677" s="113"/>
      <c r="I677" s="113"/>
      <c r="J677" s="113"/>
    </row>
    <row r="678" customFormat="false" ht="15" hidden="false" customHeight="true" outlineLevel="0" collapsed="false">
      <c r="G678" s="113"/>
      <c r="H678" s="113"/>
      <c r="I678" s="113"/>
      <c r="J678" s="113"/>
    </row>
    <row r="679" customFormat="false" ht="15" hidden="false" customHeight="true" outlineLevel="0" collapsed="false">
      <c r="G679" s="113"/>
      <c r="H679" s="113"/>
      <c r="I679" s="113"/>
      <c r="J679" s="113"/>
    </row>
    <row r="680" customFormat="false" ht="15" hidden="false" customHeight="true" outlineLevel="0" collapsed="false">
      <c r="G680" s="113"/>
      <c r="H680" s="113"/>
      <c r="I680" s="113"/>
      <c r="J680" s="113"/>
    </row>
    <row r="681" customFormat="false" ht="15" hidden="false" customHeight="true" outlineLevel="0" collapsed="false">
      <c r="G681" s="113"/>
      <c r="H681" s="113"/>
      <c r="I681" s="113"/>
      <c r="J681" s="113"/>
    </row>
    <row r="682" customFormat="false" ht="15" hidden="false" customHeight="true" outlineLevel="0" collapsed="false">
      <c r="G682" s="113"/>
      <c r="H682" s="113"/>
      <c r="I682" s="113"/>
      <c r="J682" s="113"/>
    </row>
    <row r="683" customFormat="false" ht="15" hidden="false" customHeight="true" outlineLevel="0" collapsed="false">
      <c r="G683" s="113"/>
      <c r="H683" s="113"/>
      <c r="I683" s="113"/>
      <c r="J683" s="113"/>
    </row>
    <row r="684" customFormat="false" ht="15" hidden="false" customHeight="true" outlineLevel="0" collapsed="false">
      <c r="G684" s="113"/>
      <c r="H684" s="113"/>
      <c r="I684" s="113"/>
      <c r="J684" s="113"/>
    </row>
    <row r="685" customFormat="false" ht="15" hidden="false" customHeight="true" outlineLevel="0" collapsed="false">
      <c r="G685" s="113"/>
      <c r="H685" s="113"/>
      <c r="I685" s="113"/>
      <c r="J685" s="113"/>
    </row>
    <row r="686" customFormat="false" ht="15" hidden="false" customHeight="true" outlineLevel="0" collapsed="false">
      <c r="G686" s="113"/>
      <c r="H686" s="113"/>
      <c r="I686" s="113"/>
      <c r="J686" s="113"/>
    </row>
    <row r="687" customFormat="false" ht="15" hidden="false" customHeight="true" outlineLevel="0" collapsed="false">
      <c r="G687" s="113"/>
      <c r="H687" s="113"/>
      <c r="I687" s="113"/>
      <c r="J687" s="113"/>
    </row>
    <row r="688" customFormat="false" ht="15" hidden="false" customHeight="true" outlineLevel="0" collapsed="false">
      <c r="G688" s="113"/>
      <c r="H688" s="113"/>
      <c r="I688" s="113"/>
      <c r="J688" s="113"/>
    </row>
    <row r="689" customFormat="false" ht="15" hidden="false" customHeight="true" outlineLevel="0" collapsed="false">
      <c r="G689" s="113"/>
      <c r="H689" s="113"/>
      <c r="I689" s="113"/>
      <c r="J689" s="113"/>
    </row>
    <row r="690" customFormat="false" ht="15" hidden="false" customHeight="true" outlineLevel="0" collapsed="false">
      <c r="G690" s="113"/>
      <c r="H690" s="113"/>
      <c r="I690" s="113"/>
      <c r="J690" s="113"/>
    </row>
    <row r="691" customFormat="false" ht="15" hidden="false" customHeight="true" outlineLevel="0" collapsed="false">
      <c r="G691" s="113"/>
      <c r="H691" s="113"/>
      <c r="I691" s="113"/>
      <c r="J691" s="113"/>
    </row>
    <row r="692" customFormat="false" ht="15" hidden="false" customHeight="true" outlineLevel="0" collapsed="false">
      <c r="G692" s="113"/>
      <c r="H692" s="113"/>
      <c r="I692" s="113"/>
      <c r="J692" s="113"/>
    </row>
    <row r="693" customFormat="false" ht="15" hidden="false" customHeight="true" outlineLevel="0" collapsed="false">
      <c r="G693" s="113"/>
      <c r="H693" s="113"/>
      <c r="I693" s="113"/>
      <c r="J693" s="113"/>
    </row>
    <row r="694" customFormat="false" ht="15" hidden="false" customHeight="true" outlineLevel="0" collapsed="false">
      <c r="G694" s="113"/>
      <c r="H694" s="113"/>
      <c r="I694" s="113"/>
      <c r="J694" s="113"/>
    </row>
    <row r="695" customFormat="false" ht="15" hidden="false" customHeight="true" outlineLevel="0" collapsed="false">
      <c r="G695" s="113"/>
      <c r="H695" s="113"/>
      <c r="I695" s="113"/>
      <c r="J695" s="113"/>
    </row>
    <row r="696" customFormat="false" ht="15" hidden="false" customHeight="true" outlineLevel="0" collapsed="false">
      <c r="G696" s="113"/>
      <c r="H696" s="113"/>
      <c r="I696" s="113"/>
      <c r="J696" s="113"/>
    </row>
    <row r="697" customFormat="false" ht="15" hidden="false" customHeight="true" outlineLevel="0" collapsed="false">
      <c r="G697" s="113"/>
      <c r="H697" s="113"/>
      <c r="I697" s="113"/>
      <c r="J697" s="113"/>
    </row>
    <row r="698" customFormat="false" ht="15" hidden="false" customHeight="true" outlineLevel="0" collapsed="false">
      <c r="G698" s="113"/>
      <c r="H698" s="113"/>
      <c r="I698" s="113"/>
      <c r="J698" s="113"/>
    </row>
    <row r="699" customFormat="false" ht="15" hidden="false" customHeight="true" outlineLevel="0" collapsed="false">
      <c r="G699" s="113"/>
      <c r="H699" s="113"/>
      <c r="I699" s="113"/>
      <c r="J699" s="113"/>
    </row>
    <row r="700" customFormat="false" ht="15" hidden="false" customHeight="true" outlineLevel="0" collapsed="false">
      <c r="G700" s="113"/>
      <c r="H700" s="113"/>
      <c r="I700" s="113"/>
      <c r="J700" s="113"/>
    </row>
    <row r="701" customFormat="false" ht="15" hidden="false" customHeight="true" outlineLevel="0" collapsed="false">
      <c r="G701" s="113"/>
      <c r="H701" s="113"/>
      <c r="I701" s="113"/>
      <c r="J701" s="113"/>
    </row>
    <row r="702" customFormat="false" ht="15" hidden="false" customHeight="true" outlineLevel="0" collapsed="false">
      <c r="G702" s="113"/>
      <c r="H702" s="113"/>
      <c r="I702" s="113"/>
      <c r="J702" s="113"/>
    </row>
    <row r="703" customFormat="false" ht="15" hidden="false" customHeight="true" outlineLevel="0" collapsed="false">
      <c r="G703" s="113"/>
      <c r="H703" s="113"/>
      <c r="I703" s="113"/>
      <c r="J703" s="113"/>
    </row>
    <row r="704" customFormat="false" ht="15" hidden="false" customHeight="true" outlineLevel="0" collapsed="false">
      <c r="G704" s="113"/>
      <c r="H704" s="113"/>
      <c r="I704" s="113"/>
      <c r="J704" s="113"/>
    </row>
    <row r="705" customFormat="false" ht="15" hidden="false" customHeight="true" outlineLevel="0" collapsed="false">
      <c r="G705" s="113"/>
      <c r="H705" s="113"/>
      <c r="I705" s="113"/>
      <c r="J705" s="113"/>
    </row>
    <row r="706" customFormat="false" ht="15" hidden="false" customHeight="true" outlineLevel="0" collapsed="false">
      <c r="G706" s="113"/>
      <c r="H706" s="113"/>
      <c r="I706" s="113"/>
      <c r="J706" s="113"/>
    </row>
    <row r="707" customFormat="false" ht="15" hidden="false" customHeight="true" outlineLevel="0" collapsed="false">
      <c r="G707" s="113"/>
      <c r="H707" s="113"/>
      <c r="I707" s="113"/>
      <c r="J707" s="113"/>
    </row>
    <row r="708" customFormat="false" ht="15" hidden="false" customHeight="true" outlineLevel="0" collapsed="false">
      <c r="G708" s="113"/>
      <c r="H708" s="113"/>
      <c r="I708" s="113"/>
      <c r="J708" s="113"/>
    </row>
    <row r="709" customFormat="false" ht="15" hidden="false" customHeight="true" outlineLevel="0" collapsed="false"/>
  </sheetData>
  <mergeCells count="22">
    <mergeCell ref="A7:L7"/>
    <mergeCell ref="B9:C9"/>
    <mergeCell ref="D9:E9"/>
    <mergeCell ref="G9:H9"/>
    <mergeCell ref="I9:J9"/>
    <mergeCell ref="B10:C10"/>
    <mergeCell ref="D10:E10"/>
    <mergeCell ref="G10:H10"/>
    <mergeCell ref="I10:J10"/>
    <mergeCell ref="B11:C12"/>
    <mergeCell ref="D11:E12"/>
    <mergeCell ref="G11:H12"/>
    <mergeCell ref="I11:J12"/>
    <mergeCell ref="B13:C13"/>
    <mergeCell ref="D13:E13"/>
    <mergeCell ref="G13:H13"/>
    <mergeCell ref="I13:J13"/>
    <mergeCell ref="D14:E14"/>
    <mergeCell ref="G14:H14"/>
    <mergeCell ref="I14:J14"/>
    <mergeCell ref="B16:K16"/>
    <mergeCell ref="B29:K29"/>
  </mergeCells>
  <conditionalFormatting sqref="K46:K113">
    <cfRule type="expression" priority="2" aboveAverage="0" equalAverage="0" bottom="0" percent="0" rank="0" text="" dxfId="0">
      <formula>$L46="✓ On Target"</formula>
    </cfRule>
    <cfRule type="expression" priority="3" aboveAverage="0" equalAverage="0" bottom="0" percent="0" rank="0" text="" dxfId="1">
      <formula>$L46="✗ Off Target"</formula>
    </cfRule>
    <cfRule type="expression" priority="4" aboveAverage="0" equalAverage="0" bottom="0" percent="0" rank="0" text="" dxfId="2">
      <formula>$L46="— No Data"</formula>
    </cfRule>
    <cfRule type="expression" priority="5" aboveAverage="0" equalAverage="0" bottom="0" percent="0" rank="0" text="" dxfId="3">
      <formula>$L46="⊘ Non Target"</formula>
    </cfRule>
  </conditionalFormatting>
  <conditionalFormatting sqref="L46:L113">
    <cfRule type="expression" priority="6" aboveAverage="0" equalAverage="0" bottom="0" percent="0" rank="0" text="" dxfId="0">
      <formula>L46="✓ On Target"</formula>
    </cfRule>
    <cfRule type="expression" priority="7" aboveAverage="0" equalAverage="0" bottom="0" percent="0" rank="0" text="" dxfId="1">
      <formula>L46="✗ Off Target"</formula>
    </cfRule>
    <cfRule type="expression" priority="8" aboveAverage="0" equalAverage="0" bottom="0" percent="0" rank="0" text="" dxfId="2">
      <formula>L46="— No Data"</formula>
    </cfRule>
    <cfRule type="expression" priority="9" aboveAverage="0" equalAverage="0" bottom="0" percent="0" rank="0" text="" dxfId="3">
      <formula>L46="⊘ Non Target"</formula>
    </cfRule>
  </conditionalFormatting>
  <conditionalFormatting sqref="G46:J113">
    <cfRule type="expression" priority="10" aboveAverage="0" equalAverage="0" bottom="0" percent="0" rank="0" text="" dxfId="0">
      <formula>AND(ISNUMBER(G46),ISNUMBER($F46),OR(AND($D46="P",G46&gt;=$F46),AND($D46="N",G46&lt;=$F46)))</formula>
    </cfRule>
    <cfRule type="expression" priority="11" aboveAverage="0" equalAverage="0" bottom="0" percent="0" rank="0" text="" dxfId="1">
      <formula>AND(ISNUMBER(G46),ISNUMBER($F46),OR(AND($D46="P",G46&lt;$F46),AND($D46="N",G46&gt;$F46)))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2"/>
    <col collapsed="false" customWidth="true" hidden="false" outlineLevel="0" max="3" min="3" style="1" width="22"/>
    <col collapsed="false" customWidth="true" hidden="true" outlineLevel="0" max="4" min="4" style="1" width="4"/>
    <col collapsed="false" customWidth="true" hidden="false" outlineLevel="0" max="6" min="5" style="1" width="13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true" outlineLevel="0" max="9" min="9" style="1" width="16"/>
  </cols>
  <sheetData>
    <row r="1" customFormat="false" ht="15" hidden="false" customHeight="true" outlineLevel="0" collapsed="false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customFormat="false" ht="15" hidden="false" customHeight="tru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customFormat="false" ht="15" hidden="false" customHeight="tru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customFormat="false" ht="15" hidden="false" customHeight="tru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customFormat="false" ht="15" hidden="false" customHeight="true" outlineLevel="0" collapsed="false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customFormat="false" ht="15" hidden="false" customHeight="true" outlineLevel="0" collapsed="false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</row>
    <row r="7" customFormat="false" ht="21.75" hidden="false" customHeight="true" outlineLevel="0" collapsed="false">
      <c r="A7" s="3" t="s">
        <v>443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126"/>
    </row>
    <row r="8" customFormat="false" ht="15" hidden="false" customHeight="true" outlineLevel="0" collapsed="false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</row>
    <row r="9" customFormat="false" ht="3.75" hidden="false" customHeight="true" outlineLevel="0" collapsed="false">
      <c r="A9" s="20"/>
      <c r="B9" s="4"/>
      <c r="C9" s="4"/>
      <c r="D9" s="5"/>
      <c r="E9" s="5"/>
      <c r="F9" s="20"/>
      <c r="G9" s="6"/>
      <c r="H9" s="6"/>
      <c r="I9" s="7"/>
      <c r="J9" s="7"/>
      <c r="K9" s="20"/>
      <c r="L9" s="20"/>
      <c r="M9" s="20"/>
    </row>
    <row r="10" customFormat="false" ht="18" hidden="false" customHeight="true" outlineLevel="0" collapsed="false">
      <c r="A10" s="20"/>
      <c r="B10" s="9" t="s">
        <v>444</v>
      </c>
      <c r="C10" s="9"/>
      <c r="D10" s="9" t="s">
        <v>445</v>
      </c>
      <c r="E10" s="9"/>
      <c r="F10" s="20"/>
      <c r="G10" s="9" t="s">
        <v>248</v>
      </c>
      <c r="H10" s="9"/>
      <c r="I10" s="9" t="s">
        <v>257</v>
      </c>
      <c r="J10" s="9"/>
      <c r="K10" s="20"/>
      <c r="L10" s="20"/>
      <c r="M10" s="20"/>
    </row>
    <row r="11" customFormat="false" ht="27.75" hidden="false" customHeight="true" outlineLevel="0" collapsed="false">
      <c r="A11" s="20"/>
      <c r="B11" s="10" t="n">
        <v>6</v>
      </c>
      <c r="C11" s="10"/>
      <c r="D11" s="11" t="n">
        <v>4</v>
      </c>
      <c r="E11" s="11"/>
      <c r="F11" s="20"/>
      <c r="G11" s="12" t="n">
        <v>2</v>
      </c>
      <c r="H11" s="12"/>
      <c r="I11" s="13" t="n">
        <v>1</v>
      </c>
      <c r="J11" s="13"/>
      <c r="K11" s="20"/>
      <c r="L11" s="20"/>
      <c r="M11" s="20"/>
    </row>
    <row r="12" customFormat="false" ht="27.75" hidden="false" customHeight="true" outlineLevel="0" collapsed="false">
      <c r="A12" s="20"/>
      <c r="B12" s="10"/>
      <c r="C12" s="10"/>
      <c r="D12" s="11"/>
      <c r="E12" s="11"/>
      <c r="F12" s="20"/>
      <c r="G12" s="12"/>
      <c r="H12" s="12"/>
      <c r="I12" s="13"/>
      <c r="J12" s="13"/>
      <c r="K12" s="20"/>
      <c r="L12" s="20"/>
      <c r="M12" s="20"/>
    </row>
    <row r="13" customFormat="false" ht="18" hidden="false" customHeight="true" outlineLevel="0" collapsed="false">
      <c r="A13" s="20"/>
      <c r="B13" s="15" t="s">
        <v>6</v>
      </c>
      <c r="C13" s="15"/>
      <c r="D13" s="15" t="s">
        <v>446</v>
      </c>
      <c r="E13" s="15"/>
      <c r="F13" s="20"/>
      <c r="G13" s="15" t="s">
        <v>447</v>
      </c>
      <c r="H13" s="15"/>
      <c r="I13" s="15" t="s">
        <v>448</v>
      </c>
      <c r="J13" s="15"/>
      <c r="K13" s="20"/>
      <c r="L13" s="20"/>
      <c r="M13" s="20"/>
    </row>
    <row r="14" customFormat="false" ht="31.5" hidden="false" customHeight="true" outlineLevel="0" collapsed="false">
      <c r="A14" s="20"/>
      <c r="B14" s="16" t="s">
        <v>449</v>
      </c>
      <c r="C14" s="17" t="s">
        <v>450</v>
      </c>
      <c r="D14" s="127"/>
      <c r="E14" s="127"/>
      <c r="F14" s="20"/>
      <c r="G14" s="127"/>
      <c r="H14" s="127"/>
      <c r="I14" s="127"/>
      <c r="J14" s="127"/>
      <c r="K14" s="20"/>
      <c r="L14" s="20"/>
      <c r="M14" s="20"/>
    </row>
    <row r="15" customFormat="false" ht="15" hidden="false" customHeight="tru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customFormat="false" ht="24" hidden="false" customHeight="true" outlineLevel="0" collapsed="false">
      <c r="B16" s="128" t="s">
        <v>64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</row>
    <row r="17" customFormat="false" ht="24" hidden="false" customHeight="true" outlineLevel="0" collapsed="false">
      <c r="B17" s="48" t="s">
        <v>23</v>
      </c>
      <c r="C17" s="48" t="s">
        <v>29</v>
      </c>
      <c r="D17" s="48" t="s">
        <v>101</v>
      </c>
      <c r="E17" s="48" t="s">
        <v>67</v>
      </c>
    </row>
    <row r="18" customFormat="false" ht="21.75" hidden="false" customHeight="true" outlineLevel="0" collapsed="false">
      <c r="B18" s="129" t="s">
        <v>36</v>
      </c>
      <c r="C18" s="56" t="n">
        <v>2</v>
      </c>
      <c r="D18" s="130" t="n">
        <v>1</v>
      </c>
      <c r="E18" s="131" t="n">
        <v>1</v>
      </c>
    </row>
    <row r="19" customFormat="false" ht="21.75" hidden="false" customHeight="true" outlineLevel="0" collapsed="false">
      <c r="B19" s="132" t="s">
        <v>37</v>
      </c>
      <c r="C19" s="50" t="n">
        <v>2</v>
      </c>
      <c r="D19" s="133" t="n">
        <v>1</v>
      </c>
      <c r="E19" s="134" t="n">
        <v>1</v>
      </c>
    </row>
    <row r="20" customFormat="false" ht="21.75" hidden="false" customHeight="true" outlineLevel="0" collapsed="false">
      <c r="B20" s="129" t="s">
        <v>40</v>
      </c>
      <c r="C20" s="56" t="n">
        <v>2</v>
      </c>
      <c r="D20" s="130" t="n">
        <v>2</v>
      </c>
      <c r="E20" s="131" t="n">
        <v>0</v>
      </c>
    </row>
    <row r="21" customFormat="false" ht="25.5" hidden="false" customHeight="true" outlineLevel="0" collapsed="false">
      <c r="B21" s="135" t="s">
        <v>42</v>
      </c>
      <c r="C21" s="62" t="n">
        <v>6</v>
      </c>
      <c r="D21" s="62" t="n">
        <v>4</v>
      </c>
      <c r="E21" s="62" t="n">
        <v>2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25.5" hidden="false" customHeight="true" outlineLevel="0" collapsed="false">
      <c r="A24" s="136" t="s">
        <v>69</v>
      </c>
      <c r="B24" s="136" t="s">
        <v>70</v>
      </c>
      <c r="C24" s="136" t="s">
        <v>71</v>
      </c>
      <c r="D24" s="136" t="s">
        <v>72</v>
      </c>
      <c r="E24" s="136" t="s">
        <v>73</v>
      </c>
      <c r="F24" s="136" t="s">
        <v>451</v>
      </c>
      <c r="G24" s="136" t="s">
        <v>452</v>
      </c>
      <c r="H24" s="136" t="s">
        <v>92</v>
      </c>
      <c r="I24" s="68" t="s">
        <v>93</v>
      </c>
    </row>
    <row r="25" customFormat="false" ht="27.75" hidden="false" customHeight="true" outlineLevel="0" collapsed="false">
      <c r="A25" s="137" t="s">
        <v>453</v>
      </c>
      <c r="B25" s="138" t="s">
        <v>454</v>
      </c>
      <c r="C25" s="139" t="s">
        <v>455</v>
      </c>
      <c r="D25" s="140" t="s">
        <v>110</v>
      </c>
      <c r="E25" s="141" t="n">
        <v>0.57</v>
      </c>
      <c r="F25" s="142" t="n">
        <v>0.68</v>
      </c>
      <c r="G25" s="143"/>
      <c r="H25" s="144" t="s">
        <v>99</v>
      </c>
      <c r="I25" s="78" t="s">
        <v>190</v>
      </c>
    </row>
    <row r="26" customFormat="false" ht="27.75" hidden="false" customHeight="true" outlineLevel="0" collapsed="false">
      <c r="A26" s="145" t="s">
        <v>456</v>
      </c>
      <c r="B26" s="146" t="s">
        <v>457</v>
      </c>
      <c r="C26" s="147" t="s">
        <v>455</v>
      </c>
      <c r="D26" s="148" t="s">
        <v>110</v>
      </c>
      <c r="E26" s="149" t="n">
        <v>0.0769</v>
      </c>
      <c r="F26" s="150" t="n">
        <v>0.61</v>
      </c>
      <c r="G26" s="151"/>
      <c r="H26" s="152" t="s">
        <v>99</v>
      </c>
      <c r="I26" s="78" t="s">
        <v>190</v>
      </c>
    </row>
    <row r="27" customFormat="false" ht="27.75" hidden="false" customHeight="true" outlineLevel="0" collapsed="false">
      <c r="A27" s="137" t="s">
        <v>458</v>
      </c>
      <c r="B27" s="138" t="s">
        <v>459</v>
      </c>
      <c r="C27" s="139" t="s">
        <v>166</v>
      </c>
      <c r="D27" s="140" t="s">
        <v>110</v>
      </c>
      <c r="E27" s="153" t="n">
        <v>0</v>
      </c>
      <c r="F27" s="154" t="n">
        <v>1</v>
      </c>
      <c r="G27" s="155"/>
      <c r="H27" s="144" t="s">
        <v>99</v>
      </c>
      <c r="I27" s="78" t="s">
        <v>190</v>
      </c>
    </row>
    <row r="28" customFormat="false" ht="27.75" hidden="false" customHeight="true" outlineLevel="0" collapsed="false">
      <c r="A28" s="145" t="s">
        <v>460</v>
      </c>
      <c r="B28" s="146" t="s">
        <v>461</v>
      </c>
      <c r="C28" s="147" t="s">
        <v>236</v>
      </c>
      <c r="D28" s="148" t="s">
        <v>110</v>
      </c>
      <c r="E28" s="149" t="s">
        <v>98</v>
      </c>
      <c r="F28" s="151" t="s">
        <v>98</v>
      </c>
      <c r="G28" s="151"/>
      <c r="H28" s="152" t="s">
        <v>99</v>
      </c>
      <c r="I28" s="78" t="s">
        <v>190</v>
      </c>
    </row>
    <row r="29" customFormat="false" ht="27.75" hidden="false" customHeight="true" outlineLevel="0" collapsed="false">
      <c r="A29" s="145" t="s">
        <v>462</v>
      </c>
      <c r="B29" s="146" t="s">
        <v>463</v>
      </c>
      <c r="C29" s="147" t="s">
        <v>166</v>
      </c>
      <c r="D29" s="148" t="s">
        <v>110</v>
      </c>
      <c r="E29" s="149" t="s">
        <v>98</v>
      </c>
      <c r="F29" s="151" t="s">
        <v>98</v>
      </c>
      <c r="G29" s="151"/>
      <c r="H29" s="152" t="s">
        <v>99</v>
      </c>
      <c r="I29" s="78" t="s">
        <v>190</v>
      </c>
    </row>
    <row r="30" customFormat="false" ht="27.75" hidden="false" customHeight="true" outlineLevel="0" collapsed="false">
      <c r="A30" s="69" t="s">
        <v>464</v>
      </c>
      <c r="B30" s="70" t="s">
        <v>465</v>
      </c>
      <c r="C30" s="71" t="s">
        <v>236</v>
      </c>
      <c r="D30" s="71" t="s">
        <v>110</v>
      </c>
      <c r="E30" s="87" t="n">
        <v>0.755</v>
      </c>
      <c r="F30" s="91" t="n">
        <v>0.7918</v>
      </c>
      <c r="G30" s="151"/>
      <c r="H30" s="152" t="s">
        <v>99</v>
      </c>
      <c r="I30" s="78" t="s">
        <v>257</v>
      </c>
    </row>
  </sheetData>
  <mergeCells count="21">
    <mergeCell ref="A7:L7"/>
    <mergeCell ref="B9:C9"/>
    <mergeCell ref="D9:E9"/>
    <mergeCell ref="G9:H9"/>
    <mergeCell ref="I9:J9"/>
    <mergeCell ref="B10:C10"/>
    <mergeCell ref="D10:E10"/>
    <mergeCell ref="G10:H10"/>
    <mergeCell ref="I10:J10"/>
    <mergeCell ref="B11:C12"/>
    <mergeCell ref="D11:E12"/>
    <mergeCell ref="G11:H12"/>
    <mergeCell ref="I11:J12"/>
    <mergeCell ref="B13:C13"/>
    <mergeCell ref="D13:E13"/>
    <mergeCell ref="G13:H13"/>
    <mergeCell ref="I13:J13"/>
    <mergeCell ref="D14:E14"/>
    <mergeCell ref="G14:H14"/>
    <mergeCell ref="I14:J14"/>
    <mergeCell ref="B16:M16"/>
  </mergeCells>
  <conditionalFormatting sqref="G25:G30">
    <cfRule type="expression" priority="2" aboveAverage="0" equalAverage="0" bottom="0" percent="0" rank="0" text="" dxfId="4">
      <formula>AND(ISNUMBER(G25),ISNUMBER($F25),OR(AND($D25="N",G25&lt;=$F25),AND($D25="P",G25&gt;=$F25)))</formula>
    </cfRule>
    <cfRule type="expression" priority="3" aboveAverage="0" equalAverage="0" bottom="0" percent="0" rank="0" text="" dxfId="5">
      <formula>AND(ISNUMBER(G25),ISNUMBER($F25),OR(AND($D25="N",G25&gt;$F25),AND($D25="P",G25&lt;$F25)))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2"/>
    <col collapsed="false" customWidth="true" hidden="false" outlineLevel="0" max="3" min="3" style="1" width="22"/>
    <col collapsed="false" customWidth="true" hidden="true" outlineLevel="0" max="4" min="4" style="1" width="4"/>
    <col collapsed="false" customWidth="true" hidden="false" outlineLevel="0" max="6" min="5" style="1" width="13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true" outlineLevel="0" max="9" min="9" style="1" width="16"/>
  </cols>
  <sheetData>
    <row r="1" customFormat="false" ht="15" hidden="false" customHeight="true" outlineLevel="0" collapsed="false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customFormat="false" ht="15" hidden="false" customHeight="tru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customFormat="false" ht="15" hidden="false" customHeight="tru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customFormat="false" ht="15" hidden="false" customHeight="tru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customFormat="false" ht="15" hidden="false" customHeight="true" outlineLevel="0" collapsed="false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customFormat="false" ht="15" hidden="false" customHeight="true" outlineLevel="0" collapsed="false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</row>
    <row r="7" customFormat="false" ht="21.75" hidden="false" customHeight="true" outlineLevel="0" collapsed="false">
      <c r="A7" s="3" t="s">
        <v>466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126"/>
    </row>
    <row r="8" customFormat="false" ht="15" hidden="false" customHeight="true" outlineLevel="0" collapsed="false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</row>
    <row r="9" customFormat="false" ht="3.75" hidden="false" customHeight="true" outlineLevel="0" collapsed="false">
      <c r="A9" s="20"/>
      <c r="B9" s="4"/>
      <c r="C9" s="4"/>
      <c r="D9" s="5"/>
      <c r="E9" s="5"/>
      <c r="F9" s="20"/>
      <c r="G9" s="6"/>
      <c r="H9" s="6"/>
      <c r="I9" s="7"/>
      <c r="J9" s="7"/>
      <c r="K9" s="20"/>
      <c r="L9" s="20"/>
      <c r="M9" s="20"/>
    </row>
    <row r="10" customFormat="false" ht="18" hidden="false" customHeight="true" outlineLevel="0" collapsed="false">
      <c r="A10" s="20"/>
      <c r="B10" s="9" t="s">
        <v>467</v>
      </c>
      <c r="C10" s="9"/>
      <c r="D10" s="9" t="s">
        <v>445</v>
      </c>
      <c r="E10" s="9"/>
      <c r="F10" s="20"/>
      <c r="G10" s="9" t="s">
        <v>248</v>
      </c>
      <c r="H10" s="9"/>
      <c r="I10" s="9" t="s">
        <v>257</v>
      </c>
      <c r="J10" s="9"/>
      <c r="K10" s="20"/>
      <c r="L10" s="20"/>
      <c r="M10" s="20"/>
    </row>
    <row r="11" customFormat="false" ht="27.75" hidden="false" customHeight="true" outlineLevel="0" collapsed="false">
      <c r="A11" s="20"/>
      <c r="B11" s="10" t="n">
        <v>4</v>
      </c>
      <c r="C11" s="10"/>
      <c r="D11" s="11" t="n">
        <v>2</v>
      </c>
      <c r="E11" s="11"/>
      <c r="F11" s="20"/>
      <c r="G11" s="12" t="n">
        <v>2</v>
      </c>
      <c r="H11" s="12"/>
      <c r="I11" s="13" t="n">
        <v>0</v>
      </c>
      <c r="J11" s="13"/>
      <c r="K11" s="20"/>
      <c r="L11" s="20"/>
      <c r="M11" s="20"/>
    </row>
    <row r="12" customFormat="false" ht="27.75" hidden="false" customHeight="true" outlineLevel="0" collapsed="false">
      <c r="A12" s="20"/>
      <c r="B12" s="10"/>
      <c r="C12" s="10"/>
      <c r="D12" s="11"/>
      <c r="E12" s="11"/>
      <c r="F12" s="20"/>
      <c r="G12" s="12"/>
      <c r="H12" s="12"/>
      <c r="I12" s="13"/>
      <c r="J12" s="13"/>
      <c r="K12" s="20"/>
      <c r="L12" s="20"/>
      <c r="M12" s="20"/>
    </row>
    <row r="13" customFormat="false" ht="18" hidden="false" customHeight="true" outlineLevel="0" collapsed="false">
      <c r="A13" s="20"/>
      <c r="B13" s="15" t="s">
        <v>6</v>
      </c>
      <c r="C13" s="15"/>
      <c r="D13" s="15" t="s">
        <v>446</v>
      </c>
      <c r="E13" s="15"/>
      <c r="F13" s="20"/>
      <c r="G13" s="15" t="s">
        <v>447</v>
      </c>
      <c r="H13" s="15"/>
      <c r="I13" s="15" t="s">
        <v>448</v>
      </c>
      <c r="J13" s="15"/>
      <c r="K13" s="20"/>
      <c r="L13" s="20"/>
      <c r="M13" s="20"/>
    </row>
    <row r="14" customFormat="false" ht="31.5" hidden="false" customHeight="true" outlineLevel="0" collapsed="false">
      <c r="A14" s="20"/>
      <c r="B14" s="16" t="s">
        <v>468</v>
      </c>
      <c r="C14" s="17" t="s">
        <v>469</v>
      </c>
      <c r="D14" s="127"/>
      <c r="E14" s="127"/>
      <c r="F14" s="20"/>
      <c r="G14" s="127"/>
      <c r="H14" s="127"/>
      <c r="I14" s="127"/>
      <c r="J14" s="127"/>
      <c r="K14" s="20"/>
      <c r="L14" s="20"/>
      <c r="M14" s="20"/>
    </row>
    <row r="15" customFormat="false" ht="15" hidden="false" customHeight="tru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customFormat="false" ht="24" hidden="false" customHeight="true" outlineLevel="0" collapsed="false">
      <c r="B16" s="128" t="s">
        <v>64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</row>
    <row r="17" customFormat="false" ht="24" hidden="false" customHeight="true" outlineLevel="0" collapsed="false">
      <c r="B17" s="48" t="s">
        <v>23</v>
      </c>
      <c r="C17" s="48" t="s">
        <v>29</v>
      </c>
      <c r="D17" s="48" t="s">
        <v>101</v>
      </c>
      <c r="E17" s="48" t="s">
        <v>67</v>
      </c>
    </row>
    <row r="18" customFormat="false" ht="21.75" hidden="false" customHeight="true" outlineLevel="0" collapsed="false">
      <c r="B18" s="129" t="s">
        <v>34</v>
      </c>
      <c r="C18" s="56" t="n">
        <v>1</v>
      </c>
      <c r="D18" s="130" t="n">
        <v>1</v>
      </c>
      <c r="E18" s="131" t="n">
        <v>0</v>
      </c>
    </row>
    <row r="19" customFormat="false" ht="21.75" hidden="false" customHeight="true" outlineLevel="0" collapsed="false">
      <c r="B19" s="132" t="s">
        <v>39</v>
      </c>
      <c r="C19" s="50" t="n">
        <v>2</v>
      </c>
      <c r="D19" s="133" t="n">
        <v>1</v>
      </c>
      <c r="E19" s="134" t="n">
        <v>1</v>
      </c>
    </row>
    <row r="20" customFormat="false" ht="21.75" hidden="false" customHeight="true" outlineLevel="0" collapsed="false">
      <c r="B20" s="129" t="s">
        <v>37</v>
      </c>
      <c r="C20" s="56" t="n">
        <v>1</v>
      </c>
      <c r="D20" s="130" t="n">
        <v>0</v>
      </c>
      <c r="E20" s="131" t="n">
        <v>1</v>
      </c>
    </row>
    <row r="21" customFormat="false" ht="25.5" hidden="false" customHeight="true" outlineLevel="0" collapsed="false">
      <c r="B21" s="135" t="s">
        <v>42</v>
      </c>
      <c r="C21" s="62" t="n">
        <v>4</v>
      </c>
      <c r="D21" s="62" t="n">
        <v>2</v>
      </c>
      <c r="E21" s="62" t="n">
        <v>2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25.5" hidden="false" customHeight="true" outlineLevel="0" collapsed="false">
      <c r="A24" s="136" t="s">
        <v>69</v>
      </c>
      <c r="B24" s="136" t="s">
        <v>70</v>
      </c>
      <c r="C24" s="136" t="s">
        <v>71</v>
      </c>
      <c r="D24" s="136" t="s">
        <v>72</v>
      </c>
      <c r="E24" s="136" t="s">
        <v>73</v>
      </c>
      <c r="F24" s="136" t="s">
        <v>451</v>
      </c>
      <c r="G24" s="136" t="s">
        <v>452</v>
      </c>
      <c r="H24" s="136" t="s">
        <v>92</v>
      </c>
      <c r="I24" s="68" t="s">
        <v>93</v>
      </c>
      <c r="J24" s="1" t="s">
        <v>94</v>
      </c>
    </row>
    <row r="25" customFormat="false" ht="27.75" hidden="false" customHeight="true" outlineLevel="0" collapsed="false">
      <c r="A25" s="137" t="s">
        <v>470</v>
      </c>
      <c r="B25" s="138" t="s">
        <v>471</v>
      </c>
      <c r="C25" s="139" t="s">
        <v>213</v>
      </c>
      <c r="D25" s="140" t="s">
        <v>110</v>
      </c>
      <c r="E25" s="141" t="n">
        <v>0.51</v>
      </c>
      <c r="F25" s="142" t="n">
        <v>0.7</v>
      </c>
      <c r="G25" s="143"/>
      <c r="H25" s="144" t="s">
        <v>99</v>
      </c>
      <c r="I25" s="78" t="s">
        <v>472</v>
      </c>
      <c r="J25" s="1" t="s">
        <v>101</v>
      </c>
    </row>
    <row r="26" customFormat="false" ht="27.75" hidden="false" customHeight="true" outlineLevel="0" collapsed="false">
      <c r="A26" s="145" t="s">
        <v>473</v>
      </c>
      <c r="B26" s="146" t="s">
        <v>474</v>
      </c>
      <c r="C26" s="147" t="s">
        <v>213</v>
      </c>
      <c r="D26" s="148" t="s">
        <v>110</v>
      </c>
      <c r="E26" s="149" t="s">
        <v>98</v>
      </c>
      <c r="F26" s="151" t="n">
        <v>1</v>
      </c>
      <c r="G26" s="151"/>
      <c r="H26" s="152" t="s">
        <v>99</v>
      </c>
      <c r="I26" s="78" t="s">
        <v>190</v>
      </c>
      <c r="J26" s="1" t="s">
        <v>101</v>
      </c>
    </row>
    <row r="27" customFormat="false" ht="27.75" hidden="false" customHeight="true" outlineLevel="0" collapsed="false">
      <c r="A27" s="137" t="s">
        <v>475</v>
      </c>
      <c r="B27" s="138" t="s">
        <v>476</v>
      </c>
      <c r="C27" s="139" t="s">
        <v>34</v>
      </c>
      <c r="D27" s="140" t="s">
        <v>110</v>
      </c>
      <c r="E27" s="156" t="n">
        <v>82.3</v>
      </c>
      <c r="F27" s="157" t="n">
        <v>82.3</v>
      </c>
      <c r="G27" s="158"/>
      <c r="H27" s="144" t="s">
        <v>99</v>
      </c>
      <c r="I27" s="78" t="s">
        <v>190</v>
      </c>
      <c r="J27" s="1" t="s">
        <v>101</v>
      </c>
    </row>
    <row r="28" customFormat="false" ht="27.75" hidden="false" customHeight="true" outlineLevel="0" collapsed="false">
      <c r="A28" s="145" t="s">
        <v>477</v>
      </c>
      <c r="B28" s="146" t="s">
        <v>478</v>
      </c>
      <c r="C28" s="147" t="s">
        <v>236</v>
      </c>
      <c r="D28" s="148" t="s">
        <v>110</v>
      </c>
      <c r="E28" s="149" t="s">
        <v>98</v>
      </c>
      <c r="F28" s="151" t="s">
        <v>98</v>
      </c>
      <c r="G28" s="151"/>
      <c r="H28" s="152" t="s">
        <v>99</v>
      </c>
      <c r="I28" s="78" t="s">
        <v>105</v>
      </c>
      <c r="J28" s="1" t="s">
        <v>101</v>
      </c>
    </row>
    <row r="29" customFormat="false" ht="15" hidden="false" customHeight="true" outlineLevel="0" collapsed="false">
      <c r="A29" s="137" t="s">
        <v>479</v>
      </c>
      <c r="B29" s="138" t="s">
        <v>480</v>
      </c>
      <c r="C29" s="139" t="s">
        <v>38</v>
      </c>
      <c r="D29" s="140" t="s">
        <v>227</v>
      </c>
      <c r="E29" s="141"/>
      <c r="F29" s="142"/>
      <c r="G29" s="143"/>
      <c r="H29" s="144" t="s">
        <v>99</v>
      </c>
      <c r="I29" s="78" t="s">
        <v>190</v>
      </c>
      <c r="J29" s="1" t="s">
        <v>217</v>
      </c>
    </row>
    <row r="30" customFormat="false" ht="24" hidden="false" customHeight="true" outlineLevel="0" collapsed="false">
      <c r="A30" s="137" t="s">
        <v>481</v>
      </c>
      <c r="B30" s="138" t="s">
        <v>482</v>
      </c>
      <c r="C30" s="139" t="s">
        <v>38</v>
      </c>
      <c r="D30" s="140" t="s">
        <v>110</v>
      </c>
      <c r="E30" s="141"/>
      <c r="F30" s="142"/>
      <c r="G30" s="143"/>
      <c r="H30" s="144" t="s">
        <v>99</v>
      </c>
      <c r="I30" s="78" t="s">
        <v>190</v>
      </c>
      <c r="J30" s="1" t="s">
        <v>217</v>
      </c>
    </row>
    <row r="31" customFormat="false" ht="24" hidden="false" customHeight="true" outlineLevel="0" collapsed="false">
      <c r="A31" s="137" t="s">
        <v>483</v>
      </c>
      <c r="B31" s="138" t="s">
        <v>484</v>
      </c>
      <c r="C31" s="139" t="s">
        <v>38</v>
      </c>
      <c r="D31" s="140" t="s">
        <v>227</v>
      </c>
      <c r="E31" s="141"/>
      <c r="F31" s="142"/>
      <c r="G31" s="143"/>
      <c r="H31" s="144" t="s">
        <v>99</v>
      </c>
      <c r="I31" s="78" t="s">
        <v>241</v>
      </c>
      <c r="J31" s="1" t="s">
        <v>217</v>
      </c>
    </row>
  </sheetData>
  <mergeCells count="21">
    <mergeCell ref="A7:L7"/>
    <mergeCell ref="B9:C9"/>
    <mergeCell ref="D9:E9"/>
    <mergeCell ref="G9:H9"/>
    <mergeCell ref="I9:J9"/>
    <mergeCell ref="B10:C10"/>
    <mergeCell ref="D10:E10"/>
    <mergeCell ref="G10:H10"/>
    <mergeCell ref="I10:J10"/>
    <mergeCell ref="B11:C12"/>
    <mergeCell ref="D11:E12"/>
    <mergeCell ref="G11:H12"/>
    <mergeCell ref="I11:J12"/>
    <mergeCell ref="B13:C13"/>
    <mergeCell ref="D13:E13"/>
    <mergeCell ref="G13:H13"/>
    <mergeCell ref="I13:J13"/>
    <mergeCell ref="D14:E14"/>
    <mergeCell ref="G14:H14"/>
    <mergeCell ref="I14:J14"/>
    <mergeCell ref="B16:M16"/>
  </mergeCells>
  <conditionalFormatting sqref="G25:G28">
    <cfRule type="expression" priority="2" aboveAverage="0" equalAverage="0" bottom="0" percent="0" rank="0" text="" dxfId="4">
      <formula>AND(ISNUMBER(G25),ISNUMBER($F25),OR(AND($D25="N",G25&lt;=$F25),AND($D25="P",G25&gt;=$F25)))</formula>
    </cfRule>
    <cfRule type="expression" priority="3" aboveAverage="0" equalAverage="0" bottom="0" percent="0" rank="0" text="" dxfId="5">
      <formula>AND(ISNUMBER(G25),ISNUMBER($F25),OR(AND($D25="N",G25&gt;$F25),AND($D25="P",G25&lt;$F25)))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04"/>
  <sheetViews>
    <sheetView showFormulas="false" showGridLines="false" showRowColHeaders="true" showZeros="true" rightToLeft="false" tabSelected="false" showOutlineSymbols="true" defaultGridColor="true" view="normal" topLeftCell="A55" colorId="64" zoomScale="85" zoomScaleNormal="85" zoomScalePageLayoutView="100" workbookViewId="0">
      <selection pane="topLeft" activeCell="M50" activeCellId="0" sqref="M50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8"/>
    <col collapsed="false" customWidth="true" hidden="false" outlineLevel="0" max="3" min="3" style="1" width="13"/>
    <col collapsed="false" customWidth="true" hidden="true" outlineLevel="0" max="4" min="4" style="1" width="3"/>
    <col collapsed="false" customWidth="true" hidden="false" outlineLevel="0" max="5" min="5" style="1" width="9"/>
    <col collapsed="false" customWidth="true" hidden="false" outlineLevel="0" max="7" min="6" style="1" width="10"/>
    <col collapsed="false" customWidth="true" hidden="false" outlineLevel="0" max="10" min="8" style="1" width="7"/>
    <col collapsed="false" customWidth="true" hidden="false" outlineLevel="0" max="11" min="11" style="1" width="8"/>
    <col collapsed="false" customWidth="true" hidden="false" outlineLevel="0" max="14" min="12" style="1" width="7"/>
    <col collapsed="false" customWidth="true" hidden="false" outlineLevel="0" max="15" min="15" style="1" width="8"/>
    <col collapsed="false" customWidth="true" hidden="false" outlineLevel="0" max="18" min="16" style="1" width="7"/>
    <col collapsed="false" customWidth="true" hidden="false" outlineLevel="0" max="19" min="19" style="1" width="8"/>
    <col collapsed="false" customWidth="true" hidden="false" outlineLevel="0" max="22" min="20" style="1" width="7"/>
    <col collapsed="false" customWidth="true" hidden="false" outlineLevel="0" max="23" min="23" style="1" width="8"/>
    <col collapsed="false" customWidth="true" hidden="false" outlineLevel="0" max="24" min="24" style="1" width="10"/>
    <col collapsed="false" customWidth="true" hidden="false" outlineLevel="0" max="25" min="25" style="1" width="14"/>
    <col collapsed="false" customWidth="true" hidden="false" outlineLevel="0" max="26" min="26" style="1" width="16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30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30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30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2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21.75" hidden="false" customHeight="true" outlineLevel="0" collapsed="false">
      <c r="A7" s="3" t="s">
        <v>485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9" customFormat="false" ht="24" hidden="false" customHeight="true" outlineLevel="0" collapsed="false">
      <c r="B9" s="159" t="s">
        <v>486</v>
      </c>
      <c r="C9" s="159"/>
      <c r="D9" s="159"/>
      <c r="E9" s="159"/>
      <c r="F9" s="159"/>
      <c r="G9" s="159"/>
      <c r="H9" s="159"/>
      <c r="I9" s="159"/>
      <c r="K9" s="159" t="s">
        <v>487</v>
      </c>
      <c r="L9" s="159"/>
      <c r="M9" s="159"/>
      <c r="N9" s="159"/>
      <c r="O9" s="159"/>
      <c r="P9" s="159"/>
      <c r="Q9" s="159"/>
      <c r="R9" s="159"/>
    </row>
    <row r="10" customFormat="false" ht="6" hidden="false" customHeight="true" outlineLevel="0" collapsed="false">
      <c r="B10" s="4"/>
      <c r="C10" s="4"/>
      <c r="D10" s="5"/>
      <c r="E10" s="5"/>
      <c r="F10" s="6"/>
      <c r="G10" s="6"/>
      <c r="H10" s="7"/>
      <c r="I10" s="7"/>
      <c r="K10" s="4"/>
      <c r="L10" s="4"/>
      <c r="M10" s="5"/>
      <c r="N10" s="5"/>
      <c r="O10" s="6"/>
      <c r="P10" s="6"/>
      <c r="Q10" s="7"/>
      <c r="R10" s="7"/>
    </row>
    <row r="11" customFormat="false" ht="19.5" hidden="false" customHeight="true" outlineLevel="0" collapsed="false">
      <c r="B11" s="9" t="s">
        <v>488</v>
      </c>
      <c r="C11" s="9"/>
      <c r="D11" s="9" t="s">
        <v>489</v>
      </c>
      <c r="E11" s="9"/>
      <c r="F11" s="9" t="s">
        <v>490</v>
      </c>
      <c r="G11" s="9"/>
      <c r="H11" s="9" t="s">
        <v>248</v>
      </c>
      <c r="I11" s="9"/>
      <c r="K11" s="9" t="s">
        <v>488</v>
      </c>
      <c r="L11" s="9"/>
      <c r="M11" s="9" t="s">
        <v>489</v>
      </c>
      <c r="N11" s="9"/>
      <c r="O11" s="9" t="s">
        <v>490</v>
      </c>
      <c r="P11" s="9"/>
      <c r="Q11" s="9" t="s">
        <v>248</v>
      </c>
      <c r="R11" s="9"/>
    </row>
    <row r="12" customFormat="false" ht="24" hidden="false" customHeight="true" outlineLevel="0" collapsed="false">
      <c r="B12" s="160" t="n">
        <v>29</v>
      </c>
      <c r="C12" s="160"/>
      <c r="D12" s="161" t="n">
        <v>7</v>
      </c>
      <c r="E12" s="161"/>
      <c r="F12" s="162" t="n">
        <v>15</v>
      </c>
      <c r="G12" s="162"/>
      <c r="H12" s="163" t="n">
        <v>2</v>
      </c>
      <c r="I12" s="163"/>
      <c r="K12" s="160" t="n">
        <v>43</v>
      </c>
      <c r="L12" s="160"/>
      <c r="M12" s="161" t="n">
        <v>27</v>
      </c>
      <c r="N12" s="161"/>
      <c r="O12" s="162" t="n">
        <v>10</v>
      </c>
      <c r="P12" s="162"/>
      <c r="Q12" s="163" t="n">
        <v>3</v>
      </c>
      <c r="R12" s="163"/>
    </row>
    <row r="13" customFormat="false" ht="24" hidden="false" customHeight="true" outlineLevel="0" collapsed="false">
      <c r="B13" s="160"/>
      <c r="C13" s="160"/>
      <c r="D13" s="161"/>
      <c r="E13" s="161"/>
      <c r="F13" s="162"/>
      <c r="G13" s="162"/>
      <c r="H13" s="163"/>
      <c r="I13" s="163"/>
      <c r="K13" s="160"/>
      <c r="L13" s="160"/>
      <c r="M13" s="161"/>
      <c r="N13" s="161"/>
      <c r="O13" s="162"/>
      <c r="P13" s="162"/>
      <c r="Q13" s="163"/>
      <c r="R13" s="163"/>
    </row>
    <row r="14" customFormat="false" ht="3.75" hidden="false" customHeight="true" outlineLevel="0" collapsed="false">
      <c r="B14" s="18"/>
      <c r="C14" s="18"/>
      <c r="D14" s="18"/>
      <c r="E14" s="18"/>
      <c r="F14" s="18"/>
      <c r="G14" s="18"/>
      <c r="H14" s="18"/>
      <c r="I14" s="18"/>
      <c r="K14" s="18"/>
      <c r="L14" s="18"/>
      <c r="M14" s="18"/>
      <c r="N14" s="18"/>
      <c r="O14" s="18"/>
      <c r="P14" s="18"/>
      <c r="Q14" s="18"/>
      <c r="R14" s="18"/>
    </row>
    <row r="16" customFormat="false" ht="25.5" hidden="false" customHeight="true" outlineLevel="0" collapsed="false">
      <c r="B16" s="164" t="s">
        <v>491</v>
      </c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</row>
    <row r="17" customFormat="false" ht="6" hidden="false" customHeight="true" outlineLevel="0" collapsed="false">
      <c r="B17" s="165"/>
      <c r="C17" s="165"/>
      <c r="D17" s="165"/>
      <c r="E17" s="5"/>
      <c r="F17" s="5"/>
      <c r="G17" s="5"/>
      <c r="I17" s="6"/>
      <c r="J17" s="6"/>
      <c r="K17" s="6"/>
      <c r="M17" s="7"/>
      <c r="N17" s="7"/>
      <c r="O17" s="7"/>
      <c r="Q17" s="8"/>
      <c r="R17" s="8"/>
      <c r="S17" s="8"/>
    </row>
    <row r="18" customFormat="false" ht="21.75" hidden="false" customHeight="true" outlineLevel="0" collapsed="false">
      <c r="B18" s="9" t="s">
        <v>492</v>
      </c>
      <c r="C18" s="9"/>
      <c r="D18" s="9"/>
      <c r="E18" s="9" t="s">
        <v>489</v>
      </c>
      <c r="F18" s="9"/>
      <c r="G18" s="9"/>
      <c r="I18" s="9" t="s">
        <v>490</v>
      </c>
      <c r="J18" s="9"/>
      <c r="K18" s="9"/>
      <c r="M18" s="9" t="s">
        <v>248</v>
      </c>
      <c r="N18" s="9"/>
      <c r="O18" s="9"/>
      <c r="Q18" s="166" t="s">
        <v>5</v>
      </c>
      <c r="R18" s="166"/>
      <c r="S18" s="166"/>
    </row>
    <row r="19" customFormat="false" ht="27.75" hidden="false" customHeight="true" outlineLevel="0" collapsed="false">
      <c r="B19" s="167" t="n">
        <v>73</v>
      </c>
      <c r="C19" s="167"/>
      <c r="D19" s="167"/>
      <c r="E19" s="168" t="n">
        <v>34</v>
      </c>
      <c r="F19" s="168"/>
      <c r="G19" s="168"/>
      <c r="I19" s="169" t="n">
        <v>25</v>
      </c>
      <c r="J19" s="169"/>
      <c r="K19" s="169"/>
      <c r="M19" s="170" t="n">
        <v>6</v>
      </c>
      <c r="N19" s="170"/>
      <c r="O19" s="170"/>
      <c r="Q19" s="171" t="n">
        <v>31</v>
      </c>
      <c r="R19" s="171"/>
      <c r="S19" s="171"/>
    </row>
    <row r="20" customFormat="false" ht="27.75" hidden="false" customHeight="true" outlineLevel="0" collapsed="false">
      <c r="B20" s="167"/>
      <c r="C20" s="167"/>
      <c r="D20" s="167"/>
      <c r="E20" s="168"/>
      <c r="F20" s="168"/>
      <c r="G20" s="168"/>
      <c r="I20" s="169"/>
      <c r="J20" s="169"/>
      <c r="K20" s="169"/>
      <c r="M20" s="170"/>
      <c r="N20" s="170"/>
      <c r="O20" s="170"/>
      <c r="Q20" s="171"/>
      <c r="R20" s="171"/>
      <c r="S20" s="171"/>
    </row>
    <row r="21" customFormat="false" ht="21.75" hidden="false" customHeight="true" outlineLevel="0" collapsed="false">
      <c r="B21" s="15" t="s">
        <v>493</v>
      </c>
      <c r="C21" s="15"/>
      <c r="D21" s="15"/>
      <c r="E21" s="15" t="s">
        <v>494</v>
      </c>
      <c r="F21" s="15"/>
      <c r="G21" s="15"/>
      <c r="I21" s="15" t="s">
        <v>495</v>
      </c>
      <c r="J21" s="15"/>
      <c r="K21" s="15"/>
      <c r="M21" s="15" t="s">
        <v>496</v>
      </c>
      <c r="N21" s="15"/>
      <c r="O21" s="15"/>
      <c r="Q21" s="172" t="s">
        <v>497</v>
      </c>
      <c r="R21" s="172"/>
      <c r="S21" s="172"/>
    </row>
    <row r="22" customFormat="false" ht="3.75" hidden="false" customHeight="true" outlineLevel="0" collapsed="false">
      <c r="B22" s="18"/>
      <c r="C22" s="18"/>
      <c r="D22" s="18"/>
      <c r="E22" s="18"/>
      <c r="F22" s="18"/>
      <c r="G22" s="18"/>
      <c r="I22" s="18"/>
      <c r="J22" s="18"/>
      <c r="K22" s="18"/>
      <c r="M22" s="18"/>
      <c r="N22" s="18"/>
      <c r="O22" s="18"/>
      <c r="Q22" s="18"/>
      <c r="R22" s="18"/>
      <c r="S22" s="18"/>
    </row>
    <row r="23" customFormat="false" ht="24" hidden="false" customHeight="true" outlineLevel="0" collapsed="false">
      <c r="B23" s="47" t="s">
        <v>498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</row>
    <row r="24" customFormat="false" ht="24" hidden="false" customHeight="true" outlineLevel="0" collapsed="false">
      <c r="B24" s="48" t="s">
        <v>23</v>
      </c>
      <c r="C24" s="48" t="s">
        <v>29</v>
      </c>
      <c r="D24" s="48" t="s">
        <v>65</v>
      </c>
      <c r="E24" s="48" t="s">
        <v>66</v>
      </c>
      <c r="F24" s="48" t="s">
        <v>67</v>
      </c>
      <c r="G24" s="48" t="s">
        <v>30</v>
      </c>
    </row>
    <row r="25" customFormat="false" ht="21.75" hidden="false" customHeight="true" outlineLevel="0" collapsed="false">
      <c r="B25" s="55" t="s">
        <v>35</v>
      </c>
      <c r="C25" s="65" t="n">
        <v>17</v>
      </c>
      <c r="D25" s="57" t="n">
        <v>5</v>
      </c>
      <c r="E25" s="58" t="n">
        <v>5</v>
      </c>
      <c r="F25" s="59" t="n">
        <v>2</v>
      </c>
      <c r="G25" s="60" t="n">
        <v>0.5</v>
      </c>
    </row>
    <row r="26" customFormat="false" ht="21.75" hidden="false" customHeight="true" outlineLevel="0" collapsed="false">
      <c r="B26" s="49" t="s">
        <v>34</v>
      </c>
      <c r="C26" s="66" t="n">
        <v>25</v>
      </c>
      <c r="D26" s="51" t="n">
        <v>19</v>
      </c>
      <c r="E26" s="52" t="n">
        <v>5</v>
      </c>
      <c r="F26" s="53" t="n">
        <v>1</v>
      </c>
      <c r="G26" s="54" t="n">
        <v>0.791666666666667</v>
      </c>
    </row>
    <row r="27" customFormat="false" ht="21.75" hidden="false" customHeight="true" outlineLevel="0" collapsed="false">
      <c r="B27" s="55" t="s">
        <v>36</v>
      </c>
      <c r="C27" s="65" t="n">
        <v>26</v>
      </c>
      <c r="D27" s="57" t="n">
        <v>9</v>
      </c>
      <c r="E27" s="58" t="n">
        <v>14</v>
      </c>
      <c r="F27" s="59" t="n">
        <v>2</v>
      </c>
      <c r="G27" s="60" t="n">
        <v>0.391304347826087</v>
      </c>
    </row>
    <row r="28" customFormat="false" ht="21.75" hidden="false" customHeight="true" outlineLevel="0" collapsed="false">
      <c r="B28" s="49" t="s">
        <v>39</v>
      </c>
      <c r="C28" s="66" t="n">
        <v>0</v>
      </c>
      <c r="D28" s="51" t="n">
        <v>0</v>
      </c>
      <c r="E28" s="52" t="n">
        <v>0</v>
      </c>
      <c r="F28" s="53" t="n">
        <v>0</v>
      </c>
      <c r="G28" s="54" t="s">
        <v>32</v>
      </c>
    </row>
    <row r="29" customFormat="false" ht="21.75" hidden="false" customHeight="true" outlineLevel="0" collapsed="false">
      <c r="B29" s="55" t="s">
        <v>37</v>
      </c>
      <c r="C29" s="65" t="n">
        <v>4</v>
      </c>
      <c r="D29" s="57" t="n">
        <v>1</v>
      </c>
      <c r="E29" s="58" t="n">
        <v>1</v>
      </c>
      <c r="F29" s="59" t="n">
        <v>1</v>
      </c>
      <c r="G29" s="60" t="n">
        <v>0.5</v>
      </c>
    </row>
    <row r="30" customFormat="false" ht="25.5" hidden="false" customHeight="true" outlineLevel="0" collapsed="false">
      <c r="B30" s="61" t="s">
        <v>55</v>
      </c>
      <c r="C30" s="63" t="n">
        <v>73</v>
      </c>
      <c r="D30" s="63" t="n">
        <v>34</v>
      </c>
      <c r="E30" s="63" t="n">
        <v>25</v>
      </c>
      <c r="F30" s="63" t="n">
        <v>6</v>
      </c>
      <c r="G30" s="64" t="n">
        <v>0.576271186440678</v>
      </c>
    </row>
    <row r="31" customFormat="false" ht="15.75" hidden="false" customHeight="true" outlineLevel="0" collapsed="false"/>
    <row r="32" customFormat="false" ht="15.75" hidden="false" customHeight="true" outlineLevel="0" collapsed="false"/>
    <row r="35" customFormat="false" ht="25.5" hidden="false" customHeight="true" outlineLevel="0" collapsed="false">
      <c r="A35" s="67" t="s">
        <v>69</v>
      </c>
      <c r="B35" s="67" t="s">
        <v>70</v>
      </c>
      <c r="C35" s="67" t="s">
        <v>71</v>
      </c>
      <c r="D35" s="67" t="s">
        <v>72</v>
      </c>
      <c r="E35" s="67" t="s">
        <v>499</v>
      </c>
      <c r="F35" s="67" t="s">
        <v>500</v>
      </c>
      <c r="G35" s="67" t="s">
        <v>74</v>
      </c>
      <c r="H35" s="67" t="s">
        <v>75</v>
      </c>
      <c r="I35" s="67" t="s">
        <v>76</v>
      </c>
      <c r="J35" s="67" t="s">
        <v>77</v>
      </c>
      <c r="K35" s="173" t="s">
        <v>78</v>
      </c>
      <c r="L35" s="67" t="s">
        <v>79</v>
      </c>
      <c r="M35" s="67" t="s">
        <v>80</v>
      </c>
      <c r="N35" s="67" t="s">
        <v>81</v>
      </c>
      <c r="O35" s="173" t="s">
        <v>82</v>
      </c>
      <c r="P35" s="67" t="s">
        <v>83</v>
      </c>
      <c r="Q35" s="67" t="s">
        <v>84</v>
      </c>
      <c r="R35" s="67" t="s">
        <v>85</v>
      </c>
      <c r="S35" s="173" t="s">
        <v>86</v>
      </c>
      <c r="T35" s="67" t="s">
        <v>87</v>
      </c>
      <c r="U35" s="67" t="s">
        <v>88</v>
      </c>
      <c r="V35" s="67" t="s">
        <v>89</v>
      </c>
      <c r="W35" s="173" t="s">
        <v>90</v>
      </c>
      <c r="X35" s="67" t="s">
        <v>91</v>
      </c>
      <c r="Y35" s="67" t="s">
        <v>92</v>
      </c>
      <c r="Z35" s="68" t="s">
        <v>93</v>
      </c>
    </row>
    <row r="36" customFormat="false" ht="25.5" hidden="false" customHeight="true" outlineLevel="0" collapsed="false">
      <c r="A36" s="69" t="s">
        <v>111</v>
      </c>
      <c r="B36" s="70" t="s">
        <v>112</v>
      </c>
      <c r="C36" s="71" t="s">
        <v>35</v>
      </c>
      <c r="D36" s="71" t="s">
        <v>97</v>
      </c>
      <c r="E36" s="69" t="s">
        <v>501</v>
      </c>
      <c r="F36" s="87" t="n">
        <v>0.017</v>
      </c>
      <c r="G36" s="88" t="n">
        <v>0.0145</v>
      </c>
      <c r="H36" s="89" t="n">
        <v>0.0135135135135135</v>
      </c>
      <c r="I36" s="89" t="n">
        <v>0.011001100110011</v>
      </c>
      <c r="J36" s="89" t="n">
        <v>0.00871459694989107</v>
      </c>
      <c r="K36" s="174" t="n">
        <f aca="false">IF(COUNT(H36:J36)=0,"",AVERAGE(H36:J36))</f>
        <v>0.0110764035244719</v>
      </c>
      <c r="L36" s="90" t="n">
        <v>0.0140692640692641</v>
      </c>
      <c r="M36" s="90" t="n">
        <v>0.0102389078498294</v>
      </c>
      <c r="N36" s="90" t="n">
        <v>0.0111902339776195</v>
      </c>
      <c r="O36" s="174" t="n">
        <f aca="false">IF(COUNT(L36:N36)=0,"",AVERAGE(L36:N36))</f>
        <v>0.011832801965571</v>
      </c>
      <c r="P36" s="90" t="n">
        <v>0.0136842105263158</v>
      </c>
      <c r="Q36" s="90"/>
      <c r="R36" s="90"/>
      <c r="S36" s="174" t="n">
        <f aca="false">IF(COUNT(P36:R36)=0,"",AVERAGE(P36:R36))</f>
        <v>0.0136842105263158</v>
      </c>
      <c r="T36" s="90"/>
      <c r="U36" s="90"/>
      <c r="V36" s="90"/>
      <c r="W36" s="174" t="str">
        <f aca="false">IF(COUNT(T36:V36)=0,"",AVERAGE(T36:V36))</f>
        <v/>
      </c>
      <c r="X36" s="92" t="n">
        <v>0.012572833796868</v>
      </c>
      <c r="Y36" s="114" t="s">
        <v>104</v>
      </c>
      <c r="Z36" s="78" t="s">
        <v>100</v>
      </c>
    </row>
    <row r="37" customFormat="false" ht="25.5" hidden="false" customHeight="true" outlineLevel="0" collapsed="false">
      <c r="A37" s="69" t="s">
        <v>116</v>
      </c>
      <c r="B37" s="70" t="s">
        <v>117</v>
      </c>
      <c r="C37" s="71" t="s">
        <v>35</v>
      </c>
      <c r="D37" s="71" t="s">
        <v>97</v>
      </c>
      <c r="E37" s="69" t="s">
        <v>501</v>
      </c>
      <c r="F37" s="94" t="n">
        <v>0.0054</v>
      </c>
      <c r="G37" s="88" t="n">
        <v>0.0046</v>
      </c>
      <c r="H37" s="89" t="n">
        <v>0.0120967741935484</v>
      </c>
      <c r="I37" s="89" t="n">
        <v>0.00297619047619048</v>
      </c>
      <c r="J37" s="89" t="n">
        <v>0.0188172043010753</v>
      </c>
      <c r="K37" s="174" t="n">
        <f aca="false">IF(COUNT(H37:J37)=0,"",AVERAGE(H37:J37))</f>
        <v>0.0112967229902714</v>
      </c>
      <c r="L37" s="90" t="n">
        <v>0.0416666666666667</v>
      </c>
      <c r="M37" s="90" t="n">
        <v>0.00403225806451613</v>
      </c>
      <c r="N37" s="90" t="n">
        <v>0.00833333333333333</v>
      </c>
      <c r="O37" s="175" t="n">
        <f aca="false">IF(COUNT(L37:N37)=0,"",AVERAGE(L37:N37))</f>
        <v>0.0180107526881721</v>
      </c>
      <c r="P37" s="124" t="n">
        <v>0.0336021505376344</v>
      </c>
      <c r="Q37" s="124"/>
      <c r="R37" s="124"/>
      <c r="S37" s="175" t="n">
        <f aca="false">IF(COUNT(P37:R37)=0,"",AVERAGE(P37:R37))</f>
        <v>0.0336021505376344</v>
      </c>
      <c r="T37" s="124"/>
      <c r="U37" s="124"/>
      <c r="V37" s="124"/>
      <c r="W37" s="175" t="str">
        <f aca="false">IF(COUNT(T37:V37)=0,"",AVERAGE(T37:V37))</f>
        <v/>
      </c>
      <c r="X37" s="125" t="n">
        <v>0.026481694828469</v>
      </c>
      <c r="Y37" s="114" t="s">
        <v>113</v>
      </c>
      <c r="Z37" s="78" t="s">
        <v>100</v>
      </c>
    </row>
    <row r="38" customFormat="false" ht="25.5" hidden="false" customHeight="true" outlineLevel="0" collapsed="false">
      <c r="A38" s="69" t="s">
        <v>118</v>
      </c>
      <c r="B38" s="70" t="s">
        <v>119</v>
      </c>
      <c r="C38" s="71" t="s">
        <v>35</v>
      </c>
      <c r="D38" s="71" t="s">
        <v>97</v>
      </c>
      <c r="E38" s="69" t="s">
        <v>501</v>
      </c>
      <c r="F38" s="87" t="s">
        <v>32</v>
      </c>
      <c r="G38" s="91" t="s">
        <v>32</v>
      </c>
      <c r="H38" s="89" t="n">
        <v>0.0573345654706899</v>
      </c>
      <c r="I38" s="89" t="n">
        <v>0.0361555573423387</v>
      </c>
      <c r="J38" s="89" t="n">
        <v>0.0420633378667185</v>
      </c>
      <c r="K38" s="174" t="n">
        <f aca="false">IF(COUNT(H38:J38)=0,"",AVERAGE(H38:J38))</f>
        <v>0.045184486893249</v>
      </c>
      <c r="L38" s="90" t="n">
        <v>0.0251872021783526</v>
      </c>
      <c r="M38" s="90" t="n">
        <v>0.0389951803709654</v>
      </c>
      <c r="N38" s="90" t="n">
        <v>0.0436687600408938</v>
      </c>
      <c r="O38" s="174" t="n">
        <f aca="false">IF(COUNT(L38:N38)=0,"",AVERAGE(L38:N38))</f>
        <v>0.0359503808634039</v>
      </c>
      <c r="P38" s="90" t="n">
        <v>0.0703788910277478</v>
      </c>
      <c r="Q38" s="90"/>
      <c r="R38" s="90"/>
      <c r="S38" s="174" t="n">
        <f aca="false">IF(COUNT(P38:R38)=0,"",AVERAGE(P38:R38))</f>
        <v>0.0703788910277478</v>
      </c>
      <c r="T38" s="90"/>
      <c r="U38" s="90"/>
      <c r="V38" s="90"/>
      <c r="W38" s="174" t="str">
        <f aca="false">IF(COUNT(T38:V38)=0,"",AVERAGE(T38:V38))</f>
        <v/>
      </c>
      <c r="X38" s="92" t="n">
        <v>0.0351858445358008</v>
      </c>
      <c r="Y38" s="114" t="s">
        <v>120</v>
      </c>
      <c r="Z38" s="78" t="s">
        <v>100</v>
      </c>
    </row>
    <row r="39" customFormat="false" ht="25.5" hidden="false" customHeight="true" outlineLevel="0" collapsed="false">
      <c r="A39" s="69" t="s">
        <v>127</v>
      </c>
      <c r="B39" s="70" t="s">
        <v>128</v>
      </c>
      <c r="C39" s="71" t="s">
        <v>35</v>
      </c>
      <c r="D39" s="71" t="s">
        <v>110</v>
      </c>
      <c r="E39" s="69" t="s">
        <v>501</v>
      </c>
      <c r="F39" s="102" t="s">
        <v>32</v>
      </c>
      <c r="G39" s="75" t="s">
        <v>32</v>
      </c>
      <c r="H39" s="81" t="n">
        <v>0.00153357432358418</v>
      </c>
      <c r="I39" s="81" t="n">
        <v>0.000972695060098659</v>
      </c>
      <c r="J39" s="81" t="n">
        <v>0.00130414531904984</v>
      </c>
      <c r="K39" s="176" t="n">
        <f aca="false">IF(COUNT(H39:J39)=0,"",AVERAGE(H39:J39))</f>
        <v>0.00127013823424423</v>
      </c>
      <c r="L39" s="103" t="n">
        <v>0.000788710177178108</v>
      </c>
      <c r="M39" s="103" t="n">
        <v>0.00112962439988704</v>
      </c>
      <c r="N39" s="103" t="n">
        <v>0.00112962439988704</v>
      </c>
      <c r="O39" s="176" t="n">
        <f aca="false">IF(COUNT(L39:N39)=0,"",AVERAGE(L39:N39))</f>
        <v>0.00101598632565073</v>
      </c>
      <c r="P39" s="103" t="n">
        <v>0.00238887466939681</v>
      </c>
      <c r="Q39" s="103"/>
      <c r="R39" s="103"/>
      <c r="S39" s="176" t="n">
        <f aca="false">IF(COUNT(P39:R39)=0,"",AVERAGE(P39:R39))</f>
        <v>0.00238887466939681</v>
      </c>
      <c r="T39" s="103"/>
      <c r="U39" s="103"/>
      <c r="V39" s="103"/>
      <c r="W39" s="176" t="str">
        <f aca="false">IF(COUNT(T39:V39)=0,"",AVERAGE(T39:V39))</f>
        <v/>
      </c>
      <c r="X39" s="104" t="n">
        <v>0.00102942420571117</v>
      </c>
      <c r="Y39" s="114" t="s">
        <v>120</v>
      </c>
      <c r="Z39" s="78" t="s">
        <v>100</v>
      </c>
    </row>
    <row r="40" customFormat="false" ht="25.5" hidden="false" customHeight="true" outlineLevel="0" collapsed="false">
      <c r="A40" s="69" t="s">
        <v>129</v>
      </c>
      <c r="B40" s="70" t="s">
        <v>130</v>
      </c>
      <c r="C40" s="71" t="s">
        <v>35</v>
      </c>
      <c r="D40" s="71" t="s">
        <v>110</v>
      </c>
      <c r="E40" s="69" t="s">
        <v>501</v>
      </c>
      <c r="F40" s="102" t="s">
        <v>32</v>
      </c>
      <c r="G40" s="75" t="s">
        <v>32</v>
      </c>
      <c r="H40" s="81" t="n">
        <v>0.00745991686460808</v>
      </c>
      <c r="I40" s="81" t="n">
        <v>0.00519917227108122</v>
      </c>
      <c r="J40" s="81" t="n">
        <v>0.00624592150647898</v>
      </c>
      <c r="K40" s="176" t="n">
        <f aca="false">IF(COUNT(H40:J40)=0,"",AVERAGE(H40:J40))</f>
        <v>0.00630167021405609</v>
      </c>
      <c r="L40" s="103" t="n">
        <v>0.00430535920832798</v>
      </c>
      <c r="M40" s="103" t="n">
        <v>0.00565082935057633</v>
      </c>
      <c r="N40" s="103" t="n">
        <v>0.00565082935057633</v>
      </c>
      <c r="O40" s="176" t="n">
        <f aca="false">IF(COUNT(L40:N40)=0,"",AVERAGE(L40:N40))</f>
        <v>0.00520233930316021</v>
      </c>
      <c r="P40" s="103" t="n">
        <v>0.00842179138520923</v>
      </c>
      <c r="Q40" s="103"/>
      <c r="R40" s="103"/>
      <c r="S40" s="176" t="n">
        <f aca="false">IF(COUNT(P40:R40)=0,"",AVERAGE(P40:R40))</f>
        <v>0.00842179138520923</v>
      </c>
      <c r="T40" s="103"/>
      <c r="U40" s="103"/>
      <c r="V40" s="103"/>
      <c r="W40" s="176" t="str">
        <f aca="false">IF(COUNT(T40:V40)=0,"",AVERAGE(T40:V40))</f>
        <v/>
      </c>
      <c r="X40" s="104" t="n">
        <v>0.00530351471119204</v>
      </c>
      <c r="Y40" s="114" t="s">
        <v>120</v>
      </c>
      <c r="Z40" s="78" t="s">
        <v>100</v>
      </c>
    </row>
    <row r="41" customFormat="false" ht="25.5" hidden="false" customHeight="true" outlineLevel="0" collapsed="false">
      <c r="A41" s="69" t="s">
        <v>139</v>
      </c>
      <c r="B41" s="70" t="s">
        <v>140</v>
      </c>
      <c r="C41" s="71" t="s">
        <v>35</v>
      </c>
      <c r="D41" s="71" t="s">
        <v>97</v>
      </c>
      <c r="E41" s="69" t="s">
        <v>501</v>
      </c>
      <c r="F41" s="87" t="n">
        <v>0.646</v>
      </c>
      <c r="G41" s="88" t="s">
        <v>141</v>
      </c>
      <c r="H41" s="89" t="n">
        <v>0.880074610489357</v>
      </c>
      <c r="I41" s="89" t="n">
        <v>0.878158406219631</v>
      </c>
      <c r="J41" s="89" t="n">
        <v>0.828045854438816</v>
      </c>
      <c r="K41" s="174" t="n">
        <f aca="false">IF(COUNT(H41:J41)=0,"",AVERAGE(H41:J41))</f>
        <v>0.862092957049268</v>
      </c>
      <c r="L41" s="90" t="n">
        <v>0.816666666666667</v>
      </c>
      <c r="M41" s="90" t="n">
        <v>0.795654492135431</v>
      </c>
      <c r="N41" s="90" t="n">
        <v>0.827823691460055</v>
      </c>
      <c r="O41" s="174" t="n">
        <f aca="false">IF(COUNT(L41:N41)=0,"",AVERAGE(L41:N41))</f>
        <v>0.813381616754051</v>
      </c>
      <c r="P41" s="90" t="n">
        <v>0.922687283391096</v>
      </c>
      <c r="Q41" s="90"/>
      <c r="R41" s="90"/>
      <c r="S41" s="174" t="n">
        <f aca="false">IF(COUNT(P41:R41)=0,"",AVERAGE(P41:R41))</f>
        <v>0.922687283391096</v>
      </c>
      <c r="T41" s="90"/>
      <c r="U41" s="90"/>
      <c r="V41" s="90"/>
      <c r="W41" s="174" t="str">
        <f aca="false">IF(COUNT(T41:V41)=0,"",AVERAGE(T41:V41))</f>
        <v/>
      </c>
      <c r="X41" s="92" t="n">
        <v>0.839379811857967</v>
      </c>
      <c r="Y41" s="114" t="s">
        <v>113</v>
      </c>
      <c r="Z41" s="78" t="s">
        <v>100</v>
      </c>
    </row>
    <row r="42" customFormat="false" ht="25.5" hidden="false" customHeight="true" outlineLevel="0" collapsed="false">
      <c r="A42" s="69" t="s">
        <v>142</v>
      </c>
      <c r="B42" s="70" t="s">
        <v>143</v>
      </c>
      <c r="C42" s="71" t="s">
        <v>35</v>
      </c>
      <c r="D42" s="71" t="s">
        <v>97</v>
      </c>
      <c r="E42" s="69" t="s">
        <v>501</v>
      </c>
      <c r="F42" s="96" t="n">
        <v>3.9</v>
      </c>
      <c r="G42" s="97" t="n">
        <v>3.77</v>
      </c>
      <c r="H42" s="177" t="n">
        <v>4.76278290025147</v>
      </c>
      <c r="I42" s="177" t="n">
        <v>4.44663677130045</v>
      </c>
      <c r="J42" s="177" t="n">
        <v>5.26916058394161</v>
      </c>
      <c r="K42" s="178" t="n">
        <f aca="false">IF(COUNT(H42:J42)=0,"",AVERAGE(H42:J42))</f>
        <v>4.82619341849784</v>
      </c>
      <c r="L42" s="179" t="n">
        <v>6.58238884045336</v>
      </c>
      <c r="M42" s="179" t="n">
        <v>5.55730337078652</v>
      </c>
      <c r="N42" s="179" t="n">
        <v>5.00200668896321</v>
      </c>
      <c r="O42" s="180" t="n">
        <f aca="false">IF(COUNT(L42:N42)=0,"",AVERAGE(L42:N42))</f>
        <v>5.71389963340103</v>
      </c>
      <c r="P42" s="98" t="n">
        <v>5.66844563042028</v>
      </c>
      <c r="Q42" s="98"/>
      <c r="R42" s="98"/>
      <c r="S42" s="180" t="n">
        <f aca="false">IF(COUNT(P42:R42)=0,"",AVERAGE(P42:R42))</f>
        <v>5.66844563042028</v>
      </c>
      <c r="T42" s="98"/>
      <c r="U42" s="98"/>
      <c r="V42" s="98"/>
      <c r="W42" s="180" t="str">
        <f aca="false">IF(COUNT(T42:V42)=0,"",AVERAGE(T42:V42))</f>
        <v/>
      </c>
      <c r="X42" s="100" t="n">
        <v>5.7042911294756</v>
      </c>
      <c r="Y42" s="114" t="s">
        <v>113</v>
      </c>
      <c r="Z42" s="78" t="s">
        <v>100</v>
      </c>
    </row>
    <row r="43" customFormat="false" ht="25.5" hidden="false" customHeight="true" outlineLevel="0" collapsed="false">
      <c r="A43" s="69" t="s">
        <v>154</v>
      </c>
      <c r="B43" s="70" t="s">
        <v>155</v>
      </c>
      <c r="C43" s="71" t="s">
        <v>34</v>
      </c>
      <c r="D43" s="71" t="s">
        <v>97</v>
      </c>
      <c r="E43" s="69" t="s">
        <v>501</v>
      </c>
      <c r="F43" s="102" t="n">
        <v>0.18</v>
      </c>
      <c r="G43" s="82" t="n">
        <v>0</v>
      </c>
      <c r="H43" s="103" t="n">
        <v>0</v>
      </c>
      <c r="I43" s="103" t="n">
        <v>0</v>
      </c>
      <c r="J43" s="81" t="n">
        <v>0</v>
      </c>
      <c r="K43" s="176" t="n">
        <f aca="false">IF(COUNT(H43:J43)=0,"",SUM(H43:J43))</f>
        <v>0</v>
      </c>
      <c r="L43" s="74" t="n">
        <v>0</v>
      </c>
      <c r="M43" s="103" t="n">
        <v>0</v>
      </c>
      <c r="N43" s="103" t="n">
        <v>0</v>
      </c>
      <c r="O43" s="176" t="n">
        <f aca="false">IF(COUNT(L43:N43)=0,"",SUM(L43:N43))</f>
        <v>0</v>
      </c>
      <c r="P43" s="103" t="n">
        <v>0</v>
      </c>
      <c r="Q43" s="103"/>
      <c r="R43" s="103"/>
      <c r="S43" s="176" t="n">
        <v>0</v>
      </c>
      <c r="T43" s="103"/>
      <c r="U43" s="103"/>
      <c r="V43" s="103"/>
      <c r="W43" s="176" t="n">
        <v>0</v>
      </c>
      <c r="X43" s="104" t="n">
        <v>0</v>
      </c>
      <c r="Y43" s="114" t="s">
        <v>104</v>
      </c>
      <c r="Z43" s="78" t="s">
        <v>100</v>
      </c>
    </row>
    <row r="44" customFormat="false" ht="25.5" hidden="false" customHeight="true" outlineLevel="0" collapsed="false">
      <c r="A44" s="69" t="s">
        <v>156</v>
      </c>
      <c r="B44" s="70" t="s">
        <v>157</v>
      </c>
      <c r="C44" s="71" t="s">
        <v>34</v>
      </c>
      <c r="D44" s="71" t="s">
        <v>110</v>
      </c>
      <c r="E44" s="69" t="s">
        <v>501</v>
      </c>
      <c r="F44" s="87" t="n">
        <v>0.974</v>
      </c>
      <c r="G44" s="88" t="n">
        <v>0.98</v>
      </c>
      <c r="H44" s="89" t="n">
        <v>0.945081081081081</v>
      </c>
      <c r="I44" s="89" t="n">
        <v>0.926425269645609</v>
      </c>
      <c r="J44" s="89" t="n">
        <v>0.942833607907743</v>
      </c>
      <c r="K44" s="174" t="n">
        <f aca="false">IF(COUNT(H44:J44)=0,"",AVERAGE(H44:J44))</f>
        <v>0.938113319544811</v>
      </c>
      <c r="L44" s="90" t="n">
        <v>0.956218103679828</v>
      </c>
      <c r="M44" s="90" t="n">
        <v>0.940957886044591</v>
      </c>
      <c r="N44" s="90" t="n">
        <v>0.971983122362869</v>
      </c>
      <c r="O44" s="174" t="n">
        <f aca="false">IF(COUNT(L44:N44)=0,"",AVERAGE(L44:N44))</f>
        <v>0.956386370695763</v>
      </c>
      <c r="P44" s="90" t="n">
        <v>0.983301707779886</v>
      </c>
      <c r="Q44" s="90"/>
      <c r="R44" s="90"/>
      <c r="S44" s="174" t="n">
        <f aca="false">IF(COUNT(P44:R44)=0,"",AVERAGE(P44:R44))</f>
        <v>0.983301707779886</v>
      </c>
      <c r="T44" s="90"/>
      <c r="U44" s="90"/>
      <c r="V44" s="90"/>
      <c r="W44" s="174" t="str">
        <f aca="false">IF(COUNT(T44:V44)=0,"",AVERAGE(T44:V44))</f>
        <v/>
      </c>
      <c r="X44" s="92" t="n">
        <v>0.94716571161232</v>
      </c>
      <c r="Y44" s="114" t="s">
        <v>113</v>
      </c>
      <c r="Z44" s="78" t="s">
        <v>100</v>
      </c>
    </row>
    <row r="45" customFormat="false" ht="25.5" hidden="false" customHeight="true" outlineLevel="0" collapsed="false">
      <c r="A45" s="69" t="s">
        <v>158</v>
      </c>
      <c r="B45" s="70" t="s">
        <v>159</v>
      </c>
      <c r="C45" s="71" t="s">
        <v>34</v>
      </c>
      <c r="D45" s="71" t="s">
        <v>97</v>
      </c>
      <c r="E45" s="69" t="s">
        <v>501</v>
      </c>
      <c r="F45" s="108"/>
      <c r="G45" s="109" t="n">
        <v>60</v>
      </c>
      <c r="H45" s="123" t="n">
        <v>59</v>
      </c>
      <c r="I45" s="123" t="n">
        <v>60</v>
      </c>
      <c r="J45" s="123" t="n">
        <v>58</v>
      </c>
      <c r="K45" s="181" t="n">
        <f aca="false">IF(COUNT(H45:J45)=0,"",AVERAGE(H45:J45))</f>
        <v>59</v>
      </c>
      <c r="L45" s="110" t="n">
        <v>59.7</v>
      </c>
      <c r="M45" s="110" t="n">
        <v>58</v>
      </c>
      <c r="N45" s="110"/>
      <c r="O45" s="181" t="n">
        <f aca="false">IF(COUNT(L45:N45)=0,"",AVERAGE(L45:N45))</f>
        <v>58.85</v>
      </c>
      <c r="P45" s="110" t="n">
        <v>53</v>
      </c>
      <c r="Q45" s="110"/>
      <c r="R45" s="110"/>
      <c r="S45" s="181" t="n">
        <f aca="false">IF(COUNT(P45:R45)=0,"",AVERAGE(P45:R45))</f>
        <v>53</v>
      </c>
      <c r="T45" s="110"/>
      <c r="U45" s="110"/>
      <c r="V45" s="110"/>
      <c r="W45" s="181" t="str">
        <f aca="false">IF(COUNT(T45:V45)=0,"",AVERAGE(T45:V45))</f>
        <v/>
      </c>
      <c r="X45" s="112" t="n">
        <v>0.995283613445378</v>
      </c>
      <c r="Y45" s="114" t="s">
        <v>99</v>
      </c>
      <c r="Z45" s="78" t="s">
        <v>100</v>
      </c>
    </row>
    <row r="46" customFormat="false" ht="25.5" hidden="false" customHeight="true" outlineLevel="0" collapsed="false">
      <c r="A46" s="69" t="s">
        <v>160</v>
      </c>
      <c r="B46" s="70" t="s">
        <v>161</v>
      </c>
      <c r="C46" s="71" t="s">
        <v>34</v>
      </c>
      <c r="D46" s="71" t="s">
        <v>110</v>
      </c>
      <c r="E46" s="69" t="s">
        <v>501</v>
      </c>
      <c r="F46" s="87" t="n">
        <v>1</v>
      </c>
      <c r="G46" s="88" t="n">
        <v>1</v>
      </c>
      <c r="H46" s="89" t="n">
        <v>1</v>
      </c>
      <c r="I46" s="89" t="n">
        <v>1</v>
      </c>
      <c r="J46" s="89" t="n">
        <v>1</v>
      </c>
      <c r="K46" s="174" t="n">
        <f aca="false">IF(COUNT(H46:J46)=0,"",AVERAGE(H46:J46))</f>
        <v>1</v>
      </c>
      <c r="L46" s="90" t="n">
        <v>1</v>
      </c>
      <c r="M46" s="90" t="n">
        <v>1</v>
      </c>
      <c r="N46" s="90" t="n">
        <v>1</v>
      </c>
      <c r="O46" s="174" t="n">
        <f aca="false">IF(COUNT(L46:N46)=0,"",AVERAGE(L46:N46))</f>
        <v>1</v>
      </c>
      <c r="P46" s="90" t="n">
        <v>1</v>
      </c>
      <c r="Q46" s="90"/>
      <c r="R46" s="90"/>
      <c r="S46" s="174" t="n">
        <f aca="false">IF(COUNT(P46:R46)=0,"",AVERAGE(P46:R46))</f>
        <v>1</v>
      </c>
      <c r="T46" s="90"/>
      <c r="U46" s="90"/>
      <c r="V46" s="90"/>
      <c r="W46" s="174" t="str">
        <f aca="false">IF(COUNT(T46:V46)=0,"",AVERAGE(T46:V46))</f>
        <v/>
      </c>
      <c r="X46" s="92" t="n">
        <v>1</v>
      </c>
      <c r="Y46" s="114" t="s">
        <v>104</v>
      </c>
      <c r="Z46" s="78" t="s">
        <v>100</v>
      </c>
    </row>
    <row r="47" customFormat="false" ht="25.5" hidden="false" customHeight="true" outlineLevel="0" collapsed="false">
      <c r="A47" s="69" t="s">
        <v>162</v>
      </c>
      <c r="B47" s="70" t="s">
        <v>163</v>
      </c>
      <c r="C47" s="71" t="s">
        <v>34</v>
      </c>
      <c r="D47" s="71" t="s">
        <v>97</v>
      </c>
      <c r="E47" s="69" t="s">
        <v>501</v>
      </c>
      <c r="F47" s="87" t="n">
        <v>0.01</v>
      </c>
      <c r="G47" s="88" t="n">
        <v>0.012</v>
      </c>
      <c r="H47" s="89" t="n">
        <v>0.0224215246636771</v>
      </c>
      <c r="I47" s="89" t="n">
        <v>0.0223978919631094</v>
      </c>
      <c r="J47" s="89" t="n">
        <v>0.014449638759031</v>
      </c>
      <c r="K47" s="174" t="n">
        <f aca="false">IF(COUNT(H47:J47)=0,"",AVERAGE(H47:J47))</f>
        <v>0.0197563517952725</v>
      </c>
      <c r="L47" s="90" t="n">
        <v>0.016537158796573</v>
      </c>
      <c r="M47" s="90" t="n">
        <v>0.0141828958509738</v>
      </c>
      <c r="N47" s="90" t="n">
        <v>0.0201881165404909</v>
      </c>
      <c r="O47" s="174" t="n">
        <f aca="false">IF(COUNT(L47:N47)=0,"",AVERAGE(L47:N47))</f>
        <v>0.0169693903960126</v>
      </c>
      <c r="P47" s="90" t="n">
        <v>0.0172455089820359</v>
      </c>
      <c r="Q47" s="90"/>
      <c r="R47" s="90"/>
      <c r="S47" s="174" t="n">
        <f aca="false">IF(COUNT(P47:R47)=0,"",AVERAGE(P47:R47))</f>
        <v>0.0172455089820359</v>
      </c>
      <c r="T47" s="90"/>
      <c r="U47" s="90"/>
      <c r="V47" s="90"/>
      <c r="W47" s="174" t="str">
        <f aca="false">IF(COUNT(T47:V47)=0,"",AVERAGE(T47:V47))</f>
        <v/>
      </c>
      <c r="X47" s="92" t="n">
        <v>0.0181467552959228</v>
      </c>
      <c r="Y47" s="114" t="s">
        <v>113</v>
      </c>
      <c r="Z47" s="78" t="s">
        <v>100</v>
      </c>
    </row>
    <row r="48" customFormat="false" ht="25.5" hidden="false" customHeight="true" outlineLevel="0" collapsed="false">
      <c r="A48" s="69" t="s">
        <v>164</v>
      </c>
      <c r="B48" s="70" t="s">
        <v>165</v>
      </c>
      <c r="C48" s="71" t="s">
        <v>166</v>
      </c>
      <c r="D48" s="71" t="s">
        <v>110</v>
      </c>
      <c r="E48" s="69" t="s">
        <v>501</v>
      </c>
      <c r="F48" s="87" t="n">
        <v>0.788</v>
      </c>
      <c r="G48" s="88" t="n">
        <v>0.9</v>
      </c>
      <c r="H48" s="89" t="n">
        <v>0.9266</v>
      </c>
      <c r="I48" s="90" t="n">
        <v>0.9256</v>
      </c>
      <c r="J48" s="90" t="n">
        <v>0.8574</v>
      </c>
      <c r="K48" s="174" t="n">
        <f aca="false">IF(COUNT(H48:J48)=0,"",AVERAGE(H48:J48))</f>
        <v>0.9032</v>
      </c>
      <c r="L48" s="90" t="n">
        <v>0.8732</v>
      </c>
      <c r="M48" s="90" t="n">
        <v>0.865</v>
      </c>
      <c r="N48" s="90" t="n">
        <v>0.8569</v>
      </c>
      <c r="O48" s="174" t="n">
        <f aca="false">IF(COUNT(L48:N48)=0,"",AVERAGE(L48:N48))</f>
        <v>0.865033333333333</v>
      </c>
      <c r="P48" s="90" t="n">
        <v>0.929</v>
      </c>
      <c r="Q48" s="90"/>
      <c r="R48" s="90"/>
      <c r="S48" s="174" t="n">
        <f aca="false">IF(COUNT(P48:R48)=0,"",AVERAGE(P48:R48))</f>
        <v>0.929</v>
      </c>
      <c r="T48" s="90"/>
      <c r="U48" s="90"/>
      <c r="V48" s="90"/>
      <c r="W48" s="174" t="str">
        <f aca="false">IF(COUNT(T48:V48)=0,"",AVERAGE(T48:V48))</f>
        <v/>
      </c>
      <c r="X48" s="92" t="n">
        <v>0.9266</v>
      </c>
      <c r="Y48" s="114" t="s">
        <v>104</v>
      </c>
      <c r="Z48" s="78" t="s">
        <v>105</v>
      </c>
    </row>
    <row r="49" customFormat="false" ht="25.5" hidden="false" customHeight="true" outlineLevel="0" collapsed="false">
      <c r="A49" s="69" t="s">
        <v>167</v>
      </c>
      <c r="B49" s="70" t="s">
        <v>168</v>
      </c>
      <c r="C49" s="71" t="s">
        <v>166</v>
      </c>
      <c r="D49" s="71" t="s">
        <v>110</v>
      </c>
      <c r="E49" s="69" t="s">
        <v>501</v>
      </c>
      <c r="F49" s="87" t="n">
        <v>0.988</v>
      </c>
      <c r="G49" s="88" t="n">
        <v>0.99</v>
      </c>
      <c r="H49" s="89" t="n">
        <v>1</v>
      </c>
      <c r="I49" s="89" t="n">
        <v>1</v>
      </c>
      <c r="J49" s="89" t="n">
        <v>1</v>
      </c>
      <c r="K49" s="174" t="n">
        <f aca="false">IF(COUNT(H49:J49)=0,"",AVERAGE(H49:J49))</f>
        <v>1</v>
      </c>
      <c r="L49" s="90" t="n">
        <v>1</v>
      </c>
      <c r="M49" s="90" t="n">
        <v>1</v>
      </c>
      <c r="N49" s="90"/>
      <c r="O49" s="174" t="n">
        <f aca="false">IF(COUNT(L49:N49)=0,"",AVERAGE(L49:N49))</f>
        <v>1</v>
      </c>
      <c r="P49" s="90"/>
      <c r="Q49" s="90"/>
      <c r="R49" s="90"/>
      <c r="S49" s="174" t="str">
        <f aca="false">IF(COUNT(P49:R49)=0,"",AVERAGE(P49:R49))</f>
        <v/>
      </c>
      <c r="T49" s="90"/>
      <c r="U49" s="90"/>
      <c r="V49" s="90"/>
      <c r="W49" s="174" t="str">
        <f aca="false">IF(COUNT(T49:V49)=0,"",AVERAGE(T49:V49))</f>
        <v/>
      </c>
      <c r="X49" s="92" t="n">
        <v>1</v>
      </c>
      <c r="Y49" s="114" t="s">
        <v>104</v>
      </c>
      <c r="Z49" s="78" t="s">
        <v>100</v>
      </c>
    </row>
    <row r="50" customFormat="false" ht="25.5" hidden="false" customHeight="true" outlineLevel="0" collapsed="false">
      <c r="A50" s="69" t="s">
        <v>169</v>
      </c>
      <c r="B50" s="70" t="s">
        <v>170</v>
      </c>
      <c r="C50" s="71" t="s">
        <v>166</v>
      </c>
      <c r="D50" s="71" t="s">
        <v>110</v>
      </c>
      <c r="E50" s="69" t="s">
        <v>501</v>
      </c>
      <c r="F50" s="87" t="n">
        <v>0.92</v>
      </c>
      <c r="G50" s="88" t="n">
        <v>0.93</v>
      </c>
      <c r="H50" s="89" t="n">
        <v>0.925491548809935</v>
      </c>
      <c r="I50" s="89" t="n">
        <v>0.868577075098814</v>
      </c>
      <c r="J50" s="89" t="n">
        <v>0.86910327241819</v>
      </c>
      <c r="K50" s="174" t="n">
        <f aca="false">IF(COUNT(H50:J50)=0,"",AVERAGE(H50:J50))</f>
        <v>0.887723965442313</v>
      </c>
      <c r="L50" s="90" t="n">
        <v>0.860828850368599</v>
      </c>
      <c r="M50" s="90" t="n">
        <v>0.8921</v>
      </c>
      <c r="N50" s="90" t="n">
        <v>0.977591345623137</v>
      </c>
      <c r="O50" s="174" t="n">
        <f aca="false">IF(COUNT(L50:N50)=0,"",AVERAGE(L50:N50))</f>
        <v>0.910173398663912</v>
      </c>
      <c r="P50" s="90" t="n">
        <v>0.947</v>
      </c>
      <c r="Q50" s="90"/>
      <c r="R50" s="90"/>
      <c r="S50" s="174" t="n">
        <f aca="false">IF(COUNT(P50:R50)=0,"",AVERAGE(P50:R50))</f>
        <v>0.947</v>
      </c>
      <c r="T50" s="90"/>
      <c r="U50" s="90"/>
      <c r="V50" s="90"/>
      <c r="W50" s="174" t="str">
        <f aca="false">IF(COUNT(T50:V50)=0,"",AVERAGE(T50:V50))</f>
        <v/>
      </c>
      <c r="X50" s="92" t="n">
        <v>0.873887254665874</v>
      </c>
      <c r="Y50" s="114" t="s">
        <v>113</v>
      </c>
      <c r="Z50" s="78" t="s">
        <v>100</v>
      </c>
    </row>
    <row r="51" customFormat="false" ht="25.5" hidden="false" customHeight="true" outlineLevel="0" collapsed="false">
      <c r="A51" s="69" t="s">
        <v>171</v>
      </c>
      <c r="B51" s="70" t="s">
        <v>172</v>
      </c>
      <c r="C51" s="71" t="s">
        <v>166</v>
      </c>
      <c r="D51" s="71" t="s">
        <v>97</v>
      </c>
      <c r="E51" s="69" t="s">
        <v>501</v>
      </c>
      <c r="F51" s="72" t="n">
        <v>0.55</v>
      </c>
      <c r="G51" s="73" t="s">
        <v>32</v>
      </c>
      <c r="H51" s="106" t="n">
        <v>0</v>
      </c>
      <c r="I51" s="106" t="n">
        <v>0</v>
      </c>
      <c r="J51" s="106" t="n">
        <v>0</v>
      </c>
      <c r="K51" s="182" t="n">
        <f aca="false">IF(COUNT(H51:J51)=0,"",SUM(H51:J51))</f>
        <v>0</v>
      </c>
      <c r="L51" s="74" t="n">
        <v>0</v>
      </c>
      <c r="M51" s="74" t="n">
        <v>0</v>
      </c>
      <c r="N51" s="74" t="n">
        <v>1</v>
      </c>
      <c r="O51" s="182" t="n">
        <f aca="false">IF(COUNT(L51:N51)=0,"",SUM(L51:N51))</f>
        <v>1</v>
      </c>
      <c r="P51" s="74" t="n">
        <v>0</v>
      </c>
      <c r="Q51" s="74"/>
      <c r="R51" s="74"/>
      <c r="S51" s="182" t="n">
        <v>0</v>
      </c>
      <c r="T51" s="74"/>
      <c r="U51" s="74"/>
      <c r="V51" s="74"/>
      <c r="W51" s="182" t="n">
        <v>0</v>
      </c>
      <c r="X51" s="76" t="n">
        <v>0</v>
      </c>
      <c r="Y51" s="114" t="s">
        <v>120</v>
      </c>
      <c r="Z51" s="78" t="s">
        <v>100</v>
      </c>
    </row>
    <row r="52" customFormat="false" ht="25.5" hidden="false" customHeight="true" outlineLevel="0" collapsed="false">
      <c r="A52" s="69" t="s">
        <v>174</v>
      </c>
      <c r="B52" s="70" t="s">
        <v>175</v>
      </c>
      <c r="C52" s="71" t="s">
        <v>166</v>
      </c>
      <c r="D52" s="71" t="s">
        <v>110</v>
      </c>
      <c r="E52" s="69" t="s">
        <v>501</v>
      </c>
      <c r="F52" s="87" t="n">
        <v>0.828</v>
      </c>
      <c r="G52" s="88" t="n">
        <v>0.8538</v>
      </c>
      <c r="H52" s="89" t="n">
        <v>0.81</v>
      </c>
      <c r="I52" s="89" t="n">
        <v>0.737</v>
      </c>
      <c r="J52" s="89" t="n">
        <v>0.617582417582418</v>
      </c>
      <c r="K52" s="174" t="n">
        <f aca="false">IF(COUNT(H52:J52)=0,"",AVERAGE(H52:J52))</f>
        <v>0.721527472527473</v>
      </c>
      <c r="L52" s="90" t="n">
        <v>0.743571428571429</v>
      </c>
      <c r="M52" s="90" t="n">
        <v>0.572321428571429</v>
      </c>
      <c r="N52" s="90" t="n">
        <v>0.856666666666667</v>
      </c>
      <c r="O52" s="174" t="n">
        <f aca="false">IF(COUNT(L52:N52)=0,"",AVERAGE(L52:N52))</f>
        <v>0.724186507936508</v>
      </c>
      <c r="P52" s="90" t="n">
        <v>0.8875</v>
      </c>
      <c r="Q52" s="90"/>
      <c r="R52" s="90"/>
      <c r="S52" s="174" t="n">
        <f aca="false">IF(COUNT(P52:R52)=0,"",AVERAGE(P52:R52))</f>
        <v>0.8875</v>
      </c>
      <c r="T52" s="90"/>
      <c r="U52" s="90"/>
      <c r="V52" s="90"/>
      <c r="W52" s="174" t="str">
        <f aca="false">IF(COUNT(T52:V52)=0,"",AVERAGE(T52:V52))</f>
        <v/>
      </c>
      <c r="X52" s="92" t="n">
        <v>0.732549450549451</v>
      </c>
      <c r="Y52" s="114" t="s">
        <v>113</v>
      </c>
      <c r="Z52" s="78" t="s">
        <v>100</v>
      </c>
    </row>
    <row r="53" customFormat="false" ht="25.5" hidden="false" customHeight="true" outlineLevel="0" collapsed="false">
      <c r="A53" s="69" t="s">
        <v>176</v>
      </c>
      <c r="B53" s="70" t="s">
        <v>177</v>
      </c>
      <c r="C53" s="71" t="s">
        <v>166</v>
      </c>
      <c r="D53" s="71" t="s">
        <v>97</v>
      </c>
      <c r="E53" s="69" t="s">
        <v>501</v>
      </c>
      <c r="F53" s="87" t="n">
        <v>0.017</v>
      </c>
      <c r="G53" s="88" t="n">
        <v>0.0145</v>
      </c>
      <c r="H53" s="89" t="n">
        <v>0.03</v>
      </c>
      <c r="I53" s="89" t="n">
        <v>0.015</v>
      </c>
      <c r="J53" s="89" t="n">
        <v>0.042</v>
      </c>
      <c r="K53" s="174" t="n">
        <f aca="false">IF(COUNT(H53:J53)=0,"",AVERAGE(H53:J53))</f>
        <v>0.029</v>
      </c>
      <c r="L53" s="90" t="n">
        <v>0.0189873417721519</v>
      </c>
      <c r="M53" s="90" t="n">
        <v>0</v>
      </c>
      <c r="N53" s="90" t="n">
        <v>0.00734394124847001</v>
      </c>
      <c r="O53" s="174" t="n">
        <f aca="false">IF(COUNT(L53:N53)=0,"",AVERAGE(L53:N53))</f>
        <v>0.0087770943402073</v>
      </c>
      <c r="P53" s="90" t="n">
        <v>0.011</v>
      </c>
      <c r="Q53" s="90"/>
      <c r="R53" s="90"/>
      <c r="S53" s="174" t="n">
        <f aca="false">IF(COUNT(P53:R53)=0,"",AVERAGE(P53:R53))</f>
        <v>0.011</v>
      </c>
      <c r="T53" s="90"/>
      <c r="U53" s="90"/>
      <c r="V53" s="90"/>
      <c r="W53" s="174" t="str">
        <f aca="false">IF(COUNT(T53:V53)=0,"",AVERAGE(T53:V53))</f>
        <v/>
      </c>
      <c r="X53" s="92" t="n">
        <v>0.023993670886076</v>
      </c>
      <c r="Y53" s="114" t="s">
        <v>113</v>
      </c>
      <c r="Z53" s="78" t="s">
        <v>100</v>
      </c>
    </row>
    <row r="54" customFormat="false" ht="25.5" hidden="false" customHeight="true" outlineLevel="0" collapsed="false">
      <c r="A54" s="69" t="s">
        <v>178</v>
      </c>
      <c r="B54" s="70" t="s">
        <v>179</v>
      </c>
      <c r="C54" s="71" t="s">
        <v>166</v>
      </c>
      <c r="D54" s="71" t="s">
        <v>97</v>
      </c>
      <c r="E54" s="69" t="s">
        <v>501</v>
      </c>
      <c r="F54" s="87" t="n">
        <v>0.019</v>
      </c>
      <c r="G54" s="88" t="n">
        <v>0.0162</v>
      </c>
      <c r="H54" s="89" t="n">
        <v>0.03</v>
      </c>
      <c r="I54" s="89" t="n">
        <v>0.0384277558190602</v>
      </c>
      <c r="J54" s="89" t="n">
        <v>0.036230344241394</v>
      </c>
      <c r="K54" s="174" t="n">
        <f aca="false">IF(COUNT(H54:J54)=0,"",AVERAGE(H54:J54))</f>
        <v>0.0348860333534847</v>
      </c>
      <c r="L54" s="90" t="n">
        <v>0.0609683203825463</v>
      </c>
      <c r="M54" s="90" t="n">
        <v>0.0535563082133785</v>
      </c>
      <c r="N54" s="90" t="n">
        <v>0.0290319019759355</v>
      </c>
      <c r="O54" s="174" t="n">
        <f aca="false">IF(COUNT(L54:N54)=0,"",AVERAGE(L54:N54))</f>
        <v>0.0478521768572868</v>
      </c>
      <c r="P54" s="90" t="n">
        <v>0.0228</v>
      </c>
      <c r="Q54" s="90"/>
      <c r="R54" s="90"/>
      <c r="S54" s="174" t="n">
        <f aca="false">IF(COUNT(P54:R54)=0,"",AVERAGE(P54:R54))</f>
        <v>0.0228</v>
      </c>
      <c r="T54" s="90"/>
      <c r="U54" s="90"/>
      <c r="V54" s="90"/>
      <c r="W54" s="174" t="str">
        <f aca="false">IF(COUNT(T54:V54)=0,"",AVERAGE(T54:V54))</f>
        <v/>
      </c>
      <c r="X54" s="92" t="n">
        <v>0.0479271768680155</v>
      </c>
      <c r="Y54" s="114" t="s">
        <v>113</v>
      </c>
      <c r="Z54" s="78" t="s">
        <v>100</v>
      </c>
    </row>
    <row r="55" customFormat="false" ht="25.5" hidden="false" customHeight="true" outlineLevel="0" collapsed="false">
      <c r="A55" s="69" t="s">
        <v>180</v>
      </c>
      <c r="B55" s="70" t="s">
        <v>181</v>
      </c>
      <c r="C55" s="71" t="s">
        <v>166</v>
      </c>
      <c r="D55" s="71" t="s">
        <v>97</v>
      </c>
      <c r="E55" s="69" t="s">
        <v>501</v>
      </c>
      <c r="F55" s="102" t="n">
        <v>0.01</v>
      </c>
      <c r="G55" s="82" t="n">
        <v>0.0085</v>
      </c>
      <c r="H55" s="81" t="n">
        <v>0</v>
      </c>
      <c r="I55" s="81" t="n">
        <v>0</v>
      </c>
      <c r="J55" s="81" t="n">
        <v>0</v>
      </c>
      <c r="K55" s="176" t="n">
        <f aca="false">IF(COUNT(H55:J55)=0,"",AVERAGE(H55:J55))</f>
        <v>0</v>
      </c>
      <c r="L55" s="103" t="n">
        <v>0</v>
      </c>
      <c r="M55" s="103" t="n">
        <v>0</v>
      </c>
      <c r="N55" s="103" t="n">
        <v>0.00680272108843537</v>
      </c>
      <c r="O55" s="176" t="n">
        <f aca="false">IF(COUNT(L55:N55)=0,"",AVERAGE(L55:N55))</f>
        <v>0.00226757369614512</v>
      </c>
      <c r="P55" s="103"/>
      <c r="Q55" s="103"/>
      <c r="R55" s="103"/>
      <c r="S55" s="176" t="str">
        <f aca="false">IF(COUNT(P55:R55)=0,"",AVERAGE(P55:R55))</f>
        <v/>
      </c>
      <c r="T55" s="103"/>
      <c r="U55" s="103"/>
      <c r="V55" s="103"/>
      <c r="W55" s="176" t="str">
        <f aca="false">IF(COUNT(T55:V55)=0,"",AVERAGE(T55:V55))</f>
        <v/>
      </c>
      <c r="X55" s="104" t="n">
        <v>0</v>
      </c>
      <c r="Y55" s="114" t="s">
        <v>104</v>
      </c>
      <c r="Z55" s="78" t="s">
        <v>100</v>
      </c>
    </row>
    <row r="56" customFormat="false" ht="25.5" hidden="false" customHeight="true" outlineLevel="0" collapsed="false">
      <c r="A56" s="69" t="s">
        <v>182</v>
      </c>
      <c r="B56" s="70" t="s">
        <v>183</v>
      </c>
      <c r="C56" s="71" t="s">
        <v>166</v>
      </c>
      <c r="D56" s="71" t="s">
        <v>97</v>
      </c>
      <c r="E56" s="69" t="s">
        <v>501</v>
      </c>
      <c r="F56" s="87" t="n">
        <v>0.072</v>
      </c>
      <c r="G56" s="88" t="n">
        <v>0.0612</v>
      </c>
      <c r="H56" s="89" t="n">
        <v>0.153846153846154</v>
      </c>
      <c r="I56" s="89" t="n">
        <v>0.17948717948718</v>
      </c>
      <c r="J56" s="89" t="n">
        <v>0.230769230769231</v>
      </c>
      <c r="K56" s="174" t="n">
        <f aca="false">IF(COUNT(H56:J56)=0,"",AVERAGE(H56:J56))</f>
        <v>0.188034188034188</v>
      </c>
      <c r="L56" s="90" t="n">
        <v>0.205128205128205</v>
      </c>
      <c r="M56" s="90" t="n">
        <v>0.153846153846154</v>
      </c>
      <c r="N56" s="90"/>
      <c r="O56" s="174" t="n">
        <f aca="false">IF(COUNT(L56:N56)=0,"",AVERAGE(L56:N56))</f>
        <v>0.17948717948718</v>
      </c>
      <c r="P56" s="90" t="n">
        <v>0.00564102564102564</v>
      </c>
      <c r="Q56" s="90"/>
      <c r="R56" s="90"/>
      <c r="S56" s="174" t="n">
        <f aca="false">IF(COUNT(P56:R56)=0,"",AVERAGE(P56:R56))</f>
        <v>0.00564102564102564</v>
      </c>
      <c r="T56" s="90"/>
      <c r="U56" s="90"/>
      <c r="V56" s="90"/>
      <c r="W56" s="174" t="str">
        <f aca="false">IF(COUNT(T56:V56)=0,"",AVERAGE(T56:V56))</f>
        <v/>
      </c>
      <c r="X56" s="92" t="n">
        <v>0.196581196581197</v>
      </c>
      <c r="Y56" s="114" t="s">
        <v>113</v>
      </c>
      <c r="Z56" s="78" t="s">
        <v>100</v>
      </c>
    </row>
    <row r="57" customFormat="false" ht="25.5" hidden="false" customHeight="true" outlineLevel="0" collapsed="false">
      <c r="A57" s="69" t="s">
        <v>184</v>
      </c>
      <c r="B57" s="70" t="s">
        <v>185</v>
      </c>
      <c r="C57" s="71" t="s">
        <v>166</v>
      </c>
      <c r="D57" s="71" t="s">
        <v>110</v>
      </c>
      <c r="E57" s="69" t="s">
        <v>501</v>
      </c>
      <c r="F57" s="87" t="n">
        <v>1</v>
      </c>
      <c r="G57" s="88" t="n">
        <v>1</v>
      </c>
      <c r="H57" s="89" t="n">
        <v>1</v>
      </c>
      <c r="I57" s="89" t="n">
        <v>1</v>
      </c>
      <c r="J57" s="89" t="n">
        <v>1</v>
      </c>
      <c r="K57" s="174" t="n">
        <f aca="false">IF(COUNT(H57:J57)=0,"",AVERAGE(H57:J57))</f>
        <v>1</v>
      </c>
      <c r="L57" s="90" t="n">
        <v>1</v>
      </c>
      <c r="M57" s="90" t="n">
        <v>1</v>
      </c>
      <c r="N57" s="90" t="n">
        <v>1</v>
      </c>
      <c r="O57" s="174" t="n">
        <f aca="false">IF(COUNT(L57:N57)=0,"",AVERAGE(L57:N57))</f>
        <v>1</v>
      </c>
      <c r="P57" s="90" t="n">
        <v>1</v>
      </c>
      <c r="Q57" s="90"/>
      <c r="R57" s="90"/>
      <c r="S57" s="174" t="n">
        <f aca="false">IF(COUNT(P57:R57)=0,"",AVERAGE(P57:R57))</f>
        <v>1</v>
      </c>
      <c r="T57" s="90"/>
      <c r="U57" s="90"/>
      <c r="V57" s="90"/>
      <c r="W57" s="174" t="str">
        <f aca="false">IF(COUNT(T57:V57)=0,"",AVERAGE(T57:V57))</f>
        <v/>
      </c>
      <c r="X57" s="92" t="n">
        <v>1</v>
      </c>
      <c r="Y57" s="114" t="s">
        <v>104</v>
      </c>
      <c r="Z57" s="78" t="s">
        <v>100</v>
      </c>
    </row>
    <row r="58" customFormat="false" ht="25.5" hidden="false" customHeight="true" outlineLevel="0" collapsed="false">
      <c r="A58" s="69" t="s">
        <v>186</v>
      </c>
      <c r="B58" s="70" t="s">
        <v>187</v>
      </c>
      <c r="C58" s="71" t="s">
        <v>166</v>
      </c>
      <c r="D58" s="71" t="s">
        <v>97</v>
      </c>
      <c r="E58" s="69" t="s">
        <v>501</v>
      </c>
      <c r="F58" s="102" t="n">
        <v>0.027</v>
      </c>
      <c r="G58" s="82" t="n">
        <v>0.0135</v>
      </c>
      <c r="H58" s="81" t="n">
        <v>0.0511316010058676</v>
      </c>
      <c r="I58" s="81" t="n">
        <v>0.0526315789473684</v>
      </c>
      <c r="J58" s="81" t="n">
        <v>0.0584343991179713</v>
      </c>
      <c r="K58" s="176" t="n">
        <f aca="false">IF(COUNT(H58:J58)=0,"",AVERAGE(H58:J58))</f>
        <v>0.0540658596904024</v>
      </c>
      <c r="L58" s="103" t="n">
        <v>0.0675675675675676</v>
      </c>
      <c r="M58" s="103" t="n">
        <v>0.0758693361433088</v>
      </c>
      <c r="N58" s="103" t="n">
        <v>0.0448</v>
      </c>
      <c r="O58" s="176" t="n">
        <f aca="false">IF(COUNT(L58:N58)=0,"",AVERAGE(L58:N58))</f>
        <v>0.0627456345702921</v>
      </c>
      <c r="P58" s="103" t="n">
        <v>0.0421052631578947</v>
      </c>
      <c r="Q58" s="103"/>
      <c r="R58" s="103"/>
      <c r="S58" s="176" t="n">
        <f aca="false">IF(COUNT(P58:R58)=0,"",AVERAGE(P58:R58))</f>
        <v>0.0421052631578947</v>
      </c>
      <c r="T58" s="103"/>
      <c r="U58" s="103"/>
      <c r="V58" s="103"/>
      <c r="W58" s="176" t="str">
        <f aca="false">IF(COUNT(T58:V58)=0,"",AVERAGE(T58:V58))</f>
        <v/>
      </c>
      <c r="X58" s="104" t="n">
        <v>0.060816713628985</v>
      </c>
      <c r="Y58" s="114" t="s">
        <v>113</v>
      </c>
      <c r="Z58" s="78" t="s">
        <v>100</v>
      </c>
    </row>
    <row r="59" customFormat="false" ht="25.5" hidden="false" customHeight="true" outlineLevel="0" collapsed="false">
      <c r="A59" s="69" t="s">
        <v>191</v>
      </c>
      <c r="B59" s="70" t="s">
        <v>192</v>
      </c>
      <c r="C59" s="71" t="s">
        <v>166</v>
      </c>
      <c r="D59" s="71" t="s">
        <v>110</v>
      </c>
      <c r="E59" s="69" t="s">
        <v>501</v>
      </c>
      <c r="F59" s="87" t="n">
        <v>0.8863</v>
      </c>
      <c r="G59" s="88" t="n">
        <v>0.8938</v>
      </c>
      <c r="H59" s="89" t="n">
        <v>0.9705</v>
      </c>
      <c r="I59" s="89" t="n">
        <v>0.8532</v>
      </c>
      <c r="J59" s="89" t="n">
        <v>1</v>
      </c>
      <c r="K59" s="174" t="n">
        <f aca="false">IF(COUNT(H59:J59)=0,"",AVERAGE(H59:J59))</f>
        <v>0.941233333333333</v>
      </c>
      <c r="L59" s="90" t="n">
        <v>0.8571</v>
      </c>
      <c r="M59" s="90" t="n">
        <v>0.7986</v>
      </c>
      <c r="N59" s="90" t="n">
        <v>0.8741</v>
      </c>
      <c r="O59" s="174" t="n">
        <f aca="false">IF(COUNT(L59:N59)=0,"",AVERAGE(L59:N59))</f>
        <v>0.843266666666667</v>
      </c>
      <c r="P59" s="90" t="n">
        <v>0.9457</v>
      </c>
      <c r="Q59" s="90"/>
      <c r="R59" s="90"/>
      <c r="S59" s="174" t="n">
        <f aca="false">IF(COUNT(P59:R59)=0,"",AVERAGE(P59:R59))</f>
        <v>0.9457</v>
      </c>
      <c r="T59" s="90"/>
      <c r="U59" s="90"/>
      <c r="V59" s="90"/>
      <c r="W59" s="174" t="str">
        <f aca="false">IF(COUNT(T59:V59)=0,"",AVERAGE(T59:V59))</f>
        <v/>
      </c>
      <c r="X59" s="92" t="n">
        <v>0.8571</v>
      </c>
      <c r="Y59" s="114" t="s">
        <v>113</v>
      </c>
      <c r="Z59" s="78" t="s">
        <v>100</v>
      </c>
    </row>
    <row r="60" customFormat="false" ht="25.5" hidden="false" customHeight="true" outlineLevel="0" collapsed="false">
      <c r="A60" s="69" t="s">
        <v>193</v>
      </c>
      <c r="B60" s="70" t="s">
        <v>194</v>
      </c>
      <c r="C60" s="71" t="s">
        <v>166</v>
      </c>
      <c r="D60" s="71" t="s">
        <v>110</v>
      </c>
      <c r="E60" s="69" t="s">
        <v>501</v>
      </c>
      <c r="F60" s="87" t="n">
        <v>0.9024</v>
      </c>
      <c r="G60" s="88" t="n">
        <v>0.8658</v>
      </c>
      <c r="H60" s="89" t="n">
        <v>0.8406</v>
      </c>
      <c r="I60" s="90"/>
      <c r="J60" s="89" t="n">
        <v>0.9566</v>
      </c>
      <c r="K60" s="174" t="n">
        <f aca="false">IF(COUNT(H60:J60)=0,"",AVERAGE(H60:J60))</f>
        <v>0.8986</v>
      </c>
      <c r="L60" s="90"/>
      <c r="M60" s="90" t="n">
        <v>0.75</v>
      </c>
      <c r="N60" s="90" t="s">
        <v>195</v>
      </c>
      <c r="O60" s="174" t="n">
        <f aca="false">IF(COUNT(L60:N60)=0,"",AVERAGE(L60:N60))</f>
        <v>0.75</v>
      </c>
      <c r="P60" s="90"/>
      <c r="Q60" s="90"/>
      <c r="R60" s="90"/>
      <c r="S60" s="174" t="str">
        <f aca="false">IF(COUNT(P60:R60)=0,"",AVERAGE(P60:R60))</f>
        <v/>
      </c>
      <c r="T60" s="90"/>
      <c r="U60" s="90"/>
      <c r="V60" s="90"/>
      <c r="W60" s="174" t="str">
        <f aca="false">IF(COUNT(T60:V60)=0,"",AVERAGE(T60:V60))</f>
        <v/>
      </c>
      <c r="X60" s="92" t="n">
        <v>0.8986</v>
      </c>
      <c r="Y60" s="114" t="s">
        <v>113</v>
      </c>
      <c r="Z60" s="78" t="s">
        <v>100</v>
      </c>
    </row>
    <row r="61" customFormat="false" ht="25.5" hidden="false" customHeight="true" outlineLevel="0" collapsed="false">
      <c r="A61" s="69" t="s">
        <v>196</v>
      </c>
      <c r="B61" s="70" t="s">
        <v>197</v>
      </c>
      <c r="C61" s="71" t="s">
        <v>166</v>
      </c>
      <c r="D61" s="71" t="s">
        <v>110</v>
      </c>
      <c r="E61" s="69" t="s">
        <v>501</v>
      </c>
      <c r="F61" s="87" t="n">
        <v>0.782</v>
      </c>
      <c r="G61" s="88" t="n">
        <v>0.807</v>
      </c>
      <c r="H61" s="89" t="n">
        <v>0.755</v>
      </c>
      <c r="I61" s="89" t="n">
        <v>0.7221</v>
      </c>
      <c r="J61" s="89" t="n">
        <v>0.637</v>
      </c>
      <c r="K61" s="174" t="n">
        <f aca="false">IF(COUNT(H61:J61)=0,"",AVERAGE(H61:J61))</f>
        <v>0.7047</v>
      </c>
      <c r="L61" s="90" t="n">
        <v>0.6971</v>
      </c>
      <c r="M61" s="90" t="n">
        <v>0.7812</v>
      </c>
      <c r="N61" s="90" t="n">
        <v>0.7938</v>
      </c>
      <c r="O61" s="174" t="n">
        <f aca="false">IF(COUNT(L61:N61)=0,"",AVERAGE(L61:N61))</f>
        <v>0.757366666666667</v>
      </c>
      <c r="P61" s="90" t="n">
        <v>0.7508</v>
      </c>
      <c r="Q61" s="90"/>
      <c r="R61" s="90"/>
      <c r="S61" s="174" t="n">
        <f aca="false">IF(COUNT(P61:R61)=0,"",AVERAGE(P61:R61))</f>
        <v>0.7508</v>
      </c>
      <c r="T61" s="90"/>
      <c r="U61" s="90"/>
      <c r="V61" s="90"/>
      <c r="W61" s="174" t="str">
        <f aca="false">IF(COUNT(T61:V61)=0,"",AVERAGE(T61:V61))</f>
        <v/>
      </c>
      <c r="X61" s="92" t="n">
        <v>0.6971</v>
      </c>
      <c r="Y61" s="114" t="s">
        <v>113</v>
      </c>
      <c r="Z61" s="78" t="s">
        <v>100</v>
      </c>
    </row>
    <row r="62" customFormat="false" ht="25.5" hidden="false" customHeight="true" outlineLevel="0" collapsed="false">
      <c r="A62" s="69" t="s">
        <v>198</v>
      </c>
      <c r="B62" s="70" t="s">
        <v>199</v>
      </c>
      <c r="C62" s="71" t="s">
        <v>166</v>
      </c>
      <c r="D62" s="71" t="s">
        <v>110</v>
      </c>
      <c r="E62" s="69" t="s">
        <v>501</v>
      </c>
      <c r="F62" s="87" t="n">
        <v>0.821</v>
      </c>
      <c r="G62" s="88" t="n">
        <v>0.848</v>
      </c>
      <c r="H62" s="89" t="n">
        <v>0.8531</v>
      </c>
      <c r="I62" s="89" t="n">
        <v>0.8545</v>
      </c>
      <c r="J62" s="90" t="n">
        <v>0.8298</v>
      </c>
      <c r="K62" s="174" t="n">
        <f aca="false">IF(COUNT(H62:J62)=0,"",AVERAGE(H62:J62))</f>
        <v>0.8458</v>
      </c>
      <c r="L62" s="90" t="n">
        <v>0.8351</v>
      </c>
      <c r="M62" s="90" t="n">
        <v>0.7913</v>
      </c>
      <c r="N62" s="90" t="n">
        <v>0.8567</v>
      </c>
      <c r="O62" s="174" t="n">
        <f aca="false">IF(COUNT(L62:N62)=0,"",AVERAGE(L62:N62))</f>
        <v>0.8277</v>
      </c>
      <c r="P62" s="90" t="n">
        <v>0.8857</v>
      </c>
      <c r="Q62" s="90"/>
      <c r="R62" s="90"/>
      <c r="S62" s="174" t="n">
        <f aca="false">IF(COUNT(P62:R62)=0,"",AVERAGE(P62:R62))</f>
        <v>0.8857</v>
      </c>
      <c r="T62" s="90"/>
      <c r="U62" s="90"/>
      <c r="V62" s="90"/>
      <c r="W62" s="174" t="str">
        <f aca="false">IF(COUNT(T62:V62)=0,"",AVERAGE(T62:V62))</f>
        <v/>
      </c>
      <c r="X62" s="92" t="n">
        <v>0.8351</v>
      </c>
      <c r="Y62" s="114" t="s">
        <v>113</v>
      </c>
      <c r="Z62" s="78" t="s">
        <v>190</v>
      </c>
    </row>
    <row r="63" customFormat="false" ht="25.5" hidden="false" customHeight="true" outlineLevel="0" collapsed="false">
      <c r="A63" s="69" t="s">
        <v>211</v>
      </c>
      <c r="B63" s="70" t="s">
        <v>212</v>
      </c>
      <c r="C63" s="71" t="s">
        <v>213</v>
      </c>
      <c r="D63" s="71" t="s">
        <v>110</v>
      </c>
      <c r="E63" s="69" t="s">
        <v>501</v>
      </c>
      <c r="F63" s="87" t="s">
        <v>32</v>
      </c>
      <c r="G63" s="91" t="n">
        <v>1</v>
      </c>
      <c r="H63" s="89" t="n">
        <v>1</v>
      </c>
      <c r="I63" s="89" t="n">
        <v>1</v>
      </c>
      <c r="J63" s="89" t="n">
        <v>1</v>
      </c>
      <c r="K63" s="174" t="n">
        <f aca="false">IF(COUNT(H63:J63)=0,"",LOOKUP(2,1/(H63:J63&lt;&gt;""),H63:J63))</f>
        <v>1</v>
      </c>
      <c r="L63" s="90" t="n">
        <v>1</v>
      </c>
      <c r="M63" s="90" t="n">
        <v>1</v>
      </c>
      <c r="N63" s="90" t="n">
        <v>1</v>
      </c>
      <c r="O63" s="174" t="n">
        <f aca="false">IF(COUNT(L63:N63)=0,"",LOOKUP(2,1/(L63:N63&lt;&gt;""),L63:N63))</f>
        <v>1</v>
      </c>
      <c r="P63" s="90" t="n">
        <v>1</v>
      </c>
      <c r="Q63" s="90"/>
      <c r="R63" s="90"/>
      <c r="S63" s="174" t="n">
        <f aca="false">IF(COUNT(P63:R63)=0,"",LOOKUP(2,1/(P63:R63&lt;&gt;""),P63:R63))</f>
        <v>1</v>
      </c>
      <c r="T63" s="90"/>
      <c r="U63" s="90"/>
      <c r="V63" s="90"/>
      <c r="W63" s="174" t="str">
        <f aca="false">IF(COUNT(T63:V63)=0,"",LOOKUP(2,1/(T63:V63&lt;&gt;""),T63:V63))</f>
        <v/>
      </c>
      <c r="X63" s="92" t="n">
        <v>1</v>
      </c>
      <c r="Y63" s="114" t="s">
        <v>120</v>
      </c>
      <c r="Z63" s="78" t="s">
        <v>214</v>
      </c>
    </row>
    <row r="64" customFormat="false" ht="25.5" hidden="false" customHeight="true" outlineLevel="0" collapsed="false">
      <c r="A64" s="69" t="s">
        <v>255</v>
      </c>
      <c r="B64" s="70" t="s">
        <v>256</v>
      </c>
      <c r="C64" s="71" t="s">
        <v>35</v>
      </c>
      <c r="D64" s="71" t="s">
        <v>110</v>
      </c>
      <c r="E64" s="183" t="s">
        <v>502</v>
      </c>
      <c r="F64" s="87" t="n">
        <v>0.33</v>
      </c>
      <c r="G64" s="88" t="n">
        <v>0.2</v>
      </c>
      <c r="H64" s="184"/>
      <c r="I64" s="184"/>
      <c r="J64" s="184"/>
      <c r="K64" s="185" t="n">
        <v>0.608</v>
      </c>
      <c r="L64" s="184"/>
      <c r="M64" s="184"/>
      <c r="N64" s="184"/>
      <c r="O64" s="186" t="n">
        <v>0.93</v>
      </c>
      <c r="P64" s="184"/>
      <c r="Q64" s="184"/>
      <c r="R64" s="184"/>
      <c r="S64" s="186"/>
      <c r="T64" s="184"/>
      <c r="U64" s="184"/>
      <c r="V64" s="184"/>
      <c r="W64" s="186"/>
      <c r="X64" s="92" t="n">
        <v>0.608</v>
      </c>
      <c r="Y64" s="114" t="s">
        <v>104</v>
      </c>
      <c r="Z64" s="78" t="s">
        <v>257</v>
      </c>
    </row>
    <row r="65" customFormat="false" ht="25.5" hidden="false" customHeight="true" outlineLevel="0" collapsed="false">
      <c r="A65" s="69" t="s">
        <v>258</v>
      </c>
      <c r="B65" s="70" t="s">
        <v>259</v>
      </c>
      <c r="C65" s="71" t="s">
        <v>35</v>
      </c>
      <c r="D65" s="71" t="s">
        <v>97</v>
      </c>
      <c r="E65" s="183" t="s">
        <v>502</v>
      </c>
      <c r="F65" s="115" t="n">
        <v>20.7</v>
      </c>
      <c r="G65" s="116" t="n">
        <v>21</v>
      </c>
      <c r="H65" s="184"/>
      <c r="I65" s="184"/>
      <c r="J65" s="184"/>
      <c r="K65" s="187" t="n">
        <v>19</v>
      </c>
      <c r="L65" s="184"/>
      <c r="M65" s="184"/>
      <c r="N65" s="184"/>
      <c r="O65" s="187" t="s">
        <v>173</v>
      </c>
      <c r="P65" s="184"/>
      <c r="Q65" s="184"/>
      <c r="R65" s="184"/>
      <c r="S65" s="187"/>
      <c r="T65" s="184"/>
      <c r="U65" s="184"/>
      <c r="V65" s="184"/>
      <c r="W65" s="187"/>
      <c r="X65" s="118" t="n">
        <v>19</v>
      </c>
      <c r="Y65" s="114" t="s">
        <v>104</v>
      </c>
      <c r="Z65" s="78" t="s">
        <v>257</v>
      </c>
    </row>
    <row r="66" customFormat="false" ht="25.5" hidden="false" customHeight="true" outlineLevel="0" collapsed="false">
      <c r="A66" s="69" t="s">
        <v>262</v>
      </c>
      <c r="B66" s="70" t="s">
        <v>263</v>
      </c>
      <c r="C66" s="71" t="s">
        <v>35</v>
      </c>
      <c r="D66" s="71" t="s">
        <v>110</v>
      </c>
      <c r="E66" s="183" t="s">
        <v>502</v>
      </c>
      <c r="F66" s="87" t="s">
        <v>32</v>
      </c>
      <c r="G66" s="91" t="s">
        <v>32</v>
      </c>
      <c r="H66" s="184"/>
      <c r="I66" s="184"/>
      <c r="J66" s="184"/>
      <c r="K66" s="185" t="n">
        <v>1</v>
      </c>
      <c r="L66" s="184"/>
      <c r="M66" s="184"/>
      <c r="N66" s="184"/>
      <c r="O66" s="186"/>
      <c r="P66" s="184"/>
      <c r="Q66" s="184"/>
      <c r="R66" s="184"/>
      <c r="S66" s="186"/>
      <c r="T66" s="184"/>
      <c r="U66" s="184"/>
      <c r="V66" s="184"/>
      <c r="W66" s="186"/>
      <c r="X66" s="92" t="n">
        <v>1</v>
      </c>
      <c r="Y66" s="114" t="s">
        <v>120</v>
      </c>
      <c r="Z66" s="78" t="s">
        <v>264</v>
      </c>
    </row>
    <row r="67" customFormat="false" ht="25.5" hidden="false" customHeight="true" outlineLevel="0" collapsed="false">
      <c r="A67" s="69" t="s">
        <v>265</v>
      </c>
      <c r="B67" s="70" t="s">
        <v>266</v>
      </c>
      <c r="C67" s="71" t="s">
        <v>35</v>
      </c>
      <c r="D67" s="71" t="s">
        <v>97</v>
      </c>
      <c r="E67" s="183" t="s">
        <v>502</v>
      </c>
      <c r="F67" s="87" t="n">
        <v>0.52</v>
      </c>
      <c r="G67" s="88" t="n">
        <v>0.84</v>
      </c>
      <c r="H67" s="184"/>
      <c r="I67" s="184"/>
      <c r="J67" s="184"/>
      <c r="K67" s="185" t="n">
        <v>1.338</v>
      </c>
      <c r="L67" s="184"/>
      <c r="M67" s="184"/>
      <c r="N67" s="184"/>
      <c r="O67" s="186"/>
      <c r="P67" s="184"/>
      <c r="Q67" s="184"/>
      <c r="R67" s="184"/>
      <c r="S67" s="186"/>
      <c r="T67" s="184"/>
      <c r="U67" s="184"/>
      <c r="V67" s="184"/>
      <c r="W67" s="186"/>
      <c r="X67" s="92" t="n">
        <v>1.338</v>
      </c>
      <c r="Y67" s="114" t="s">
        <v>113</v>
      </c>
      <c r="Z67" s="78" t="s">
        <v>257</v>
      </c>
    </row>
    <row r="68" customFormat="false" ht="25.5" hidden="false" customHeight="true" outlineLevel="0" collapsed="false">
      <c r="A68" s="69" t="s">
        <v>270</v>
      </c>
      <c r="B68" s="70" t="s">
        <v>271</v>
      </c>
      <c r="C68" s="71" t="s">
        <v>35</v>
      </c>
      <c r="D68" s="71" t="s">
        <v>97</v>
      </c>
      <c r="E68" s="183" t="s">
        <v>502</v>
      </c>
      <c r="F68" s="96" t="n">
        <v>4.7</v>
      </c>
      <c r="G68" s="119" t="n">
        <v>9.8</v>
      </c>
      <c r="H68" s="188"/>
      <c r="I68" s="188"/>
      <c r="J68" s="188"/>
      <c r="K68" s="189" t="n">
        <v>4.8</v>
      </c>
      <c r="L68" s="188"/>
      <c r="M68" s="188"/>
      <c r="N68" s="188"/>
      <c r="O68" s="190"/>
      <c r="P68" s="188"/>
      <c r="Q68" s="188"/>
      <c r="R68" s="188"/>
      <c r="S68" s="190"/>
      <c r="T68" s="188"/>
      <c r="U68" s="188"/>
      <c r="V68" s="188"/>
      <c r="W68" s="190"/>
      <c r="X68" s="100" t="n">
        <v>4.8</v>
      </c>
      <c r="Y68" s="114" t="s">
        <v>104</v>
      </c>
      <c r="Z68" s="78" t="s">
        <v>257</v>
      </c>
    </row>
    <row r="69" customFormat="false" ht="25.5" hidden="false" customHeight="true" outlineLevel="0" collapsed="false">
      <c r="A69" s="69" t="s">
        <v>272</v>
      </c>
      <c r="B69" s="70" t="s">
        <v>273</v>
      </c>
      <c r="C69" s="71" t="s">
        <v>35</v>
      </c>
      <c r="D69" s="71" t="s">
        <v>97</v>
      </c>
      <c r="E69" s="183" t="s">
        <v>502</v>
      </c>
      <c r="F69" s="87" t="n">
        <v>0.025</v>
      </c>
      <c r="G69" s="88" t="n">
        <v>0.04</v>
      </c>
      <c r="H69" s="184"/>
      <c r="I69" s="184"/>
      <c r="J69" s="184"/>
      <c r="K69" s="185" t="n">
        <v>0.011</v>
      </c>
      <c r="L69" s="184"/>
      <c r="M69" s="184"/>
      <c r="N69" s="184"/>
      <c r="O69" s="186"/>
      <c r="P69" s="184"/>
      <c r="Q69" s="184"/>
      <c r="R69" s="184"/>
      <c r="S69" s="186"/>
      <c r="T69" s="184"/>
      <c r="U69" s="184"/>
      <c r="V69" s="184"/>
      <c r="W69" s="186"/>
      <c r="X69" s="92" t="n">
        <v>0.011</v>
      </c>
      <c r="Y69" s="114" t="s">
        <v>104</v>
      </c>
      <c r="Z69" s="78" t="s">
        <v>257</v>
      </c>
    </row>
    <row r="70" customFormat="false" ht="25.5" hidden="false" customHeight="true" outlineLevel="0" collapsed="false">
      <c r="A70" s="69" t="s">
        <v>274</v>
      </c>
      <c r="B70" s="70" t="s">
        <v>275</v>
      </c>
      <c r="C70" s="71" t="s">
        <v>35</v>
      </c>
      <c r="D70" s="71" t="s">
        <v>110</v>
      </c>
      <c r="E70" s="183" t="s">
        <v>502</v>
      </c>
      <c r="F70" s="102" t="n">
        <v>0.3</v>
      </c>
      <c r="G70" s="82" t="n">
        <v>0.9</v>
      </c>
      <c r="H70" s="191"/>
      <c r="I70" s="191"/>
      <c r="J70" s="191"/>
      <c r="K70" s="192" t="n">
        <v>0.7</v>
      </c>
      <c r="L70" s="191"/>
      <c r="M70" s="191"/>
      <c r="N70" s="191"/>
      <c r="O70" s="193" t="s">
        <v>503</v>
      </c>
      <c r="P70" s="191"/>
      <c r="Q70" s="191"/>
      <c r="R70" s="191"/>
      <c r="S70" s="193"/>
      <c r="T70" s="191"/>
      <c r="U70" s="191"/>
      <c r="V70" s="191"/>
      <c r="W70" s="193"/>
      <c r="X70" s="104" t="n">
        <v>0.7</v>
      </c>
      <c r="Y70" s="114" t="s">
        <v>113</v>
      </c>
      <c r="Z70" s="78" t="s">
        <v>257</v>
      </c>
    </row>
    <row r="71" customFormat="false" ht="25.5" hidden="false" customHeight="true" outlineLevel="0" collapsed="false">
      <c r="A71" s="69" t="s">
        <v>277</v>
      </c>
      <c r="B71" s="70" t="s">
        <v>278</v>
      </c>
      <c r="C71" s="71" t="s">
        <v>35</v>
      </c>
      <c r="D71" s="71" t="s">
        <v>110</v>
      </c>
      <c r="E71" s="183" t="s">
        <v>502</v>
      </c>
      <c r="F71" s="87" t="n">
        <v>0.5879</v>
      </c>
      <c r="G71" s="91" t="s">
        <v>32</v>
      </c>
      <c r="H71" s="184"/>
      <c r="I71" s="184"/>
      <c r="J71" s="184"/>
      <c r="K71" s="185" t="n">
        <v>0.6687</v>
      </c>
      <c r="L71" s="184"/>
      <c r="M71" s="184"/>
      <c r="N71" s="184"/>
      <c r="O71" s="186" t="n">
        <v>0.7944</v>
      </c>
      <c r="P71" s="184"/>
      <c r="Q71" s="184"/>
      <c r="R71" s="184"/>
      <c r="S71" s="186"/>
      <c r="T71" s="184"/>
      <c r="U71" s="184"/>
      <c r="V71" s="184"/>
      <c r="W71" s="186"/>
      <c r="X71" s="92" t="n">
        <v>0.6687</v>
      </c>
      <c r="Y71" s="114" t="s">
        <v>120</v>
      </c>
      <c r="Z71" s="78" t="s">
        <v>190</v>
      </c>
    </row>
    <row r="72" customFormat="false" ht="25.5" hidden="false" customHeight="true" outlineLevel="0" collapsed="false">
      <c r="A72" s="69" t="s">
        <v>283</v>
      </c>
      <c r="B72" s="70" t="s">
        <v>284</v>
      </c>
      <c r="C72" s="71" t="s">
        <v>34</v>
      </c>
      <c r="D72" s="71" t="s">
        <v>110</v>
      </c>
      <c r="E72" s="183" t="s">
        <v>502</v>
      </c>
      <c r="F72" s="87" t="n">
        <v>0.767</v>
      </c>
      <c r="G72" s="88" t="n">
        <v>0.5</v>
      </c>
      <c r="H72" s="184"/>
      <c r="I72" s="184"/>
      <c r="J72" s="184"/>
      <c r="K72" s="186" t="n">
        <v>0.979222797927461</v>
      </c>
      <c r="L72" s="184"/>
      <c r="M72" s="184"/>
      <c r="N72" s="184"/>
      <c r="O72" s="186"/>
      <c r="P72" s="184"/>
      <c r="Q72" s="184"/>
      <c r="R72" s="184"/>
      <c r="S72" s="186"/>
      <c r="T72" s="184"/>
      <c r="U72" s="184"/>
      <c r="V72" s="184"/>
      <c r="W72" s="186"/>
      <c r="X72" s="92" t="n">
        <v>0.979222797927461</v>
      </c>
      <c r="Y72" s="114" t="s">
        <v>104</v>
      </c>
      <c r="Z72" s="78" t="s">
        <v>257</v>
      </c>
    </row>
    <row r="73" customFormat="false" ht="25.5" hidden="false" customHeight="true" outlineLevel="0" collapsed="false">
      <c r="A73" s="69" t="s">
        <v>285</v>
      </c>
      <c r="B73" s="70" t="s">
        <v>286</v>
      </c>
      <c r="C73" s="71" t="s">
        <v>34</v>
      </c>
      <c r="D73" s="71" t="s">
        <v>110</v>
      </c>
      <c r="E73" s="183" t="s">
        <v>502</v>
      </c>
      <c r="F73" s="87" t="n">
        <v>0.776</v>
      </c>
      <c r="G73" s="88" t="n">
        <v>0.5</v>
      </c>
      <c r="H73" s="184"/>
      <c r="I73" s="184"/>
      <c r="J73" s="184"/>
      <c r="K73" s="186" t="n">
        <v>0.983056994818653</v>
      </c>
      <c r="L73" s="184"/>
      <c r="M73" s="184"/>
      <c r="N73" s="184"/>
      <c r="O73" s="186"/>
      <c r="P73" s="184"/>
      <c r="Q73" s="184"/>
      <c r="R73" s="184"/>
      <c r="S73" s="186"/>
      <c r="T73" s="184"/>
      <c r="U73" s="184"/>
      <c r="V73" s="184"/>
      <c r="W73" s="186"/>
      <c r="X73" s="92" t="n">
        <v>0.983056994818653</v>
      </c>
      <c r="Y73" s="114" t="s">
        <v>104</v>
      </c>
      <c r="Z73" s="78" t="s">
        <v>257</v>
      </c>
    </row>
    <row r="74" customFormat="false" ht="25.5" hidden="false" customHeight="true" outlineLevel="0" collapsed="false">
      <c r="A74" s="69" t="s">
        <v>287</v>
      </c>
      <c r="B74" s="70" t="s">
        <v>288</v>
      </c>
      <c r="C74" s="71" t="s">
        <v>34</v>
      </c>
      <c r="D74" s="71" t="s">
        <v>110</v>
      </c>
      <c r="E74" s="183" t="s">
        <v>502</v>
      </c>
      <c r="F74" s="87" t="n">
        <v>0.454</v>
      </c>
      <c r="G74" s="88" t="n">
        <v>0.3</v>
      </c>
      <c r="H74" s="184"/>
      <c r="I74" s="184"/>
      <c r="J74" s="184"/>
      <c r="K74" s="186" t="n">
        <v>0.839603046388184</v>
      </c>
      <c r="L74" s="184"/>
      <c r="M74" s="184"/>
      <c r="N74" s="184"/>
      <c r="O74" s="186"/>
      <c r="P74" s="184"/>
      <c r="Q74" s="184"/>
      <c r="R74" s="184"/>
      <c r="S74" s="186"/>
      <c r="T74" s="184"/>
      <c r="U74" s="184"/>
      <c r="V74" s="184"/>
      <c r="W74" s="186"/>
      <c r="X74" s="92" t="n">
        <v>0.839603046388184</v>
      </c>
      <c r="Y74" s="114" t="s">
        <v>104</v>
      </c>
      <c r="Z74" s="78" t="s">
        <v>257</v>
      </c>
    </row>
    <row r="75" customFormat="false" ht="25.5" hidden="false" customHeight="true" outlineLevel="0" collapsed="false">
      <c r="A75" s="69" t="s">
        <v>289</v>
      </c>
      <c r="B75" s="70" t="s">
        <v>290</v>
      </c>
      <c r="C75" s="71" t="s">
        <v>34</v>
      </c>
      <c r="D75" s="71" t="s">
        <v>110</v>
      </c>
      <c r="E75" s="183" t="s">
        <v>502</v>
      </c>
      <c r="F75" s="87" t="n">
        <v>0.637</v>
      </c>
      <c r="G75" s="88" t="n">
        <v>0.5</v>
      </c>
      <c r="H75" s="184"/>
      <c r="I75" s="184"/>
      <c r="J75" s="184"/>
      <c r="K75" s="186" t="n">
        <v>1.04201101928375</v>
      </c>
      <c r="L75" s="184"/>
      <c r="M75" s="184"/>
      <c r="N75" s="184"/>
      <c r="O75" s="186"/>
      <c r="P75" s="184"/>
      <c r="Q75" s="184"/>
      <c r="R75" s="184"/>
      <c r="S75" s="186"/>
      <c r="T75" s="184"/>
      <c r="U75" s="184"/>
      <c r="V75" s="184"/>
      <c r="W75" s="186"/>
      <c r="X75" s="92" t="n">
        <v>1.04201101928375</v>
      </c>
      <c r="Y75" s="114" t="s">
        <v>104</v>
      </c>
      <c r="Z75" s="78" t="s">
        <v>257</v>
      </c>
    </row>
    <row r="76" customFormat="false" ht="25.5" hidden="false" customHeight="true" outlineLevel="0" collapsed="false">
      <c r="A76" s="69" t="s">
        <v>291</v>
      </c>
      <c r="B76" s="70" t="s">
        <v>292</v>
      </c>
      <c r="C76" s="71" t="s">
        <v>34</v>
      </c>
      <c r="D76" s="71" t="s">
        <v>110</v>
      </c>
      <c r="E76" s="183" t="s">
        <v>502</v>
      </c>
      <c r="F76" s="87" t="n">
        <v>0.92</v>
      </c>
      <c r="G76" s="88" t="n">
        <v>0.3</v>
      </c>
      <c r="H76" s="184"/>
      <c r="I76" s="184"/>
      <c r="J76" s="184"/>
      <c r="K76" s="186" t="n">
        <v>1.35135135135135</v>
      </c>
      <c r="L76" s="184"/>
      <c r="M76" s="184"/>
      <c r="N76" s="184"/>
      <c r="O76" s="186"/>
      <c r="P76" s="184"/>
      <c r="Q76" s="184"/>
      <c r="R76" s="184"/>
      <c r="S76" s="186"/>
      <c r="T76" s="184"/>
      <c r="U76" s="184"/>
      <c r="V76" s="184"/>
      <c r="W76" s="186"/>
      <c r="X76" s="92" t="n">
        <v>1.35135135135135</v>
      </c>
      <c r="Y76" s="114" t="s">
        <v>104</v>
      </c>
      <c r="Z76" s="78" t="s">
        <v>257</v>
      </c>
    </row>
    <row r="77" customFormat="false" ht="25.5" hidden="false" customHeight="true" outlineLevel="0" collapsed="false">
      <c r="A77" s="69" t="s">
        <v>293</v>
      </c>
      <c r="B77" s="70" t="s">
        <v>294</v>
      </c>
      <c r="C77" s="71" t="s">
        <v>34</v>
      </c>
      <c r="D77" s="71" t="s">
        <v>110</v>
      </c>
      <c r="E77" s="183" t="s">
        <v>502</v>
      </c>
      <c r="F77" s="87" t="n">
        <v>0.88</v>
      </c>
      <c r="G77" s="88" t="n">
        <v>0.3</v>
      </c>
      <c r="H77" s="184"/>
      <c r="I77" s="184"/>
      <c r="J77" s="184"/>
      <c r="K77" s="186" t="n">
        <v>1.03454545454545</v>
      </c>
      <c r="L77" s="184"/>
      <c r="M77" s="184"/>
      <c r="N77" s="184"/>
      <c r="O77" s="186"/>
      <c r="P77" s="184"/>
      <c r="Q77" s="184"/>
      <c r="R77" s="184"/>
      <c r="S77" s="186"/>
      <c r="T77" s="184"/>
      <c r="U77" s="184"/>
      <c r="V77" s="184"/>
      <c r="W77" s="186"/>
      <c r="X77" s="92" t="n">
        <v>1.03454545454545</v>
      </c>
      <c r="Y77" s="114" t="s">
        <v>104</v>
      </c>
      <c r="Z77" s="78" t="s">
        <v>257</v>
      </c>
    </row>
    <row r="78" customFormat="false" ht="25.5" hidden="false" customHeight="true" outlineLevel="0" collapsed="false">
      <c r="A78" s="69" t="s">
        <v>295</v>
      </c>
      <c r="B78" s="70" t="s">
        <v>296</v>
      </c>
      <c r="C78" s="71" t="s">
        <v>34</v>
      </c>
      <c r="D78" s="71" t="s">
        <v>110</v>
      </c>
      <c r="E78" s="183" t="s">
        <v>502</v>
      </c>
      <c r="F78" s="87" t="n">
        <v>0.841</v>
      </c>
      <c r="G78" s="88" t="n">
        <v>0.3</v>
      </c>
      <c r="H78" s="184"/>
      <c r="I78" s="184"/>
      <c r="J78" s="184"/>
      <c r="K78" s="186" t="n">
        <v>0.914</v>
      </c>
      <c r="L78" s="184"/>
      <c r="M78" s="184"/>
      <c r="N78" s="184"/>
      <c r="O78" s="186"/>
      <c r="P78" s="184"/>
      <c r="Q78" s="184"/>
      <c r="R78" s="184"/>
      <c r="S78" s="186"/>
      <c r="T78" s="184"/>
      <c r="U78" s="184"/>
      <c r="V78" s="184"/>
      <c r="W78" s="186"/>
      <c r="X78" s="92" t="n">
        <v>0.914</v>
      </c>
      <c r="Y78" s="114" t="s">
        <v>104</v>
      </c>
      <c r="Z78" s="78" t="s">
        <v>257</v>
      </c>
    </row>
    <row r="79" customFormat="false" ht="25.5" hidden="false" customHeight="true" outlineLevel="0" collapsed="false">
      <c r="A79" s="69" t="s">
        <v>297</v>
      </c>
      <c r="B79" s="70" t="s">
        <v>298</v>
      </c>
      <c r="C79" s="71" t="s">
        <v>34</v>
      </c>
      <c r="D79" s="71" t="s">
        <v>110</v>
      </c>
      <c r="E79" s="183" t="s">
        <v>502</v>
      </c>
      <c r="F79" s="87" t="n">
        <v>1</v>
      </c>
      <c r="G79" s="88" t="n">
        <v>0.9</v>
      </c>
      <c r="H79" s="184"/>
      <c r="I79" s="184"/>
      <c r="J79" s="184"/>
      <c r="K79" s="186" t="n">
        <v>0.880819366852886</v>
      </c>
      <c r="L79" s="184"/>
      <c r="M79" s="184"/>
      <c r="N79" s="184"/>
      <c r="O79" s="186"/>
      <c r="P79" s="184"/>
      <c r="Q79" s="184"/>
      <c r="R79" s="184"/>
      <c r="S79" s="186"/>
      <c r="T79" s="184"/>
      <c r="U79" s="184"/>
      <c r="V79" s="184"/>
      <c r="W79" s="186"/>
      <c r="X79" s="92" t="n">
        <v>0.880819366852886</v>
      </c>
      <c r="Y79" s="114" t="s">
        <v>113</v>
      </c>
      <c r="Z79" s="78" t="s">
        <v>257</v>
      </c>
    </row>
    <row r="80" customFormat="false" ht="25.5" hidden="false" customHeight="true" outlineLevel="0" collapsed="false">
      <c r="A80" s="69" t="s">
        <v>301</v>
      </c>
      <c r="B80" s="70" t="s">
        <v>302</v>
      </c>
      <c r="C80" s="71" t="s">
        <v>34</v>
      </c>
      <c r="D80" s="71" t="s">
        <v>110</v>
      </c>
      <c r="E80" s="183" t="s">
        <v>502</v>
      </c>
      <c r="F80" s="87" t="n">
        <v>0.995</v>
      </c>
      <c r="G80" s="91" t="n">
        <v>0.6</v>
      </c>
      <c r="H80" s="184"/>
      <c r="I80" s="184"/>
      <c r="J80" s="184"/>
      <c r="K80" s="185" t="n">
        <v>1.01605</v>
      </c>
      <c r="L80" s="184"/>
      <c r="M80" s="184"/>
      <c r="N80" s="184"/>
      <c r="O80" s="186" t="n">
        <v>1</v>
      </c>
      <c r="P80" s="184"/>
      <c r="Q80" s="184"/>
      <c r="R80" s="184"/>
      <c r="S80" s="186"/>
      <c r="T80" s="184"/>
      <c r="U80" s="184"/>
      <c r="V80" s="184"/>
      <c r="W80" s="186" t="n">
        <v>1.02495</v>
      </c>
      <c r="X80" s="92" t="n">
        <v>1.01605</v>
      </c>
      <c r="Y80" s="114" t="s">
        <v>104</v>
      </c>
      <c r="Z80" s="78" t="s">
        <v>257</v>
      </c>
    </row>
    <row r="81" customFormat="false" ht="25.5" hidden="false" customHeight="true" outlineLevel="0" collapsed="false">
      <c r="A81" s="69" t="s">
        <v>308</v>
      </c>
      <c r="B81" s="70" t="s">
        <v>309</v>
      </c>
      <c r="C81" s="71" t="s">
        <v>34</v>
      </c>
      <c r="D81" s="71" t="s">
        <v>97</v>
      </c>
      <c r="E81" s="183" t="s">
        <v>502</v>
      </c>
      <c r="F81" s="102" t="n">
        <v>0</v>
      </c>
      <c r="G81" s="121" t="n">
        <v>15</v>
      </c>
      <c r="H81" s="191"/>
      <c r="I81" s="191"/>
      <c r="J81" s="191"/>
      <c r="K81" s="192" t="n">
        <v>0.9</v>
      </c>
      <c r="L81" s="191"/>
      <c r="M81" s="191"/>
      <c r="N81" s="191"/>
      <c r="O81" s="193" t="n">
        <v>1.1</v>
      </c>
      <c r="P81" s="191"/>
      <c r="Q81" s="191"/>
      <c r="R81" s="191"/>
      <c r="S81" s="193"/>
      <c r="T81" s="191"/>
      <c r="U81" s="191"/>
      <c r="V81" s="191"/>
      <c r="W81" s="193"/>
      <c r="X81" s="104" t="n">
        <v>0.9</v>
      </c>
      <c r="Y81" s="114" t="s">
        <v>104</v>
      </c>
      <c r="Z81" s="78" t="s">
        <v>257</v>
      </c>
    </row>
    <row r="82" customFormat="false" ht="25.5" hidden="false" customHeight="true" outlineLevel="0" collapsed="false">
      <c r="A82" s="69" t="s">
        <v>311</v>
      </c>
      <c r="B82" s="70" t="s">
        <v>312</v>
      </c>
      <c r="C82" s="71" t="s">
        <v>34</v>
      </c>
      <c r="D82" s="71" t="s">
        <v>97</v>
      </c>
      <c r="E82" s="183" t="s">
        <v>502</v>
      </c>
      <c r="F82" s="102" t="n">
        <v>0.4</v>
      </c>
      <c r="G82" s="75" t="n">
        <v>0.7</v>
      </c>
      <c r="H82" s="191"/>
      <c r="I82" s="191"/>
      <c r="J82" s="191"/>
      <c r="K82" s="192" t="n">
        <v>0.2</v>
      </c>
      <c r="L82" s="191"/>
      <c r="M82" s="191"/>
      <c r="N82" s="191"/>
      <c r="O82" s="193" t="n">
        <v>0.26</v>
      </c>
      <c r="P82" s="191"/>
      <c r="Q82" s="191"/>
      <c r="R82" s="191"/>
      <c r="S82" s="193"/>
      <c r="T82" s="191"/>
      <c r="U82" s="191"/>
      <c r="V82" s="191"/>
      <c r="W82" s="193"/>
      <c r="X82" s="104" t="n">
        <v>0.2</v>
      </c>
      <c r="Y82" s="114" t="s">
        <v>104</v>
      </c>
      <c r="Z82" s="78" t="s">
        <v>257</v>
      </c>
    </row>
    <row r="83" customFormat="false" ht="25.5" hidden="false" customHeight="true" outlineLevel="0" collapsed="false">
      <c r="A83" s="69" t="s">
        <v>313</v>
      </c>
      <c r="B83" s="70" t="s">
        <v>314</v>
      </c>
      <c r="C83" s="71" t="s">
        <v>34</v>
      </c>
      <c r="D83" s="71" t="s">
        <v>97</v>
      </c>
      <c r="E83" s="183" t="s">
        <v>502</v>
      </c>
      <c r="F83" s="102" t="n">
        <v>0.13</v>
      </c>
      <c r="G83" s="122" t="n">
        <v>11</v>
      </c>
      <c r="H83" s="191"/>
      <c r="I83" s="191"/>
      <c r="J83" s="191"/>
      <c r="K83" s="192" t="n">
        <v>0.9</v>
      </c>
      <c r="L83" s="191"/>
      <c r="M83" s="191"/>
      <c r="N83" s="191"/>
      <c r="O83" s="193" t="n">
        <v>0</v>
      </c>
      <c r="P83" s="191"/>
      <c r="Q83" s="191"/>
      <c r="R83" s="191"/>
      <c r="S83" s="193"/>
      <c r="T83" s="191"/>
      <c r="U83" s="191"/>
      <c r="V83" s="191"/>
      <c r="W83" s="193"/>
      <c r="X83" s="104" t="n">
        <v>0.9</v>
      </c>
      <c r="Y83" s="114" t="s">
        <v>104</v>
      </c>
      <c r="Z83" s="78" t="s">
        <v>257</v>
      </c>
    </row>
    <row r="84" customFormat="false" ht="25.5" hidden="false" customHeight="true" outlineLevel="0" collapsed="false">
      <c r="A84" s="69" t="s">
        <v>315</v>
      </c>
      <c r="B84" s="70" t="s">
        <v>316</v>
      </c>
      <c r="C84" s="71" t="s">
        <v>34</v>
      </c>
      <c r="D84" s="71" t="s">
        <v>97</v>
      </c>
      <c r="E84" s="183" t="s">
        <v>502</v>
      </c>
      <c r="F84" s="102" t="n">
        <v>0.47</v>
      </c>
      <c r="G84" s="82" t="n">
        <v>0.4</v>
      </c>
      <c r="H84" s="191"/>
      <c r="I84" s="191"/>
      <c r="J84" s="191"/>
      <c r="K84" s="192" t="n">
        <v>0</v>
      </c>
      <c r="L84" s="191"/>
      <c r="M84" s="191"/>
      <c r="N84" s="191"/>
      <c r="O84" s="193" t="n">
        <v>0.17</v>
      </c>
      <c r="P84" s="191"/>
      <c r="Q84" s="191"/>
      <c r="R84" s="191"/>
      <c r="S84" s="193"/>
      <c r="T84" s="191"/>
      <c r="U84" s="191"/>
      <c r="V84" s="191"/>
      <c r="W84" s="193"/>
      <c r="X84" s="104" t="n">
        <v>0</v>
      </c>
      <c r="Y84" s="114" t="s">
        <v>104</v>
      </c>
      <c r="Z84" s="78" t="s">
        <v>100</v>
      </c>
    </row>
    <row r="85" customFormat="false" ht="25.5" hidden="false" customHeight="true" outlineLevel="0" collapsed="false">
      <c r="A85" s="69" t="s">
        <v>317</v>
      </c>
      <c r="B85" s="70" t="s">
        <v>318</v>
      </c>
      <c r="C85" s="71" t="s">
        <v>34</v>
      </c>
      <c r="D85" s="71" t="s">
        <v>97</v>
      </c>
      <c r="E85" s="183" t="s">
        <v>502</v>
      </c>
      <c r="F85" s="102" t="n">
        <v>0.36</v>
      </c>
      <c r="G85" s="82" t="n">
        <v>0.306</v>
      </c>
      <c r="H85" s="191"/>
      <c r="I85" s="191"/>
      <c r="J85" s="191"/>
      <c r="K85" s="192" t="n">
        <v>0</v>
      </c>
      <c r="L85" s="191"/>
      <c r="M85" s="191"/>
      <c r="N85" s="191"/>
      <c r="O85" s="193" t="n">
        <v>0.28</v>
      </c>
      <c r="P85" s="191"/>
      <c r="Q85" s="191"/>
      <c r="R85" s="191"/>
      <c r="S85" s="193"/>
      <c r="T85" s="191"/>
      <c r="U85" s="191"/>
      <c r="V85" s="191"/>
      <c r="W85" s="193"/>
      <c r="X85" s="104" t="n">
        <v>0</v>
      </c>
      <c r="Y85" s="114" t="s">
        <v>104</v>
      </c>
      <c r="Z85" s="78" t="s">
        <v>224</v>
      </c>
    </row>
    <row r="86" customFormat="false" ht="25.5" hidden="false" customHeight="true" outlineLevel="0" collapsed="false">
      <c r="A86" s="69" t="s">
        <v>321</v>
      </c>
      <c r="B86" s="70" t="s">
        <v>322</v>
      </c>
      <c r="C86" s="71" t="s">
        <v>34</v>
      </c>
      <c r="D86" s="71" t="s">
        <v>97</v>
      </c>
      <c r="E86" s="183" t="s">
        <v>502</v>
      </c>
      <c r="F86" s="102" t="n">
        <v>3.1</v>
      </c>
      <c r="G86" s="82" t="n">
        <v>2.64</v>
      </c>
      <c r="H86" s="191"/>
      <c r="I86" s="191"/>
      <c r="J86" s="191"/>
      <c r="K86" s="192" t="n">
        <v>2.34521575984991</v>
      </c>
      <c r="L86" s="191"/>
      <c r="M86" s="191"/>
      <c r="N86" s="191"/>
      <c r="O86" s="193" t="n">
        <v>1.72</v>
      </c>
      <c r="P86" s="191"/>
      <c r="Q86" s="191"/>
      <c r="R86" s="191"/>
      <c r="S86" s="193"/>
      <c r="T86" s="191"/>
      <c r="U86" s="191"/>
      <c r="V86" s="191"/>
      <c r="W86" s="193"/>
      <c r="X86" s="104" t="n">
        <v>2.34521575984991</v>
      </c>
      <c r="Y86" s="114" t="s">
        <v>104</v>
      </c>
      <c r="Z86" s="78" t="s">
        <v>100</v>
      </c>
    </row>
    <row r="87" customFormat="false" ht="25.5" hidden="false" customHeight="true" outlineLevel="0" collapsed="false">
      <c r="A87" s="69" t="s">
        <v>323</v>
      </c>
      <c r="B87" s="70" t="s">
        <v>324</v>
      </c>
      <c r="C87" s="71" t="s">
        <v>34</v>
      </c>
      <c r="D87" s="71" t="s">
        <v>97</v>
      </c>
      <c r="E87" s="183" t="s">
        <v>502</v>
      </c>
      <c r="F87" s="102" t="n">
        <v>0.9</v>
      </c>
      <c r="G87" s="122" t="n">
        <v>1.5</v>
      </c>
      <c r="H87" s="191"/>
      <c r="I87" s="191"/>
      <c r="J87" s="191"/>
      <c r="K87" s="192" t="n">
        <v>0</v>
      </c>
      <c r="L87" s="191"/>
      <c r="M87" s="191"/>
      <c r="N87" s="191"/>
      <c r="O87" s="193" t="n">
        <v>0.28</v>
      </c>
      <c r="P87" s="191"/>
      <c r="Q87" s="191"/>
      <c r="R87" s="191"/>
      <c r="S87" s="193"/>
      <c r="T87" s="191"/>
      <c r="U87" s="191"/>
      <c r="V87" s="191"/>
      <c r="W87" s="193"/>
      <c r="X87" s="104" t="n">
        <v>0</v>
      </c>
      <c r="Y87" s="114" t="s">
        <v>104</v>
      </c>
      <c r="Z87" s="78" t="s">
        <v>257</v>
      </c>
    </row>
    <row r="88" customFormat="false" ht="25.5" hidden="false" customHeight="true" outlineLevel="0" collapsed="false">
      <c r="A88" s="69" t="s">
        <v>325</v>
      </c>
      <c r="B88" s="70" t="s">
        <v>326</v>
      </c>
      <c r="C88" s="71" t="s">
        <v>34</v>
      </c>
      <c r="D88" s="71" t="s">
        <v>110</v>
      </c>
      <c r="E88" s="183" t="s">
        <v>502</v>
      </c>
      <c r="F88" s="102" t="n">
        <v>0.9</v>
      </c>
      <c r="G88" s="82" t="n">
        <v>3</v>
      </c>
      <c r="H88" s="191"/>
      <c r="I88" s="191"/>
      <c r="J88" s="191"/>
      <c r="K88" s="192" t="n">
        <v>0.8</v>
      </c>
      <c r="L88" s="191"/>
      <c r="M88" s="191"/>
      <c r="N88" s="191"/>
      <c r="O88" s="193" t="n">
        <v>0.95</v>
      </c>
      <c r="P88" s="191"/>
      <c r="Q88" s="191"/>
      <c r="R88" s="191"/>
      <c r="S88" s="193"/>
      <c r="T88" s="191"/>
      <c r="U88" s="191"/>
      <c r="V88" s="191"/>
      <c r="W88" s="193"/>
      <c r="X88" s="104" t="n">
        <v>0.8</v>
      </c>
      <c r="Y88" s="114" t="s">
        <v>113</v>
      </c>
      <c r="Z88" s="78" t="s">
        <v>257</v>
      </c>
    </row>
    <row r="89" customFormat="false" ht="25.5" hidden="false" customHeight="true" outlineLevel="0" collapsed="false">
      <c r="A89" s="69" t="s">
        <v>327</v>
      </c>
      <c r="B89" s="70" t="s">
        <v>328</v>
      </c>
      <c r="C89" s="71" t="s">
        <v>34</v>
      </c>
      <c r="D89" s="71" t="s">
        <v>110</v>
      </c>
      <c r="E89" s="183" t="s">
        <v>502</v>
      </c>
      <c r="F89" s="87" t="n">
        <v>0.777</v>
      </c>
      <c r="G89" s="88" t="n">
        <v>0.7</v>
      </c>
      <c r="H89" s="184"/>
      <c r="I89" s="184"/>
      <c r="J89" s="184"/>
      <c r="K89" s="185" t="n">
        <v>0.757</v>
      </c>
      <c r="L89" s="184"/>
      <c r="M89" s="184"/>
      <c r="N89" s="184"/>
      <c r="O89" s="186" t="n">
        <v>0.7656</v>
      </c>
      <c r="P89" s="184"/>
      <c r="Q89" s="184"/>
      <c r="R89" s="184"/>
      <c r="S89" s="186"/>
      <c r="T89" s="184"/>
      <c r="U89" s="184"/>
      <c r="V89" s="184"/>
      <c r="W89" s="186"/>
      <c r="X89" s="92" t="n">
        <v>0.757</v>
      </c>
      <c r="Y89" s="114" t="s">
        <v>104</v>
      </c>
      <c r="Z89" s="78" t="s">
        <v>257</v>
      </c>
    </row>
    <row r="90" customFormat="false" ht="25.5" hidden="false" customHeight="true" outlineLevel="0" collapsed="false">
      <c r="A90" s="69" t="s">
        <v>329</v>
      </c>
      <c r="B90" s="70" t="s">
        <v>330</v>
      </c>
      <c r="C90" s="71" t="s">
        <v>34</v>
      </c>
      <c r="D90" s="71" t="s">
        <v>97</v>
      </c>
      <c r="E90" s="183" t="s">
        <v>502</v>
      </c>
      <c r="F90" s="102" t="n">
        <v>28.6</v>
      </c>
      <c r="G90" s="122" t="n">
        <v>14.3</v>
      </c>
      <c r="H90" s="191"/>
      <c r="I90" s="191"/>
      <c r="J90" s="191"/>
      <c r="K90" s="192" t="n">
        <v>79.6</v>
      </c>
      <c r="L90" s="191"/>
      <c r="M90" s="191"/>
      <c r="N90" s="191"/>
      <c r="O90" s="193" t="n">
        <v>0.049</v>
      </c>
      <c r="P90" s="191"/>
      <c r="Q90" s="191"/>
      <c r="R90" s="191"/>
      <c r="S90" s="193"/>
      <c r="T90" s="191"/>
      <c r="U90" s="191"/>
      <c r="V90" s="191"/>
      <c r="W90" s="193"/>
      <c r="X90" s="104" t="n">
        <v>79.6</v>
      </c>
      <c r="Y90" s="114" t="s">
        <v>113</v>
      </c>
      <c r="Z90" s="78" t="s">
        <v>257</v>
      </c>
    </row>
    <row r="91" customFormat="false" ht="25.5" hidden="false" customHeight="true" outlineLevel="0" collapsed="false">
      <c r="A91" s="69" t="s">
        <v>333</v>
      </c>
      <c r="B91" s="70" t="s">
        <v>334</v>
      </c>
      <c r="C91" s="71" t="s">
        <v>166</v>
      </c>
      <c r="D91" s="71" t="s">
        <v>110</v>
      </c>
      <c r="E91" s="183" t="s">
        <v>502</v>
      </c>
      <c r="F91" s="87" t="n">
        <v>0.624</v>
      </c>
      <c r="G91" s="91" t="n">
        <v>0.6</v>
      </c>
      <c r="H91" s="184"/>
      <c r="I91" s="184"/>
      <c r="J91" s="184"/>
      <c r="K91" s="186" t="n">
        <v>0.532</v>
      </c>
      <c r="L91" s="184"/>
      <c r="M91" s="184"/>
      <c r="N91" s="184"/>
      <c r="O91" s="186"/>
      <c r="P91" s="184"/>
      <c r="Q91" s="184"/>
      <c r="R91" s="184"/>
      <c r="S91" s="186"/>
      <c r="T91" s="184"/>
      <c r="U91" s="184"/>
      <c r="V91" s="184"/>
      <c r="W91" s="186"/>
      <c r="X91" s="92" t="n">
        <v>0.532</v>
      </c>
      <c r="Y91" s="114" t="s">
        <v>113</v>
      </c>
      <c r="Z91" s="78" t="s">
        <v>257</v>
      </c>
    </row>
    <row r="92" customFormat="false" ht="25.5" hidden="false" customHeight="true" outlineLevel="0" collapsed="false">
      <c r="A92" s="69" t="s">
        <v>335</v>
      </c>
      <c r="B92" s="70" t="s">
        <v>336</v>
      </c>
      <c r="C92" s="71" t="s">
        <v>166</v>
      </c>
      <c r="D92" s="71" t="s">
        <v>110</v>
      </c>
      <c r="E92" s="183" t="s">
        <v>502</v>
      </c>
      <c r="F92" s="87" t="n">
        <v>0.76</v>
      </c>
      <c r="G92" s="91" t="n">
        <v>0.7</v>
      </c>
      <c r="H92" s="184"/>
      <c r="I92" s="184"/>
      <c r="J92" s="184"/>
      <c r="K92" s="186"/>
      <c r="L92" s="184"/>
      <c r="M92" s="184"/>
      <c r="N92" s="184"/>
      <c r="O92" s="186"/>
      <c r="P92" s="184"/>
      <c r="Q92" s="184"/>
      <c r="R92" s="184"/>
      <c r="S92" s="186"/>
      <c r="T92" s="184"/>
      <c r="U92" s="184"/>
      <c r="V92" s="184"/>
      <c r="W92" s="186"/>
      <c r="X92" s="92"/>
      <c r="Y92" s="114" t="s">
        <v>99</v>
      </c>
      <c r="Z92" s="78" t="s">
        <v>257</v>
      </c>
    </row>
    <row r="93" customFormat="false" ht="25.5" hidden="false" customHeight="true" outlineLevel="0" collapsed="false">
      <c r="A93" s="69" t="s">
        <v>337</v>
      </c>
      <c r="B93" s="70" t="s">
        <v>338</v>
      </c>
      <c r="C93" s="71" t="s">
        <v>166</v>
      </c>
      <c r="D93" s="71" t="s">
        <v>110</v>
      </c>
      <c r="E93" s="183" t="s">
        <v>502</v>
      </c>
      <c r="F93" s="87" t="n">
        <v>0.821</v>
      </c>
      <c r="G93" s="91" t="n">
        <v>0.7</v>
      </c>
      <c r="H93" s="184"/>
      <c r="I93" s="184"/>
      <c r="J93" s="184"/>
      <c r="K93" s="186"/>
      <c r="L93" s="184"/>
      <c r="M93" s="184"/>
      <c r="N93" s="184"/>
      <c r="O93" s="186"/>
      <c r="P93" s="184"/>
      <c r="Q93" s="184"/>
      <c r="R93" s="184"/>
      <c r="S93" s="186"/>
      <c r="T93" s="184"/>
      <c r="U93" s="184"/>
      <c r="V93" s="184"/>
      <c r="W93" s="186"/>
      <c r="X93" s="92"/>
      <c r="Y93" s="114" t="s">
        <v>99</v>
      </c>
      <c r="Z93" s="78" t="s">
        <v>257</v>
      </c>
    </row>
    <row r="94" customFormat="false" ht="25.5" hidden="false" customHeight="true" outlineLevel="0" collapsed="false">
      <c r="A94" s="69" t="s">
        <v>339</v>
      </c>
      <c r="B94" s="70" t="s">
        <v>340</v>
      </c>
      <c r="C94" s="71" t="s">
        <v>166</v>
      </c>
      <c r="D94" s="71" t="s">
        <v>110</v>
      </c>
      <c r="E94" s="183" t="s">
        <v>502</v>
      </c>
      <c r="F94" s="87" t="n">
        <v>0.91</v>
      </c>
      <c r="G94" s="88" t="n">
        <v>0.92</v>
      </c>
      <c r="H94" s="184"/>
      <c r="I94" s="184"/>
      <c r="J94" s="184"/>
      <c r="K94" s="185" t="n">
        <v>0.833333333333333</v>
      </c>
      <c r="L94" s="184"/>
      <c r="M94" s="184"/>
      <c r="N94" s="184"/>
      <c r="O94" s="186" t="n">
        <v>0.8333</v>
      </c>
      <c r="P94" s="184"/>
      <c r="Q94" s="184"/>
      <c r="R94" s="184"/>
      <c r="S94" s="186"/>
      <c r="T94" s="184"/>
      <c r="U94" s="184"/>
      <c r="V94" s="184"/>
      <c r="W94" s="186"/>
      <c r="X94" s="92" t="n">
        <v>0.833333333333333</v>
      </c>
      <c r="Y94" s="114" t="s">
        <v>113</v>
      </c>
      <c r="Z94" s="78" t="s">
        <v>341</v>
      </c>
    </row>
    <row r="95" customFormat="false" ht="25.5" hidden="false" customHeight="true" outlineLevel="0" collapsed="false">
      <c r="A95" s="69" t="s">
        <v>342</v>
      </c>
      <c r="B95" s="70" t="s">
        <v>343</v>
      </c>
      <c r="C95" s="71" t="s">
        <v>166</v>
      </c>
      <c r="D95" s="71" t="s">
        <v>110</v>
      </c>
      <c r="E95" s="183" t="s">
        <v>502</v>
      </c>
      <c r="F95" s="87" t="n">
        <v>0.78</v>
      </c>
      <c r="G95" s="91" t="n">
        <v>0.85</v>
      </c>
      <c r="H95" s="184"/>
      <c r="I95" s="184"/>
      <c r="J95" s="184"/>
      <c r="K95" s="185" t="n">
        <v>1</v>
      </c>
      <c r="L95" s="184"/>
      <c r="M95" s="184"/>
      <c r="N95" s="184"/>
      <c r="O95" s="186" t="n">
        <v>1</v>
      </c>
      <c r="P95" s="184"/>
      <c r="Q95" s="184"/>
      <c r="R95" s="184"/>
      <c r="S95" s="186"/>
      <c r="T95" s="184"/>
      <c r="U95" s="184"/>
      <c r="V95" s="184"/>
      <c r="W95" s="186"/>
      <c r="X95" s="92" t="n">
        <v>1</v>
      </c>
      <c r="Y95" s="114" t="s">
        <v>104</v>
      </c>
      <c r="Z95" s="78" t="s">
        <v>344</v>
      </c>
    </row>
    <row r="96" customFormat="false" ht="25.5" hidden="false" customHeight="true" outlineLevel="0" collapsed="false">
      <c r="A96" s="69" t="s">
        <v>345</v>
      </c>
      <c r="B96" s="70" t="s">
        <v>346</v>
      </c>
      <c r="C96" s="71" t="s">
        <v>166</v>
      </c>
      <c r="D96" s="71" t="s">
        <v>110</v>
      </c>
      <c r="E96" s="183" t="s">
        <v>502</v>
      </c>
      <c r="F96" s="87" t="n">
        <v>0.786</v>
      </c>
      <c r="G96" s="88" t="n">
        <v>0.8</v>
      </c>
      <c r="H96" s="184"/>
      <c r="I96" s="184"/>
      <c r="J96" s="184"/>
      <c r="K96" s="185" t="n">
        <v>0.919</v>
      </c>
      <c r="L96" s="184"/>
      <c r="M96" s="184"/>
      <c r="N96" s="184"/>
      <c r="O96" s="186" t="n">
        <v>0.943486335898116</v>
      </c>
      <c r="P96" s="184"/>
      <c r="Q96" s="184"/>
      <c r="R96" s="184"/>
      <c r="S96" s="186"/>
      <c r="T96" s="184"/>
      <c r="U96" s="184"/>
      <c r="V96" s="184"/>
      <c r="W96" s="186"/>
      <c r="X96" s="92" t="n">
        <v>0.919</v>
      </c>
      <c r="Y96" s="114" t="s">
        <v>104</v>
      </c>
      <c r="Z96" s="78" t="s">
        <v>257</v>
      </c>
    </row>
    <row r="97" customFormat="false" ht="25.5" hidden="false" customHeight="true" outlineLevel="0" collapsed="false">
      <c r="A97" s="69" t="s">
        <v>347</v>
      </c>
      <c r="B97" s="70" t="s">
        <v>348</v>
      </c>
      <c r="C97" s="71" t="s">
        <v>166</v>
      </c>
      <c r="D97" s="71" t="s">
        <v>110</v>
      </c>
      <c r="E97" s="183" t="s">
        <v>502</v>
      </c>
      <c r="F97" s="87" t="n">
        <v>0.98</v>
      </c>
      <c r="G97" s="88" t="n">
        <v>0.6</v>
      </c>
      <c r="H97" s="184"/>
      <c r="I97" s="184"/>
      <c r="J97" s="184"/>
      <c r="K97" s="185" t="n">
        <v>0.988</v>
      </c>
      <c r="L97" s="184"/>
      <c r="M97" s="184"/>
      <c r="N97" s="184"/>
      <c r="O97" s="186"/>
      <c r="P97" s="184"/>
      <c r="Q97" s="184"/>
      <c r="R97" s="184"/>
      <c r="S97" s="186"/>
      <c r="T97" s="184"/>
      <c r="U97" s="184"/>
      <c r="V97" s="184"/>
      <c r="W97" s="186"/>
      <c r="X97" s="92" t="n">
        <v>0.988</v>
      </c>
      <c r="Y97" s="114" t="s">
        <v>104</v>
      </c>
      <c r="Z97" s="78" t="s">
        <v>257</v>
      </c>
    </row>
    <row r="98" customFormat="false" ht="25.5" hidden="false" customHeight="true" outlineLevel="0" collapsed="false">
      <c r="A98" s="69" t="s">
        <v>349</v>
      </c>
      <c r="B98" s="70" t="s">
        <v>350</v>
      </c>
      <c r="C98" s="71" t="s">
        <v>166</v>
      </c>
      <c r="D98" s="71" t="s">
        <v>97</v>
      </c>
      <c r="E98" s="183" t="s">
        <v>502</v>
      </c>
      <c r="F98" s="94" t="n">
        <v>13.3</v>
      </c>
      <c r="G98" s="109" t="n">
        <v>25</v>
      </c>
      <c r="H98" s="194"/>
      <c r="I98" s="194"/>
      <c r="J98" s="194"/>
      <c r="K98" s="195" t="n">
        <v>12.7</v>
      </c>
      <c r="L98" s="194"/>
      <c r="M98" s="194"/>
      <c r="N98" s="194"/>
      <c r="O98" s="196"/>
      <c r="P98" s="194"/>
      <c r="Q98" s="194"/>
      <c r="R98" s="194"/>
      <c r="S98" s="196"/>
      <c r="T98" s="194"/>
      <c r="U98" s="194"/>
      <c r="V98" s="194"/>
      <c r="W98" s="196" t="n">
        <v>13</v>
      </c>
      <c r="X98" s="125" t="n">
        <v>12.7</v>
      </c>
      <c r="Y98" s="114" t="s">
        <v>104</v>
      </c>
      <c r="Z98" s="78" t="s">
        <v>257</v>
      </c>
    </row>
    <row r="99" customFormat="false" ht="25.5" hidden="false" customHeight="true" outlineLevel="0" collapsed="false">
      <c r="A99" s="69" t="s">
        <v>351</v>
      </c>
      <c r="B99" s="70" t="s">
        <v>352</v>
      </c>
      <c r="C99" s="71" t="s">
        <v>166</v>
      </c>
      <c r="D99" s="71" t="s">
        <v>97</v>
      </c>
      <c r="E99" s="183" t="s">
        <v>502</v>
      </c>
      <c r="F99" s="102" t="n">
        <v>31.9</v>
      </c>
      <c r="G99" s="122" t="n">
        <v>15.95</v>
      </c>
      <c r="H99" s="191"/>
      <c r="I99" s="191"/>
      <c r="J99" s="191"/>
      <c r="K99" s="192" t="n">
        <v>61</v>
      </c>
      <c r="L99" s="191"/>
      <c r="M99" s="191"/>
      <c r="N99" s="191"/>
      <c r="O99" s="193" t="n">
        <v>65.5737704918033</v>
      </c>
      <c r="P99" s="191"/>
      <c r="Q99" s="191"/>
      <c r="R99" s="191"/>
      <c r="S99" s="193"/>
      <c r="T99" s="191"/>
      <c r="U99" s="191"/>
      <c r="V99" s="191"/>
      <c r="W99" s="193"/>
      <c r="X99" s="104" t="n">
        <v>61</v>
      </c>
      <c r="Y99" s="114" t="s">
        <v>113</v>
      </c>
      <c r="Z99" s="78" t="s">
        <v>257</v>
      </c>
    </row>
    <row r="100" customFormat="false" ht="25.5" hidden="false" customHeight="true" outlineLevel="0" collapsed="false">
      <c r="A100" s="69" t="s">
        <v>353</v>
      </c>
      <c r="B100" s="70" t="s">
        <v>354</v>
      </c>
      <c r="C100" s="71" t="s">
        <v>166</v>
      </c>
      <c r="D100" s="71" t="s">
        <v>97</v>
      </c>
      <c r="E100" s="183" t="s">
        <v>502</v>
      </c>
      <c r="F100" s="102" t="n">
        <v>56.1</v>
      </c>
      <c r="G100" s="122" t="n">
        <v>28.05</v>
      </c>
      <c r="H100" s="191"/>
      <c r="I100" s="191"/>
      <c r="J100" s="191"/>
      <c r="K100" s="192" t="n">
        <v>90.9</v>
      </c>
      <c r="L100" s="191"/>
      <c r="M100" s="191"/>
      <c r="N100" s="191"/>
      <c r="O100" s="193" t="n">
        <v>190</v>
      </c>
      <c r="P100" s="191"/>
      <c r="Q100" s="191"/>
      <c r="R100" s="191"/>
      <c r="S100" s="193"/>
      <c r="T100" s="191"/>
      <c r="U100" s="191"/>
      <c r="V100" s="191"/>
      <c r="W100" s="193"/>
      <c r="X100" s="104" t="n">
        <v>90.9</v>
      </c>
      <c r="Y100" s="114" t="s">
        <v>113</v>
      </c>
      <c r="Z100" s="78" t="s">
        <v>257</v>
      </c>
    </row>
    <row r="101" customFormat="false" ht="25.5" hidden="false" customHeight="true" outlineLevel="0" collapsed="false">
      <c r="A101" s="69" t="s">
        <v>355</v>
      </c>
      <c r="B101" s="70" t="s">
        <v>356</v>
      </c>
      <c r="C101" s="71" t="s">
        <v>166</v>
      </c>
      <c r="D101" s="71" t="s">
        <v>97</v>
      </c>
      <c r="E101" s="183" t="s">
        <v>502</v>
      </c>
      <c r="F101" s="102" t="n">
        <v>39.8</v>
      </c>
      <c r="G101" s="122" t="n">
        <v>75</v>
      </c>
      <c r="H101" s="191"/>
      <c r="I101" s="191"/>
      <c r="J101" s="191"/>
      <c r="K101" s="192" t="n">
        <v>0</v>
      </c>
      <c r="L101" s="191"/>
      <c r="M101" s="191"/>
      <c r="N101" s="191"/>
      <c r="O101" s="193" t="n">
        <v>0</v>
      </c>
      <c r="P101" s="191"/>
      <c r="Q101" s="191"/>
      <c r="R101" s="191"/>
      <c r="S101" s="193"/>
      <c r="T101" s="191"/>
      <c r="U101" s="191"/>
      <c r="V101" s="191"/>
      <c r="W101" s="193"/>
      <c r="X101" s="104" t="n">
        <v>0</v>
      </c>
      <c r="Y101" s="114" t="s">
        <v>104</v>
      </c>
      <c r="Z101" s="78" t="s">
        <v>257</v>
      </c>
    </row>
    <row r="102" customFormat="false" ht="25.5" hidden="false" customHeight="true" outlineLevel="0" collapsed="false">
      <c r="A102" s="69" t="s">
        <v>377</v>
      </c>
      <c r="B102" s="70" t="s">
        <v>378</v>
      </c>
      <c r="C102" s="71" t="s">
        <v>236</v>
      </c>
      <c r="D102" s="71" t="s">
        <v>110</v>
      </c>
      <c r="E102" s="183" t="s">
        <v>502</v>
      </c>
      <c r="F102" s="87" t="n">
        <v>0.483</v>
      </c>
      <c r="G102" s="88" t="n">
        <v>0.5606</v>
      </c>
      <c r="H102" s="184"/>
      <c r="I102" s="184"/>
      <c r="J102" s="184"/>
      <c r="K102" s="185" t="n">
        <v>0.363636363636364</v>
      </c>
      <c r="L102" s="184"/>
      <c r="M102" s="184"/>
      <c r="N102" s="184"/>
      <c r="O102" s="186" t="n">
        <v>0.434729064039409</v>
      </c>
      <c r="P102" s="184"/>
      <c r="Q102" s="184"/>
      <c r="R102" s="184"/>
      <c r="S102" s="186"/>
      <c r="T102" s="184"/>
      <c r="U102" s="184"/>
      <c r="V102" s="184"/>
      <c r="W102" s="186"/>
      <c r="X102" s="92" t="n">
        <v>0.363636363636364</v>
      </c>
      <c r="Y102" s="114" t="s">
        <v>113</v>
      </c>
      <c r="Z102" s="78" t="s">
        <v>190</v>
      </c>
    </row>
    <row r="103" customFormat="false" ht="25.5" hidden="false" customHeight="true" outlineLevel="0" collapsed="false">
      <c r="A103" s="69" t="s">
        <v>379</v>
      </c>
      <c r="B103" s="70" t="s">
        <v>380</v>
      </c>
      <c r="C103" s="71" t="s">
        <v>236</v>
      </c>
      <c r="D103" s="71" t="s">
        <v>97</v>
      </c>
      <c r="E103" s="183" t="s">
        <v>502</v>
      </c>
      <c r="F103" s="87" t="s">
        <v>32</v>
      </c>
      <c r="G103" s="91" t="s">
        <v>32</v>
      </c>
      <c r="H103" s="184"/>
      <c r="I103" s="184"/>
      <c r="J103" s="184"/>
      <c r="K103" s="185" t="n">
        <v>0.108288213244481</v>
      </c>
      <c r="L103" s="184"/>
      <c r="M103" s="184"/>
      <c r="N103" s="184"/>
      <c r="O103" s="186"/>
      <c r="P103" s="184"/>
      <c r="Q103" s="184"/>
      <c r="R103" s="184"/>
      <c r="S103" s="186"/>
      <c r="T103" s="184"/>
      <c r="U103" s="184"/>
      <c r="V103" s="184"/>
      <c r="W103" s="186"/>
      <c r="X103" s="92" t="n">
        <v>0.108288213244481</v>
      </c>
      <c r="Y103" s="114" t="s">
        <v>120</v>
      </c>
      <c r="Z103" s="78" t="s">
        <v>105</v>
      </c>
    </row>
    <row r="104" customFormat="false" ht="25.5" hidden="false" customHeight="true" outlineLevel="0" collapsed="false">
      <c r="A104" s="69" t="s">
        <v>382</v>
      </c>
      <c r="B104" s="70" t="s">
        <v>383</v>
      </c>
      <c r="C104" s="71" t="s">
        <v>236</v>
      </c>
      <c r="D104" s="71" t="s">
        <v>97</v>
      </c>
      <c r="E104" s="183" t="s">
        <v>502</v>
      </c>
      <c r="F104" s="87" t="n">
        <v>0.07</v>
      </c>
      <c r="G104" s="88" t="n">
        <v>0.115</v>
      </c>
      <c r="H104" s="184"/>
      <c r="I104" s="184"/>
      <c r="J104" s="184"/>
      <c r="K104" s="185" t="n">
        <v>0.092</v>
      </c>
      <c r="L104" s="184"/>
      <c r="M104" s="184"/>
      <c r="N104" s="184"/>
      <c r="O104" s="186"/>
      <c r="P104" s="184"/>
      <c r="Q104" s="184"/>
      <c r="R104" s="184"/>
      <c r="S104" s="186"/>
      <c r="T104" s="184"/>
      <c r="U104" s="184"/>
      <c r="V104" s="184"/>
      <c r="W104" s="186"/>
      <c r="X104" s="92" t="n">
        <v>0.092</v>
      </c>
      <c r="Y104" s="114" t="s">
        <v>104</v>
      </c>
      <c r="Z104" s="78" t="s">
        <v>257</v>
      </c>
    </row>
    <row r="105" customFormat="false" ht="25.5" hidden="false" customHeight="true" outlineLevel="0" collapsed="false">
      <c r="A105" s="69" t="s">
        <v>464</v>
      </c>
      <c r="B105" s="70" t="s">
        <v>465</v>
      </c>
      <c r="C105" s="71" t="s">
        <v>236</v>
      </c>
      <c r="D105" s="71" t="s">
        <v>110</v>
      </c>
      <c r="E105" s="183" t="s">
        <v>504</v>
      </c>
      <c r="F105" s="87" t="n">
        <v>0.755</v>
      </c>
      <c r="G105" s="91" t="n">
        <v>0.7</v>
      </c>
      <c r="H105" s="184"/>
      <c r="I105" s="184"/>
      <c r="J105" s="184"/>
      <c r="K105" s="186"/>
      <c r="L105" s="184"/>
      <c r="M105" s="184"/>
      <c r="N105" s="184"/>
      <c r="O105" s="186"/>
      <c r="P105" s="184"/>
      <c r="Q105" s="184"/>
      <c r="R105" s="184"/>
      <c r="S105" s="186"/>
      <c r="T105" s="184"/>
      <c r="U105" s="184"/>
      <c r="V105" s="184"/>
      <c r="W105" s="186"/>
      <c r="X105" s="92"/>
      <c r="Y105" s="114" t="s">
        <v>99</v>
      </c>
      <c r="Z105" s="78" t="s">
        <v>257</v>
      </c>
    </row>
    <row r="106" customFormat="false" ht="25.5" hidden="false" customHeight="true" outlineLevel="0" collapsed="false">
      <c r="A106" s="69" t="s">
        <v>397</v>
      </c>
      <c r="B106" s="70" t="s">
        <v>398</v>
      </c>
      <c r="C106" s="71" t="s">
        <v>35</v>
      </c>
      <c r="D106" s="71" t="s">
        <v>97</v>
      </c>
      <c r="E106" s="183" t="s">
        <v>502</v>
      </c>
      <c r="F106" s="115" t="n">
        <v>20.7</v>
      </c>
      <c r="G106" s="116" t="n">
        <v>21</v>
      </c>
      <c r="H106" s="184"/>
      <c r="I106" s="184"/>
      <c r="J106" s="184"/>
      <c r="K106" s="187"/>
      <c r="L106" s="184"/>
      <c r="M106" s="184"/>
      <c r="N106" s="184"/>
      <c r="O106" s="187"/>
      <c r="P106" s="184"/>
      <c r="Q106" s="184"/>
      <c r="R106" s="184"/>
      <c r="S106" s="187"/>
      <c r="T106" s="184"/>
      <c r="U106" s="184"/>
      <c r="V106" s="184"/>
      <c r="W106" s="187"/>
      <c r="X106" s="118"/>
      <c r="Y106" s="114" t="s">
        <v>99</v>
      </c>
      <c r="Z106" s="78" t="s">
        <v>257</v>
      </c>
    </row>
    <row r="107" customFormat="false" ht="25.5" hidden="false" customHeight="true" outlineLevel="0" collapsed="false">
      <c r="A107" s="69" t="s">
        <v>220</v>
      </c>
      <c r="B107" s="70" t="s">
        <v>221</v>
      </c>
      <c r="C107" s="71" t="s">
        <v>35</v>
      </c>
      <c r="D107" s="71" t="s">
        <v>97</v>
      </c>
      <c r="E107" s="183" t="s">
        <v>501</v>
      </c>
      <c r="F107" s="115" t="n">
        <v>6</v>
      </c>
      <c r="G107" s="116" t="n">
        <v>5</v>
      </c>
      <c r="H107" s="184"/>
      <c r="I107" s="184"/>
      <c r="J107" s="184"/>
      <c r="K107" s="187" t="str">
        <f aca="false">IF(COUNT(H108:J108)=0,"",AVERAGE(H108:J108))</f>
        <v/>
      </c>
      <c r="L107" s="184"/>
      <c r="M107" s="184"/>
      <c r="N107" s="184"/>
      <c r="O107" s="187" t="str">
        <f aca="false">IF(COUNT(L108:N108)=0,"",AVERAGE(L108:N108))</f>
        <v/>
      </c>
      <c r="P107" s="184"/>
      <c r="Q107" s="184"/>
      <c r="R107" s="184"/>
      <c r="S107" s="187" t="str">
        <f aca="false">IF(COUNT(P108:R108)=0,"",AVERAGE(P108:R108))</f>
        <v/>
      </c>
      <c r="T107" s="184"/>
      <c r="U107" s="184"/>
      <c r="V107" s="184"/>
      <c r="W107" s="187" t="str">
        <f aca="false">IF(COUNT(T108:V108)=0,"",AVERAGE(T108:V108))</f>
        <v/>
      </c>
      <c r="X107" s="118"/>
      <c r="Y107" s="114" t="s">
        <v>99</v>
      </c>
      <c r="Z107" s="78" t="s">
        <v>100</v>
      </c>
    </row>
    <row r="108" customFormat="false" ht="25.5" hidden="false" customHeight="true" outlineLevel="0" collapsed="false">
      <c r="H108" s="113"/>
      <c r="I108" s="113"/>
      <c r="J108" s="113"/>
      <c r="L108" s="113"/>
      <c r="M108" s="113"/>
      <c r="N108" s="113"/>
      <c r="P108" s="113"/>
      <c r="Q108" s="113"/>
      <c r="R108" s="113"/>
      <c r="T108" s="113"/>
      <c r="U108" s="113"/>
      <c r="V108" s="113"/>
    </row>
    <row r="109" customFormat="false" ht="25.5" hidden="false" customHeight="true" outlineLevel="0" collapsed="false">
      <c r="H109" s="113"/>
      <c r="I109" s="113"/>
      <c r="J109" s="113"/>
      <c r="L109" s="113"/>
      <c r="M109" s="113"/>
      <c r="N109" s="113"/>
      <c r="P109" s="113"/>
      <c r="Q109" s="113"/>
      <c r="R109" s="113"/>
      <c r="T109" s="113"/>
      <c r="U109" s="113"/>
      <c r="V109" s="113"/>
    </row>
    <row r="110" customFormat="false" ht="25.5" hidden="false" customHeight="true" outlineLevel="0" collapsed="false">
      <c r="H110" s="113"/>
      <c r="I110" s="113"/>
      <c r="J110" s="113"/>
      <c r="L110" s="113"/>
      <c r="M110" s="113"/>
      <c r="N110" s="113"/>
      <c r="P110" s="113"/>
      <c r="Q110" s="113"/>
      <c r="R110" s="113"/>
      <c r="T110" s="113"/>
      <c r="U110" s="113"/>
      <c r="V110" s="113"/>
    </row>
    <row r="111" customFormat="false" ht="25.5" hidden="false" customHeight="true" outlineLevel="0" collapsed="false">
      <c r="H111" s="113"/>
      <c r="I111" s="113"/>
      <c r="J111" s="113"/>
      <c r="L111" s="113"/>
      <c r="M111" s="113"/>
      <c r="N111" s="113"/>
      <c r="P111" s="113"/>
      <c r="Q111" s="113"/>
      <c r="R111" s="113"/>
      <c r="T111" s="113"/>
      <c r="U111" s="113"/>
      <c r="V111" s="113"/>
    </row>
    <row r="112" customFormat="false" ht="15" hidden="false" customHeight="true" outlineLevel="0" collapsed="false">
      <c r="H112" s="113"/>
      <c r="I112" s="113"/>
      <c r="J112" s="113"/>
      <c r="L112" s="113"/>
      <c r="M112" s="113"/>
      <c r="N112" s="113"/>
      <c r="P112" s="113"/>
      <c r="Q112" s="113"/>
      <c r="R112" s="113"/>
      <c r="T112" s="113"/>
      <c r="U112" s="113"/>
      <c r="V112" s="113"/>
    </row>
    <row r="113" customFormat="false" ht="15" hidden="false" customHeight="true" outlineLevel="0" collapsed="false">
      <c r="H113" s="113"/>
      <c r="I113" s="113"/>
      <c r="J113" s="113"/>
      <c r="L113" s="113"/>
      <c r="M113" s="113"/>
      <c r="N113" s="113"/>
      <c r="P113" s="113"/>
      <c r="Q113" s="113"/>
      <c r="R113" s="113"/>
      <c r="T113" s="113"/>
      <c r="U113" s="113"/>
      <c r="V113" s="113"/>
    </row>
    <row r="114" customFormat="false" ht="15" hidden="false" customHeight="true" outlineLevel="0" collapsed="false">
      <c r="H114" s="113"/>
      <c r="I114" s="113"/>
      <c r="J114" s="113"/>
      <c r="L114" s="113"/>
      <c r="M114" s="113"/>
      <c r="N114" s="113"/>
      <c r="P114" s="113"/>
      <c r="Q114" s="113"/>
      <c r="R114" s="113"/>
      <c r="T114" s="113"/>
      <c r="U114" s="113"/>
      <c r="V114" s="113"/>
    </row>
    <row r="115" customFormat="false" ht="15" hidden="false" customHeight="true" outlineLevel="0" collapsed="false">
      <c r="H115" s="113"/>
      <c r="I115" s="113"/>
      <c r="J115" s="113"/>
      <c r="L115" s="113"/>
      <c r="M115" s="113"/>
      <c r="N115" s="113"/>
      <c r="P115" s="113"/>
      <c r="Q115" s="113"/>
      <c r="R115" s="113"/>
      <c r="T115" s="113"/>
      <c r="U115" s="113"/>
      <c r="V115" s="113"/>
    </row>
    <row r="116" customFormat="false" ht="15" hidden="false" customHeight="true" outlineLevel="0" collapsed="false">
      <c r="H116" s="113"/>
      <c r="I116" s="113"/>
      <c r="J116" s="113"/>
      <c r="L116" s="113"/>
      <c r="M116" s="113"/>
      <c r="N116" s="113"/>
      <c r="P116" s="113"/>
      <c r="Q116" s="113"/>
      <c r="R116" s="113"/>
      <c r="T116" s="113"/>
      <c r="U116" s="113"/>
      <c r="V116" s="113"/>
    </row>
    <row r="117" customFormat="false" ht="15" hidden="false" customHeight="true" outlineLevel="0" collapsed="false">
      <c r="H117" s="113"/>
      <c r="I117" s="113"/>
      <c r="J117" s="113"/>
      <c r="L117" s="113"/>
      <c r="M117" s="113"/>
      <c r="N117" s="113"/>
      <c r="P117" s="113"/>
      <c r="Q117" s="113"/>
      <c r="R117" s="113"/>
      <c r="T117" s="113"/>
      <c r="U117" s="113"/>
      <c r="V117" s="113"/>
    </row>
    <row r="118" customFormat="false" ht="15" hidden="false" customHeight="true" outlineLevel="0" collapsed="false">
      <c r="H118" s="113"/>
      <c r="I118" s="113"/>
      <c r="J118" s="113"/>
      <c r="L118" s="113"/>
      <c r="M118" s="113"/>
      <c r="N118" s="113"/>
      <c r="P118" s="113"/>
      <c r="Q118" s="113"/>
      <c r="R118" s="113"/>
      <c r="T118" s="113"/>
      <c r="U118" s="113"/>
      <c r="V118" s="113"/>
    </row>
    <row r="119" customFormat="false" ht="15" hidden="false" customHeight="true" outlineLevel="0" collapsed="false">
      <c r="H119" s="113"/>
      <c r="I119" s="113"/>
      <c r="J119" s="113"/>
      <c r="L119" s="113"/>
      <c r="M119" s="113"/>
      <c r="N119" s="113"/>
      <c r="P119" s="113"/>
      <c r="Q119" s="113"/>
      <c r="R119" s="113"/>
      <c r="T119" s="113"/>
      <c r="U119" s="113"/>
      <c r="V119" s="113"/>
    </row>
    <row r="120" customFormat="false" ht="15" hidden="false" customHeight="true" outlineLevel="0" collapsed="false">
      <c r="H120" s="113"/>
      <c r="I120" s="113"/>
      <c r="J120" s="113"/>
      <c r="L120" s="113"/>
      <c r="M120" s="113"/>
      <c r="N120" s="113"/>
      <c r="P120" s="113"/>
      <c r="Q120" s="113"/>
      <c r="R120" s="113"/>
      <c r="T120" s="113"/>
      <c r="U120" s="113"/>
      <c r="V120" s="113"/>
    </row>
    <row r="121" customFormat="false" ht="15" hidden="false" customHeight="true" outlineLevel="0" collapsed="false">
      <c r="H121" s="113"/>
      <c r="I121" s="113"/>
      <c r="J121" s="113"/>
      <c r="L121" s="113"/>
      <c r="M121" s="113"/>
      <c r="N121" s="113"/>
      <c r="P121" s="113"/>
      <c r="Q121" s="113"/>
      <c r="R121" s="113"/>
      <c r="T121" s="113"/>
      <c r="U121" s="113"/>
      <c r="V121" s="113"/>
    </row>
    <row r="122" customFormat="false" ht="15" hidden="false" customHeight="true" outlineLevel="0" collapsed="false">
      <c r="H122" s="113"/>
      <c r="I122" s="113"/>
      <c r="J122" s="113"/>
      <c r="L122" s="113"/>
      <c r="M122" s="113"/>
      <c r="N122" s="113"/>
      <c r="P122" s="113"/>
      <c r="Q122" s="113"/>
      <c r="R122" s="113"/>
      <c r="T122" s="113"/>
      <c r="U122" s="113"/>
      <c r="V122" s="113"/>
    </row>
    <row r="123" customFormat="false" ht="15" hidden="false" customHeight="true" outlineLevel="0" collapsed="false">
      <c r="H123" s="113"/>
      <c r="I123" s="113"/>
      <c r="J123" s="113"/>
      <c r="L123" s="113"/>
      <c r="M123" s="113"/>
      <c r="N123" s="113"/>
      <c r="P123" s="113"/>
      <c r="Q123" s="113"/>
      <c r="R123" s="113"/>
      <c r="T123" s="113"/>
      <c r="U123" s="113"/>
      <c r="V123" s="113"/>
    </row>
    <row r="124" customFormat="false" ht="15" hidden="false" customHeight="true" outlineLevel="0" collapsed="false">
      <c r="H124" s="113"/>
      <c r="I124" s="113"/>
      <c r="J124" s="113"/>
      <c r="L124" s="113"/>
      <c r="M124" s="113"/>
      <c r="N124" s="113"/>
      <c r="P124" s="113"/>
      <c r="Q124" s="113"/>
      <c r="R124" s="113"/>
      <c r="T124" s="113"/>
      <c r="U124" s="113"/>
      <c r="V124" s="113"/>
    </row>
    <row r="125" customFormat="false" ht="15" hidden="false" customHeight="true" outlineLevel="0" collapsed="false">
      <c r="H125" s="113"/>
      <c r="I125" s="113"/>
      <c r="J125" s="113"/>
      <c r="L125" s="113"/>
      <c r="M125" s="113"/>
      <c r="N125" s="113"/>
      <c r="P125" s="113"/>
      <c r="Q125" s="113"/>
      <c r="R125" s="113"/>
      <c r="T125" s="113"/>
      <c r="U125" s="113"/>
      <c r="V125" s="113"/>
    </row>
    <row r="126" customFormat="false" ht="15" hidden="false" customHeight="true" outlineLevel="0" collapsed="false">
      <c r="H126" s="113"/>
      <c r="I126" s="113"/>
      <c r="J126" s="113"/>
      <c r="L126" s="113"/>
      <c r="M126" s="113"/>
      <c r="N126" s="113"/>
      <c r="P126" s="113"/>
      <c r="Q126" s="113"/>
      <c r="R126" s="113"/>
      <c r="T126" s="113"/>
      <c r="U126" s="113"/>
      <c r="V126" s="113"/>
    </row>
    <row r="127" customFormat="false" ht="15" hidden="false" customHeight="true" outlineLevel="0" collapsed="false">
      <c r="H127" s="113"/>
      <c r="I127" s="113"/>
      <c r="J127" s="113"/>
      <c r="L127" s="113"/>
      <c r="M127" s="113"/>
      <c r="N127" s="113"/>
      <c r="P127" s="113"/>
      <c r="Q127" s="113"/>
      <c r="R127" s="113"/>
      <c r="T127" s="113"/>
      <c r="U127" s="113"/>
      <c r="V127" s="113"/>
    </row>
    <row r="128" customFormat="false" ht="15" hidden="false" customHeight="true" outlineLevel="0" collapsed="false">
      <c r="H128" s="113"/>
      <c r="I128" s="113"/>
      <c r="J128" s="113"/>
      <c r="L128" s="113"/>
      <c r="M128" s="113"/>
      <c r="N128" s="113"/>
      <c r="P128" s="113"/>
      <c r="Q128" s="113"/>
      <c r="R128" s="113"/>
      <c r="T128" s="113"/>
      <c r="U128" s="113"/>
      <c r="V128" s="113"/>
    </row>
    <row r="129" customFormat="false" ht="15" hidden="false" customHeight="true" outlineLevel="0" collapsed="false">
      <c r="H129" s="113"/>
      <c r="I129" s="113"/>
      <c r="J129" s="113"/>
      <c r="L129" s="113"/>
      <c r="M129" s="113"/>
      <c r="N129" s="113"/>
      <c r="P129" s="113"/>
      <c r="Q129" s="113"/>
      <c r="R129" s="113"/>
      <c r="T129" s="113"/>
      <c r="U129" s="113"/>
      <c r="V129" s="113"/>
    </row>
    <row r="130" customFormat="false" ht="15" hidden="false" customHeight="true" outlineLevel="0" collapsed="false">
      <c r="H130" s="113"/>
      <c r="I130" s="113"/>
      <c r="J130" s="113"/>
      <c r="L130" s="113"/>
      <c r="M130" s="113"/>
      <c r="N130" s="113"/>
      <c r="P130" s="113"/>
      <c r="Q130" s="113"/>
      <c r="R130" s="113"/>
      <c r="T130" s="113"/>
      <c r="U130" s="113"/>
      <c r="V130" s="113"/>
    </row>
    <row r="131" customFormat="false" ht="15" hidden="false" customHeight="true" outlineLevel="0" collapsed="false">
      <c r="H131" s="113"/>
      <c r="I131" s="113"/>
      <c r="J131" s="113"/>
      <c r="L131" s="113"/>
      <c r="M131" s="113"/>
      <c r="N131" s="113"/>
      <c r="P131" s="113"/>
      <c r="Q131" s="113"/>
      <c r="R131" s="113"/>
      <c r="T131" s="113"/>
      <c r="U131" s="113"/>
      <c r="V131" s="113"/>
    </row>
    <row r="132" customFormat="false" ht="15" hidden="false" customHeight="true" outlineLevel="0" collapsed="false">
      <c r="H132" s="113"/>
      <c r="I132" s="113"/>
      <c r="J132" s="113"/>
      <c r="L132" s="113"/>
      <c r="M132" s="113"/>
      <c r="N132" s="113"/>
      <c r="P132" s="113"/>
      <c r="Q132" s="113"/>
      <c r="R132" s="113"/>
      <c r="T132" s="113"/>
      <c r="U132" s="113"/>
      <c r="V132" s="113"/>
    </row>
    <row r="133" customFormat="false" ht="15" hidden="false" customHeight="true" outlineLevel="0" collapsed="false">
      <c r="H133" s="113"/>
      <c r="I133" s="113"/>
      <c r="J133" s="113"/>
      <c r="L133" s="113"/>
      <c r="M133" s="113"/>
      <c r="N133" s="113"/>
      <c r="P133" s="113"/>
      <c r="Q133" s="113"/>
      <c r="R133" s="113"/>
      <c r="T133" s="113"/>
      <c r="U133" s="113"/>
      <c r="V133" s="113"/>
    </row>
    <row r="134" customFormat="false" ht="15" hidden="false" customHeight="true" outlineLevel="0" collapsed="false">
      <c r="H134" s="113"/>
      <c r="I134" s="113"/>
      <c r="J134" s="113"/>
      <c r="L134" s="113"/>
      <c r="M134" s="113"/>
      <c r="N134" s="113"/>
      <c r="P134" s="113"/>
      <c r="Q134" s="113"/>
      <c r="R134" s="113"/>
      <c r="T134" s="113"/>
      <c r="U134" s="113"/>
      <c r="V134" s="113"/>
    </row>
    <row r="135" customFormat="false" ht="15" hidden="false" customHeight="true" outlineLevel="0" collapsed="false">
      <c r="H135" s="113"/>
      <c r="I135" s="113"/>
      <c r="J135" s="113"/>
      <c r="L135" s="113"/>
      <c r="M135" s="113"/>
      <c r="N135" s="113"/>
      <c r="P135" s="113"/>
      <c r="Q135" s="113"/>
      <c r="R135" s="113"/>
      <c r="T135" s="113"/>
      <c r="U135" s="113"/>
      <c r="V135" s="113"/>
    </row>
    <row r="136" customFormat="false" ht="15" hidden="false" customHeight="true" outlineLevel="0" collapsed="false">
      <c r="H136" s="113"/>
      <c r="I136" s="113"/>
      <c r="J136" s="113"/>
      <c r="L136" s="113"/>
      <c r="M136" s="113"/>
      <c r="N136" s="113"/>
      <c r="P136" s="113"/>
      <c r="Q136" s="113"/>
      <c r="R136" s="113"/>
      <c r="T136" s="113"/>
      <c r="U136" s="113"/>
      <c r="V136" s="113"/>
    </row>
    <row r="137" customFormat="false" ht="15" hidden="false" customHeight="true" outlineLevel="0" collapsed="false">
      <c r="H137" s="113"/>
      <c r="I137" s="113"/>
      <c r="J137" s="113"/>
      <c r="L137" s="113"/>
      <c r="M137" s="113"/>
      <c r="N137" s="113"/>
      <c r="P137" s="113"/>
      <c r="Q137" s="113"/>
      <c r="R137" s="113"/>
      <c r="T137" s="113"/>
      <c r="U137" s="113"/>
      <c r="V137" s="113"/>
    </row>
    <row r="138" customFormat="false" ht="15" hidden="false" customHeight="true" outlineLevel="0" collapsed="false">
      <c r="H138" s="113"/>
      <c r="I138" s="113"/>
      <c r="J138" s="113"/>
      <c r="L138" s="113"/>
      <c r="M138" s="113"/>
      <c r="N138" s="113"/>
      <c r="P138" s="113"/>
      <c r="Q138" s="113"/>
      <c r="R138" s="113"/>
      <c r="T138" s="113"/>
      <c r="U138" s="113"/>
      <c r="V138" s="113"/>
    </row>
    <row r="139" customFormat="false" ht="15" hidden="false" customHeight="true" outlineLevel="0" collapsed="false">
      <c r="H139" s="113"/>
      <c r="I139" s="113"/>
      <c r="J139" s="113"/>
      <c r="L139" s="113"/>
      <c r="M139" s="113"/>
      <c r="N139" s="113"/>
      <c r="P139" s="113"/>
      <c r="Q139" s="113"/>
      <c r="R139" s="113"/>
      <c r="T139" s="113"/>
      <c r="U139" s="113"/>
      <c r="V139" s="113"/>
    </row>
    <row r="140" customFormat="false" ht="15" hidden="false" customHeight="true" outlineLevel="0" collapsed="false">
      <c r="H140" s="113"/>
      <c r="I140" s="113"/>
      <c r="J140" s="113"/>
      <c r="L140" s="113"/>
      <c r="M140" s="113"/>
      <c r="N140" s="113"/>
      <c r="P140" s="113"/>
      <c r="Q140" s="113"/>
      <c r="R140" s="113"/>
      <c r="T140" s="113"/>
      <c r="U140" s="113"/>
      <c r="V140" s="113"/>
    </row>
    <row r="141" customFormat="false" ht="15" hidden="false" customHeight="true" outlineLevel="0" collapsed="false">
      <c r="H141" s="113"/>
      <c r="I141" s="113"/>
      <c r="J141" s="113"/>
      <c r="L141" s="113"/>
      <c r="M141" s="113"/>
      <c r="N141" s="113"/>
      <c r="P141" s="113"/>
      <c r="Q141" s="113"/>
      <c r="R141" s="113"/>
      <c r="T141" s="113"/>
      <c r="U141" s="113"/>
      <c r="V141" s="113"/>
    </row>
    <row r="142" customFormat="false" ht="15" hidden="false" customHeight="true" outlineLevel="0" collapsed="false">
      <c r="H142" s="113"/>
      <c r="I142" s="113"/>
      <c r="J142" s="113"/>
      <c r="L142" s="113"/>
      <c r="M142" s="113"/>
      <c r="N142" s="113"/>
      <c r="P142" s="113"/>
      <c r="Q142" s="113"/>
      <c r="R142" s="113"/>
      <c r="T142" s="113"/>
      <c r="U142" s="113"/>
      <c r="V142" s="113"/>
    </row>
    <row r="143" customFormat="false" ht="15" hidden="false" customHeight="true" outlineLevel="0" collapsed="false">
      <c r="H143" s="113"/>
      <c r="I143" s="113"/>
      <c r="J143" s="113"/>
      <c r="L143" s="113"/>
      <c r="M143" s="113"/>
      <c r="N143" s="113"/>
      <c r="P143" s="113"/>
      <c r="Q143" s="113"/>
      <c r="R143" s="113"/>
      <c r="T143" s="113"/>
      <c r="U143" s="113"/>
      <c r="V143" s="113"/>
    </row>
    <row r="144" customFormat="false" ht="15" hidden="false" customHeight="true" outlineLevel="0" collapsed="false">
      <c r="H144" s="113"/>
      <c r="I144" s="113"/>
      <c r="J144" s="113"/>
      <c r="L144" s="113"/>
      <c r="M144" s="113"/>
      <c r="N144" s="113"/>
      <c r="P144" s="113"/>
      <c r="Q144" s="113"/>
      <c r="R144" s="113"/>
      <c r="T144" s="113"/>
      <c r="U144" s="113"/>
      <c r="V144" s="113"/>
    </row>
    <row r="145" customFormat="false" ht="15" hidden="false" customHeight="true" outlineLevel="0" collapsed="false">
      <c r="H145" s="113"/>
      <c r="I145" s="113"/>
      <c r="J145" s="113"/>
      <c r="L145" s="113"/>
      <c r="M145" s="113"/>
      <c r="N145" s="113"/>
      <c r="P145" s="113"/>
      <c r="Q145" s="113"/>
      <c r="R145" s="113"/>
      <c r="T145" s="113"/>
      <c r="U145" s="113"/>
      <c r="V145" s="113"/>
    </row>
    <row r="146" customFormat="false" ht="15" hidden="false" customHeight="true" outlineLevel="0" collapsed="false">
      <c r="H146" s="113"/>
      <c r="I146" s="113"/>
      <c r="J146" s="113"/>
      <c r="L146" s="113"/>
      <c r="M146" s="113"/>
      <c r="N146" s="113"/>
      <c r="P146" s="113"/>
      <c r="Q146" s="113"/>
      <c r="R146" s="113"/>
      <c r="T146" s="113"/>
      <c r="U146" s="113"/>
      <c r="V146" s="113"/>
    </row>
    <row r="147" customFormat="false" ht="15" hidden="false" customHeight="true" outlineLevel="0" collapsed="false">
      <c r="H147" s="113"/>
      <c r="I147" s="113"/>
      <c r="J147" s="113"/>
      <c r="L147" s="113"/>
      <c r="M147" s="113"/>
      <c r="N147" s="113"/>
      <c r="P147" s="113"/>
      <c r="Q147" s="113"/>
      <c r="R147" s="113"/>
      <c r="T147" s="113"/>
      <c r="U147" s="113"/>
      <c r="V147" s="113"/>
    </row>
    <row r="148" customFormat="false" ht="15" hidden="false" customHeight="true" outlineLevel="0" collapsed="false">
      <c r="H148" s="113"/>
      <c r="I148" s="113"/>
      <c r="J148" s="113"/>
      <c r="L148" s="113"/>
      <c r="M148" s="113"/>
      <c r="N148" s="113"/>
      <c r="P148" s="113"/>
      <c r="Q148" s="113"/>
      <c r="R148" s="113"/>
      <c r="T148" s="113"/>
      <c r="U148" s="113"/>
      <c r="V148" s="113"/>
    </row>
    <row r="149" customFormat="false" ht="15" hidden="false" customHeight="true" outlineLevel="0" collapsed="false">
      <c r="H149" s="113"/>
      <c r="I149" s="113"/>
      <c r="J149" s="113"/>
      <c r="L149" s="113"/>
      <c r="M149" s="113"/>
      <c r="N149" s="113"/>
      <c r="P149" s="113"/>
      <c r="Q149" s="113"/>
      <c r="R149" s="113"/>
      <c r="T149" s="113"/>
      <c r="U149" s="113"/>
      <c r="V149" s="113"/>
    </row>
    <row r="150" customFormat="false" ht="15" hidden="false" customHeight="true" outlineLevel="0" collapsed="false">
      <c r="H150" s="113"/>
      <c r="I150" s="113"/>
      <c r="J150" s="113"/>
      <c r="L150" s="113"/>
      <c r="M150" s="113"/>
      <c r="N150" s="113"/>
      <c r="P150" s="113"/>
      <c r="Q150" s="113"/>
      <c r="R150" s="113"/>
      <c r="T150" s="113"/>
      <c r="U150" s="113"/>
      <c r="V150" s="113"/>
    </row>
    <row r="151" customFormat="false" ht="15" hidden="false" customHeight="true" outlineLevel="0" collapsed="false">
      <c r="H151" s="113"/>
      <c r="I151" s="113"/>
      <c r="J151" s="113"/>
      <c r="L151" s="113"/>
      <c r="M151" s="113"/>
      <c r="N151" s="113"/>
      <c r="P151" s="113"/>
      <c r="Q151" s="113"/>
      <c r="R151" s="113"/>
      <c r="T151" s="113"/>
      <c r="U151" s="113"/>
      <c r="V151" s="113"/>
    </row>
    <row r="152" customFormat="false" ht="15" hidden="false" customHeight="true" outlineLevel="0" collapsed="false">
      <c r="H152" s="113"/>
      <c r="I152" s="113"/>
      <c r="J152" s="113"/>
      <c r="L152" s="113"/>
      <c r="M152" s="113"/>
      <c r="N152" s="113"/>
      <c r="P152" s="113"/>
      <c r="Q152" s="113"/>
      <c r="R152" s="113"/>
      <c r="T152" s="113"/>
      <c r="U152" s="113"/>
      <c r="V152" s="113"/>
    </row>
    <row r="153" customFormat="false" ht="15" hidden="false" customHeight="true" outlineLevel="0" collapsed="false">
      <c r="H153" s="113"/>
      <c r="I153" s="113"/>
      <c r="J153" s="113"/>
      <c r="L153" s="113"/>
      <c r="M153" s="113"/>
      <c r="N153" s="113"/>
      <c r="P153" s="113"/>
      <c r="Q153" s="113"/>
      <c r="R153" s="113"/>
      <c r="T153" s="113"/>
      <c r="U153" s="113"/>
      <c r="V153" s="113"/>
    </row>
    <row r="154" customFormat="false" ht="15" hidden="false" customHeight="true" outlineLevel="0" collapsed="false">
      <c r="H154" s="113"/>
      <c r="I154" s="113"/>
      <c r="J154" s="113"/>
      <c r="L154" s="113"/>
      <c r="M154" s="113"/>
      <c r="N154" s="113"/>
      <c r="P154" s="113"/>
      <c r="Q154" s="113"/>
      <c r="R154" s="113"/>
      <c r="T154" s="113"/>
      <c r="U154" s="113"/>
      <c r="V154" s="113"/>
    </row>
    <row r="155" customFormat="false" ht="15" hidden="false" customHeight="true" outlineLevel="0" collapsed="false">
      <c r="H155" s="113"/>
      <c r="I155" s="113"/>
      <c r="J155" s="113"/>
      <c r="L155" s="113"/>
      <c r="M155" s="113"/>
      <c r="N155" s="113"/>
      <c r="P155" s="113"/>
      <c r="Q155" s="113"/>
      <c r="R155" s="113"/>
      <c r="T155" s="113"/>
      <c r="U155" s="113"/>
      <c r="V155" s="113"/>
    </row>
    <row r="156" customFormat="false" ht="15" hidden="false" customHeight="true" outlineLevel="0" collapsed="false">
      <c r="H156" s="113"/>
      <c r="I156" s="113"/>
      <c r="J156" s="113"/>
      <c r="L156" s="113"/>
      <c r="M156" s="113"/>
      <c r="N156" s="113"/>
      <c r="P156" s="113"/>
      <c r="Q156" s="113"/>
      <c r="R156" s="113"/>
      <c r="T156" s="113"/>
      <c r="U156" s="113"/>
      <c r="V156" s="113"/>
    </row>
    <row r="157" customFormat="false" ht="15" hidden="false" customHeight="true" outlineLevel="0" collapsed="false">
      <c r="H157" s="113"/>
      <c r="I157" s="113"/>
      <c r="J157" s="113"/>
      <c r="L157" s="113"/>
      <c r="M157" s="113"/>
      <c r="N157" s="113"/>
      <c r="P157" s="113"/>
      <c r="Q157" s="113"/>
      <c r="R157" s="113"/>
      <c r="T157" s="113"/>
      <c r="U157" s="113"/>
      <c r="V157" s="113"/>
    </row>
    <row r="158" customFormat="false" ht="15" hidden="false" customHeight="true" outlineLevel="0" collapsed="false">
      <c r="H158" s="113"/>
      <c r="I158" s="113"/>
      <c r="J158" s="113"/>
      <c r="L158" s="113"/>
      <c r="M158" s="113"/>
      <c r="N158" s="113"/>
      <c r="P158" s="113"/>
      <c r="Q158" s="113"/>
      <c r="R158" s="113"/>
      <c r="T158" s="113"/>
      <c r="U158" s="113"/>
      <c r="V158" s="113"/>
    </row>
    <row r="159" customFormat="false" ht="15" hidden="false" customHeight="true" outlineLevel="0" collapsed="false">
      <c r="H159" s="113"/>
      <c r="I159" s="113"/>
      <c r="J159" s="113"/>
      <c r="L159" s="113"/>
      <c r="M159" s="113"/>
      <c r="N159" s="113"/>
      <c r="P159" s="113"/>
      <c r="Q159" s="113"/>
      <c r="R159" s="113"/>
      <c r="T159" s="113"/>
      <c r="U159" s="113"/>
      <c r="V159" s="113"/>
    </row>
    <row r="160" customFormat="false" ht="15" hidden="false" customHeight="true" outlineLevel="0" collapsed="false">
      <c r="H160" s="113"/>
      <c r="I160" s="113"/>
      <c r="J160" s="113"/>
      <c r="L160" s="113"/>
      <c r="M160" s="113"/>
      <c r="N160" s="113"/>
      <c r="P160" s="113"/>
      <c r="Q160" s="113"/>
      <c r="R160" s="113"/>
      <c r="T160" s="113"/>
      <c r="U160" s="113"/>
      <c r="V160" s="113"/>
    </row>
    <row r="161" customFormat="false" ht="15" hidden="false" customHeight="true" outlineLevel="0" collapsed="false">
      <c r="H161" s="113"/>
      <c r="I161" s="113"/>
      <c r="J161" s="113"/>
      <c r="L161" s="113"/>
      <c r="M161" s="113"/>
      <c r="N161" s="113"/>
      <c r="P161" s="113"/>
      <c r="Q161" s="113"/>
      <c r="R161" s="113"/>
      <c r="T161" s="113"/>
      <c r="U161" s="113"/>
      <c r="V161" s="113"/>
    </row>
    <row r="162" customFormat="false" ht="15" hidden="false" customHeight="true" outlineLevel="0" collapsed="false">
      <c r="H162" s="113"/>
      <c r="I162" s="113"/>
      <c r="J162" s="113"/>
      <c r="L162" s="113"/>
      <c r="M162" s="113"/>
      <c r="N162" s="113"/>
      <c r="P162" s="113"/>
      <c r="Q162" s="113"/>
      <c r="R162" s="113"/>
      <c r="T162" s="113"/>
      <c r="U162" s="113"/>
      <c r="V162" s="113"/>
    </row>
    <row r="163" customFormat="false" ht="15" hidden="false" customHeight="true" outlineLevel="0" collapsed="false">
      <c r="H163" s="113"/>
      <c r="I163" s="113"/>
      <c r="J163" s="113"/>
      <c r="L163" s="113"/>
      <c r="M163" s="113"/>
      <c r="N163" s="113"/>
      <c r="P163" s="113"/>
      <c r="Q163" s="113"/>
      <c r="R163" s="113"/>
      <c r="T163" s="113"/>
      <c r="U163" s="113"/>
      <c r="V163" s="113"/>
    </row>
    <row r="164" customFormat="false" ht="15" hidden="false" customHeight="true" outlineLevel="0" collapsed="false">
      <c r="H164" s="113"/>
      <c r="I164" s="113"/>
      <c r="J164" s="113"/>
      <c r="L164" s="113"/>
      <c r="M164" s="113"/>
      <c r="N164" s="113"/>
      <c r="P164" s="113"/>
      <c r="Q164" s="113"/>
      <c r="R164" s="113"/>
      <c r="T164" s="113"/>
      <c r="U164" s="113"/>
      <c r="V164" s="113"/>
    </row>
    <row r="165" customFormat="false" ht="15" hidden="false" customHeight="true" outlineLevel="0" collapsed="false">
      <c r="H165" s="113"/>
      <c r="I165" s="113"/>
      <c r="J165" s="113"/>
      <c r="L165" s="113"/>
      <c r="M165" s="113"/>
      <c r="N165" s="113"/>
      <c r="P165" s="113"/>
      <c r="Q165" s="113"/>
      <c r="R165" s="113"/>
      <c r="T165" s="113"/>
      <c r="U165" s="113"/>
      <c r="V165" s="113"/>
    </row>
    <row r="166" customFormat="false" ht="15" hidden="false" customHeight="true" outlineLevel="0" collapsed="false">
      <c r="H166" s="113"/>
      <c r="I166" s="113"/>
      <c r="J166" s="113"/>
      <c r="L166" s="113"/>
      <c r="M166" s="113"/>
      <c r="N166" s="113"/>
      <c r="P166" s="113"/>
      <c r="Q166" s="113"/>
      <c r="R166" s="113"/>
      <c r="T166" s="113"/>
      <c r="U166" s="113"/>
      <c r="V166" s="113"/>
    </row>
    <row r="167" customFormat="false" ht="15" hidden="false" customHeight="true" outlineLevel="0" collapsed="false">
      <c r="H167" s="113"/>
      <c r="I167" s="113"/>
      <c r="J167" s="113"/>
      <c r="L167" s="113"/>
      <c r="M167" s="113"/>
      <c r="N167" s="113"/>
      <c r="P167" s="113"/>
      <c r="Q167" s="113"/>
      <c r="R167" s="113"/>
      <c r="T167" s="113"/>
      <c r="U167" s="113"/>
      <c r="V167" s="113"/>
    </row>
    <row r="168" customFormat="false" ht="15" hidden="false" customHeight="true" outlineLevel="0" collapsed="false">
      <c r="H168" s="113"/>
      <c r="I168" s="113"/>
      <c r="J168" s="113"/>
      <c r="L168" s="113"/>
      <c r="M168" s="113"/>
      <c r="N168" s="113"/>
      <c r="P168" s="113"/>
      <c r="Q168" s="113"/>
      <c r="R168" s="113"/>
      <c r="T168" s="113"/>
      <c r="U168" s="113"/>
      <c r="V168" s="113"/>
    </row>
    <row r="169" customFormat="false" ht="15" hidden="false" customHeight="true" outlineLevel="0" collapsed="false">
      <c r="H169" s="113"/>
      <c r="I169" s="113"/>
      <c r="J169" s="113"/>
      <c r="L169" s="113"/>
      <c r="M169" s="113"/>
      <c r="N169" s="113"/>
      <c r="P169" s="113"/>
      <c r="Q169" s="113"/>
      <c r="R169" s="113"/>
      <c r="T169" s="113"/>
      <c r="U169" s="113"/>
      <c r="V169" s="113"/>
    </row>
    <row r="170" customFormat="false" ht="15" hidden="false" customHeight="true" outlineLevel="0" collapsed="false">
      <c r="H170" s="113"/>
      <c r="I170" s="113"/>
      <c r="J170" s="113"/>
      <c r="L170" s="113"/>
      <c r="M170" s="113"/>
      <c r="N170" s="113"/>
      <c r="P170" s="113"/>
      <c r="Q170" s="113"/>
      <c r="R170" s="113"/>
      <c r="T170" s="113"/>
      <c r="U170" s="113"/>
      <c r="V170" s="113"/>
    </row>
    <row r="171" customFormat="false" ht="15" hidden="false" customHeight="true" outlineLevel="0" collapsed="false">
      <c r="H171" s="113"/>
      <c r="I171" s="113"/>
      <c r="J171" s="113"/>
      <c r="L171" s="113"/>
      <c r="M171" s="113"/>
      <c r="N171" s="113"/>
      <c r="P171" s="113"/>
      <c r="Q171" s="113"/>
      <c r="R171" s="113"/>
      <c r="T171" s="113"/>
      <c r="U171" s="113"/>
      <c r="V171" s="113"/>
    </row>
    <row r="172" customFormat="false" ht="15" hidden="false" customHeight="true" outlineLevel="0" collapsed="false">
      <c r="H172" s="113"/>
      <c r="I172" s="113"/>
      <c r="J172" s="113"/>
      <c r="L172" s="113"/>
      <c r="M172" s="113"/>
      <c r="N172" s="113"/>
      <c r="P172" s="113"/>
      <c r="Q172" s="113"/>
      <c r="R172" s="113"/>
      <c r="T172" s="113"/>
      <c r="U172" s="113"/>
      <c r="V172" s="113"/>
    </row>
    <row r="173" customFormat="false" ht="15" hidden="false" customHeight="true" outlineLevel="0" collapsed="false">
      <c r="H173" s="113"/>
      <c r="I173" s="113"/>
      <c r="J173" s="113"/>
      <c r="L173" s="113"/>
      <c r="M173" s="113"/>
      <c r="N173" s="113"/>
      <c r="P173" s="113"/>
      <c r="Q173" s="113"/>
      <c r="R173" s="113"/>
      <c r="T173" s="113"/>
      <c r="U173" s="113"/>
      <c r="V173" s="113"/>
    </row>
    <row r="174" customFormat="false" ht="15" hidden="false" customHeight="true" outlineLevel="0" collapsed="false">
      <c r="H174" s="113"/>
      <c r="I174" s="113"/>
      <c r="J174" s="113"/>
      <c r="L174" s="113"/>
      <c r="M174" s="113"/>
      <c r="N174" s="113"/>
      <c r="P174" s="113"/>
      <c r="Q174" s="113"/>
      <c r="R174" s="113"/>
      <c r="T174" s="113"/>
      <c r="U174" s="113"/>
      <c r="V174" s="113"/>
    </row>
    <row r="175" customFormat="false" ht="15" hidden="false" customHeight="true" outlineLevel="0" collapsed="false">
      <c r="H175" s="113"/>
      <c r="I175" s="113"/>
      <c r="J175" s="113"/>
      <c r="L175" s="113"/>
      <c r="M175" s="113"/>
      <c r="N175" s="113"/>
      <c r="P175" s="113"/>
      <c r="Q175" s="113"/>
      <c r="R175" s="113"/>
      <c r="T175" s="113"/>
      <c r="U175" s="113"/>
      <c r="V175" s="113"/>
    </row>
    <row r="176" customFormat="false" ht="15" hidden="false" customHeight="true" outlineLevel="0" collapsed="false">
      <c r="H176" s="113"/>
      <c r="I176" s="113"/>
      <c r="J176" s="113"/>
      <c r="L176" s="113"/>
      <c r="M176" s="113"/>
      <c r="N176" s="113"/>
      <c r="P176" s="113"/>
      <c r="Q176" s="113"/>
      <c r="R176" s="113"/>
      <c r="T176" s="113"/>
      <c r="U176" s="113"/>
      <c r="V176" s="113"/>
    </row>
    <row r="177" customFormat="false" ht="15" hidden="false" customHeight="true" outlineLevel="0" collapsed="false">
      <c r="H177" s="113"/>
      <c r="I177" s="113"/>
      <c r="J177" s="113"/>
      <c r="L177" s="113"/>
      <c r="M177" s="113"/>
      <c r="N177" s="113"/>
      <c r="P177" s="113"/>
      <c r="Q177" s="113"/>
      <c r="R177" s="113"/>
      <c r="T177" s="113"/>
      <c r="U177" s="113"/>
      <c r="V177" s="113"/>
    </row>
    <row r="178" customFormat="false" ht="15" hidden="false" customHeight="true" outlineLevel="0" collapsed="false">
      <c r="H178" s="113"/>
      <c r="I178" s="113"/>
      <c r="J178" s="113"/>
      <c r="L178" s="113"/>
      <c r="M178" s="113"/>
      <c r="N178" s="113"/>
      <c r="P178" s="113"/>
      <c r="Q178" s="113"/>
      <c r="R178" s="113"/>
      <c r="T178" s="113"/>
      <c r="U178" s="113"/>
      <c r="V178" s="113"/>
    </row>
    <row r="179" customFormat="false" ht="15" hidden="false" customHeight="true" outlineLevel="0" collapsed="false">
      <c r="H179" s="113"/>
      <c r="I179" s="113"/>
      <c r="J179" s="113"/>
      <c r="L179" s="113"/>
      <c r="M179" s="113"/>
      <c r="N179" s="113"/>
      <c r="P179" s="113"/>
      <c r="Q179" s="113"/>
      <c r="R179" s="113"/>
      <c r="T179" s="113"/>
      <c r="U179" s="113"/>
      <c r="V179" s="113"/>
    </row>
    <row r="180" customFormat="false" ht="15" hidden="false" customHeight="true" outlineLevel="0" collapsed="false">
      <c r="H180" s="113"/>
      <c r="I180" s="113"/>
      <c r="J180" s="113"/>
      <c r="L180" s="113"/>
      <c r="M180" s="113"/>
      <c r="N180" s="113"/>
      <c r="P180" s="113"/>
      <c r="Q180" s="113"/>
      <c r="R180" s="113"/>
      <c r="T180" s="113"/>
      <c r="U180" s="113"/>
      <c r="V180" s="113"/>
    </row>
    <row r="181" customFormat="false" ht="15" hidden="false" customHeight="true" outlineLevel="0" collapsed="false">
      <c r="H181" s="113"/>
      <c r="I181" s="113"/>
      <c r="J181" s="113"/>
      <c r="L181" s="113"/>
      <c r="M181" s="113"/>
      <c r="N181" s="113"/>
      <c r="P181" s="113"/>
      <c r="Q181" s="113"/>
      <c r="R181" s="113"/>
      <c r="T181" s="113"/>
      <c r="U181" s="113"/>
      <c r="V181" s="113"/>
    </row>
    <row r="182" customFormat="false" ht="15" hidden="false" customHeight="true" outlineLevel="0" collapsed="false">
      <c r="H182" s="113"/>
      <c r="I182" s="113"/>
      <c r="J182" s="113"/>
      <c r="L182" s="113"/>
      <c r="M182" s="113"/>
      <c r="N182" s="113"/>
      <c r="P182" s="113"/>
      <c r="Q182" s="113"/>
      <c r="R182" s="113"/>
      <c r="T182" s="113"/>
      <c r="U182" s="113"/>
      <c r="V182" s="113"/>
    </row>
    <row r="183" customFormat="false" ht="15" hidden="false" customHeight="true" outlineLevel="0" collapsed="false">
      <c r="H183" s="113"/>
      <c r="I183" s="113"/>
      <c r="J183" s="113"/>
      <c r="L183" s="113"/>
      <c r="M183" s="113"/>
      <c r="N183" s="113"/>
      <c r="P183" s="113"/>
      <c r="Q183" s="113"/>
      <c r="R183" s="113"/>
      <c r="T183" s="113"/>
      <c r="U183" s="113"/>
      <c r="V183" s="113"/>
    </row>
    <row r="184" customFormat="false" ht="15" hidden="false" customHeight="true" outlineLevel="0" collapsed="false">
      <c r="H184" s="113"/>
      <c r="I184" s="113"/>
      <c r="J184" s="113"/>
      <c r="L184" s="113"/>
      <c r="M184" s="113"/>
      <c r="N184" s="113"/>
      <c r="P184" s="113"/>
      <c r="Q184" s="113"/>
      <c r="R184" s="113"/>
      <c r="T184" s="113"/>
      <c r="U184" s="113"/>
      <c r="V184" s="113"/>
    </row>
    <row r="185" customFormat="false" ht="15" hidden="false" customHeight="true" outlineLevel="0" collapsed="false">
      <c r="H185" s="113"/>
      <c r="I185" s="113"/>
      <c r="J185" s="113"/>
      <c r="L185" s="113"/>
      <c r="M185" s="113"/>
      <c r="N185" s="113"/>
      <c r="P185" s="113"/>
      <c r="Q185" s="113"/>
      <c r="R185" s="113"/>
      <c r="T185" s="113"/>
      <c r="U185" s="113"/>
      <c r="V185" s="113"/>
    </row>
    <row r="186" customFormat="false" ht="15" hidden="false" customHeight="true" outlineLevel="0" collapsed="false">
      <c r="H186" s="113"/>
      <c r="I186" s="113"/>
      <c r="J186" s="113"/>
      <c r="L186" s="113"/>
      <c r="M186" s="113"/>
      <c r="N186" s="113"/>
      <c r="P186" s="113"/>
      <c r="Q186" s="113"/>
      <c r="R186" s="113"/>
      <c r="T186" s="113"/>
      <c r="U186" s="113"/>
      <c r="V186" s="113"/>
    </row>
    <row r="187" customFormat="false" ht="15" hidden="false" customHeight="true" outlineLevel="0" collapsed="false">
      <c r="H187" s="113"/>
      <c r="I187" s="113"/>
      <c r="J187" s="113"/>
      <c r="L187" s="113"/>
      <c r="M187" s="113"/>
      <c r="N187" s="113"/>
      <c r="P187" s="113"/>
      <c r="Q187" s="113"/>
      <c r="R187" s="113"/>
      <c r="T187" s="113"/>
      <c r="U187" s="113"/>
      <c r="V187" s="113"/>
    </row>
    <row r="188" customFormat="false" ht="15" hidden="false" customHeight="true" outlineLevel="0" collapsed="false">
      <c r="H188" s="113"/>
      <c r="I188" s="113"/>
      <c r="J188" s="113"/>
      <c r="L188" s="113"/>
      <c r="M188" s="113"/>
      <c r="N188" s="113"/>
      <c r="P188" s="113"/>
      <c r="Q188" s="113"/>
      <c r="R188" s="113"/>
      <c r="T188" s="113"/>
      <c r="U188" s="113"/>
      <c r="V188" s="113"/>
    </row>
    <row r="189" customFormat="false" ht="15" hidden="false" customHeight="true" outlineLevel="0" collapsed="false">
      <c r="H189" s="113"/>
      <c r="I189" s="113"/>
      <c r="J189" s="113"/>
      <c r="L189" s="113"/>
      <c r="M189" s="113"/>
      <c r="N189" s="113"/>
      <c r="P189" s="113"/>
      <c r="Q189" s="113"/>
      <c r="R189" s="113"/>
      <c r="T189" s="113"/>
      <c r="U189" s="113"/>
      <c r="V189" s="113"/>
    </row>
    <row r="190" customFormat="false" ht="15" hidden="false" customHeight="true" outlineLevel="0" collapsed="false">
      <c r="H190" s="113"/>
      <c r="I190" s="113"/>
      <c r="J190" s="113"/>
      <c r="L190" s="113"/>
      <c r="M190" s="113"/>
      <c r="N190" s="113"/>
      <c r="P190" s="113"/>
      <c r="Q190" s="113"/>
      <c r="R190" s="113"/>
      <c r="T190" s="113"/>
      <c r="U190" s="113"/>
      <c r="V190" s="113"/>
    </row>
    <row r="191" customFormat="false" ht="15" hidden="false" customHeight="true" outlineLevel="0" collapsed="false">
      <c r="H191" s="113"/>
      <c r="I191" s="113"/>
      <c r="J191" s="113"/>
      <c r="L191" s="113"/>
      <c r="M191" s="113"/>
      <c r="N191" s="113"/>
      <c r="P191" s="113"/>
      <c r="Q191" s="113"/>
      <c r="R191" s="113"/>
      <c r="T191" s="113"/>
      <c r="U191" s="113"/>
      <c r="V191" s="113"/>
    </row>
    <row r="192" customFormat="false" ht="15" hidden="false" customHeight="true" outlineLevel="0" collapsed="false">
      <c r="H192" s="113"/>
      <c r="I192" s="113"/>
      <c r="J192" s="113"/>
      <c r="L192" s="113"/>
      <c r="M192" s="113"/>
      <c r="N192" s="113"/>
      <c r="P192" s="113"/>
      <c r="Q192" s="113"/>
      <c r="R192" s="113"/>
      <c r="T192" s="113"/>
      <c r="U192" s="113"/>
      <c r="V192" s="113"/>
    </row>
    <row r="193" customFormat="false" ht="15" hidden="false" customHeight="true" outlineLevel="0" collapsed="false">
      <c r="H193" s="113"/>
      <c r="I193" s="113"/>
      <c r="J193" s="113"/>
      <c r="L193" s="113"/>
      <c r="M193" s="113"/>
      <c r="N193" s="113"/>
      <c r="P193" s="113"/>
      <c r="Q193" s="113"/>
      <c r="R193" s="113"/>
      <c r="T193" s="113"/>
      <c r="U193" s="113"/>
      <c r="V193" s="113"/>
    </row>
    <row r="194" customFormat="false" ht="15" hidden="false" customHeight="true" outlineLevel="0" collapsed="false">
      <c r="H194" s="113"/>
      <c r="I194" s="113"/>
      <c r="J194" s="113"/>
      <c r="L194" s="113"/>
      <c r="M194" s="113"/>
      <c r="N194" s="113"/>
      <c r="P194" s="113"/>
      <c r="Q194" s="113"/>
      <c r="R194" s="113"/>
      <c r="T194" s="113"/>
      <c r="U194" s="113"/>
      <c r="V194" s="113"/>
    </row>
    <row r="195" customFormat="false" ht="15" hidden="false" customHeight="true" outlineLevel="0" collapsed="false">
      <c r="H195" s="113"/>
      <c r="I195" s="113"/>
      <c r="J195" s="113"/>
      <c r="L195" s="113"/>
      <c r="M195" s="113"/>
      <c r="N195" s="113"/>
      <c r="P195" s="113"/>
      <c r="Q195" s="113"/>
      <c r="R195" s="113"/>
      <c r="T195" s="113"/>
      <c r="U195" s="113"/>
      <c r="V195" s="113"/>
    </row>
    <row r="196" customFormat="false" ht="15" hidden="false" customHeight="true" outlineLevel="0" collapsed="false">
      <c r="H196" s="113"/>
      <c r="I196" s="113"/>
      <c r="J196" s="113"/>
      <c r="L196" s="113"/>
      <c r="M196" s="113"/>
      <c r="N196" s="113"/>
      <c r="P196" s="113"/>
      <c r="Q196" s="113"/>
      <c r="R196" s="113"/>
      <c r="T196" s="113"/>
      <c r="U196" s="113"/>
      <c r="V196" s="113"/>
    </row>
    <row r="197" customFormat="false" ht="15" hidden="false" customHeight="true" outlineLevel="0" collapsed="false">
      <c r="H197" s="113"/>
      <c r="I197" s="113"/>
      <c r="J197" s="113"/>
      <c r="L197" s="113"/>
      <c r="M197" s="113"/>
      <c r="N197" s="113"/>
      <c r="P197" s="113"/>
      <c r="Q197" s="113"/>
      <c r="R197" s="113"/>
      <c r="T197" s="113"/>
      <c r="U197" s="113"/>
      <c r="V197" s="113"/>
    </row>
    <row r="198" customFormat="false" ht="15" hidden="false" customHeight="true" outlineLevel="0" collapsed="false">
      <c r="H198" s="113"/>
      <c r="I198" s="113"/>
      <c r="J198" s="113"/>
      <c r="L198" s="113"/>
      <c r="M198" s="113"/>
      <c r="N198" s="113"/>
      <c r="P198" s="113"/>
      <c r="Q198" s="113"/>
      <c r="R198" s="113"/>
      <c r="T198" s="113"/>
      <c r="U198" s="113"/>
      <c r="V198" s="113"/>
    </row>
    <row r="199" customFormat="false" ht="15" hidden="false" customHeight="true" outlineLevel="0" collapsed="false">
      <c r="H199" s="113"/>
      <c r="I199" s="113"/>
      <c r="J199" s="113"/>
      <c r="L199" s="113"/>
      <c r="M199" s="113"/>
      <c r="N199" s="113"/>
      <c r="P199" s="113"/>
      <c r="Q199" s="113"/>
      <c r="R199" s="113"/>
      <c r="T199" s="113"/>
      <c r="U199" s="113"/>
      <c r="V199" s="113"/>
    </row>
    <row r="200" customFormat="false" ht="15" hidden="false" customHeight="true" outlineLevel="0" collapsed="false">
      <c r="H200" s="113"/>
      <c r="I200" s="113"/>
      <c r="J200" s="113"/>
      <c r="L200" s="113"/>
      <c r="M200" s="113"/>
      <c r="N200" s="113"/>
      <c r="P200" s="113"/>
      <c r="Q200" s="113"/>
      <c r="R200" s="113"/>
      <c r="T200" s="113"/>
      <c r="U200" s="113"/>
      <c r="V200" s="113"/>
    </row>
    <row r="201" customFormat="false" ht="15" hidden="false" customHeight="true" outlineLevel="0" collapsed="false">
      <c r="H201" s="113"/>
      <c r="I201" s="113"/>
      <c r="J201" s="113"/>
      <c r="L201" s="113"/>
      <c r="M201" s="113"/>
      <c r="N201" s="113"/>
      <c r="P201" s="113"/>
      <c r="Q201" s="113"/>
      <c r="R201" s="113"/>
      <c r="T201" s="113"/>
      <c r="U201" s="113"/>
      <c r="V201" s="113"/>
    </row>
    <row r="202" customFormat="false" ht="15" hidden="false" customHeight="true" outlineLevel="0" collapsed="false">
      <c r="H202" s="113"/>
      <c r="I202" s="113"/>
      <c r="J202" s="113"/>
      <c r="L202" s="113"/>
      <c r="M202" s="113"/>
      <c r="N202" s="113"/>
      <c r="P202" s="113"/>
      <c r="Q202" s="113"/>
      <c r="R202" s="113"/>
      <c r="T202" s="113"/>
      <c r="U202" s="113"/>
      <c r="V202" s="113"/>
    </row>
    <row r="203" customFormat="false" ht="15" hidden="false" customHeight="true" outlineLevel="0" collapsed="false">
      <c r="H203" s="113"/>
      <c r="I203" s="113"/>
      <c r="J203" s="113"/>
      <c r="L203" s="113"/>
      <c r="M203" s="113"/>
      <c r="N203" s="113"/>
      <c r="P203" s="113"/>
      <c r="Q203" s="113"/>
      <c r="R203" s="113"/>
      <c r="T203" s="113"/>
      <c r="U203" s="113"/>
      <c r="V203" s="113"/>
    </row>
    <row r="204" customFormat="false" ht="15" hidden="false" customHeight="true" outlineLevel="0" collapsed="false">
      <c r="H204" s="113"/>
      <c r="I204" s="113"/>
      <c r="J204" s="113"/>
      <c r="L204" s="113"/>
      <c r="M204" s="113"/>
      <c r="N204" s="113"/>
      <c r="P204" s="113"/>
      <c r="Q204" s="113"/>
      <c r="R204" s="113"/>
      <c r="T204" s="113"/>
      <c r="U204" s="113"/>
      <c r="V204" s="113"/>
    </row>
    <row r="205" customFormat="false" ht="15" hidden="false" customHeight="true" outlineLevel="0" collapsed="false">
      <c r="H205" s="113"/>
      <c r="I205" s="113"/>
      <c r="J205" s="113"/>
      <c r="L205" s="113"/>
      <c r="M205" s="113"/>
      <c r="N205" s="113"/>
      <c r="P205" s="113"/>
      <c r="Q205" s="113"/>
      <c r="R205" s="113"/>
      <c r="T205" s="113"/>
      <c r="U205" s="113"/>
      <c r="V205" s="113"/>
    </row>
    <row r="206" customFormat="false" ht="15" hidden="false" customHeight="true" outlineLevel="0" collapsed="false">
      <c r="H206" s="113"/>
      <c r="I206" s="113"/>
      <c r="J206" s="113"/>
      <c r="L206" s="113"/>
      <c r="M206" s="113"/>
      <c r="N206" s="113"/>
      <c r="P206" s="113"/>
      <c r="Q206" s="113"/>
      <c r="R206" s="113"/>
      <c r="T206" s="113"/>
      <c r="U206" s="113"/>
      <c r="V206" s="113"/>
    </row>
    <row r="207" customFormat="false" ht="15" hidden="false" customHeight="true" outlineLevel="0" collapsed="false">
      <c r="H207" s="113"/>
      <c r="I207" s="113"/>
      <c r="J207" s="113"/>
      <c r="L207" s="113"/>
      <c r="M207" s="113"/>
      <c r="N207" s="113"/>
      <c r="P207" s="113"/>
      <c r="Q207" s="113"/>
      <c r="R207" s="113"/>
      <c r="T207" s="113"/>
      <c r="U207" s="113"/>
      <c r="V207" s="113"/>
    </row>
    <row r="208" customFormat="false" ht="15" hidden="false" customHeight="true" outlineLevel="0" collapsed="false">
      <c r="H208" s="113"/>
      <c r="I208" s="113"/>
      <c r="J208" s="113"/>
      <c r="L208" s="113"/>
      <c r="M208" s="113"/>
      <c r="N208" s="113"/>
      <c r="P208" s="113"/>
      <c r="Q208" s="113"/>
      <c r="R208" s="113"/>
      <c r="T208" s="113"/>
      <c r="U208" s="113"/>
      <c r="V208" s="113"/>
    </row>
    <row r="209" customFormat="false" ht="15" hidden="false" customHeight="true" outlineLevel="0" collapsed="false">
      <c r="H209" s="113"/>
      <c r="I209" s="113"/>
      <c r="J209" s="113"/>
      <c r="L209" s="113"/>
      <c r="M209" s="113"/>
      <c r="N209" s="113"/>
      <c r="P209" s="113"/>
      <c r="Q209" s="113"/>
      <c r="R209" s="113"/>
      <c r="T209" s="113"/>
      <c r="U209" s="113"/>
      <c r="V209" s="113"/>
    </row>
    <row r="210" customFormat="false" ht="15" hidden="false" customHeight="true" outlineLevel="0" collapsed="false">
      <c r="H210" s="113"/>
      <c r="I210" s="113"/>
      <c r="J210" s="113"/>
      <c r="L210" s="113"/>
      <c r="M210" s="113"/>
      <c r="N210" s="113"/>
      <c r="P210" s="113"/>
      <c r="Q210" s="113"/>
      <c r="R210" s="113"/>
      <c r="T210" s="113"/>
      <c r="U210" s="113"/>
      <c r="V210" s="113"/>
    </row>
    <row r="211" customFormat="false" ht="15" hidden="false" customHeight="true" outlineLevel="0" collapsed="false">
      <c r="H211" s="113"/>
      <c r="I211" s="113"/>
      <c r="J211" s="113"/>
      <c r="L211" s="113"/>
      <c r="M211" s="113"/>
      <c r="N211" s="113"/>
      <c r="P211" s="113"/>
      <c r="Q211" s="113"/>
      <c r="R211" s="113"/>
      <c r="T211" s="113"/>
      <c r="U211" s="113"/>
      <c r="V211" s="113"/>
    </row>
    <row r="212" customFormat="false" ht="15" hidden="false" customHeight="true" outlineLevel="0" collapsed="false">
      <c r="H212" s="113"/>
      <c r="I212" s="113"/>
      <c r="J212" s="113"/>
      <c r="L212" s="113"/>
      <c r="M212" s="113"/>
      <c r="N212" s="113"/>
      <c r="P212" s="113"/>
      <c r="Q212" s="113"/>
      <c r="R212" s="113"/>
      <c r="T212" s="113"/>
      <c r="U212" s="113"/>
      <c r="V212" s="113"/>
    </row>
    <row r="213" customFormat="false" ht="15" hidden="false" customHeight="true" outlineLevel="0" collapsed="false">
      <c r="H213" s="113"/>
      <c r="I213" s="113"/>
      <c r="J213" s="113"/>
      <c r="L213" s="113"/>
      <c r="M213" s="113"/>
      <c r="N213" s="113"/>
      <c r="P213" s="113"/>
      <c r="Q213" s="113"/>
      <c r="R213" s="113"/>
      <c r="T213" s="113"/>
      <c r="U213" s="113"/>
      <c r="V213" s="113"/>
    </row>
    <row r="214" customFormat="false" ht="15" hidden="false" customHeight="true" outlineLevel="0" collapsed="false">
      <c r="H214" s="113"/>
      <c r="I214" s="113"/>
      <c r="J214" s="113"/>
      <c r="L214" s="113"/>
      <c r="M214" s="113"/>
      <c r="N214" s="113"/>
      <c r="P214" s="113"/>
      <c r="Q214" s="113"/>
      <c r="R214" s="113"/>
      <c r="T214" s="113"/>
      <c r="U214" s="113"/>
      <c r="V214" s="113"/>
    </row>
    <row r="215" customFormat="false" ht="15" hidden="false" customHeight="true" outlineLevel="0" collapsed="false">
      <c r="H215" s="113"/>
      <c r="I215" s="113"/>
      <c r="J215" s="113"/>
      <c r="L215" s="113"/>
      <c r="M215" s="113"/>
      <c r="N215" s="113"/>
      <c r="P215" s="113"/>
      <c r="Q215" s="113"/>
      <c r="R215" s="113"/>
      <c r="T215" s="113"/>
      <c r="U215" s="113"/>
      <c r="V215" s="113"/>
    </row>
    <row r="216" customFormat="false" ht="15" hidden="false" customHeight="true" outlineLevel="0" collapsed="false">
      <c r="H216" s="113"/>
      <c r="I216" s="113"/>
      <c r="J216" s="113"/>
      <c r="L216" s="113"/>
      <c r="M216" s="113"/>
      <c r="N216" s="113"/>
      <c r="P216" s="113"/>
      <c r="Q216" s="113"/>
      <c r="R216" s="113"/>
      <c r="T216" s="113"/>
      <c r="U216" s="113"/>
      <c r="V216" s="113"/>
    </row>
    <row r="217" customFormat="false" ht="15" hidden="false" customHeight="true" outlineLevel="0" collapsed="false">
      <c r="H217" s="113"/>
      <c r="I217" s="113"/>
      <c r="J217" s="113"/>
      <c r="L217" s="113"/>
      <c r="M217" s="113"/>
      <c r="N217" s="113"/>
      <c r="P217" s="113"/>
      <c r="Q217" s="113"/>
      <c r="R217" s="113"/>
      <c r="T217" s="113"/>
      <c r="U217" s="113"/>
      <c r="V217" s="113"/>
    </row>
    <row r="218" customFormat="false" ht="15" hidden="false" customHeight="true" outlineLevel="0" collapsed="false">
      <c r="H218" s="113"/>
      <c r="I218" s="113"/>
      <c r="J218" s="113"/>
      <c r="L218" s="113"/>
      <c r="M218" s="113"/>
      <c r="N218" s="113"/>
      <c r="P218" s="113"/>
      <c r="Q218" s="113"/>
      <c r="R218" s="113"/>
      <c r="T218" s="113"/>
      <c r="U218" s="113"/>
      <c r="V218" s="113"/>
    </row>
    <row r="219" customFormat="false" ht="15" hidden="false" customHeight="true" outlineLevel="0" collapsed="false">
      <c r="H219" s="113"/>
      <c r="I219" s="113"/>
      <c r="J219" s="113"/>
      <c r="L219" s="113"/>
      <c r="M219" s="113"/>
      <c r="N219" s="113"/>
      <c r="P219" s="113"/>
      <c r="Q219" s="113"/>
      <c r="R219" s="113"/>
      <c r="T219" s="113"/>
      <c r="U219" s="113"/>
      <c r="V219" s="113"/>
    </row>
    <row r="220" customFormat="false" ht="15" hidden="false" customHeight="true" outlineLevel="0" collapsed="false">
      <c r="H220" s="113"/>
      <c r="I220" s="113"/>
      <c r="J220" s="113"/>
      <c r="L220" s="113"/>
      <c r="M220" s="113"/>
      <c r="N220" s="113"/>
      <c r="P220" s="113"/>
      <c r="Q220" s="113"/>
      <c r="R220" s="113"/>
      <c r="T220" s="113"/>
      <c r="U220" s="113"/>
      <c r="V220" s="113"/>
    </row>
    <row r="221" customFormat="false" ht="15" hidden="false" customHeight="true" outlineLevel="0" collapsed="false">
      <c r="H221" s="113"/>
      <c r="I221" s="113"/>
      <c r="J221" s="113"/>
      <c r="L221" s="113"/>
      <c r="M221" s="113"/>
      <c r="N221" s="113"/>
      <c r="P221" s="113"/>
      <c r="Q221" s="113"/>
      <c r="R221" s="113"/>
      <c r="T221" s="113"/>
      <c r="U221" s="113"/>
      <c r="V221" s="113"/>
    </row>
    <row r="222" customFormat="false" ht="15" hidden="false" customHeight="true" outlineLevel="0" collapsed="false">
      <c r="H222" s="113"/>
      <c r="I222" s="113"/>
      <c r="J222" s="113"/>
      <c r="L222" s="113"/>
      <c r="M222" s="113"/>
      <c r="N222" s="113"/>
      <c r="P222" s="113"/>
      <c r="Q222" s="113"/>
      <c r="R222" s="113"/>
      <c r="T222" s="113"/>
      <c r="U222" s="113"/>
      <c r="V222" s="113"/>
    </row>
    <row r="223" customFormat="false" ht="15" hidden="false" customHeight="true" outlineLevel="0" collapsed="false">
      <c r="H223" s="113"/>
      <c r="I223" s="113"/>
      <c r="J223" s="113"/>
      <c r="L223" s="113"/>
      <c r="M223" s="113"/>
      <c r="N223" s="113"/>
      <c r="P223" s="113"/>
      <c r="Q223" s="113"/>
      <c r="R223" s="113"/>
      <c r="T223" s="113"/>
      <c r="U223" s="113"/>
      <c r="V223" s="113"/>
    </row>
    <row r="224" customFormat="false" ht="15" hidden="false" customHeight="true" outlineLevel="0" collapsed="false">
      <c r="H224" s="113"/>
      <c r="I224" s="113"/>
      <c r="J224" s="113"/>
      <c r="L224" s="113"/>
      <c r="M224" s="113"/>
      <c r="N224" s="113"/>
      <c r="P224" s="113"/>
      <c r="Q224" s="113"/>
      <c r="R224" s="113"/>
      <c r="T224" s="113"/>
      <c r="U224" s="113"/>
      <c r="V224" s="113"/>
    </row>
    <row r="225" customFormat="false" ht="15" hidden="false" customHeight="true" outlineLevel="0" collapsed="false">
      <c r="H225" s="113"/>
      <c r="I225" s="113"/>
      <c r="J225" s="113"/>
      <c r="L225" s="113"/>
      <c r="M225" s="113"/>
      <c r="N225" s="113"/>
      <c r="P225" s="113"/>
      <c r="Q225" s="113"/>
      <c r="R225" s="113"/>
      <c r="T225" s="113"/>
      <c r="U225" s="113"/>
      <c r="V225" s="113"/>
    </row>
    <row r="226" customFormat="false" ht="15" hidden="false" customHeight="true" outlineLevel="0" collapsed="false">
      <c r="H226" s="113"/>
      <c r="I226" s="113"/>
      <c r="J226" s="113"/>
      <c r="L226" s="113"/>
      <c r="M226" s="113"/>
      <c r="N226" s="113"/>
      <c r="P226" s="113"/>
      <c r="Q226" s="113"/>
      <c r="R226" s="113"/>
      <c r="T226" s="113"/>
      <c r="U226" s="113"/>
      <c r="V226" s="113"/>
    </row>
    <row r="227" customFormat="false" ht="15" hidden="false" customHeight="true" outlineLevel="0" collapsed="false">
      <c r="H227" s="113"/>
      <c r="I227" s="113"/>
      <c r="J227" s="113"/>
      <c r="L227" s="113"/>
      <c r="M227" s="113"/>
      <c r="N227" s="113"/>
      <c r="P227" s="113"/>
      <c r="Q227" s="113"/>
      <c r="R227" s="113"/>
      <c r="T227" s="113"/>
      <c r="U227" s="113"/>
      <c r="V227" s="113"/>
    </row>
    <row r="228" customFormat="false" ht="15" hidden="false" customHeight="true" outlineLevel="0" collapsed="false">
      <c r="H228" s="113"/>
      <c r="I228" s="113"/>
      <c r="J228" s="113"/>
      <c r="L228" s="113"/>
      <c r="M228" s="113"/>
      <c r="N228" s="113"/>
      <c r="P228" s="113"/>
      <c r="Q228" s="113"/>
      <c r="R228" s="113"/>
      <c r="T228" s="113"/>
      <c r="U228" s="113"/>
      <c r="V228" s="113"/>
    </row>
    <row r="229" customFormat="false" ht="15" hidden="false" customHeight="true" outlineLevel="0" collapsed="false">
      <c r="H229" s="113"/>
      <c r="I229" s="113"/>
      <c r="J229" s="113"/>
      <c r="L229" s="113"/>
      <c r="M229" s="113"/>
      <c r="N229" s="113"/>
      <c r="P229" s="113"/>
      <c r="Q229" s="113"/>
      <c r="R229" s="113"/>
      <c r="T229" s="113"/>
      <c r="U229" s="113"/>
      <c r="V229" s="113"/>
    </row>
    <row r="230" customFormat="false" ht="15" hidden="false" customHeight="true" outlineLevel="0" collapsed="false">
      <c r="H230" s="113"/>
      <c r="I230" s="113"/>
      <c r="J230" s="113"/>
      <c r="L230" s="113"/>
      <c r="M230" s="113"/>
      <c r="N230" s="113"/>
      <c r="P230" s="113"/>
      <c r="Q230" s="113"/>
      <c r="R230" s="113"/>
      <c r="T230" s="113"/>
      <c r="U230" s="113"/>
      <c r="V230" s="113"/>
    </row>
    <row r="231" customFormat="false" ht="15" hidden="false" customHeight="true" outlineLevel="0" collapsed="false">
      <c r="H231" s="113"/>
      <c r="I231" s="113"/>
      <c r="J231" s="113"/>
      <c r="L231" s="113"/>
      <c r="M231" s="113"/>
      <c r="N231" s="113"/>
      <c r="P231" s="113"/>
      <c r="Q231" s="113"/>
      <c r="R231" s="113"/>
      <c r="T231" s="113"/>
      <c r="U231" s="113"/>
      <c r="V231" s="113"/>
    </row>
    <row r="232" customFormat="false" ht="15" hidden="false" customHeight="true" outlineLevel="0" collapsed="false">
      <c r="H232" s="113"/>
      <c r="I232" s="113"/>
      <c r="J232" s="113"/>
      <c r="L232" s="113"/>
      <c r="M232" s="113"/>
      <c r="N232" s="113"/>
      <c r="P232" s="113"/>
      <c r="Q232" s="113"/>
      <c r="R232" s="113"/>
      <c r="T232" s="113"/>
      <c r="U232" s="113"/>
      <c r="V232" s="113"/>
    </row>
    <row r="233" customFormat="false" ht="15" hidden="false" customHeight="true" outlineLevel="0" collapsed="false">
      <c r="H233" s="113"/>
      <c r="I233" s="113"/>
      <c r="J233" s="113"/>
      <c r="L233" s="113"/>
      <c r="M233" s="113"/>
      <c r="N233" s="113"/>
      <c r="P233" s="113"/>
      <c r="Q233" s="113"/>
      <c r="R233" s="113"/>
      <c r="T233" s="113"/>
      <c r="U233" s="113"/>
      <c r="V233" s="113"/>
    </row>
    <row r="234" customFormat="false" ht="15" hidden="false" customHeight="true" outlineLevel="0" collapsed="false">
      <c r="H234" s="113"/>
      <c r="I234" s="113"/>
      <c r="J234" s="113"/>
      <c r="L234" s="113"/>
      <c r="M234" s="113"/>
      <c r="N234" s="113"/>
      <c r="P234" s="113"/>
      <c r="Q234" s="113"/>
      <c r="R234" s="113"/>
      <c r="T234" s="113"/>
      <c r="U234" s="113"/>
      <c r="V234" s="113"/>
    </row>
    <row r="235" customFormat="false" ht="15" hidden="false" customHeight="true" outlineLevel="0" collapsed="false">
      <c r="H235" s="113"/>
      <c r="I235" s="113"/>
      <c r="J235" s="113"/>
      <c r="L235" s="113"/>
      <c r="M235" s="113"/>
      <c r="N235" s="113"/>
      <c r="P235" s="113"/>
      <c r="Q235" s="113"/>
      <c r="R235" s="113"/>
      <c r="T235" s="113"/>
      <c r="U235" s="113"/>
      <c r="V235" s="113"/>
    </row>
    <row r="236" customFormat="false" ht="15" hidden="false" customHeight="true" outlineLevel="0" collapsed="false">
      <c r="H236" s="113"/>
      <c r="I236" s="113"/>
      <c r="J236" s="113"/>
      <c r="L236" s="113"/>
      <c r="M236" s="113"/>
      <c r="N236" s="113"/>
      <c r="P236" s="113"/>
      <c r="Q236" s="113"/>
      <c r="R236" s="113"/>
      <c r="T236" s="113"/>
      <c r="U236" s="113"/>
      <c r="V236" s="113"/>
    </row>
    <row r="237" customFormat="false" ht="15" hidden="false" customHeight="true" outlineLevel="0" collapsed="false">
      <c r="H237" s="113"/>
      <c r="I237" s="113"/>
      <c r="J237" s="113"/>
      <c r="L237" s="113"/>
      <c r="M237" s="113"/>
      <c r="N237" s="113"/>
      <c r="P237" s="113"/>
      <c r="Q237" s="113"/>
      <c r="R237" s="113"/>
      <c r="T237" s="113"/>
      <c r="U237" s="113"/>
      <c r="V237" s="113"/>
    </row>
    <row r="238" customFormat="false" ht="15" hidden="false" customHeight="true" outlineLevel="0" collapsed="false">
      <c r="H238" s="113"/>
      <c r="I238" s="113"/>
      <c r="J238" s="113"/>
      <c r="L238" s="113"/>
      <c r="M238" s="113"/>
      <c r="N238" s="113"/>
      <c r="P238" s="113"/>
      <c r="Q238" s="113"/>
      <c r="R238" s="113"/>
      <c r="T238" s="113"/>
      <c r="U238" s="113"/>
      <c r="V238" s="113"/>
    </row>
    <row r="239" customFormat="false" ht="15" hidden="false" customHeight="true" outlineLevel="0" collapsed="false">
      <c r="H239" s="113"/>
      <c r="I239" s="113"/>
      <c r="J239" s="113"/>
      <c r="L239" s="113"/>
      <c r="M239" s="113"/>
      <c r="N239" s="113"/>
      <c r="P239" s="113"/>
      <c r="Q239" s="113"/>
      <c r="R239" s="113"/>
      <c r="T239" s="113"/>
      <c r="U239" s="113"/>
      <c r="V239" s="113"/>
    </row>
    <row r="240" customFormat="false" ht="15" hidden="false" customHeight="true" outlineLevel="0" collapsed="false">
      <c r="H240" s="113"/>
      <c r="I240" s="113"/>
      <c r="J240" s="113"/>
      <c r="L240" s="113"/>
      <c r="M240" s="113"/>
      <c r="N240" s="113"/>
      <c r="P240" s="113"/>
      <c r="Q240" s="113"/>
      <c r="R240" s="113"/>
      <c r="T240" s="113"/>
      <c r="U240" s="113"/>
      <c r="V240" s="113"/>
    </row>
    <row r="241" customFormat="false" ht="15" hidden="false" customHeight="true" outlineLevel="0" collapsed="false">
      <c r="H241" s="113"/>
      <c r="I241" s="113"/>
      <c r="J241" s="113"/>
      <c r="L241" s="113"/>
      <c r="M241" s="113"/>
      <c r="N241" s="113"/>
      <c r="P241" s="113"/>
      <c r="Q241" s="113"/>
      <c r="R241" s="113"/>
      <c r="T241" s="113"/>
      <c r="U241" s="113"/>
      <c r="V241" s="113"/>
    </row>
    <row r="242" customFormat="false" ht="15" hidden="false" customHeight="true" outlineLevel="0" collapsed="false">
      <c r="H242" s="113"/>
      <c r="I242" s="113"/>
      <c r="J242" s="113"/>
      <c r="L242" s="113"/>
      <c r="M242" s="113"/>
      <c r="N242" s="113"/>
      <c r="P242" s="113"/>
      <c r="Q242" s="113"/>
      <c r="R242" s="113"/>
      <c r="T242" s="113"/>
      <c r="U242" s="113"/>
      <c r="V242" s="113"/>
    </row>
    <row r="243" customFormat="false" ht="15" hidden="false" customHeight="true" outlineLevel="0" collapsed="false">
      <c r="H243" s="113"/>
      <c r="I243" s="113"/>
      <c r="J243" s="113"/>
      <c r="L243" s="113"/>
      <c r="M243" s="113"/>
      <c r="N243" s="113"/>
      <c r="P243" s="113"/>
      <c r="Q243" s="113"/>
      <c r="R243" s="113"/>
      <c r="T243" s="113"/>
      <c r="U243" s="113"/>
      <c r="V243" s="113"/>
    </row>
    <row r="244" customFormat="false" ht="15" hidden="false" customHeight="true" outlineLevel="0" collapsed="false">
      <c r="H244" s="113"/>
      <c r="I244" s="113"/>
      <c r="J244" s="113"/>
      <c r="L244" s="113"/>
      <c r="M244" s="113"/>
      <c r="N244" s="113"/>
      <c r="P244" s="113"/>
      <c r="Q244" s="113"/>
      <c r="R244" s="113"/>
      <c r="T244" s="113"/>
      <c r="U244" s="113"/>
      <c r="V244" s="113"/>
    </row>
    <row r="245" customFormat="false" ht="15" hidden="false" customHeight="true" outlineLevel="0" collapsed="false">
      <c r="H245" s="113"/>
      <c r="I245" s="113"/>
      <c r="J245" s="113"/>
      <c r="L245" s="113"/>
      <c r="M245" s="113"/>
      <c r="N245" s="113"/>
      <c r="P245" s="113"/>
      <c r="Q245" s="113"/>
      <c r="R245" s="113"/>
      <c r="T245" s="113"/>
      <c r="U245" s="113"/>
      <c r="V245" s="113"/>
    </row>
    <row r="246" customFormat="false" ht="15" hidden="false" customHeight="true" outlineLevel="0" collapsed="false">
      <c r="H246" s="113"/>
      <c r="I246" s="113"/>
      <c r="J246" s="113"/>
      <c r="L246" s="113"/>
      <c r="M246" s="113"/>
      <c r="N246" s="113"/>
      <c r="P246" s="113"/>
      <c r="Q246" s="113"/>
      <c r="R246" s="113"/>
      <c r="T246" s="113"/>
      <c r="U246" s="113"/>
      <c r="V246" s="113"/>
    </row>
    <row r="247" customFormat="false" ht="15" hidden="false" customHeight="true" outlineLevel="0" collapsed="false">
      <c r="H247" s="113"/>
      <c r="I247" s="113"/>
      <c r="J247" s="113"/>
      <c r="L247" s="113"/>
      <c r="M247" s="113"/>
      <c r="N247" s="113"/>
      <c r="P247" s="113"/>
      <c r="Q247" s="113"/>
      <c r="R247" s="113"/>
      <c r="T247" s="113"/>
      <c r="U247" s="113"/>
      <c r="V247" s="113"/>
    </row>
    <row r="248" customFormat="false" ht="15" hidden="false" customHeight="true" outlineLevel="0" collapsed="false">
      <c r="H248" s="113"/>
      <c r="I248" s="113"/>
      <c r="J248" s="113"/>
      <c r="L248" s="113"/>
      <c r="M248" s="113"/>
      <c r="N248" s="113"/>
      <c r="P248" s="113"/>
      <c r="Q248" s="113"/>
      <c r="R248" s="113"/>
      <c r="T248" s="113"/>
      <c r="U248" s="113"/>
      <c r="V248" s="113"/>
    </row>
    <row r="249" customFormat="false" ht="15" hidden="false" customHeight="true" outlineLevel="0" collapsed="false">
      <c r="H249" s="113"/>
      <c r="I249" s="113"/>
      <c r="J249" s="113"/>
      <c r="L249" s="113"/>
      <c r="M249" s="113"/>
      <c r="N249" s="113"/>
      <c r="P249" s="113"/>
      <c r="Q249" s="113"/>
      <c r="R249" s="113"/>
      <c r="T249" s="113"/>
      <c r="U249" s="113"/>
      <c r="V249" s="113"/>
    </row>
    <row r="250" customFormat="false" ht="15" hidden="false" customHeight="true" outlineLevel="0" collapsed="false">
      <c r="H250" s="113"/>
      <c r="I250" s="113"/>
      <c r="J250" s="113"/>
      <c r="L250" s="113"/>
      <c r="M250" s="113"/>
      <c r="N250" s="113"/>
      <c r="P250" s="113"/>
      <c r="Q250" s="113"/>
      <c r="R250" s="113"/>
      <c r="T250" s="113"/>
      <c r="U250" s="113"/>
      <c r="V250" s="113"/>
    </row>
    <row r="251" customFormat="false" ht="15" hidden="false" customHeight="true" outlineLevel="0" collapsed="false">
      <c r="H251" s="113"/>
      <c r="I251" s="113"/>
      <c r="J251" s="113"/>
      <c r="L251" s="113"/>
      <c r="M251" s="113"/>
      <c r="N251" s="113"/>
      <c r="P251" s="113"/>
      <c r="Q251" s="113"/>
      <c r="R251" s="113"/>
      <c r="T251" s="113"/>
      <c r="U251" s="113"/>
      <c r="V251" s="113"/>
    </row>
    <row r="252" customFormat="false" ht="15" hidden="false" customHeight="true" outlineLevel="0" collapsed="false">
      <c r="H252" s="113"/>
      <c r="I252" s="113"/>
      <c r="J252" s="113"/>
      <c r="L252" s="113"/>
      <c r="M252" s="113"/>
      <c r="N252" s="113"/>
      <c r="P252" s="113"/>
      <c r="Q252" s="113"/>
      <c r="R252" s="113"/>
      <c r="T252" s="113"/>
      <c r="U252" s="113"/>
      <c r="V252" s="113"/>
    </row>
    <row r="253" customFormat="false" ht="15" hidden="false" customHeight="true" outlineLevel="0" collapsed="false">
      <c r="H253" s="113"/>
      <c r="I253" s="113"/>
      <c r="J253" s="113"/>
      <c r="L253" s="113"/>
      <c r="M253" s="113"/>
      <c r="N253" s="113"/>
      <c r="P253" s="113"/>
      <c r="Q253" s="113"/>
      <c r="R253" s="113"/>
      <c r="T253" s="113"/>
      <c r="U253" s="113"/>
      <c r="V253" s="113"/>
    </row>
    <row r="254" customFormat="false" ht="15" hidden="false" customHeight="true" outlineLevel="0" collapsed="false">
      <c r="H254" s="113"/>
      <c r="I254" s="113"/>
      <c r="J254" s="113"/>
      <c r="L254" s="113"/>
      <c r="M254" s="113"/>
      <c r="N254" s="113"/>
      <c r="P254" s="113"/>
      <c r="Q254" s="113"/>
      <c r="R254" s="113"/>
      <c r="T254" s="113"/>
      <c r="U254" s="113"/>
      <c r="V254" s="113"/>
    </row>
    <row r="255" customFormat="false" ht="15" hidden="false" customHeight="true" outlineLevel="0" collapsed="false">
      <c r="H255" s="113"/>
      <c r="I255" s="113"/>
      <c r="J255" s="113"/>
      <c r="L255" s="113"/>
      <c r="M255" s="113"/>
      <c r="N255" s="113"/>
      <c r="P255" s="113"/>
      <c r="Q255" s="113"/>
      <c r="R255" s="113"/>
      <c r="T255" s="113"/>
      <c r="U255" s="113"/>
      <c r="V255" s="113"/>
    </row>
    <row r="256" customFormat="false" ht="15" hidden="false" customHeight="true" outlineLevel="0" collapsed="false">
      <c r="H256" s="113"/>
      <c r="I256" s="113"/>
      <c r="J256" s="113"/>
      <c r="L256" s="113"/>
      <c r="M256" s="113"/>
      <c r="N256" s="113"/>
      <c r="P256" s="113"/>
      <c r="Q256" s="113"/>
      <c r="R256" s="113"/>
      <c r="T256" s="113"/>
      <c r="U256" s="113"/>
      <c r="V256" s="113"/>
    </row>
    <row r="257" customFormat="false" ht="15" hidden="false" customHeight="true" outlineLevel="0" collapsed="false">
      <c r="H257" s="113"/>
      <c r="I257" s="113"/>
      <c r="J257" s="113"/>
      <c r="L257" s="113"/>
      <c r="M257" s="113"/>
      <c r="N257" s="113"/>
      <c r="P257" s="113"/>
      <c r="Q257" s="113"/>
      <c r="R257" s="113"/>
      <c r="T257" s="113"/>
      <c r="U257" s="113"/>
      <c r="V257" s="113"/>
    </row>
    <row r="258" customFormat="false" ht="15" hidden="false" customHeight="true" outlineLevel="0" collapsed="false">
      <c r="H258" s="113"/>
      <c r="I258" s="113"/>
      <c r="J258" s="113"/>
      <c r="L258" s="113"/>
      <c r="M258" s="113"/>
      <c r="N258" s="113"/>
      <c r="P258" s="113"/>
      <c r="Q258" s="113"/>
      <c r="R258" s="113"/>
      <c r="T258" s="113"/>
      <c r="U258" s="113"/>
      <c r="V258" s="113"/>
    </row>
    <row r="259" customFormat="false" ht="15" hidden="false" customHeight="true" outlineLevel="0" collapsed="false">
      <c r="H259" s="113"/>
      <c r="I259" s="113"/>
      <c r="J259" s="113"/>
      <c r="L259" s="113"/>
      <c r="M259" s="113"/>
      <c r="N259" s="113"/>
      <c r="P259" s="113"/>
      <c r="Q259" s="113"/>
      <c r="R259" s="113"/>
      <c r="T259" s="113"/>
      <c r="U259" s="113"/>
      <c r="V259" s="113"/>
    </row>
    <row r="260" customFormat="false" ht="15" hidden="false" customHeight="true" outlineLevel="0" collapsed="false">
      <c r="H260" s="113"/>
      <c r="I260" s="113"/>
      <c r="J260" s="113"/>
      <c r="L260" s="113"/>
      <c r="M260" s="113"/>
      <c r="N260" s="113"/>
      <c r="P260" s="113"/>
      <c r="Q260" s="113"/>
      <c r="R260" s="113"/>
      <c r="T260" s="113"/>
      <c r="U260" s="113"/>
      <c r="V260" s="113"/>
    </row>
    <row r="261" customFormat="false" ht="15" hidden="false" customHeight="true" outlineLevel="0" collapsed="false">
      <c r="H261" s="113"/>
      <c r="I261" s="113"/>
      <c r="J261" s="113"/>
      <c r="L261" s="113"/>
      <c r="M261" s="113"/>
      <c r="N261" s="113"/>
      <c r="P261" s="113"/>
      <c r="Q261" s="113"/>
      <c r="R261" s="113"/>
      <c r="T261" s="113"/>
      <c r="U261" s="113"/>
      <c r="V261" s="113"/>
    </row>
    <row r="262" customFormat="false" ht="15" hidden="false" customHeight="true" outlineLevel="0" collapsed="false">
      <c r="H262" s="113"/>
      <c r="I262" s="113"/>
      <c r="J262" s="113"/>
      <c r="L262" s="113"/>
      <c r="M262" s="113"/>
      <c r="N262" s="113"/>
      <c r="P262" s="113"/>
      <c r="Q262" s="113"/>
      <c r="R262" s="113"/>
      <c r="T262" s="113"/>
      <c r="U262" s="113"/>
      <c r="V262" s="113"/>
    </row>
    <row r="263" customFormat="false" ht="15" hidden="false" customHeight="true" outlineLevel="0" collapsed="false">
      <c r="H263" s="113"/>
      <c r="I263" s="113"/>
      <c r="J263" s="113"/>
      <c r="L263" s="113"/>
      <c r="M263" s="113"/>
      <c r="N263" s="113"/>
      <c r="P263" s="113"/>
      <c r="Q263" s="113"/>
      <c r="R263" s="113"/>
      <c r="T263" s="113"/>
      <c r="U263" s="113"/>
      <c r="V263" s="113"/>
    </row>
    <row r="264" customFormat="false" ht="15" hidden="false" customHeight="true" outlineLevel="0" collapsed="false">
      <c r="H264" s="113"/>
      <c r="I264" s="113"/>
      <c r="J264" s="113"/>
      <c r="L264" s="113"/>
      <c r="M264" s="113"/>
      <c r="N264" s="113"/>
      <c r="P264" s="113"/>
      <c r="Q264" s="113"/>
      <c r="R264" s="113"/>
      <c r="T264" s="113"/>
      <c r="U264" s="113"/>
      <c r="V264" s="113"/>
    </row>
    <row r="265" customFormat="false" ht="15" hidden="false" customHeight="true" outlineLevel="0" collapsed="false">
      <c r="H265" s="113"/>
      <c r="I265" s="113"/>
      <c r="J265" s="113"/>
      <c r="L265" s="113"/>
      <c r="M265" s="113"/>
      <c r="N265" s="113"/>
      <c r="P265" s="113"/>
      <c r="Q265" s="113"/>
      <c r="R265" s="113"/>
      <c r="T265" s="113"/>
      <c r="U265" s="113"/>
      <c r="V265" s="113"/>
    </row>
    <row r="266" customFormat="false" ht="15" hidden="false" customHeight="true" outlineLevel="0" collapsed="false">
      <c r="H266" s="113"/>
      <c r="I266" s="113"/>
      <c r="J266" s="113"/>
      <c r="L266" s="113"/>
      <c r="M266" s="113"/>
      <c r="N266" s="113"/>
      <c r="P266" s="113"/>
      <c r="Q266" s="113"/>
      <c r="R266" s="113"/>
      <c r="T266" s="113"/>
      <c r="U266" s="113"/>
      <c r="V266" s="113"/>
    </row>
    <row r="267" customFormat="false" ht="15" hidden="false" customHeight="true" outlineLevel="0" collapsed="false">
      <c r="H267" s="113"/>
      <c r="I267" s="113"/>
      <c r="J267" s="113"/>
      <c r="L267" s="113"/>
      <c r="M267" s="113"/>
      <c r="N267" s="113"/>
      <c r="P267" s="113"/>
      <c r="Q267" s="113"/>
      <c r="R267" s="113"/>
      <c r="T267" s="113"/>
      <c r="U267" s="113"/>
      <c r="V267" s="113"/>
    </row>
    <row r="268" customFormat="false" ht="15" hidden="false" customHeight="true" outlineLevel="0" collapsed="false">
      <c r="H268" s="113"/>
      <c r="I268" s="113"/>
      <c r="J268" s="113"/>
      <c r="L268" s="113"/>
      <c r="M268" s="113"/>
      <c r="N268" s="113"/>
      <c r="P268" s="113"/>
      <c r="Q268" s="113"/>
      <c r="R268" s="113"/>
      <c r="T268" s="113"/>
      <c r="U268" s="113"/>
      <c r="V268" s="113"/>
    </row>
    <row r="269" customFormat="false" ht="15" hidden="false" customHeight="true" outlineLevel="0" collapsed="false">
      <c r="H269" s="113"/>
      <c r="I269" s="113"/>
      <c r="J269" s="113"/>
      <c r="L269" s="113"/>
      <c r="M269" s="113"/>
      <c r="N269" s="113"/>
      <c r="P269" s="113"/>
      <c r="Q269" s="113"/>
      <c r="R269" s="113"/>
      <c r="T269" s="113"/>
      <c r="U269" s="113"/>
      <c r="V269" s="113"/>
    </row>
    <row r="270" customFormat="false" ht="15" hidden="false" customHeight="true" outlineLevel="0" collapsed="false">
      <c r="H270" s="113"/>
      <c r="I270" s="113"/>
      <c r="J270" s="113"/>
      <c r="L270" s="113"/>
      <c r="M270" s="113"/>
      <c r="N270" s="113"/>
      <c r="P270" s="113"/>
      <c r="Q270" s="113"/>
      <c r="R270" s="113"/>
      <c r="T270" s="113"/>
      <c r="U270" s="113"/>
      <c r="V270" s="113"/>
    </row>
    <row r="271" customFormat="false" ht="15" hidden="false" customHeight="true" outlineLevel="0" collapsed="false">
      <c r="H271" s="113"/>
      <c r="I271" s="113"/>
      <c r="J271" s="113"/>
      <c r="L271" s="113"/>
      <c r="M271" s="113"/>
      <c r="N271" s="113"/>
      <c r="P271" s="113"/>
      <c r="Q271" s="113"/>
      <c r="R271" s="113"/>
      <c r="T271" s="113"/>
      <c r="U271" s="113"/>
      <c r="V271" s="113"/>
    </row>
    <row r="272" customFormat="false" ht="15" hidden="false" customHeight="true" outlineLevel="0" collapsed="false">
      <c r="H272" s="113"/>
      <c r="I272" s="113"/>
      <c r="J272" s="113"/>
      <c r="L272" s="113"/>
      <c r="M272" s="113"/>
      <c r="N272" s="113"/>
      <c r="P272" s="113"/>
      <c r="Q272" s="113"/>
      <c r="R272" s="113"/>
      <c r="T272" s="113"/>
      <c r="U272" s="113"/>
      <c r="V272" s="113"/>
    </row>
    <row r="273" customFormat="false" ht="15" hidden="false" customHeight="true" outlineLevel="0" collapsed="false">
      <c r="H273" s="113"/>
      <c r="I273" s="113"/>
      <c r="J273" s="113"/>
      <c r="L273" s="113"/>
      <c r="M273" s="113"/>
      <c r="N273" s="113"/>
      <c r="P273" s="113"/>
      <c r="Q273" s="113"/>
      <c r="R273" s="113"/>
      <c r="T273" s="113"/>
      <c r="U273" s="113"/>
      <c r="V273" s="113"/>
    </row>
    <row r="274" customFormat="false" ht="15" hidden="false" customHeight="true" outlineLevel="0" collapsed="false">
      <c r="H274" s="113"/>
      <c r="I274" s="113"/>
      <c r="J274" s="113"/>
      <c r="L274" s="113"/>
      <c r="M274" s="113"/>
      <c r="N274" s="113"/>
      <c r="P274" s="113"/>
      <c r="Q274" s="113"/>
      <c r="R274" s="113"/>
      <c r="T274" s="113"/>
      <c r="U274" s="113"/>
      <c r="V274" s="113"/>
    </row>
    <row r="275" customFormat="false" ht="15" hidden="false" customHeight="true" outlineLevel="0" collapsed="false">
      <c r="H275" s="113"/>
      <c r="I275" s="113"/>
      <c r="J275" s="113"/>
      <c r="L275" s="113"/>
      <c r="M275" s="113"/>
      <c r="N275" s="113"/>
      <c r="P275" s="113"/>
      <c r="Q275" s="113"/>
      <c r="R275" s="113"/>
      <c r="T275" s="113"/>
      <c r="U275" s="113"/>
      <c r="V275" s="113"/>
    </row>
    <row r="276" customFormat="false" ht="15" hidden="false" customHeight="true" outlineLevel="0" collapsed="false">
      <c r="H276" s="113"/>
      <c r="I276" s="113"/>
      <c r="J276" s="113"/>
      <c r="L276" s="113"/>
      <c r="M276" s="113"/>
      <c r="N276" s="113"/>
      <c r="P276" s="113"/>
      <c r="Q276" s="113"/>
      <c r="R276" s="113"/>
      <c r="T276" s="113"/>
      <c r="U276" s="113"/>
      <c r="V276" s="113"/>
    </row>
    <row r="277" customFormat="false" ht="15" hidden="false" customHeight="true" outlineLevel="0" collapsed="false">
      <c r="H277" s="113"/>
      <c r="I277" s="113"/>
      <c r="J277" s="113"/>
      <c r="L277" s="113"/>
      <c r="M277" s="113"/>
      <c r="N277" s="113"/>
      <c r="P277" s="113"/>
      <c r="Q277" s="113"/>
      <c r="R277" s="113"/>
      <c r="T277" s="113"/>
      <c r="U277" s="113"/>
      <c r="V277" s="113"/>
    </row>
    <row r="278" customFormat="false" ht="15" hidden="false" customHeight="true" outlineLevel="0" collapsed="false">
      <c r="H278" s="113"/>
      <c r="I278" s="113"/>
      <c r="J278" s="113"/>
      <c r="L278" s="113"/>
      <c r="M278" s="113"/>
      <c r="N278" s="113"/>
      <c r="P278" s="113"/>
      <c r="Q278" s="113"/>
      <c r="R278" s="113"/>
      <c r="T278" s="113"/>
      <c r="U278" s="113"/>
      <c r="V278" s="113"/>
    </row>
    <row r="279" customFormat="false" ht="15" hidden="false" customHeight="true" outlineLevel="0" collapsed="false">
      <c r="H279" s="113"/>
      <c r="I279" s="113"/>
      <c r="J279" s="113"/>
      <c r="L279" s="113"/>
      <c r="M279" s="113"/>
      <c r="N279" s="113"/>
      <c r="P279" s="113"/>
      <c r="Q279" s="113"/>
      <c r="R279" s="113"/>
      <c r="T279" s="113"/>
      <c r="U279" s="113"/>
      <c r="V279" s="113"/>
    </row>
    <row r="280" customFormat="false" ht="15" hidden="false" customHeight="true" outlineLevel="0" collapsed="false">
      <c r="H280" s="113"/>
      <c r="I280" s="113"/>
      <c r="J280" s="113"/>
      <c r="L280" s="113"/>
      <c r="M280" s="113"/>
      <c r="N280" s="113"/>
      <c r="P280" s="113"/>
      <c r="Q280" s="113"/>
      <c r="R280" s="113"/>
      <c r="T280" s="113"/>
      <c r="U280" s="113"/>
      <c r="V280" s="113"/>
    </row>
    <row r="281" customFormat="false" ht="15" hidden="false" customHeight="true" outlineLevel="0" collapsed="false">
      <c r="H281" s="113"/>
      <c r="I281" s="113"/>
      <c r="J281" s="113"/>
      <c r="L281" s="113"/>
      <c r="M281" s="113"/>
      <c r="N281" s="113"/>
      <c r="P281" s="113"/>
      <c r="Q281" s="113"/>
      <c r="R281" s="113"/>
      <c r="T281" s="113"/>
      <c r="U281" s="113"/>
      <c r="V281" s="113"/>
    </row>
    <row r="282" customFormat="false" ht="15" hidden="false" customHeight="true" outlineLevel="0" collapsed="false">
      <c r="H282" s="113"/>
      <c r="I282" s="113"/>
      <c r="J282" s="113"/>
      <c r="L282" s="113"/>
      <c r="M282" s="113"/>
      <c r="N282" s="113"/>
      <c r="P282" s="113"/>
      <c r="Q282" s="113"/>
      <c r="R282" s="113"/>
      <c r="T282" s="113"/>
      <c r="U282" s="113"/>
      <c r="V282" s="113"/>
    </row>
    <row r="283" customFormat="false" ht="15" hidden="false" customHeight="true" outlineLevel="0" collapsed="false">
      <c r="H283" s="113"/>
      <c r="I283" s="113"/>
      <c r="J283" s="113"/>
      <c r="L283" s="113"/>
      <c r="M283" s="113"/>
      <c r="N283" s="113"/>
      <c r="P283" s="113"/>
      <c r="Q283" s="113"/>
      <c r="R283" s="113"/>
      <c r="T283" s="113"/>
      <c r="U283" s="113"/>
      <c r="V283" s="113"/>
    </row>
    <row r="284" customFormat="false" ht="15" hidden="false" customHeight="true" outlineLevel="0" collapsed="false">
      <c r="H284" s="113"/>
      <c r="I284" s="113"/>
      <c r="J284" s="113"/>
      <c r="L284" s="113"/>
      <c r="M284" s="113"/>
      <c r="N284" s="113"/>
      <c r="P284" s="113"/>
      <c r="Q284" s="113"/>
      <c r="R284" s="113"/>
      <c r="T284" s="113"/>
      <c r="U284" s="113"/>
      <c r="V284" s="113"/>
    </row>
    <row r="285" customFormat="false" ht="15" hidden="false" customHeight="true" outlineLevel="0" collapsed="false">
      <c r="H285" s="113"/>
      <c r="I285" s="113"/>
      <c r="J285" s="113"/>
      <c r="L285" s="113"/>
      <c r="M285" s="113"/>
      <c r="N285" s="113"/>
      <c r="P285" s="113"/>
      <c r="Q285" s="113"/>
      <c r="R285" s="113"/>
      <c r="T285" s="113"/>
      <c r="U285" s="113"/>
      <c r="V285" s="113"/>
    </row>
    <row r="286" customFormat="false" ht="15" hidden="false" customHeight="true" outlineLevel="0" collapsed="false">
      <c r="H286" s="113"/>
      <c r="I286" s="113"/>
      <c r="J286" s="113"/>
      <c r="L286" s="113"/>
      <c r="M286" s="113"/>
      <c r="N286" s="113"/>
      <c r="P286" s="113"/>
      <c r="Q286" s="113"/>
      <c r="R286" s="113"/>
      <c r="T286" s="113"/>
      <c r="U286" s="113"/>
      <c r="V286" s="113"/>
    </row>
    <row r="287" customFormat="false" ht="15" hidden="false" customHeight="true" outlineLevel="0" collapsed="false">
      <c r="H287" s="113"/>
      <c r="I287" s="113"/>
      <c r="J287" s="113"/>
      <c r="L287" s="113"/>
      <c r="M287" s="113"/>
      <c r="N287" s="113"/>
      <c r="P287" s="113"/>
      <c r="Q287" s="113"/>
      <c r="R287" s="113"/>
      <c r="T287" s="113"/>
      <c r="U287" s="113"/>
      <c r="V287" s="113"/>
    </row>
    <row r="288" customFormat="false" ht="15" hidden="false" customHeight="true" outlineLevel="0" collapsed="false">
      <c r="H288" s="113"/>
      <c r="I288" s="113"/>
      <c r="J288" s="113"/>
      <c r="L288" s="113"/>
      <c r="M288" s="113"/>
      <c r="N288" s="113"/>
      <c r="P288" s="113"/>
      <c r="Q288" s="113"/>
      <c r="R288" s="113"/>
      <c r="T288" s="113"/>
      <c r="U288" s="113"/>
      <c r="V288" s="113"/>
    </row>
    <row r="289" customFormat="false" ht="15" hidden="false" customHeight="true" outlineLevel="0" collapsed="false">
      <c r="H289" s="113"/>
      <c r="I289" s="113"/>
      <c r="J289" s="113"/>
      <c r="L289" s="113"/>
      <c r="M289" s="113"/>
      <c r="N289" s="113"/>
      <c r="P289" s="113"/>
      <c r="Q289" s="113"/>
      <c r="R289" s="113"/>
      <c r="T289" s="113"/>
      <c r="U289" s="113"/>
      <c r="V289" s="113"/>
    </row>
    <row r="290" customFormat="false" ht="15" hidden="false" customHeight="true" outlineLevel="0" collapsed="false">
      <c r="H290" s="113"/>
      <c r="I290" s="113"/>
      <c r="J290" s="113"/>
      <c r="L290" s="113"/>
      <c r="M290" s="113"/>
      <c r="N290" s="113"/>
      <c r="P290" s="113"/>
      <c r="Q290" s="113"/>
      <c r="R290" s="113"/>
      <c r="T290" s="113"/>
      <c r="U290" s="113"/>
      <c r="V290" s="113"/>
    </row>
    <row r="291" customFormat="false" ht="15" hidden="false" customHeight="true" outlineLevel="0" collapsed="false">
      <c r="H291" s="113"/>
      <c r="I291" s="113"/>
      <c r="J291" s="113"/>
      <c r="L291" s="113"/>
      <c r="M291" s="113"/>
      <c r="N291" s="113"/>
      <c r="P291" s="113"/>
      <c r="Q291" s="113"/>
      <c r="R291" s="113"/>
      <c r="T291" s="113"/>
      <c r="U291" s="113"/>
      <c r="V291" s="113"/>
    </row>
    <row r="292" customFormat="false" ht="15" hidden="false" customHeight="true" outlineLevel="0" collapsed="false">
      <c r="H292" s="113"/>
      <c r="I292" s="113"/>
      <c r="J292" s="113"/>
      <c r="L292" s="113"/>
      <c r="M292" s="113"/>
      <c r="N292" s="113"/>
      <c r="P292" s="113"/>
      <c r="Q292" s="113"/>
      <c r="R292" s="113"/>
      <c r="T292" s="113"/>
      <c r="U292" s="113"/>
      <c r="V292" s="113"/>
    </row>
    <row r="293" customFormat="false" ht="15" hidden="false" customHeight="true" outlineLevel="0" collapsed="false">
      <c r="H293" s="113"/>
      <c r="I293" s="113"/>
      <c r="J293" s="113"/>
      <c r="L293" s="113"/>
      <c r="M293" s="113"/>
      <c r="N293" s="113"/>
      <c r="P293" s="113"/>
      <c r="Q293" s="113"/>
      <c r="R293" s="113"/>
      <c r="T293" s="113"/>
      <c r="U293" s="113"/>
      <c r="V293" s="113"/>
    </row>
    <row r="294" customFormat="false" ht="15" hidden="false" customHeight="true" outlineLevel="0" collapsed="false">
      <c r="H294" s="113"/>
      <c r="I294" s="113"/>
      <c r="J294" s="113"/>
      <c r="L294" s="113"/>
      <c r="M294" s="113"/>
      <c r="N294" s="113"/>
      <c r="P294" s="113"/>
      <c r="Q294" s="113"/>
      <c r="R294" s="113"/>
      <c r="T294" s="113"/>
      <c r="U294" s="113"/>
      <c r="V294" s="113"/>
    </row>
    <row r="295" customFormat="false" ht="15" hidden="false" customHeight="true" outlineLevel="0" collapsed="false">
      <c r="H295" s="113"/>
      <c r="I295" s="113"/>
      <c r="J295" s="113"/>
      <c r="L295" s="113"/>
      <c r="M295" s="113"/>
      <c r="N295" s="113"/>
      <c r="P295" s="113"/>
      <c r="Q295" s="113"/>
      <c r="R295" s="113"/>
      <c r="T295" s="113"/>
      <c r="U295" s="113"/>
      <c r="V295" s="113"/>
    </row>
    <row r="296" customFormat="false" ht="15" hidden="false" customHeight="true" outlineLevel="0" collapsed="false">
      <c r="H296" s="113"/>
      <c r="I296" s="113"/>
      <c r="J296" s="113"/>
      <c r="L296" s="113"/>
      <c r="M296" s="113"/>
      <c r="N296" s="113"/>
      <c r="P296" s="113"/>
      <c r="Q296" s="113"/>
      <c r="R296" s="113"/>
      <c r="T296" s="113"/>
      <c r="U296" s="113"/>
      <c r="V296" s="113"/>
    </row>
    <row r="297" customFormat="false" ht="15" hidden="false" customHeight="true" outlineLevel="0" collapsed="false">
      <c r="H297" s="113"/>
      <c r="I297" s="113"/>
      <c r="J297" s="113"/>
      <c r="L297" s="113"/>
      <c r="M297" s="113"/>
      <c r="N297" s="113"/>
      <c r="P297" s="113"/>
      <c r="Q297" s="113"/>
      <c r="R297" s="113"/>
      <c r="T297" s="113"/>
      <c r="U297" s="113"/>
      <c r="V297" s="113"/>
    </row>
    <row r="298" customFormat="false" ht="15" hidden="false" customHeight="true" outlineLevel="0" collapsed="false">
      <c r="H298" s="113"/>
      <c r="I298" s="113"/>
      <c r="J298" s="113"/>
      <c r="L298" s="113"/>
      <c r="M298" s="113"/>
      <c r="N298" s="113"/>
      <c r="P298" s="113"/>
      <c r="Q298" s="113"/>
      <c r="R298" s="113"/>
      <c r="T298" s="113"/>
      <c r="U298" s="113"/>
      <c r="V298" s="113"/>
    </row>
    <row r="299" customFormat="false" ht="15" hidden="false" customHeight="true" outlineLevel="0" collapsed="false">
      <c r="H299" s="113"/>
      <c r="I299" s="113"/>
      <c r="J299" s="113"/>
      <c r="L299" s="113"/>
      <c r="M299" s="113"/>
      <c r="N299" s="113"/>
      <c r="P299" s="113"/>
      <c r="Q299" s="113"/>
      <c r="R299" s="113"/>
      <c r="T299" s="113"/>
      <c r="U299" s="113"/>
      <c r="V299" s="113"/>
    </row>
    <row r="300" customFormat="false" ht="15" hidden="false" customHeight="true" outlineLevel="0" collapsed="false">
      <c r="H300" s="113"/>
      <c r="I300" s="113"/>
      <c r="J300" s="113"/>
      <c r="L300" s="113"/>
      <c r="M300" s="113"/>
      <c r="N300" s="113"/>
      <c r="P300" s="113"/>
      <c r="Q300" s="113"/>
      <c r="R300" s="113"/>
      <c r="T300" s="113"/>
      <c r="U300" s="113"/>
      <c r="V300" s="113"/>
    </row>
    <row r="301" customFormat="false" ht="15" hidden="false" customHeight="true" outlineLevel="0" collapsed="false">
      <c r="H301" s="113"/>
      <c r="I301" s="113"/>
      <c r="J301" s="113"/>
      <c r="L301" s="113"/>
      <c r="M301" s="113"/>
      <c r="N301" s="113"/>
      <c r="P301" s="113"/>
      <c r="Q301" s="113"/>
      <c r="R301" s="113"/>
      <c r="T301" s="113"/>
      <c r="U301" s="113"/>
      <c r="V301" s="113"/>
    </row>
    <row r="302" customFormat="false" ht="15" hidden="false" customHeight="true" outlineLevel="0" collapsed="false">
      <c r="H302" s="113"/>
      <c r="I302" s="113"/>
      <c r="J302" s="113"/>
      <c r="L302" s="113"/>
      <c r="M302" s="113"/>
      <c r="N302" s="113"/>
      <c r="P302" s="113"/>
      <c r="Q302" s="113"/>
      <c r="R302" s="113"/>
      <c r="T302" s="113"/>
      <c r="U302" s="113"/>
      <c r="V302" s="113"/>
    </row>
    <row r="303" customFormat="false" ht="15" hidden="false" customHeight="true" outlineLevel="0" collapsed="false">
      <c r="H303" s="113"/>
      <c r="I303" s="113"/>
      <c r="J303" s="113"/>
      <c r="L303" s="113"/>
      <c r="M303" s="113"/>
      <c r="N303" s="113"/>
      <c r="P303" s="113"/>
      <c r="Q303" s="113"/>
      <c r="R303" s="113"/>
      <c r="T303" s="113"/>
      <c r="U303" s="113"/>
      <c r="V303" s="113"/>
    </row>
    <row r="304" customFormat="false" ht="15" hidden="false" customHeight="true" outlineLevel="0" collapsed="false">
      <c r="H304" s="113"/>
      <c r="I304" s="113"/>
      <c r="J304" s="113"/>
      <c r="L304" s="113"/>
      <c r="M304" s="113"/>
      <c r="N304" s="113"/>
      <c r="P304" s="113"/>
      <c r="Q304" s="113"/>
      <c r="R304" s="113"/>
      <c r="T304" s="113"/>
      <c r="U304" s="113"/>
      <c r="V304" s="113"/>
    </row>
    <row r="305" customFormat="false" ht="15" hidden="false" customHeight="true" outlineLevel="0" collapsed="false">
      <c r="H305" s="113"/>
      <c r="I305" s="113"/>
      <c r="J305" s="113"/>
      <c r="L305" s="113"/>
      <c r="M305" s="113"/>
      <c r="N305" s="113"/>
      <c r="P305" s="113"/>
      <c r="Q305" s="113"/>
      <c r="R305" s="113"/>
      <c r="T305" s="113"/>
      <c r="U305" s="113"/>
      <c r="V305" s="113"/>
    </row>
    <row r="306" customFormat="false" ht="15" hidden="false" customHeight="true" outlineLevel="0" collapsed="false">
      <c r="H306" s="113"/>
      <c r="I306" s="113"/>
      <c r="J306" s="113"/>
      <c r="L306" s="113"/>
      <c r="M306" s="113"/>
      <c r="N306" s="113"/>
      <c r="P306" s="113"/>
      <c r="Q306" s="113"/>
      <c r="R306" s="113"/>
      <c r="T306" s="113"/>
      <c r="U306" s="113"/>
      <c r="V306" s="113"/>
    </row>
    <row r="307" customFormat="false" ht="15" hidden="false" customHeight="true" outlineLevel="0" collapsed="false">
      <c r="H307" s="113"/>
      <c r="I307" s="113"/>
      <c r="J307" s="113"/>
      <c r="L307" s="113"/>
      <c r="M307" s="113"/>
      <c r="N307" s="113"/>
      <c r="P307" s="113"/>
      <c r="Q307" s="113"/>
      <c r="R307" s="113"/>
      <c r="T307" s="113"/>
      <c r="U307" s="113"/>
      <c r="V307" s="113"/>
    </row>
    <row r="308" customFormat="false" ht="15" hidden="false" customHeight="true" outlineLevel="0" collapsed="false">
      <c r="H308" s="113"/>
      <c r="I308" s="113"/>
      <c r="J308" s="113"/>
      <c r="L308" s="113"/>
      <c r="M308" s="113"/>
      <c r="N308" s="113"/>
      <c r="P308" s="113"/>
      <c r="Q308" s="113"/>
      <c r="R308" s="113"/>
      <c r="T308" s="113"/>
      <c r="U308" s="113"/>
      <c r="V308" s="113"/>
    </row>
    <row r="309" customFormat="false" ht="15" hidden="false" customHeight="true" outlineLevel="0" collapsed="false">
      <c r="H309" s="113"/>
      <c r="I309" s="113"/>
      <c r="J309" s="113"/>
      <c r="L309" s="113"/>
      <c r="M309" s="113"/>
      <c r="N309" s="113"/>
      <c r="P309" s="113"/>
      <c r="Q309" s="113"/>
      <c r="R309" s="113"/>
      <c r="T309" s="113"/>
      <c r="U309" s="113"/>
      <c r="V309" s="113"/>
    </row>
    <row r="310" customFormat="false" ht="15" hidden="false" customHeight="true" outlineLevel="0" collapsed="false">
      <c r="H310" s="113"/>
      <c r="I310" s="113"/>
      <c r="J310" s="113"/>
      <c r="L310" s="113"/>
      <c r="M310" s="113"/>
      <c r="N310" s="113"/>
      <c r="P310" s="113"/>
      <c r="Q310" s="113"/>
      <c r="R310" s="113"/>
      <c r="T310" s="113"/>
      <c r="U310" s="113"/>
      <c r="V310" s="113"/>
    </row>
    <row r="311" customFormat="false" ht="15" hidden="false" customHeight="true" outlineLevel="0" collapsed="false">
      <c r="H311" s="113"/>
      <c r="I311" s="113"/>
      <c r="J311" s="113"/>
      <c r="L311" s="113"/>
      <c r="M311" s="113"/>
      <c r="N311" s="113"/>
      <c r="P311" s="113"/>
      <c r="Q311" s="113"/>
      <c r="R311" s="113"/>
      <c r="T311" s="113"/>
      <c r="U311" s="113"/>
      <c r="V311" s="113"/>
    </row>
    <row r="312" customFormat="false" ht="15" hidden="false" customHeight="true" outlineLevel="0" collapsed="false">
      <c r="H312" s="113"/>
      <c r="I312" s="113"/>
      <c r="J312" s="113"/>
      <c r="L312" s="113"/>
      <c r="M312" s="113"/>
      <c r="N312" s="113"/>
      <c r="P312" s="113"/>
      <c r="Q312" s="113"/>
      <c r="R312" s="113"/>
      <c r="T312" s="113"/>
      <c r="U312" s="113"/>
      <c r="V312" s="113"/>
    </row>
    <row r="313" customFormat="false" ht="15" hidden="false" customHeight="true" outlineLevel="0" collapsed="false">
      <c r="H313" s="113"/>
      <c r="I313" s="113"/>
      <c r="J313" s="113"/>
      <c r="L313" s="113"/>
      <c r="M313" s="113"/>
      <c r="N313" s="113"/>
      <c r="P313" s="113"/>
      <c r="Q313" s="113"/>
      <c r="R313" s="113"/>
      <c r="T313" s="113"/>
      <c r="U313" s="113"/>
      <c r="V313" s="113"/>
    </row>
    <row r="314" customFormat="false" ht="15" hidden="false" customHeight="true" outlineLevel="0" collapsed="false">
      <c r="H314" s="113"/>
      <c r="I314" s="113"/>
      <c r="J314" s="113"/>
      <c r="L314" s="113"/>
      <c r="M314" s="113"/>
      <c r="N314" s="113"/>
      <c r="P314" s="113"/>
      <c r="Q314" s="113"/>
      <c r="R314" s="113"/>
      <c r="T314" s="113"/>
      <c r="U314" s="113"/>
      <c r="V314" s="113"/>
    </row>
    <row r="315" customFormat="false" ht="15" hidden="false" customHeight="true" outlineLevel="0" collapsed="false">
      <c r="H315" s="113"/>
      <c r="I315" s="113"/>
      <c r="J315" s="113"/>
      <c r="L315" s="113"/>
      <c r="M315" s="113"/>
      <c r="N315" s="113"/>
      <c r="P315" s="113"/>
      <c r="Q315" s="113"/>
      <c r="R315" s="113"/>
      <c r="T315" s="113"/>
      <c r="U315" s="113"/>
      <c r="V315" s="113"/>
    </row>
    <row r="316" customFormat="false" ht="15" hidden="false" customHeight="true" outlineLevel="0" collapsed="false">
      <c r="H316" s="113"/>
      <c r="I316" s="113"/>
      <c r="J316" s="113"/>
      <c r="L316" s="113"/>
      <c r="M316" s="113"/>
      <c r="N316" s="113"/>
      <c r="P316" s="113"/>
      <c r="Q316" s="113"/>
      <c r="R316" s="113"/>
      <c r="T316" s="113"/>
      <c r="U316" s="113"/>
      <c r="V316" s="113"/>
    </row>
    <row r="317" customFormat="false" ht="15" hidden="false" customHeight="true" outlineLevel="0" collapsed="false">
      <c r="H317" s="113"/>
      <c r="I317" s="113"/>
      <c r="J317" s="113"/>
      <c r="L317" s="113"/>
      <c r="M317" s="113"/>
      <c r="N317" s="113"/>
      <c r="P317" s="113"/>
      <c r="Q317" s="113"/>
      <c r="R317" s="113"/>
      <c r="T317" s="113"/>
      <c r="U317" s="113"/>
      <c r="V317" s="113"/>
    </row>
    <row r="318" customFormat="false" ht="15" hidden="false" customHeight="true" outlineLevel="0" collapsed="false">
      <c r="H318" s="113"/>
      <c r="I318" s="113"/>
      <c r="J318" s="113"/>
      <c r="L318" s="113"/>
      <c r="M318" s="113"/>
      <c r="N318" s="113"/>
      <c r="P318" s="113"/>
      <c r="Q318" s="113"/>
      <c r="R318" s="113"/>
      <c r="T318" s="113"/>
      <c r="U318" s="113"/>
      <c r="V318" s="113"/>
    </row>
    <row r="319" customFormat="false" ht="15" hidden="false" customHeight="true" outlineLevel="0" collapsed="false">
      <c r="H319" s="113"/>
      <c r="I319" s="113"/>
      <c r="J319" s="113"/>
      <c r="L319" s="113"/>
      <c r="M319" s="113"/>
      <c r="N319" s="113"/>
      <c r="P319" s="113"/>
      <c r="Q319" s="113"/>
      <c r="R319" s="113"/>
      <c r="T319" s="113"/>
      <c r="U319" s="113"/>
      <c r="V319" s="113"/>
    </row>
    <row r="320" customFormat="false" ht="15" hidden="false" customHeight="true" outlineLevel="0" collapsed="false">
      <c r="H320" s="113"/>
      <c r="I320" s="113"/>
      <c r="J320" s="113"/>
      <c r="L320" s="113"/>
      <c r="M320" s="113"/>
      <c r="N320" s="113"/>
      <c r="P320" s="113"/>
      <c r="Q320" s="113"/>
      <c r="R320" s="113"/>
      <c r="T320" s="113"/>
      <c r="U320" s="113"/>
      <c r="V320" s="113"/>
    </row>
    <row r="321" customFormat="false" ht="15" hidden="false" customHeight="true" outlineLevel="0" collapsed="false">
      <c r="H321" s="113"/>
      <c r="I321" s="113"/>
      <c r="J321" s="113"/>
      <c r="L321" s="113"/>
      <c r="M321" s="113"/>
      <c r="N321" s="113"/>
      <c r="P321" s="113"/>
      <c r="Q321" s="113"/>
      <c r="R321" s="113"/>
      <c r="T321" s="113"/>
      <c r="U321" s="113"/>
      <c r="V321" s="113"/>
    </row>
    <row r="322" customFormat="false" ht="15" hidden="false" customHeight="true" outlineLevel="0" collapsed="false">
      <c r="H322" s="113"/>
      <c r="I322" s="113"/>
      <c r="J322" s="113"/>
      <c r="L322" s="113"/>
      <c r="M322" s="113"/>
      <c r="N322" s="113"/>
      <c r="P322" s="113"/>
      <c r="Q322" s="113"/>
      <c r="R322" s="113"/>
      <c r="T322" s="113"/>
      <c r="U322" s="113"/>
      <c r="V322" s="113"/>
    </row>
    <row r="323" customFormat="false" ht="15" hidden="false" customHeight="true" outlineLevel="0" collapsed="false">
      <c r="H323" s="113"/>
      <c r="I323" s="113"/>
      <c r="J323" s="113"/>
      <c r="L323" s="113"/>
      <c r="M323" s="113"/>
      <c r="N323" s="113"/>
      <c r="P323" s="113"/>
      <c r="Q323" s="113"/>
      <c r="R323" s="113"/>
      <c r="T323" s="113"/>
      <c r="U323" s="113"/>
      <c r="V323" s="113"/>
    </row>
    <row r="324" customFormat="false" ht="15" hidden="false" customHeight="true" outlineLevel="0" collapsed="false">
      <c r="H324" s="113"/>
      <c r="I324" s="113"/>
      <c r="J324" s="113"/>
      <c r="L324" s="113"/>
      <c r="M324" s="113"/>
      <c r="N324" s="113"/>
      <c r="P324" s="113"/>
      <c r="Q324" s="113"/>
      <c r="R324" s="113"/>
      <c r="T324" s="113"/>
      <c r="U324" s="113"/>
      <c r="V324" s="113"/>
    </row>
    <row r="325" customFormat="false" ht="15" hidden="false" customHeight="true" outlineLevel="0" collapsed="false">
      <c r="H325" s="113"/>
      <c r="I325" s="113"/>
      <c r="J325" s="113"/>
      <c r="L325" s="113"/>
      <c r="M325" s="113"/>
      <c r="N325" s="113"/>
      <c r="P325" s="113"/>
      <c r="Q325" s="113"/>
      <c r="R325" s="113"/>
      <c r="T325" s="113"/>
      <c r="U325" s="113"/>
      <c r="V325" s="113"/>
    </row>
    <row r="326" customFormat="false" ht="15" hidden="false" customHeight="true" outlineLevel="0" collapsed="false">
      <c r="H326" s="113"/>
      <c r="I326" s="113"/>
      <c r="J326" s="113"/>
      <c r="L326" s="113"/>
      <c r="M326" s="113"/>
      <c r="N326" s="113"/>
      <c r="P326" s="113"/>
      <c r="Q326" s="113"/>
      <c r="R326" s="113"/>
      <c r="T326" s="113"/>
      <c r="U326" s="113"/>
      <c r="V326" s="113"/>
    </row>
    <row r="327" customFormat="false" ht="15" hidden="false" customHeight="true" outlineLevel="0" collapsed="false">
      <c r="H327" s="113"/>
      <c r="I327" s="113"/>
      <c r="J327" s="113"/>
      <c r="L327" s="113"/>
      <c r="M327" s="113"/>
      <c r="N327" s="113"/>
      <c r="P327" s="113"/>
      <c r="Q327" s="113"/>
      <c r="R327" s="113"/>
      <c r="T327" s="113"/>
      <c r="U327" s="113"/>
      <c r="V327" s="113"/>
    </row>
    <row r="328" customFormat="false" ht="15" hidden="false" customHeight="true" outlineLevel="0" collapsed="false">
      <c r="H328" s="113"/>
      <c r="I328" s="113"/>
      <c r="J328" s="113"/>
      <c r="L328" s="113"/>
      <c r="M328" s="113"/>
      <c r="N328" s="113"/>
      <c r="P328" s="113"/>
      <c r="Q328" s="113"/>
      <c r="R328" s="113"/>
      <c r="T328" s="113"/>
      <c r="U328" s="113"/>
      <c r="V328" s="113"/>
    </row>
    <row r="329" customFormat="false" ht="15" hidden="false" customHeight="true" outlineLevel="0" collapsed="false">
      <c r="H329" s="113"/>
      <c r="I329" s="113"/>
      <c r="J329" s="113"/>
      <c r="L329" s="113"/>
      <c r="M329" s="113"/>
      <c r="N329" s="113"/>
      <c r="P329" s="113"/>
      <c r="Q329" s="113"/>
      <c r="R329" s="113"/>
      <c r="T329" s="113"/>
      <c r="U329" s="113"/>
      <c r="V329" s="113"/>
    </row>
    <row r="330" customFormat="false" ht="15" hidden="false" customHeight="true" outlineLevel="0" collapsed="false">
      <c r="H330" s="113"/>
      <c r="I330" s="113"/>
      <c r="J330" s="113"/>
      <c r="L330" s="113"/>
      <c r="M330" s="113"/>
      <c r="N330" s="113"/>
      <c r="P330" s="113"/>
      <c r="Q330" s="113"/>
      <c r="R330" s="113"/>
      <c r="T330" s="113"/>
      <c r="U330" s="113"/>
      <c r="V330" s="113"/>
    </row>
    <row r="331" customFormat="false" ht="15" hidden="false" customHeight="true" outlineLevel="0" collapsed="false">
      <c r="H331" s="113"/>
      <c r="I331" s="113"/>
      <c r="J331" s="113"/>
      <c r="L331" s="113"/>
      <c r="M331" s="113"/>
      <c r="N331" s="113"/>
      <c r="P331" s="113"/>
      <c r="Q331" s="113"/>
      <c r="R331" s="113"/>
      <c r="T331" s="113"/>
      <c r="U331" s="113"/>
      <c r="V331" s="113"/>
    </row>
    <row r="332" customFormat="false" ht="15" hidden="false" customHeight="true" outlineLevel="0" collapsed="false">
      <c r="H332" s="113"/>
      <c r="I332" s="113"/>
      <c r="J332" s="113"/>
      <c r="L332" s="113"/>
      <c r="M332" s="113"/>
      <c r="N332" s="113"/>
      <c r="P332" s="113"/>
      <c r="Q332" s="113"/>
      <c r="R332" s="113"/>
      <c r="T332" s="113"/>
      <c r="U332" s="113"/>
      <c r="V332" s="113"/>
    </row>
    <row r="333" customFormat="false" ht="15" hidden="false" customHeight="true" outlineLevel="0" collapsed="false">
      <c r="H333" s="113"/>
      <c r="I333" s="113"/>
      <c r="J333" s="113"/>
      <c r="L333" s="113"/>
      <c r="M333" s="113"/>
      <c r="N333" s="113"/>
      <c r="P333" s="113"/>
      <c r="Q333" s="113"/>
      <c r="R333" s="113"/>
      <c r="T333" s="113"/>
      <c r="U333" s="113"/>
      <c r="V333" s="113"/>
    </row>
    <row r="334" customFormat="false" ht="15" hidden="false" customHeight="true" outlineLevel="0" collapsed="false">
      <c r="H334" s="113"/>
      <c r="I334" s="113"/>
      <c r="J334" s="113"/>
      <c r="L334" s="113"/>
      <c r="M334" s="113"/>
      <c r="N334" s="113"/>
      <c r="P334" s="113"/>
      <c r="Q334" s="113"/>
      <c r="R334" s="113"/>
      <c r="T334" s="113"/>
      <c r="U334" s="113"/>
      <c r="V334" s="113"/>
    </row>
    <row r="335" customFormat="false" ht="15" hidden="false" customHeight="true" outlineLevel="0" collapsed="false">
      <c r="H335" s="113"/>
      <c r="I335" s="113"/>
      <c r="J335" s="113"/>
      <c r="L335" s="113"/>
      <c r="M335" s="113"/>
      <c r="N335" s="113"/>
      <c r="P335" s="113"/>
      <c r="Q335" s="113"/>
      <c r="R335" s="113"/>
      <c r="T335" s="113"/>
      <c r="U335" s="113"/>
      <c r="V335" s="113"/>
    </row>
    <row r="336" customFormat="false" ht="15" hidden="false" customHeight="true" outlineLevel="0" collapsed="false">
      <c r="H336" s="113"/>
      <c r="I336" s="113"/>
      <c r="J336" s="113"/>
      <c r="L336" s="113"/>
      <c r="M336" s="113"/>
      <c r="N336" s="113"/>
      <c r="P336" s="113"/>
      <c r="Q336" s="113"/>
      <c r="R336" s="113"/>
      <c r="T336" s="113"/>
      <c r="U336" s="113"/>
      <c r="V336" s="113"/>
    </row>
    <row r="337" customFormat="false" ht="15" hidden="false" customHeight="true" outlineLevel="0" collapsed="false">
      <c r="H337" s="113"/>
      <c r="I337" s="113"/>
      <c r="J337" s="113"/>
      <c r="L337" s="113"/>
      <c r="M337" s="113"/>
      <c r="N337" s="113"/>
      <c r="P337" s="113"/>
      <c r="Q337" s="113"/>
      <c r="R337" s="113"/>
      <c r="T337" s="113"/>
      <c r="U337" s="113"/>
      <c r="V337" s="113"/>
    </row>
    <row r="338" customFormat="false" ht="15" hidden="false" customHeight="true" outlineLevel="0" collapsed="false">
      <c r="H338" s="113"/>
      <c r="I338" s="113"/>
      <c r="J338" s="113"/>
      <c r="L338" s="113"/>
      <c r="M338" s="113"/>
      <c r="N338" s="113"/>
      <c r="P338" s="113"/>
      <c r="Q338" s="113"/>
      <c r="R338" s="113"/>
      <c r="T338" s="113"/>
      <c r="U338" s="113"/>
      <c r="V338" s="113"/>
    </row>
    <row r="339" customFormat="false" ht="15" hidden="false" customHeight="true" outlineLevel="0" collapsed="false">
      <c r="H339" s="113"/>
      <c r="I339" s="113"/>
      <c r="J339" s="113"/>
      <c r="L339" s="113"/>
      <c r="M339" s="113"/>
      <c r="N339" s="113"/>
      <c r="P339" s="113"/>
      <c r="Q339" s="113"/>
      <c r="R339" s="113"/>
      <c r="T339" s="113"/>
      <c r="U339" s="113"/>
      <c r="V339" s="113"/>
    </row>
    <row r="340" customFormat="false" ht="15" hidden="false" customHeight="true" outlineLevel="0" collapsed="false">
      <c r="H340" s="113"/>
      <c r="I340" s="113"/>
      <c r="J340" s="113"/>
      <c r="L340" s="113"/>
      <c r="M340" s="113"/>
      <c r="N340" s="113"/>
      <c r="P340" s="113"/>
      <c r="Q340" s="113"/>
      <c r="R340" s="113"/>
      <c r="T340" s="113"/>
      <c r="U340" s="113"/>
      <c r="V340" s="113"/>
    </row>
    <row r="341" customFormat="false" ht="15" hidden="false" customHeight="true" outlineLevel="0" collapsed="false">
      <c r="H341" s="113"/>
      <c r="I341" s="113"/>
      <c r="J341" s="113"/>
      <c r="L341" s="113"/>
      <c r="M341" s="113"/>
      <c r="N341" s="113"/>
      <c r="P341" s="113"/>
      <c r="Q341" s="113"/>
      <c r="R341" s="113"/>
      <c r="T341" s="113"/>
      <c r="U341" s="113"/>
      <c r="V341" s="113"/>
    </row>
    <row r="342" customFormat="false" ht="15" hidden="false" customHeight="true" outlineLevel="0" collapsed="false">
      <c r="H342" s="113"/>
      <c r="I342" s="113"/>
      <c r="J342" s="113"/>
      <c r="L342" s="113"/>
      <c r="M342" s="113"/>
      <c r="N342" s="113"/>
      <c r="P342" s="113"/>
      <c r="Q342" s="113"/>
      <c r="R342" s="113"/>
      <c r="T342" s="113"/>
      <c r="U342" s="113"/>
      <c r="V342" s="113"/>
    </row>
    <row r="343" customFormat="false" ht="15" hidden="false" customHeight="true" outlineLevel="0" collapsed="false">
      <c r="H343" s="113"/>
      <c r="I343" s="113"/>
      <c r="J343" s="113"/>
      <c r="L343" s="113"/>
      <c r="M343" s="113"/>
      <c r="N343" s="113"/>
      <c r="P343" s="113"/>
      <c r="Q343" s="113"/>
      <c r="R343" s="113"/>
      <c r="T343" s="113"/>
      <c r="U343" s="113"/>
      <c r="V343" s="113"/>
    </row>
    <row r="344" customFormat="false" ht="15" hidden="false" customHeight="true" outlineLevel="0" collapsed="false">
      <c r="H344" s="113"/>
      <c r="I344" s="113"/>
      <c r="J344" s="113"/>
      <c r="L344" s="113"/>
      <c r="M344" s="113"/>
      <c r="N344" s="113"/>
      <c r="P344" s="113"/>
      <c r="Q344" s="113"/>
      <c r="R344" s="113"/>
      <c r="T344" s="113"/>
      <c r="U344" s="113"/>
      <c r="V344" s="113"/>
    </row>
    <row r="345" customFormat="false" ht="15" hidden="false" customHeight="true" outlineLevel="0" collapsed="false">
      <c r="H345" s="113"/>
      <c r="I345" s="113"/>
      <c r="J345" s="113"/>
      <c r="L345" s="113"/>
      <c r="M345" s="113"/>
      <c r="N345" s="113"/>
      <c r="P345" s="113"/>
      <c r="Q345" s="113"/>
      <c r="R345" s="113"/>
      <c r="T345" s="113"/>
      <c r="U345" s="113"/>
      <c r="V345" s="113"/>
    </row>
    <row r="346" customFormat="false" ht="15" hidden="false" customHeight="true" outlineLevel="0" collapsed="false">
      <c r="H346" s="113"/>
      <c r="I346" s="113"/>
      <c r="J346" s="113"/>
      <c r="L346" s="113"/>
      <c r="M346" s="113"/>
      <c r="N346" s="113"/>
      <c r="P346" s="113"/>
      <c r="Q346" s="113"/>
      <c r="R346" s="113"/>
      <c r="T346" s="113"/>
      <c r="U346" s="113"/>
      <c r="V346" s="113"/>
    </row>
    <row r="347" customFormat="false" ht="15" hidden="false" customHeight="true" outlineLevel="0" collapsed="false">
      <c r="H347" s="113"/>
      <c r="I347" s="113"/>
      <c r="J347" s="113"/>
      <c r="L347" s="113"/>
      <c r="M347" s="113"/>
      <c r="N347" s="113"/>
      <c r="P347" s="113"/>
      <c r="Q347" s="113"/>
      <c r="R347" s="113"/>
      <c r="T347" s="113"/>
      <c r="U347" s="113"/>
      <c r="V347" s="113"/>
    </row>
    <row r="348" customFormat="false" ht="15" hidden="false" customHeight="true" outlineLevel="0" collapsed="false">
      <c r="H348" s="113"/>
      <c r="I348" s="113"/>
      <c r="J348" s="113"/>
      <c r="L348" s="113"/>
      <c r="M348" s="113"/>
      <c r="N348" s="113"/>
      <c r="P348" s="113"/>
      <c r="Q348" s="113"/>
      <c r="R348" s="113"/>
      <c r="T348" s="113"/>
      <c r="U348" s="113"/>
      <c r="V348" s="113"/>
    </row>
    <row r="349" customFormat="false" ht="15" hidden="false" customHeight="true" outlineLevel="0" collapsed="false">
      <c r="H349" s="113"/>
      <c r="I349" s="113"/>
      <c r="J349" s="113"/>
      <c r="L349" s="113"/>
      <c r="M349" s="113"/>
      <c r="N349" s="113"/>
      <c r="P349" s="113"/>
      <c r="Q349" s="113"/>
      <c r="R349" s="113"/>
      <c r="T349" s="113"/>
      <c r="U349" s="113"/>
      <c r="V349" s="113"/>
    </row>
    <row r="350" customFormat="false" ht="15" hidden="false" customHeight="true" outlineLevel="0" collapsed="false">
      <c r="H350" s="113"/>
      <c r="I350" s="113"/>
      <c r="J350" s="113"/>
      <c r="L350" s="113"/>
      <c r="M350" s="113"/>
      <c r="N350" s="113"/>
      <c r="P350" s="113"/>
      <c r="Q350" s="113"/>
      <c r="R350" s="113"/>
      <c r="T350" s="113"/>
      <c r="U350" s="113"/>
      <c r="V350" s="113"/>
    </row>
    <row r="351" customFormat="false" ht="15" hidden="false" customHeight="true" outlineLevel="0" collapsed="false">
      <c r="H351" s="113"/>
      <c r="I351" s="113"/>
      <c r="J351" s="113"/>
      <c r="L351" s="113"/>
      <c r="M351" s="113"/>
      <c r="N351" s="113"/>
      <c r="P351" s="113"/>
      <c r="Q351" s="113"/>
      <c r="R351" s="113"/>
      <c r="T351" s="113"/>
      <c r="U351" s="113"/>
      <c r="V351" s="113"/>
    </row>
    <row r="352" customFormat="false" ht="15" hidden="false" customHeight="true" outlineLevel="0" collapsed="false">
      <c r="H352" s="113"/>
      <c r="I352" s="113"/>
      <c r="J352" s="113"/>
      <c r="L352" s="113"/>
      <c r="M352" s="113"/>
      <c r="N352" s="113"/>
      <c r="P352" s="113"/>
      <c r="Q352" s="113"/>
      <c r="R352" s="113"/>
      <c r="T352" s="113"/>
      <c r="U352" s="113"/>
      <c r="V352" s="113"/>
    </row>
    <row r="353" customFormat="false" ht="15" hidden="false" customHeight="true" outlineLevel="0" collapsed="false">
      <c r="H353" s="113"/>
      <c r="I353" s="113"/>
      <c r="J353" s="113"/>
      <c r="L353" s="113"/>
      <c r="M353" s="113"/>
      <c r="N353" s="113"/>
      <c r="P353" s="113"/>
      <c r="Q353" s="113"/>
      <c r="R353" s="113"/>
      <c r="T353" s="113"/>
      <c r="U353" s="113"/>
      <c r="V353" s="113"/>
    </row>
    <row r="354" customFormat="false" ht="15" hidden="false" customHeight="true" outlineLevel="0" collapsed="false">
      <c r="H354" s="113"/>
      <c r="I354" s="113"/>
      <c r="J354" s="113"/>
      <c r="L354" s="113"/>
      <c r="M354" s="113"/>
      <c r="N354" s="113"/>
      <c r="P354" s="113"/>
      <c r="Q354" s="113"/>
      <c r="R354" s="113"/>
      <c r="T354" s="113"/>
      <c r="U354" s="113"/>
      <c r="V354" s="113"/>
    </row>
    <row r="355" customFormat="false" ht="15" hidden="false" customHeight="true" outlineLevel="0" collapsed="false">
      <c r="H355" s="113"/>
      <c r="I355" s="113"/>
      <c r="J355" s="113"/>
      <c r="L355" s="113"/>
      <c r="M355" s="113"/>
      <c r="N355" s="113"/>
      <c r="P355" s="113"/>
      <c r="Q355" s="113"/>
      <c r="R355" s="113"/>
      <c r="T355" s="113"/>
      <c r="U355" s="113"/>
      <c r="V355" s="113"/>
    </row>
    <row r="356" customFormat="false" ht="15" hidden="false" customHeight="true" outlineLevel="0" collapsed="false">
      <c r="H356" s="113"/>
      <c r="I356" s="113"/>
      <c r="J356" s="113"/>
      <c r="L356" s="113"/>
      <c r="M356" s="113"/>
      <c r="N356" s="113"/>
      <c r="P356" s="113"/>
      <c r="Q356" s="113"/>
      <c r="R356" s="113"/>
      <c r="T356" s="113"/>
      <c r="U356" s="113"/>
      <c r="V356" s="113"/>
    </row>
    <row r="357" customFormat="false" ht="15" hidden="false" customHeight="true" outlineLevel="0" collapsed="false">
      <c r="H357" s="113"/>
      <c r="I357" s="113"/>
      <c r="J357" s="113"/>
      <c r="L357" s="113"/>
      <c r="M357" s="113"/>
      <c r="N357" s="113"/>
      <c r="P357" s="113"/>
      <c r="Q357" s="113"/>
      <c r="R357" s="113"/>
      <c r="T357" s="113"/>
      <c r="U357" s="113"/>
      <c r="V357" s="113"/>
    </row>
    <row r="358" customFormat="false" ht="15" hidden="false" customHeight="true" outlineLevel="0" collapsed="false">
      <c r="H358" s="113"/>
      <c r="I358" s="113"/>
      <c r="J358" s="113"/>
      <c r="L358" s="113"/>
      <c r="M358" s="113"/>
      <c r="N358" s="113"/>
      <c r="P358" s="113"/>
      <c r="Q358" s="113"/>
      <c r="R358" s="113"/>
      <c r="T358" s="113"/>
      <c r="U358" s="113"/>
      <c r="V358" s="113"/>
    </row>
    <row r="359" customFormat="false" ht="15" hidden="false" customHeight="true" outlineLevel="0" collapsed="false">
      <c r="H359" s="113"/>
      <c r="I359" s="113"/>
      <c r="J359" s="113"/>
      <c r="L359" s="113"/>
      <c r="M359" s="113"/>
      <c r="N359" s="113"/>
      <c r="P359" s="113"/>
      <c r="Q359" s="113"/>
      <c r="R359" s="113"/>
      <c r="T359" s="113"/>
      <c r="U359" s="113"/>
      <c r="V359" s="113"/>
    </row>
    <row r="360" customFormat="false" ht="15" hidden="false" customHeight="true" outlineLevel="0" collapsed="false">
      <c r="H360" s="113"/>
      <c r="I360" s="113"/>
      <c r="J360" s="113"/>
      <c r="L360" s="113"/>
      <c r="M360" s="113"/>
      <c r="N360" s="113"/>
      <c r="P360" s="113"/>
      <c r="Q360" s="113"/>
      <c r="R360" s="113"/>
      <c r="T360" s="113"/>
      <c r="U360" s="113"/>
      <c r="V360" s="113"/>
    </row>
    <row r="361" customFormat="false" ht="15" hidden="false" customHeight="true" outlineLevel="0" collapsed="false">
      <c r="H361" s="113"/>
      <c r="I361" s="113"/>
      <c r="J361" s="113"/>
      <c r="L361" s="113"/>
      <c r="M361" s="113"/>
      <c r="N361" s="113"/>
      <c r="P361" s="113"/>
      <c r="Q361" s="113"/>
      <c r="R361" s="113"/>
      <c r="T361" s="113"/>
      <c r="U361" s="113"/>
      <c r="V361" s="113"/>
    </row>
    <row r="362" customFormat="false" ht="15" hidden="false" customHeight="true" outlineLevel="0" collapsed="false">
      <c r="H362" s="113"/>
      <c r="I362" s="113"/>
      <c r="J362" s="113"/>
      <c r="L362" s="113"/>
      <c r="M362" s="113"/>
      <c r="N362" s="113"/>
      <c r="P362" s="113"/>
      <c r="Q362" s="113"/>
      <c r="R362" s="113"/>
      <c r="T362" s="113"/>
      <c r="U362" s="113"/>
      <c r="V362" s="113"/>
    </row>
    <row r="363" customFormat="false" ht="15" hidden="false" customHeight="true" outlineLevel="0" collapsed="false">
      <c r="H363" s="113"/>
      <c r="I363" s="113"/>
      <c r="J363" s="113"/>
      <c r="L363" s="113"/>
      <c r="M363" s="113"/>
      <c r="N363" s="113"/>
      <c r="P363" s="113"/>
      <c r="Q363" s="113"/>
      <c r="R363" s="113"/>
      <c r="T363" s="113"/>
      <c r="U363" s="113"/>
      <c r="V363" s="113"/>
    </row>
    <row r="364" customFormat="false" ht="15" hidden="false" customHeight="true" outlineLevel="0" collapsed="false">
      <c r="H364" s="113"/>
      <c r="I364" s="113"/>
      <c r="J364" s="113"/>
      <c r="L364" s="113"/>
      <c r="M364" s="113"/>
      <c r="N364" s="113"/>
      <c r="P364" s="113"/>
      <c r="Q364" s="113"/>
      <c r="R364" s="113"/>
      <c r="T364" s="113"/>
      <c r="U364" s="113"/>
      <c r="V364" s="113"/>
    </row>
    <row r="365" customFormat="false" ht="15" hidden="false" customHeight="true" outlineLevel="0" collapsed="false">
      <c r="H365" s="113"/>
      <c r="I365" s="113"/>
      <c r="J365" s="113"/>
      <c r="L365" s="113"/>
      <c r="M365" s="113"/>
      <c r="N365" s="113"/>
      <c r="P365" s="113"/>
      <c r="Q365" s="113"/>
      <c r="R365" s="113"/>
      <c r="T365" s="113"/>
      <c r="U365" s="113"/>
      <c r="V365" s="113"/>
    </row>
    <row r="366" customFormat="false" ht="15" hidden="false" customHeight="true" outlineLevel="0" collapsed="false">
      <c r="H366" s="113"/>
      <c r="I366" s="113"/>
      <c r="J366" s="113"/>
      <c r="L366" s="113"/>
      <c r="M366" s="113"/>
      <c r="N366" s="113"/>
      <c r="P366" s="113"/>
      <c r="Q366" s="113"/>
      <c r="R366" s="113"/>
      <c r="T366" s="113"/>
      <c r="U366" s="113"/>
      <c r="V366" s="113"/>
    </row>
    <row r="367" customFormat="false" ht="15" hidden="false" customHeight="true" outlineLevel="0" collapsed="false">
      <c r="H367" s="113"/>
      <c r="I367" s="113"/>
      <c r="J367" s="113"/>
      <c r="L367" s="113"/>
      <c r="M367" s="113"/>
      <c r="N367" s="113"/>
      <c r="P367" s="113"/>
      <c r="Q367" s="113"/>
      <c r="R367" s="113"/>
      <c r="T367" s="113"/>
      <c r="U367" s="113"/>
      <c r="V367" s="113"/>
    </row>
    <row r="368" customFormat="false" ht="15" hidden="false" customHeight="true" outlineLevel="0" collapsed="false">
      <c r="H368" s="113"/>
      <c r="I368" s="113"/>
      <c r="J368" s="113"/>
      <c r="L368" s="113"/>
      <c r="M368" s="113"/>
      <c r="N368" s="113"/>
      <c r="P368" s="113"/>
      <c r="Q368" s="113"/>
      <c r="R368" s="113"/>
      <c r="T368" s="113"/>
      <c r="U368" s="113"/>
      <c r="V368" s="113"/>
    </row>
    <row r="369" customFormat="false" ht="15" hidden="false" customHeight="true" outlineLevel="0" collapsed="false">
      <c r="H369" s="113"/>
      <c r="I369" s="113"/>
      <c r="J369" s="113"/>
      <c r="L369" s="113"/>
      <c r="M369" s="113"/>
      <c r="N369" s="113"/>
      <c r="P369" s="113"/>
      <c r="Q369" s="113"/>
      <c r="R369" s="113"/>
      <c r="T369" s="113"/>
      <c r="U369" s="113"/>
      <c r="V369" s="113"/>
    </row>
    <row r="370" customFormat="false" ht="15" hidden="false" customHeight="true" outlineLevel="0" collapsed="false">
      <c r="H370" s="113"/>
      <c r="I370" s="113"/>
      <c r="J370" s="113"/>
      <c r="L370" s="113"/>
      <c r="M370" s="113"/>
      <c r="N370" s="113"/>
      <c r="P370" s="113"/>
      <c r="Q370" s="113"/>
      <c r="R370" s="113"/>
      <c r="T370" s="113"/>
      <c r="U370" s="113"/>
      <c r="V370" s="113"/>
    </row>
    <row r="371" customFormat="false" ht="15" hidden="false" customHeight="true" outlineLevel="0" collapsed="false">
      <c r="H371" s="113"/>
      <c r="I371" s="113"/>
      <c r="J371" s="113"/>
      <c r="L371" s="113"/>
      <c r="M371" s="113"/>
      <c r="N371" s="113"/>
      <c r="P371" s="113"/>
      <c r="Q371" s="113"/>
      <c r="R371" s="113"/>
      <c r="T371" s="113"/>
      <c r="U371" s="113"/>
      <c r="V371" s="113"/>
    </row>
    <row r="372" customFormat="false" ht="15" hidden="false" customHeight="true" outlineLevel="0" collapsed="false">
      <c r="H372" s="113"/>
      <c r="I372" s="113"/>
      <c r="J372" s="113"/>
      <c r="L372" s="113"/>
      <c r="M372" s="113"/>
      <c r="N372" s="113"/>
      <c r="P372" s="113"/>
      <c r="Q372" s="113"/>
      <c r="R372" s="113"/>
      <c r="T372" s="113"/>
      <c r="U372" s="113"/>
      <c r="V372" s="113"/>
    </row>
    <row r="373" customFormat="false" ht="15" hidden="false" customHeight="true" outlineLevel="0" collapsed="false">
      <c r="H373" s="113"/>
      <c r="I373" s="113"/>
      <c r="J373" s="113"/>
      <c r="L373" s="113"/>
      <c r="M373" s="113"/>
      <c r="N373" s="113"/>
      <c r="P373" s="113"/>
      <c r="Q373" s="113"/>
      <c r="R373" s="113"/>
      <c r="T373" s="113"/>
      <c r="U373" s="113"/>
      <c r="V373" s="113"/>
    </row>
    <row r="374" customFormat="false" ht="15" hidden="false" customHeight="true" outlineLevel="0" collapsed="false">
      <c r="H374" s="113"/>
      <c r="I374" s="113"/>
      <c r="J374" s="113"/>
      <c r="L374" s="113"/>
      <c r="M374" s="113"/>
      <c r="N374" s="113"/>
      <c r="P374" s="113"/>
      <c r="Q374" s="113"/>
      <c r="R374" s="113"/>
      <c r="T374" s="113"/>
      <c r="U374" s="113"/>
      <c r="V374" s="113"/>
    </row>
    <row r="375" customFormat="false" ht="15" hidden="false" customHeight="true" outlineLevel="0" collapsed="false">
      <c r="H375" s="113"/>
      <c r="I375" s="113"/>
      <c r="J375" s="113"/>
      <c r="L375" s="113"/>
      <c r="M375" s="113"/>
      <c r="N375" s="113"/>
      <c r="P375" s="113"/>
      <c r="Q375" s="113"/>
      <c r="R375" s="113"/>
      <c r="T375" s="113"/>
      <c r="U375" s="113"/>
      <c r="V375" s="113"/>
    </row>
    <row r="376" customFormat="false" ht="15" hidden="false" customHeight="true" outlineLevel="0" collapsed="false">
      <c r="H376" s="113"/>
      <c r="I376" s="113"/>
      <c r="J376" s="113"/>
      <c r="L376" s="113"/>
      <c r="M376" s="113"/>
      <c r="N376" s="113"/>
      <c r="P376" s="113"/>
      <c r="Q376" s="113"/>
      <c r="R376" s="113"/>
      <c r="T376" s="113"/>
      <c r="U376" s="113"/>
      <c r="V376" s="113"/>
    </row>
    <row r="377" customFormat="false" ht="15" hidden="false" customHeight="true" outlineLevel="0" collapsed="false">
      <c r="H377" s="113"/>
      <c r="I377" s="113"/>
      <c r="J377" s="113"/>
      <c r="L377" s="113"/>
      <c r="M377" s="113"/>
      <c r="N377" s="113"/>
      <c r="P377" s="113"/>
      <c r="Q377" s="113"/>
      <c r="R377" s="113"/>
      <c r="T377" s="113"/>
      <c r="U377" s="113"/>
      <c r="V377" s="113"/>
    </row>
    <row r="378" customFormat="false" ht="15" hidden="false" customHeight="true" outlineLevel="0" collapsed="false">
      <c r="H378" s="113"/>
      <c r="I378" s="113"/>
      <c r="J378" s="113"/>
      <c r="L378" s="113"/>
      <c r="M378" s="113"/>
      <c r="N378" s="113"/>
      <c r="P378" s="113"/>
      <c r="Q378" s="113"/>
      <c r="R378" s="113"/>
      <c r="T378" s="113"/>
      <c r="U378" s="113"/>
      <c r="V378" s="113"/>
    </row>
    <row r="379" customFormat="false" ht="15" hidden="false" customHeight="true" outlineLevel="0" collapsed="false">
      <c r="H379" s="113"/>
      <c r="I379" s="113"/>
      <c r="J379" s="113"/>
      <c r="L379" s="113"/>
      <c r="M379" s="113"/>
      <c r="N379" s="113"/>
      <c r="P379" s="113"/>
      <c r="Q379" s="113"/>
      <c r="R379" s="113"/>
      <c r="T379" s="113"/>
      <c r="U379" s="113"/>
      <c r="V379" s="113"/>
    </row>
    <row r="380" customFormat="false" ht="15" hidden="false" customHeight="true" outlineLevel="0" collapsed="false">
      <c r="H380" s="113"/>
      <c r="I380" s="113"/>
      <c r="J380" s="113"/>
      <c r="L380" s="113"/>
      <c r="M380" s="113"/>
      <c r="N380" s="113"/>
      <c r="P380" s="113"/>
      <c r="Q380" s="113"/>
      <c r="R380" s="113"/>
      <c r="T380" s="113"/>
      <c r="U380" s="113"/>
      <c r="V380" s="113"/>
    </row>
    <row r="381" customFormat="false" ht="15" hidden="false" customHeight="true" outlineLevel="0" collapsed="false">
      <c r="H381" s="113"/>
      <c r="I381" s="113"/>
      <c r="J381" s="113"/>
      <c r="L381" s="113"/>
      <c r="M381" s="113"/>
      <c r="N381" s="113"/>
      <c r="P381" s="113"/>
      <c r="Q381" s="113"/>
      <c r="R381" s="113"/>
      <c r="T381" s="113"/>
      <c r="U381" s="113"/>
      <c r="V381" s="113"/>
    </row>
    <row r="382" customFormat="false" ht="15" hidden="false" customHeight="true" outlineLevel="0" collapsed="false">
      <c r="H382" s="113"/>
      <c r="I382" s="113"/>
      <c r="J382" s="113"/>
      <c r="L382" s="113"/>
      <c r="M382" s="113"/>
      <c r="N382" s="113"/>
      <c r="P382" s="113"/>
      <c r="Q382" s="113"/>
      <c r="R382" s="113"/>
      <c r="T382" s="113"/>
      <c r="U382" s="113"/>
      <c r="V382" s="113"/>
    </row>
    <row r="383" customFormat="false" ht="15" hidden="false" customHeight="true" outlineLevel="0" collapsed="false">
      <c r="H383" s="113"/>
      <c r="I383" s="113"/>
      <c r="J383" s="113"/>
      <c r="L383" s="113"/>
      <c r="M383" s="113"/>
      <c r="N383" s="113"/>
      <c r="P383" s="113"/>
      <c r="Q383" s="113"/>
      <c r="R383" s="113"/>
      <c r="T383" s="113"/>
      <c r="U383" s="113"/>
      <c r="V383" s="113"/>
    </row>
    <row r="384" customFormat="false" ht="15" hidden="false" customHeight="true" outlineLevel="0" collapsed="false">
      <c r="H384" s="113"/>
      <c r="I384" s="113"/>
      <c r="J384" s="113"/>
      <c r="L384" s="113"/>
      <c r="M384" s="113"/>
      <c r="N384" s="113"/>
      <c r="P384" s="113"/>
      <c r="Q384" s="113"/>
      <c r="R384" s="113"/>
      <c r="T384" s="113"/>
      <c r="U384" s="113"/>
      <c r="V384" s="113"/>
    </row>
    <row r="385" customFormat="false" ht="15" hidden="false" customHeight="true" outlineLevel="0" collapsed="false">
      <c r="H385" s="113"/>
      <c r="I385" s="113"/>
      <c r="J385" s="113"/>
      <c r="L385" s="113"/>
      <c r="M385" s="113"/>
      <c r="N385" s="113"/>
      <c r="P385" s="113"/>
      <c r="Q385" s="113"/>
      <c r="R385" s="113"/>
      <c r="T385" s="113"/>
      <c r="U385" s="113"/>
      <c r="V385" s="113"/>
    </row>
    <row r="386" customFormat="false" ht="15" hidden="false" customHeight="true" outlineLevel="0" collapsed="false">
      <c r="H386" s="113"/>
      <c r="I386" s="113"/>
      <c r="J386" s="113"/>
      <c r="L386" s="113"/>
      <c r="M386" s="113"/>
      <c r="N386" s="113"/>
      <c r="P386" s="113"/>
      <c r="Q386" s="113"/>
      <c r="R386" s="113"/>
      <c r="T386" s="113"/>
      <c r="U386" s="113"/>
      <c r="V386" s="113"/>
    </row>
    <row r="387" customFormat="false" ht="15" hidden="false" customHeight="true" outlineLevel="0" collapsed="false">
      <c r="H387" s="113"/>
      <c r="I387" s="113"/>
      <c r="J387" s="113"/>
      <c r="L387" s="113"/>
      <c r="M387" s="113"/>
      <c r="N387" s="113"/>
      <c r="P387" s="113"/>
      <c r="Q387" s="113"/>
      <c r="R387" s="113"/>
      <c r="T387" s="113"/>
      <c r="U387" s="113"/>
      <c r="V387" s="113"/>
    </row>
    <row r="388" customFormat="false" ht="15" hidden="false" customHeight="true" outlineLevel="0" collapsed="false">
      <c r="H388" s="113"/>
      <c r="I388" s="113"/>
      <c r="J388" s="113"/>
      <c r="L388" s="113"/>
      <c r="M388" s="113"/>
      <c r="N388" s="113"/>
      <c r="P388" s="113"/>
      <c r="Q388" s="113"/>
      <c r="R388" s="113"/>
      <c r="T388" s="113"/>
      <c r="U388" s="113"/>
      <c r="V388" s="113"/>
    </row>
    <row r="389" customFormat="false" ht="15" hidden="false" customHeight="true" outlineLevel="0" collapsed="false">
      <c r="H389" s="113"/>
      <c r="I389" s="113"/>
      <c r="J389" s="113"/>
      <c r="L389" s="113"/>
      <c r="M389" s="113"/>
      <c r="N389" s="113"/>
      <c r="P389" s="113"/>
      <c r="Q389" s="113"/>
      <c r="R389" s="113"/>
      <c r="T389" s="113"/>
      <c r="U389" s="113"/>
      <c r="V389" s="113"/>
    </row>
    <row r="390" customFormat="false" ht="15" hidden="false" customHeight="true" outlineLevel="0" collapsed="false">
      <c r="H390" s="113"/>
      <c r="I390" s="113"/>
      <c r="J390" s="113"/>
      <c r="L390" s="113"/>
      <c r="M390" s="113"/>
      <c r="N390" s="113"/>
      <c r="P390" s="113"/>
      <c r="Q390" s="113"/>
      <c r="R390" s="113"/>
      <c r="T390" s="113"/>
      <c r="U390" s="113"/>
      <c r="V390" s="113"/>
    </row>
    <row r="391" customFormat="false" ht="15" hidden="false" customHeight="true" outlineLevel="0" collapsed="false">
      <c r="H391" s="113"/>
      <c r="I391" s="113"/>
      <c r="J391" s="113"/>
      <c r="L391" s="113"/>
      <c r="M391" s="113"/>
      <c r="N391" s="113"/>
      <c r="P391" s="113"/>
      <c r="Q391" s="113"/>
      <c r="R391" s="113"/>
      <c r="T391" s="113"/>
      <c r="U391" s="113"/>
      <c r="V391" s="113"/>
    </row>
    <row r="392" customFormat="false" ht="15" hidden="false" customHeight="true" outlineLevel="0" collapsed="false">
      <c r="H392" s="113"/>
      <c r="I392" s="113"/>
      <c r="J392" s="113"/>
      <c r="L392" s="113"/>
      <c r="M392" s="113"/>
      <c r="N392" s="113"/>
      <c r="P392" s="113"/>
      <c r="Q392" s="113"/>
      <c r="R392" s="113"/>
      <c r="T392" s="113"/>
      <c r="U392" s="113"/>
      <c r="V392" s="113"/>
    </row>
    <row r="393" customFormat="false" ht="15" hidden="false" customHeight="true" outlineLevel="0" collapsed="false">
      <c r="H393" s="113"/>
      <c r="I393" s="113"/>
      <c r="J393" s="113"/>
      <c r="L393" s="113"/>
      <c r="M393" s="113"/>
      <c r="N393" s="113"/>
      <c r="P393" s="113"/>
      <c r="Q393" s="113"/>
      <c r="R393" s="113"/>
      <c r="T393" s="113"/>
      <c r="U393" s="113"/>
      <c r="V393" s="113"/>
    </row>
    <row r="394" customFormat="false" ht="15" hidden="false" customHeight="true" outlineLevel="0" collapsed="false">
      <c r="H394" s="113"/>
      <c r="I394" s="113"/>
      <c r="J394" s="113"/>
      <c r="L394" s="113"/>
      <c r="M394" s="113"/>
      <c r="N394" s="113"/>
      <c r="P394" s="113"/>
      <c r="Q394" s="113"/>
      <c r="R394" s="113"/>
      <c r="T394" s="113"/>
      <c r="U394" s="113"/>
      <c r="V394" s="113"/>
    </row>
    <row r="395" customFormat="false" ht="15" hidden="false" customHeight="true" outlineLevel="0" collapsed="false">
      <c r="H395" s="113"/>
      <c r="I395" s="113"/>
      <c r="J395" s="113"/>
      <c r="L395" s="113"/>
      <c r="M395" s="113"/>
      <c r="N395" s="113"/>
      <c r="P395" s="113"/>
      <c r="Q395" s="113"/>
      <c r="R395" s="113"/>
      <c r="T395" s="113"/>
      <c r="U395" s="113"/>
      <c r="V395" s="113"/>
    </row>
    <row r="396" customFormat="false" ht="15" hidden="false" customHeight="true" outlineLevel="0" collapsed="false">
      <c r="H396" s="113"/>
      <c r="I396" s="113"/>
      <c r="J396" s="113"/>
      <c r="L396" s="113"/>
      <c r="M396" s="113"/>
      <c r="N396" s="113"/>
      <c r="P396" s="113"/>
      <c r="Q396" s="113"/>
      <c r="R396" s="113"/>
      <c r="T396" s="113"/>
      <c r="U396" s="113"/>
      <c r="V396" s="113"/>
    </row>
    <row r="397" customFormat="false" ht="15" hidden="false" customHeight="true" outlineLevel="0" collapsed="false">
      <c r="H397" s="113"/>
      <c r="I397" s="113"/>
      <c r="J397" s="113"/>
      <c r="L397" s="113"/>
      <c r="M397" s="113"/>
      <c r="N397" s="113"/>
      <c r="P397" s="113"/>
      <c r="Q397" s="113"/>
      <c r="R397" s="113"/>
      <c r="T397" s="113"/>
      <c r="U397" s="113"/>
      <c r="V397" s="113"/>
    </row>
    <row r="398" customFormat="false" ht="15" hidden="false" customHeight="true" outlineLevel="0" collapsed="false">
      <c r="H398" s="113"/>
      <c r="I398" s="113"/>
      <c r="J398" s="113"/>
      <c r="L398" s="113"/>
      <c r="M398" s="113"/>
      <c r="N398" s="113"/>
      <c r="P398" s="113"/>
      <c r="Q398" s="113"/>
      <c r="R398" s="113"/>
      <c r="T398" s="113"/>
      <c r="U398" s="113"/>
      <c r="V398" s="113"/>
    </row>
    <row r="399" customFormat="false" ht="15" hidden="false" customHeight="true" outlineLevel="0" collapsed="false">
      <c r="H399" s="113"/>
      <c r="I399" s="113"/>
      <c r="J399" s="113"/>
      <c r="L399" s="113"/>
      <c r="M399" s="113"/>
      <c r="N399" s="113"/>
      <c r="P399" s="113"/>
      <c r="Q399" s="113"/>
      <c r="R399" s="113"/>
      <c r="T399" s="113"/>
      <c r="U399" s="113"/>
      <c r="V399" s="113"/>
    </row>
    <row r="400" customFormat="false" ht="15" hidden="false" customHeight="true" outlineLevel="0" collapsed="false">
      <c r="H400" s="113"/>
      <c r="I400" s="113"/>
      <c r="J400" s="113"/>
      <c r="L400" s="113"/>
      <c r="M400" s="113"/>
      <c r="N400" s="113"/>
      <c r="P400" s="113"/>
      <c r="Q400" s="113"/>
      <c r="R400" s="113"/>
      <c r="T400" s="113"/>
      <c r="U400" s="113"/>
      <c r="V400" s="113"/>
    </row>
    <row r="401" customFormat="false" ht="15" hidden="false" customHeight="true" outlineLevel="0" collapsed="false">
      <c r="H401" s="113"/>
      <c r="I401" s="113"/>
      <c r="J401" s="113"/>
      <c r="L401" s="113"/>
      <c r="M401" s="113"/>
      <c r="N401" s="113"/>
      <c r="P401" s="113"/>
      <c r="Q401" s="113"/>
      <c r="R401" s="113"/>
      <c r="T401" s="113"/>
      <c r="U401" s="113"/>
      <c r="V401" s="113"/>
    </row>
    <row r="402" customFormat="false" ht="15" hidden="false" customHeight="true" outlineLevel="0" collapsed="false">
      <c r="H402" s="113"/>
      <c r="I402" s="113"/>
      <c r="J402" s="113"/>
      <c r="L402" s="113"/>
      <c r="M402" s="113"/>
      <c r="N402" s="113"/>
      <c r="P402" s="113"/>
      <c r="Q402" s="113"/>
      <c r="R402" s="113"/>
      <c r="T402" s="113"/>
      <c r="U402" s="113"/>
      <c r="V402" s="113"/>
    </row>
    <row r="403" customFormat="false" ht="15" hidden="false" customHeight="true" outlineLevel="0" collapsed="false">
      <c r="H403" s="113"/>
      <c r="I403" s="113"/>
      <c r="J403" s="113"/>
      <c r="L403" s="113"/>
      <c r="M403" s="113"/>
      <c r="N403" s="113"/>
      <c r="P403" s="113"/>
      <c r="Q403" s="113"/>
      <c r="R403" s="113"/>
      <c r="T403" s="113"/>
      <c r="U403" s="113"/>
      <c r="V403" s="113"/>
    </row>
    <row r="404" customFormat="false" ht="15" hidden="false" customHeight="true" outlineLevel="0" collapsed="false">
      <c r="H404" s="113"/>
      <c r="I404" s="113"/>
      <c r="J404" s="113"/>
      <c r="L404" s="113"/>
      <c r="M404" s="113"/>
      <c r="N404" s="113"/>
      <c r="P404" s="113"/>
      <c r="Q404" s="113"/>
      <c r="R404" s="113"/>
      <c r="T404" s="113"/>
      <c r="U404" s="113"/>
      <c r="V404" s="113"/>
    </row>
    <row r="405" customFormat="false" ht="15" hidden="false" customHeight="true" outlineLevel="0" collapsed="false">
      <c r="H405" s="113"/>
      <c r="I405" s="113"/>
      <c r="J405" s="113"/>
      <c r="L405" s="113"/>
      <c r="M405" s="113"/>
      <c r="N405" s="113"/>
      <c r="P405" s="113"/>
      <c r="Q405" s="113"/>
      <c r="R405" s="113"/>
      <c r="T405" s="113"/>
      <c r="U405" s="113"/>
      <c r="V405" s="113"/>
    </row>
    <row r="406" customFormat="false" ht="15" hidden="false" customHeight="true" outlineLevel="0" collapsed="false">
      <c r="H406" s="113"/>
      <c r="I406" s="113"/>
      <c r="J406" s="113"/>
      <c r="L406" s="113"/>
      <c r="M406" s="113"/>
      <c r="N406" s="113"/>
      <c r="P406" s="113"/>
      <c r="Q406" s="113"/>
      <c r="R406" s="113"/>
      <c r="T406" s="113"/>
      <c r="U406" s="113"/>
      <c r="V406" s="113"/>
    </row>
    <row r="407" customFormat="false" ht="15" hidden="false" customHeight="true" outlineLevel="0" collapsed="false">
      <c r="H407" s="113"/>
      <c r="I407" s="113"/>
      <c r="J407" s="113"/>
      <c r="L407" s="113"/>
      <c r="M407" s="113"/>
      <c r="N407" s="113"/>
      <c r="P407" s="113"/>
      <c r="Q407" s="113"/>
      <c r="R407" s="113"/>
      <c r="T407" s="113"/>
      <c r="U407" s="113"/>
      <c r="V407" s="113"/>
    </row>
    <row r="408" customFormat="false" ht="15" hidden="false" customHeight="true" outlineLevel="0" collapsed="false">
      <c r="H408" s="113"/>
      <c r="I408" s="113"/>
      <c r="J408" s="113"/>
      <c r="L408" s="113"/>
      <c r="M408" s="113"/>
      <c r="N408" s="113"/>
      <c r="P408" s="113"/>
      <c r="Q408" s="113"/>
      <c r="R408" s="113"/>
      <c r="T408" s="113"/>
      <c r="U408" s="113"/>
      <c r="V408" s="113"/>
    </row>
    <row r="409" customFormat="false" ht="15" hidden="false" customHeight="true" outlineLevel="0" collapsed="false">
      <c r="H409" s="113"/>
      <c r="I409" s="113"/>
      <c r="J409" s="113"/>
      <c r="L409" s="113"/>
      <c r="M409" s="113"/>
      <c r="N409" s="113"/>
      <c r="P409" s="113"/>
      <c r="Q409" s="113"/>
      <c r="R409" s="113"/>
      <c r="T409" s="113"/>
      <c r="U409" s="113"/>
      <c r="V409" s="113"/>
    </row>
    <row r="410" customFormat="false" ht="15" hidden="false" customHeight="true" outlineLevel="0" collapsed="false">
      <c r="H410" s="113"/>
      <c r="I410" s="113"/>
      <c r="J410" s="113"/>
      <c r="L410" s="113"/>
      <c r="M410" s="113"/>
      <c r="N410" s="113"/>
      <c r="P410" s="113"/>
      <c r="Q410" s="113"/>
      <c r="R410" s="113"/>
      <c r="T410" s="113"/>
      <c r="U410" s="113"/>
      <c r="V410" s="113"/>
    </row>
    <row r="411" customFormat="false" ht="15" hidden="false" customHeight="true" outlineLevel="0" collapsed="false">
      <c r="H411" s="113"/>
      <c r="I411" s="113"/>
      <c r="J411" s="113"/>
      <c r="L411" s="113"/>
      <c r="M411" s="113"/>
      <c r="N411" s="113"/>
      <c r="P411" s="113"/>
      <c r="Q411" s="113"/>
      <c r="R411" s="113"/>
      <c r="T411" s="113"/>
      <c r="U411" s="113"/>
      <c r="V411" s="113"/>
    </row>
    <row r="412" customFormat="false" ht="15" hidden="false" customHeight="true" outlineLevel="0" collapsed="false">
      <c r="H412" s="113"/>
      <c r="I412" s="113"/>
      <c r="J412" s="113"/>
      <c r="L412" s="113"/>
      <c r="M412" s="113"/>
      <c r="N412" s="113"/>
      <c r="P412" s="113"/>
      <c r="Q412" s="113"/>
      <c r="R412" s="113"/>
      <c r="T412" s="113"/>
      <c r="U412" s="113"/>
      <c r="V412" s="113"/>
    </row>
    <row r="413" customFormat="false" ht="15" hidden="false" customHeight="true" outlineLevel="0" collapsed="false">
      <c r="H413" s="113"/>
      <c r="I413" s="113"/>
      <c r="J413" s="113"/>
      <c r="L413" s="113"/>
      <c r="M413" s="113"/>
      <c r="N413" s="113"/>
      <c r="P413" s="113"/>
      <c r="Q413" s="113"/>
      <c r="R413" s="113"/>
      <c r="T413" s="113"/>
      <c r="U413" s="113"/>
      <c r="V413" s="113"/>
    </row>
    <row r="414" customFormat="false" ht="15" hidden="false" customHeight="true" outlineLevel="0" collapsed="false">
      <c r="H414" s="113"/>
      <c r="I414" s="113"/>
      <c r="J414" s="113"/>
      <c r="L414" s="113"/>
      <c r="M414" s="113"/>
      <c r="N414" s="113"/>
      <c r="P414" s="113"/>
      <c r="Q414" s="113"/>
      <c r="R414" s="113"/>
      <c r="T414" s="113"/>
      <c r="U414" s="113"/>
      <c r="V414" s="113"/>
    </row>
    <row r="415" customFormat="false" ht="15" hidden="false" customHeight="true" outlineLevel="0" collapsed="false">
      <c r="H415" s="113"/>
      <c r="I415" s="113"/>
      <c r="J415" s="113"/>
      <c r="L415" s="113"/>
      <c r="M415" s="113"/>
      <c r="N415" s="113"/>
      <c r="P415" s="113"/>
      <c r="Q415" s="113"/>
      <c r="R415" s="113"/>
      <c r="T415" s="113"/>
      <c r="U415" s="113"/>
      <c r="V415" s="113"/>
    </row>
    <row r="416" customFormat="false" ht="15" hidden="false" customHeight="true" outlineLevel="0" collapsed="false">
      <c r="H416" s="113"/>
      <c r="I416" s="113"/>
      <c r="J416" s="113"/>
      <c r="L416" s="113"/>
      <c r="M416" s="113"/>
      <c r="N416" s="113"/>
      <c r="P416" s="113"/>
      <c r="Q416" s="113"/>
      <c r="R416" s="113"/>
      <c r="T416" s="113"/>
      <c r="U416" s="113"/>
      <c r="V416" s="113"/>
    </row>
    <row r="417" customFormat="false" ht="15" hidden="false" customHeight="true" outlineLevel="0" collapsed="false">
      <c r="H417" s="113"/>
      <c r="I417" s="113"/>
      <c r="J417" s="113"/>
      <c r="L417" s="113"/>
      <c r="M417" s="113"/>
      <c r="N417" s="113"/>
      <c r="P417" s="113"/>
      <c r="Q417" s="113"/>
      <c r="R417" s="113"/>
      <c r="T417" s="113"/>
      <c r="U417" s="113"/>
      <c r="V417" s="113"/>
    </row>
    <row r="418" customFormat="false" ht="15" hidden="false" customHeight="true" outlineLevel="0" collapsed="false">
      <c r="H418" s="113"/>
      <c r="I418" s="113"/>
      <c r="J418" s="113"/>
      <c r="L418" s="113"/>
      <c r="M418" s="113"/>
      <c r="N418" s="113"/>
      <c r="P418" s="113"/>
      <c r="Q418" s="113"/>
      <c r="R418" s="113"/>
      <c r="T418" s="113"/>
      <c r="U418" s="113"/>
      <c r="V418" s="113"/>
    </row>
    <row r="419" customFormat="false" ht="15" hidden="false" customHeight="true" outlineLevel="0" collapsed="false">
      <c r="H419" s="113"/>
      <c r="I419" s="113"/>
      <c r="J419" s="113"/>
      <c r="L419" s="113"/>
      <c r="M419" s="113"/>
      <c r="N419" s="113"/>
      <c r="P419" s="113"/>
      <c r="Q419" s="113"/>
      <c r="R419" s="113"/>
      <c r="T419" s="113"/>
      <c r="U419" s="113"/>
      <c r="V419" s="113"/>
    </row>
    <row r="420" customFormat="false" ht="15" hidden="false" customHeight="true" outlineLevel="0" collapsed="false">
      <c r="H420" s="113"/>
      <c r="I420" s="113"/>
      <c r="J420" s="113"/>
      <c r="L420" s="113"/>
      <c r="M420" s="113"/>
      <c r="N420" s="113"/>
      <c r="P420" s="113"/>
      <c r="Q420" s="113"/>
      <c r="R420" s="113"/>
      <c r="T420" s="113"/>
      <c r="U420" s="113"/>
      <c r="V420" s="113"/>
    </row>
    <row r="421" customFormat="false" ht="15" hidden="false" customHeight="true" outlineLevel="0" collapsed="false">
      <c r="H421" s="113"/>
      <c r="I421" s="113"/>
      <c r="J421" s="113"/>
      <c r="L421" s="113"/>
      <c r="M421" s="113"/>
      <c r="N421" s="113"/>
      <c r="P421" s="113"/>
      <c r="Q421" s="113"/>
      <c r="R421" s="113"/>
      <c r="T421" s="113"/>
      <c r="U421" s="113"/>
      <c r="V421" s="113"/>
    </row>
    <row r="422" customFormat="false" ht="15" hidden="false" customHeight="true" outlineLevel="0" collapsed="false">
      <c r="H422" s="113"/>
      <c r="I422" s="113"/>
      <c r="J422" s="113"/>
      <c r="L422" s="113"/>
      <c r="M422" s="113"/>
      <c r="N422" s="113"/>
      <c r="P422" s="113"/>
      <c r="Q422" s="113"/>
      <c r="R422" s="113"/>
      <c r="T422" s="113"/>
      <c r="U422" s="113"/>
      <c r="V422" s="113"/>
    </row>
    <row r="423" customFormat="false" ht="15" hidden="false" customHeight="true" outlineLevel="0" collapsed="false">
      <c r="H423" s="113"/>
      <c r="I423" s="113"/>
      <c r="J423" s="113"/>
      <c r="L423" s="113"/>
      <c r="M423" s="113"/>
      <c r="N423" s="113"/>
      <c r="P423" s="113"/>
      <c r="Q423" s="113"/>
      <c r="R423" s="113"/>
      <c r="T423" s="113"/>
      <c r="U423" s="113"/>
      <c r="V423" s="113"/>
    </row>
    <row r="424" customFormat="false" ht="15" hidden="false" customHeight="true" outlineLevel="0" collapsed="false">
      <c r="H424" s="113"/>
      <c r="I424" s="113"/>
      <c r="J424" s="113"/>
      <c r="L424" s="113"/>
      <c r="M424" s="113"/>
      <c r="N424" s="113"/>
      <c r="P424" s="113"/>
      <c r="Q424" s="113"/>
      <c r="R424" s="113"/>
      <c r="T424" s="113"/>
      <c r="U424" s="113"/>
      <c r="V424" s="113"/>
    </row>
    <row r="425" customFormat="false" ht="15" hidden="false" customHeight="true" outlineLevel="0" collapsed="false">
      <c r="H425" s="113"/>
      <c r="I425" s="113"/>
      <c r="J425" s="113"/>
      <c r="L425" s="113"/>
      <c r="M425" s="113"/>
      <c r="N425" s="113"/>
      <c r="P425" s="113"/>
      <c r="Q425" s="113"/>
      <c r="R425" s="113"/>
      <c r="T425" s="113"/>
      <c r="U425" s="113"/>
      <c r="V425" s="113"/>
    </row>
    <row r="426" customFormat="false" ht="15" hidden="false" customHeight="true" outlineLevel="0" collapsed="false">
      <c r="H426" s="113"/>
      <c r="I426" s="113"/>
      <c r="J426" s="113"/>
      <c r="L426" s="113"/>
      <c r="M426" s="113"/>
      <c r="N426" s="113"/>
      <c r="P426" s="113"/>
      <c r="Q426" s="113"/>
      <c r="R426" s="113"/>
      <c r="T426" s="113"/>
      <c r="U426" s="113"/>
      <c r="V426" s="113"/>
    </row>
    <row r="427" customFormat="false" ht="15" hidden="false" customHeight="true" outlineLevel="0" collapsed="false">
      <c r="H427" s="113"/>
      <c r="I427" s="113"/>
      <c r="J427" s="113"/>
      <c r="L427" s="113"/>
      <c r="M427" s="113"/>
      <c r="N427" s="113"/>
      <c r="P427" s="113"/>
      <c r="Q427" s="113"/>
      <c r="R427" s="113"/>
      <c r="T427" s="113"/>
      <c r="U427" s="113"/>
      <c r="V427" s="113"/>
    </row>
    <row r="428" customFormat="false" ht="15" hidden="false" customHeight="true" outlineLevel="0" collapsed="false">
      <c r="H428" s="113"/>
      <c r="I428" s="113"/>
      <c r="J428" s="113"/>
      <c r="L428" s="113"/>
      <c r="M428" s="113"/>
      <c r="N428" s="113"/>
      <c r="P428" s="113"/>
      <c r="Q428" s="113"/>
      <c r="R428" s="113"/>
      <c r="T428" s="113"/>
      <c r="U428" s="113"/>
      <c r="V428" s="113"/>
    </row>
    <row r="429" customFormat="false" ht="15" hidden="false" customHeight="true" outlineLevel="0" collapsed="false">
      <c r="H429" s="113"/>
      <c r="I429" s="113"/>
      <c r="J429" s="113"/>
      <c r="L429" s="113"/>
      <c r="M429" s="113"/>
      <c r="N429" s="113"/>
      <c r="P429" s="113"/>
      <c r="Q429" s="113"/>
      <c r="R429" s="113"/>
      <c r="T429" s="113"/>
      <c r="U429" s="113"/>
      <c r="V429" s="113"/>
    </row>
    <row r="430" customFormat="false" ht="15" hidden="false" customHeight="true" outlineLevel="0" collapsed="false">
      <c r="H430" s="113"/>
      <c r="I430" s="113"/>
      <c r="J430" s="113"/>
      <c r="L430" s="113"/>
      <c r="M430" s="113"/>
      <c r="N430" s="113"/>
      <c r="P430" s="113"/>
      <c r="Q430" s="113"/>
      <c r="R430" s="113"/>
      <c r="T430" s="113"/>
      <c r="U430" s="113"/>
      <c r="V430" s="113"/>
    </row>
    <row r="431" customFormat="false" ht="15" hidden="false" customHeight="true" outlineLevel="0" collapsed="false">
      <c r="H431" s="113"/>
      <c r="I431" s="113"/>
      <c r="J431" s="113"/>
      <c r="L431" s="113"/>
      <c r="M431" s="113"/>
      <c r="N431" s="113"/>
      <c r="P431" s="113"/>
      <c r="Q431" s="113"/>
      <c r="R431" s="113"/>
      <c r="T431" s="113"/>
      <c r="U431" s="113"/>
      <c r="V431" s="113"/>
    </row>
    <row r="432" customFormat="false" ht="15" hidden="false" customHeight="true" outlineLevel="0" collapsed="false">
      <c r="H432" s="113"/>
      <c r="I432" s="113"/>
      <c r="J432" s="113"/>
      <c r="L432" s="113"/>
      <c r="M432" s="113"/>
      <c r="N432" s="113"/>
      <c r="P432" s="113"/>
      <c r="Q432" s="113"/>
      <c r="R432" s="113"/>
      <c r="T432" s="113"/>
      <c r="U432" s="113"/>
      <c r="V432" s="113"/>
    </row>
    <row r="433" customFormat="false" ht="15" hidden="false" customHeight="true" outlineLevel="0" collapsed="false">
      <c r="H433" s="113"/>
      <c r="I433" s="113"/>
      <c r="J433" s="113"/>
      <c r="L433" s="113"/>
      <c r="M433" s="113"/>
      <c r="N433" s="113"/>
      <c r="P433" s="113"/>
      <c r="Q433" s="113"/>
      <c r="R433" s="113"/>
      <c r="T433" s="113"/>
      <c r="U433" s="113"/>
      <c r="V433" s="113"/>
    </row>
    <row r="434" customFormat="false" ht="15" hidden="false" customHeight="true" outlineLevel="0" collapsed="false">
      <c r="H434" s="113"/>
      <c r="I434" s="113"/>
      <c r="J434" s="113"/>
      <c r="L434" s="113"/>
      <c r="M434" s="113"/>
      <c r="N434" s="113"/>
      <c r="P434" s="113"/>
      <c r="Q434" s="113"/>
      <c r="R434" s="113"/>
      <c r="T434" s="113"/>
      <c r="U434" s="113"/>
      <c r="V434" s="113"/>
    </row>
    <row r="435" customFormat="false" ht="15" hidden="false" customHeight="true" outlineLevel="0" collapsed="false">
      <c r="H435" s="113"/>
      <c r="I435" s="113"/>
      <c r="J435" s="113"/>
      <c r="L435" s="113"/>
      <c r="M435" s="113"/>
      <c r="N435" s="113"/>
      <c r="P435" s="113"/>
      <c r="Q435" s="113"/>
      <c r="R435" s="113"/>
      <c r="T435" s="113"/>
      <c r="U435" s="113"/>
      <c r="V435" s="113"/>
    </row>
    <row r="436" customFormat="false" ht="15" hidden="false" customHeight="true" outlineLevel="0" collapsed="false">
      <c r="H436" s="113"/>
      <c r="I436" s="113"/>
      <c r="J436" s="113"/>
      <c r="L436" s="113"/>
      <c r="M436" s="113"/>
      <c r="N436" s="113"/>
      <c r="P436" s="113"/>
      <c r="Q436" s="113"/>
      <c r="R436" s="113"/>
      <c r="T436" s="113"/>
      <c r="U436" s="113"/>
      <c r="V436" s="113"/>
    </row>
    <row r="437" customFormat="false" ht="15" hidden="false" customHeight="true" outlineLevel="0" collapsed="false">
      <c r="H437" s="113"/>
      <c r="I437" s="113"/>
      <c r="J437" s="113"/>
      <c r="L437" s="113"/>
      <c r="M437" s="113"/>
      <c r="N437" s="113"/>
      <c r="P437" s="113"/>
      <c r="Q437" s="113"/>
      <c r="R437" s="113"/>
      <c r="T437" s="113"/>
      <c r="U437" s="113"/>
      <c r="V437" s="113"/>
    </row>
    <row r="438" customFormat="false" ht="15" hidden="false" customHeight="true" outlineLevel="0" collapsed="false">
      <c r="H438" s="113"/>
      <c r="I438" s="113"/>
      <c r="J438" s="113"/>
      <c r="L438" s="113"/>
      <c r="M438" s="113"/>
      <c r="N438" s="113"/>
      <c r="P438" s="113"/>
      <c r="Q438" s="113"/>
      <c r="R438" s="113"/>
      <c r="T438" s="113"/>
      <c r="U438" s="113"/>
      <c r="V438" s="113"/>
    </row>
    <row r="439" customFormat="false" ht="15" hidden="false" customHeight="true" outlineLevel="0" collapsed="false">
      <c r="H439" s="113"/>
      <c r="I439" s="113"/>
      <c r="J439" s="113"/>
      <c r="L439" s="113"/>
      <c r="M439" s="113"/>
      <c r="N439" s="113"/>
      <c r="P439" s="113"/>
      <c r="Q439" s="113"/>
      <c r="R439" s="113"/>
      <c r="T439" s="113"/>
      <c r="U439" s="113"/>
      <c r="V439" s="113"/>
    </row>
    <row r="440" customFormat="false" ht="15" hidden="false" customHeight="true" outlineLevel="0" collapsed="false">
      <c r="H440" s="113"/>
      <c r="I440" s="113"/>
      <c r="J440" s="113"/>
      <c r="L440" s="113"/>
      <c r="M440" s="113"/>
      <c r="N440" s="113"/>
      <c r="P440" s="113"/>
      <c r="Q440" s="113"/>
      <c r="R440" s="113"/>
      <c r="T440" s="113"/>
      <c r="U440" s="113"/>
      <c r="V440" s="113"/>
    </row>
    <row r="441" customFormat="false" ht="15" hidden="false" customHeight="true" outlineLevel="0" collapsed="false">
      <c r="H441" s="113"/>
      <c r="I441" s="113"/>
      <c r="J441" s="113"/>
      <c r="L441" s="113"/>
      <c r="M441" s="113"/>
      <c r="N441" s="113"/>
      <c r="P441" s="113"/>
      <c r="Q441" s="113"/>
      <c r="R441" s="113"/>
      <c r="T441" s="113"/>
      <c r="U441" s="113"/>
      <c r="V441" s="113"/>
    </row>
    <row r="442" customFormat="false" ht="15" hidden="false" customHeight="true" outlineLevel="0" collapsed="false">
      <c r="H442" s="113"/>
      <c r="I442" s="113"/>
      <c r="J442" s="113"/>
      <c r="L442" s="113"/>
      <c r="M442" s="113"/>
      <c r="N442" s="113"/>
      <c r="P442" s="113"/>
      <c r="Q442" s="113"/>
      <c r="R442" s="113"/>
      <c r="T442" s="113"/>
      <c r="U442" s="113"/>
      <c r="V442" s="113"/>
    </row>
    <row r="443" customFormat="false" ht="15" hidden="false" customHeight="true" outlineLevel="0" collapsed="false">
      <c r="H443" s="113"/>
      <c r="I443" s="113"/>
      <c r="J443" s="113"/>
      <c r="L443" s="113"/>
      <c r="M443" s="113"/>
      <c r="N443" s="113"/>
      <c r="P443" s="113"/>
      <c r="Q443" s="113"/>
      <c r="R443" s="113"/>
      <c r="T443" s="113"/>
      <c r="U443" s="113"/>
      <c r="V443" s="113"/>
    </row>
    <row r="444" customFormat="false" ht="15" hidden="false" customHeight="true" outlineLevel="0" collapsed="false">
      <c r="H444" s="113"/>
      <c r="I444" s="113"/>
      <c r="J444" s="113"/>
      <c r="L444" s="113"/>
      <c r="M444" s="113"/>
      <c r="N444" s="113"/>
      <c r="P444" s="113"/>
      <c r="Q444" s="113"/>
      <c r="R444" s="113"/>
      <c r="T444" s="113"/>
      <c r="U444" s="113"/>
      <c r="V444" s="113"/>
    </row>
    <row r="445" customFormat="false" ht="15" hidden="false" customHeight="true" outlineLevel="0" collapsed="false">
      <c r="H445" s="113"/>
      <c r="I445" s="113"/>
      <c r="J445" s="113"/>
      <c r="L445" s="113"/>
      <c r="M445" s="113"/>
      <c r="N445" s="113"/>
      <c r="P445" s="113"/>
      <c r="Q445" s="113"/>
      <c r="R445" s="113"/>
      <c r="T445" s="113"/>
      <c r="U445" s="113"/>
      <c r="V445" s="113"/>
    </row>
    <row r="446" customFormat="false" ht="15" hidden="false" customHeight="true" outlineLevel="0" collapsed="false">
      <c r="H446" s="113"/>
      <c r="I446" s="113"/>
      <c r="J446" s="113"/>
      <c r="L446" s="113"/>
      <c r="M446" s="113"/>
      <c r="N446" s="113"/>
      <c r="P446" s="113"/>
      <c r="Q446" s="113"/>
      <c r="R446" s="113"/>
      <c r="T446" s="113"/>
      <c r="U446" s="113"/>
      <c r="V446" s="113"/>
    </row>
    <row r="447" customFormat="false" ht="15" hidden="false" customHeight="true" outlineLevel="0" collapsed="false">
      <c r="H447" s="113"/>
      <c r="I447" s="113"/>
      <c r="J447" s="113"/>
      <c r="L447" s="113"/>
      <c r="M447" s="113"/>
      <c r="N447" s="113"/>
      <c r="P447" s="113"/>
      <c r="Q447" s="113"/>
      <c r="R447" s="113"/>
      <c r="T447" s="113"/>
      <c r="U447" s="113"/>
      <c r="V447" s="113"/>
    </row>
    <row r="448" customFormat="false" ht="15" hidden="false" customHeight="true" outlineLevel="0" collapsed="false">
      <c r="H448" s="113"/>
      <c r="I448" s="113"/>
      <c r="J448" s="113"/>
      <c r="L448" s="113"/>
      <c r="M448" s="113"/>
      <c r="N448" s="113"/>
      <c r="P448" s="113"/>
      <c r="Q448" s="113"/>
      <c r="R448" s="113"/>
      <c r="T448" s="113"/>
      <c r="U448" s="113"/>
      <c r="V448" s="113"/>
    </row>
    <row r="449" customFormat="false" ht="15" hidden="false" customHeight="true" outlineLevel="0" collapsed="false">
      <c r="H449" s="113"/>
      <c r="I449" s="113"/>
      <c r="J449" s="113"/>
      <c r="L449" s="113"/>
      <c r="M449" s="113"/>
      <c r="N449" s="113"/>
      <c r="P449" s="113"/>
      <c r="Q449" s="113"/>
      <c r="R449" s="113"/>
      <c r="T449" s="113"/>
      <c r="U449" s="113"/>
      <c r="V449" s="113"/>
    </row>
    <row r="450" customFormat="false" ht="15" hidden="false" customHeight="true" outlineLevel="0" collapsed="false">
      <c r="H450" s="113"/>
      <c r="I450" s="113"/>
      <c r="J450" s="113"/>
      <c r="L450" s="113"/>
      <c r="M450" s="113"/>
      <c r="N450" s="113"/>
      <c r="P450" s="113"/>
      <c r="Q450" s="113"/>
      <c r="R450" s="113"/>
      <c r="T450" s="113"/>
      <c r="U450" s="113"/>
      <c r="V450" s="113"/>
    </row>
    <row r="451" customFormat="false" ht="15" hidden="false" customHeight="true" outlineLevel="0" collapsed="false">
      <c r="H451" s="113"/>
      <c r="I451" s="113"/>
      <c r="J451" s="113"/>
      <c r="L451" s="113"/>
      <c r="M451" s="113"/>
      <c r="N451" s="113"/>
      <c r="P451" s="113"/>
      <c r="Q451" s="113"/>
      <c r="R451" s="113"/>
      <c r="T451" s="113"/>
      <c r="U451" s="113"/>
      <c r="V451" s="113"/>
    </row>
    <row r="452" customFormat="false" ht="15" hidden="false" customHeight="true" outlineLevel="0" collapsed="false">
      <c r="H452" s="113"/>
      <c r="I452" s="113"/>
      <c r="J452" s="113"/>
      <c r="L452" s="113"/>
      <c r="M452" s="113"/>
      <c r="N452" s="113"/>
      <c r="P452" s="113"/>
      <c r="Q452" s="113"/>
      <c r="R452" s="113"/>
      <c r="T452" s="113"/>
      <c r="U452" s="113"/>
      <c r="V452" s="113"/>
    </row>
    <row r="453" customFormat="false" ht="15" hidden="false" customHeight="true" outlineLevel="0" collapsed="false">
      <c r="H453" s="113"/>
      <c r="I453" s="113"/>
      <c r="J453" s="113"/>
      <c r="L453" s="113"/>
      <c r="M453" s="113"/>
      <c r="N453" s="113"/>
      <c r="P453" s="113"/>
      <c r="Q453" s="113"/>
      <c r="R453" s="113"/>
      <c r="T453" s="113"/>
      <c r="U453" s="113"/>
      <c r="V453" s="113"/>
    </row>
    <row r="454" customFormat="false" ht="15" hidden="false" customHeight="true" outlineLevel="0" collapsed="false">
      <c r="H454" s="113"/>
      <c r="I454" s="113"/>
      <c r="J454" s="113"/>
      <c r="L454" s="113"/>
      <c r="M454" s="113"/>
      <c r="N454" s="113"/>
      <c r="P454" s="113"/>
      <c r="Q454" s="113"/>
      <c r="R454" s="113"/>
      <c r="T454" s="113"/>
      <c r="U454" s="113"/>
      <c r="V454" s="113"/>
    </row>
    <row r="455" customFormat="false" ht="15" hidden="false" customHeight="true" outlineLevel="0" collapsed="false">
      <c r="H455" s="113"/>
      <c r="I455" s="113"/>
      <c r="J455" s="113"/>
      <c r="L455" s="113"/>
      <c r="M455" s="113"/>
      <c r="N455" s="113"/>
      <c r="P455" s="113"/>
      <c r="Q455" s="113"/>
      <c r="R455" s="113"/>
      <c r="T455" s="113"/>
      <c r="U455" s="113"/>
      <c r="V455" s="113"/>
    </row>
    <row r="456" customFormat="false" ht="15" hidden="false" customHeight="true" outlineLevel="0" collapsed="false">
      <c r="H456" s="113"/>
      <c r="I456" s="113"/>
      <c r="J456" s="113"/>
      <c r="L456" s="113"/>
      <c r="M456" s="113"/>
      <c r="N456" s="113"/>
      <c r="P456" s="113"/>
      <c r="Q456" s="113"/>
      <c r="R456" s="113"/>
      <c r="T456" s="113"/>
      <c r="U456" s="113"/>
      <c r="V456" s="113"/>
    </row>
    <row r="457" customFormat="false" ht="15" hidden="false" customHeight="true" outlineLevel="0" collapsed="false">
      <c r="H457" s="113"/>
      <c r="I457" s="113"/>
      <c r="J457" s="113"/>
      <c r="L457" s="113"/>
      <c r="M457" s="113"/>
      <c r="N457" s="113"/>
      <c r="P457" s="113"/>
      <c r="Q457" s="113"/>
      <c r="R457" s="113"/>
      <c r="T457" s="113"/>
      <c r="U457" s="113"/>
      <c r="V457" s="113"/>
    </row>
    <row r="458" customFormat="false" ht="15" hidden="false" customHeight="true" outlineLevel="0" collapsed="false">
      <c r="H458" s="113"/>
      <c r="I458" s="113"/>
      <c r="J458" s="113"/>
      <c r="L458" s="113"/>
      <c r="M458" s="113"/>
      <c r="N458" s="113"/>
      <c r="P458" s="113"/>
      <c r="Q458" s="113"/>
      <c r="R458" s="113"/>
      <c r="T458" s="113"/>
      <c r="U458" s="113"/>
      <c r="V458" s="113"/>
    </row>
    <row r="459" customFormat="false" ht="15" hidden="false" customHeight="true" outlineLevel="0" collapsed="false">
      <c r="H459" s="113"/>
      <c r="I459" s="113"/>
      <c r="J459" s="113"/>
      <c r="L459" s="113"/>
      <c r="M459" s="113"/>
      <c r="N459" s="113"/>
      <c r="P459" s="113"/>
      <c r="Q459" s="113"/>
      <c r="R459" s="113"/>
      <c r="T459" s="113"/>
      <c r="U459" s="113"/>
      <c r="V459" s="113"/>
    </row>
    <row r="460" customFormat="false" ht="15" hidden="false" customHeight="true" outlineLevel="0" collapsed="false">
      <c r="H460" s="113"/>
      <c r="I460" s="113"/>
      <c r="J460" s="113"/>
      <c r="L460" s="113"/>
      <c r="M460" s="113"/>
      <c r="N460" s="113"/>
      <c r="P460" s="113"/>
      <c r="Q460" s="113"/>
      <c r="R460" s="113"/>
      <c r="T460" s="113"/>
      <c r="U460" s="113"/>
      <c r="V460" s="113"/>
    </row>
    <row r="461" customFormat="false" ht="15" hidden="false" customHeight="true" outlineLevel="0" collapsed="false">
      <c r="H461" s="113"/>
      <c r="I461" s="113"/>
      <c r="J461" s="113"/>
      <c r="L461" s="113"/>
      <c r="M461" s="113"/>
      <c r="N461" s="113"/>
      <c r="P461" s="113"/>
      <c r="Q461" s="113"/>
      <c r="R461" s="113"/>
      <c r="T461" s="113"/>
      <c r="U461" s="113"/>
      <c r="V461" s="113"/>
    </row>
    <row r="462" customFormat="false" ht="15" hidden="false" customHeight="true" outlineLevel="0" collapsed="false">
      <c r="H462" s="113"/>
      <c r="I462" s="113"/>
      <c r="J462" s="113"/>
      <c r="L462" s="113"/>
      <c r="M462" s="113"/>
      <c r="N462" s="113"/>
      <c r="P462" s="113"/>
      <c r="Q462" s="113"/>
      <c r="R462" s="113"/>
      <c r="T462" s="113"/>
      <c r="U462" s="113"/>
      <c r="V462" s="113"/>
    </row>
    <row r="463" customFormat="false" ht="15" hidden="false" customHeight="true" outlineLevel="0" collapsed="false">
      <c r="H463" s="113"/>
      <c r="I463" s="113"/>
      <c r="J463" s="113"/>
      <c r="L463" s="113"/>
      <c r="M463" s="113"/>
      <c r="N463" s="113"/>
      <c r="P463" s="113"/>
      <c r="Q463" s="113"/>
      <c r="R463" s="113"/>
      <c r="T463" s="113"/>
      <c r="U463" s="113"/>
      <c r="V463" s="113"/>
    </row>
    <row r="464" customFormat="false" ht="15" hidden="false" customHeight="true" outlineLevel="0" collapsed="false">
      <c r="H464" s="113"/>
      <c r="I464" s="113"/>
      <c r="J464" s="113"/>
      <c r="L464" s="113"/>
      <c r="M464" s="113"/>
      <c r="N464" s="113"/>
      <c r="P464" s="113"/>
      <c r="Q464" s="113"/>
      <c r="R464" s="113"/>
      <c r="T464" s="113"/>
      <c r="U464" s="113"/>
      <c r="V464" s="113"/>
    </row>
    <row r="465" customFormat="false" ht="15" hidden="false" customHeight="true" outlineLevel="0" collapsed="false">
      <c r="H465" s="113"/>
      <c r="I465" s="113"/>
      <c r="J465" s="113"/>
      <c r="L465" s="113"/>
      <c r="M465" s="113"/>
      <c r="N465" s="113"/>
      <c r="P465" s="113"/>
      <c r="Q465" s="113"/>
      <c r="R465" s="113"/>
      <c r="T465" s="113"/>
      <c r="U465" s="113"/>
      <c r="V465" s="113"/>
    </row>
    <row r="466" customFormat="false" ht="15" hidden="false" customHeight="true" outlineLevel="0" collapsed="false">
      <c r="H466" s="113"/>
      <c r="I466" s="113"/>
      <c r="J466" s="113"/>
      <c r="L466" s="113"/>
      <c r="M466" s="113"/>
      <c r="N466" s="113"/>
      <c r="P466" s="113"/>
      <c r="Q466" s="113"/>
      <c r="R466" s="113"/>
      <c r="T466" s="113"/>
      <c r="U466" s="113"/>
      <c r="V466" s="113"/>
    </row>
    <row r="467" customFormat="false" ht="15" hidden="false" customHeight="true" outlineLevel="0" collapsed="false">
      <c r="H467" s="113"/>
      <c r="I467" s="113"/>
      <c r="J467" s="113"/>
      <c r="L467" s="113"/>
      <c r="M467" s="113"/>
      <c r="N467" s="113"/>
      <c r="P467" s="113"/>
      <c r="Q467" s="113"/>
      <c r="R467" s="113"/>
      <c r="T467" s="113"/>
      <c r="U467" s="113"/>
      <c r="V467" s="113"/>
    </row>
    <row r="468" customFormat="false" ht="15" hidden="false" customHeight="true" outlineLevel="0" collapsed="false">
      <c r="H468" s="113"/>
      <c r="I468" s="113"/>
      <c r="J468" s="113"/>
      <c r="L468" s="113"/>
      <c r="M468" s="113"/>
      <c r="N468" s="113"/>
      <c r="P468" s="113"/>
      <c r="Q468" s="113"/>
      <c r="R468" s="113"/>
      <c r="T468" s="113"/>
      <c r="U468" s="113"/>
      <c r="V468" s="113"/>
    </row>
    <row r="469" customFormat="false" ht="15" hidden="false" customHeight="true" outlineLevel="0" collapsed="false">
      <c r="H469" s="113"/>
      <c r="I469" s="113"/>
      <c r="J469" s="113"/>
      <c r="L469" s="113"/>
      <c r="M469" s="113"/>
      <c r="N469" s="113"/>
      <c r="P469" s="113"/>
      <c r="Q469" s="113"/>
      <c r="R469" s="113"/>
      <c r="T469" s="113"/>
      <c r="U469" s="113"/>
      <c r="V469" s="113"/>
    </row>
    <row r="470" customFormat="false" ht="15" hidden="false" customHeight="true" outlineLevel="0" collapsed="false">
      <c r="H470" s="113"/>
      <c r="I470" s="113"/>
      <c r="J470" s="113"/>
      <c r="L470" s="113"/>
      <c r="M470" s="113"/>
      <c r="N470" s="113"/>
      <c r="P470" s="113"/>
      <c r="Q470" s="113"/>
      <c r="R470" s="113"/>
      <c r="T470" s="113"/>
      <c r="U470" s="113"/>
      <c r="V470" s="113"/>
    </row>
    <row r="471" customFormat="false" ht="15" hidden="false" customHeight="true" outlineLevel="0" collapsed="false">
      <c r="H471" s="113"/>
      <c r="I471" s="113"/>
      <c r="J471" s="113"/>
      <c r="L471" s="113"/>
      <c r="M471" s="113"/>
      <c r="N471" s="113"/>
      <c r="P471" s="113"/>
      <c r="Q471" s="113"/>
      <c r="R471" s="113"/>
      <c r="T471" s="113"/>
      <c r="U471" s="113"/>
      <c r="V471" s="113"/>
    </row>
    <row r="472" customFormat="false" ht="15" hidden="false" customHeight="true" outlineLevel="0" collapsed="false">
      <c r="H472" s="113"/>
      <c r="I472" s="113"/>
      <c r="J472" s="113"/>
      <c r="L472" s="113"/>
      <c r="M472" s="113"/>
      <c r="N472" s="113"/>
      <c r="P472" s="113"/>
      <c r="Q472" s="113"/>
      <c r="R472" s="113"/>
      <c r="T472" s="113"/>
      <c r="U472" s="113"/>
      <c r="V472" s="113"/>
    </row>
    <row r="473" customFormat="false" ht="15" hidden="false" customHeight="true" outlineLevel="0" collapsed="false">
      <c r="H473" s="113"/>
      <c r="I473" s="113"/>
      <c r="J473" s="113"/>
      <c r="L473" s="113"/>
      <c r="M473" s="113"/>
      <c r="N473" s="113"/>
      <c r="P473" s="113"/>
      <c r="Q473" s="113"/>
      <c r="R473" s="113"/>
      <c r="T473" s="113"/>
      <c r="U473" s="113"/>
      <c r="V473" s="113"/>
    </row>
    <row r="474" customFormat="false" ht="15" hidden="false" customHeight="true" outlineLevel="0" collapsed="false">
      <c r="H474" s="113"/>
      <c r="I474" s="113"/>
      <c r="J474" s="113"/>
      <c r="L474" s="113"/>
      <c r="M474" s="113"/>
      <c r="N474" s="113"/>
      <c r="P474" s="113"/>
      <c r="Q474" s="113"/>
      <c r="R474" s="113"/>
      <c r="T474" s="113"/>
      <c r="U474" s="113"/>
      <c r="V474" s="113"/>
    </row>
    <row r="475" customFormat="false" ht="15" hidden="false" customHeight="true" outlineLevel="0" collapsed="false">
      <c r="H475" s="113"/>
      <c r="I475" s="113"/>
      <c r="J475" s="113"/>
      <c r="L475" s="113"/>
      <c r="M475" s="113"/>
      <c r="N475" s="113"/>
      <c r="P475" s="113"/>
      <c r="Q475" s="113"/>
      <c r="R475" s="113"/>
      <c r="T475" s="113"/>
      <c r="U475" s="113"/>
      <c r="V475" s="113"/>
    </row>
    <row r="476" customFormat="false" ht="15" hidden="false" customHeight="true" outlineLevel="0" collapsed="false">
      <c r="H476" s="113"/>
      <c r="I476" s="113"/>
      <c r="J476" s="113"/>
      <c r="L476" s="113"/>
      <c r="M476" s="113"/>
      <c r="N476" s="113"/>
      <c r="P476" s="113"/>
      <c r="Q476" s="113"/>
      <c r="R476" s="113"/>
      <c r="T476" s="113"/>
      <c r="U476" s="113"/>
      <c r="V476" s="113"/>
    </row>
    <row r="477" customFormat="false" ht="15" hidden="false" customHeight="true" outlineLevel="0" collapsed="false">
      <c r="H477" s="113"/>
      <c r="I477" s="113"/>
      <c r="J477" s="113"/>
      <c r="L477" s="113"/>
      <c r="M477" s="113"/>
      <c r="N477" s="113"/>
      <c r="P477" s="113"/>
      <c r="Q477" s="113"/>
      <c r="R477" s="113"/>
      <c r="T477" s="113"/>
      <c r="U477" s="113"/>
      <c r="V477" s="113"/>
    </row>
    <row r="478" customFormat="false" ht="15" hidden="false" customHeight="true" outlineLevel="0" collapsed="false">
      <c r="H478" s="113"/>
      <c r="I478" s="113"/>
      <c r="J478" s="113"/>
      <c r="L478" s="113"/>
      <c r="M478" s="113"/>
      <c r="N478" s="113"/>
      <c r="P478" s="113"/>
      <c r="Q478" s="113"/>
      <c r="R478" s="113"/>
      <c r="T478" s="113"/>
      <c r="U478" s="113"/>
      <c r="V478" s="113"/>
    </row>
    <row r="479" customFormat="false" ht="15" hidden="false" customHeight="true" outlineLevel="0" collapsed="false">
      <c r="H479" s="113"/>
      <c r="I479" s="113"/>
      <c r="J479" s="113"/>
      <c r="L479" s="113"/>
      <c r="M479" s="113"/>
      <c r="N479" s="113"/>
      <c r="P479" s="113"/>
      <c r="Q479" s="113"/>
      <c r="R479" s="113"/>
      <c r="T479" s="113"/>
      <c r="U479" s="113"/>
      <c r="V479" s="113"/>
    </row>
    <row r="480" customFormat="false" ht="15" hidden="false" customHeight="true" outlineLevel="0" collapsed="false">
      <c r="H480" s="113"/>
      <c r="I480" s="113"/>
      <c r="J480" s="113"/>
      <c r="L480" s="113"/>
      <c r="M480" s="113"/>
      <c r="N480" s="113"/>
      <c r="P480" s="113"/>
      <c r="Q480" s="113"/>
      <c r="R480" s="113"/>
      <c r="T480" s="113"/>
      <c r="U480" s="113"/>
      <c r="V480" s="113"/>
    </row>
    <row r="481" customFormat="false" ht="15" hidden="false" customHeight="true" outlineLevel="0" collapsed="false">
      <c r="H481" s="113"/>
      <c r="I481" s="113"/>
      <c r="J481" s="113"/>
      <c r="L481" s="113"/>
      <c r="M481" s="113"/>
      <c r="N481" s="113"/>
      <c r="P481" s="113"/>
      <c r="Q481" s="113"/>
      <c r="R481" s="113"/>
      <c r="T481" s="113"/>
      <c r="U481" s="113"/>
      <c r="V481" s="113"/>
    </row>
    <row r="482" customFormat="false" ht="15" hidden="false" customHeight="true" outlineLevel="0" collapsed="false">
      <c r="H482" s="113"/>
      <c r="I482" s="113"/>
      <c r="J482" s="113"/>
      <c r="L482" s="113"/>
      <c r="M482" s="113"/>
      <c r="N482" s="113"/>
      <c r="P482" s="113"/>
      <c r="Q482" s="113"/>
      <c r="R482" s="113"/>
      <c r="T482" s="113"/>
      <c r="U482" s="113"/>
      <c r="V482" s="113"/>
    </row>
    <row r="483" customFormat="false" ht="15" hidden="false" customHeight="true" outlineLevel="0" collapsed="false">
      <c r="H483" s="113"/>
      <c r="I483" s="113"/>
      <c r="J483" s="113"/>
      <c r="L483" s="113"/>
      <c r="M483" s="113"/>
      <c r="N483" s="113"/>
      <c r="P483" s="113"/>
      <c r="Q483" s="113"/>
      <c r="R483" s="113"/>
      <c r="T483" s="113"/>
      <c r="U483" s="113"/>
      <c r="V483" s="113"/>
    </row>
    <row r="484" customFormat="false" ht="15" hidden="false" customHeight="true" outlineLevel="0" collapsed="false">
      <c r="H484" s="113"/>
      <c r="I484" s="113"/>
      <c r="J484" s="113"/>
      <c r="L484" s="113"/>
      <c r="M484" s="113"/>
      <c r="N484" s="113"/>
      <c r="P484" s="113"/>
      <c r="Q484" s="113"/>
      <c r="R484" s="113"/>
      <c r="T484" s="113"/>
      <c r="U484" s="113"/>
      <c r="V484" s="113"/>
    </row>
    <row r="485" customFormat="false" ht="15" hidden="false" customHeight="true" outlineLevel="0" collapsed="false">
      <c r="H485" s="113"/>
      <c r="I485" s="113"/>
      <c r="J485" s="113"/>
      <c r="L485" s="113"/>
      <c r="M485" s="113"/>
      <c r="N485" s="113"/>
      <c r="P485" s="113"/>
      <c r="Q485" s="113"/>
      <c r="R485" s="113"/>
      <c r="T485" s="113"/>
      <c r="U485" s="113"/>
      <c r="V485" s="113"/>
    </row>
    <row r="486" customFormat="false" ht="15" hidden="false" customHeight="true" outlineLevel="0" collapsed="false">
      <c r="H486" s="113"/>
      <c r="I486" s="113"/>
      <c r="J486" s="113"/>
      <c r="L486" s="113"/>
      <c r="M486" s="113"/>
      <c r="N486" s="113"/>
      <c r="P486" s="113"/>
      <c r="Q486" s="113"/>
      <c r="R486" s="113"/>
      <c r="T486" s="113"/>
      <c r="U486" s="113"/>
      <c r="V486" s="113"/>
    </row>
    <row r="487" customFormat="false" ht="15" hidden="false" customHeight="true" outlineLevel="0" collapsed="false">
      <c r="H487" s="113"/>
      <c r="I487" s="113"/>
      <c r="J487" s="113"/>
      <c r="L487" s="113"/>
      <c r="M487" s="113"/>
      <c r="N487" s="113"/>
      <c r="P487" s="113"/>
      <c r="Q487" s="113"/>
      <c r="R487" s="113"/>
      <c r="T487" s="113"/>
      <c r="U487" s="113"/>
      <c r="V487" s="113"/>
    </row>
    <row r="488" customFormat="false" ht="15" hidden="false" customHeight="true" outlineLevel="0" collapsed="false">
      <c r="H488" s="113"/>
      <c r="I488" s="113"/>
      <c r="J488" s="113"/>
      <c r="L488" s="113"/>
      <c r="M488" s="113"/>
      <c r="N488" s="113"/>
      <c r="P488" s="113"/>
      <c r="Q488" s="113"/>
      <c r="R488" s="113"/>
      <c r="T488" s="113"/>
      <c r="U488" s="113"/>
      <c r="V488" s="113"/>
    </row>
    <row r="489" customFormat="false" ht="15" hidden="false" customHeight="true" outlineLevel="0" collapsed="false">
      <c r="H489" s="113"/>
      <c r="I489" s="113"/>
      <c r="J489" s="113"/>
      <c r="L489" s="113"/>
      <c r="M489" s="113"/>
      <c r="N489" s="113"/>
      <c r="P489" s="113"/>
      <c r="Q489" s="113"/>
      <c r="R489" s="113"/>
      <c r="T489" s="113"/>
      <c r="U489" s="113"/>
      <c r="V489" s="113"/>
    </row>
    <row r="490" customFormat="false" ht="15" hidden="false" customHeight="true" outlineLevel="0" collapsed="false">
      <c r="H490" s="113"/>
      <c r="I490" s="113"/>
      <c r="J490" s="113"/>
      <c r="L490" s="113"/>
      <c r="M490" s="113"/>
      <c r="N490" s="113"/>
      <c r="P490" s="113"/>
      <c r="Q490" s="113"/>
      <c r="R490" s="113"/>
      <c r="T490" s="113"/>
      <c r="U490" s="113"/>
      <c r="V490" s="113"/>
    </row>
    <row r="491" customFormat="false" ht="15" hidden="false" customHeight="true" outlineLevel="0" collapsed="false">
      <c r="H491" s="113"/>
      <c r="I491" s="113"/>
      <c r="J491" s="113"/>
      <c r="L491" s="113"/>
      <c r="M491" s="113"/>
      <c r="N491" s="113"/>
      <c r="P491" s="113"/>
      <c r="Q491" s="113"/>
      <c r="R491" s="113"/>
      <c r="T491" s="113"/>
      <c r="U491" s="113"/>
      <c r="V491" s="113"/>
    </row>
    <row r="492" customFormat="false" ht="15" hidden="false" customHeight="true" outlineLevel="0" collapsed="false">
      <c r="H492" s="113"/>
      <c r="I492" s="113"/>
      <c r="J492" s="113"/>
      <c r="L492" s="113"/>
      <c r="M492" s="113"/>
      <c r="N492" s="113"/>
      <c r="P492" s="113"/>
      <c r="Q492" s="113"/>
      <c r="R492" s="113"/>
      <c r="T492" s="113"/>
      <c r="U492" s="113"/>
      <c r="V492" s="113"/>
    </row>
    <row r="493" customFormat="false" ht="15" hidden="false" customHeight="true" outlineLevel="0" collapsed="false">
      <c r="H493" s="113"/>
      <c r="I493" s="113"/>
      <c r="J493" s="113"/>
      <c r="L493" s="113"/>
      <c r="M493" s="113"/>
      <c r="N493" s="113"/>
      <c r="P493" s="113"/>
      <c r="Q493" s="113"/>
      <c r="R493" s="113"/>
      <c r="T493" s="113"/>
      <c r="U493" s="113"/>
      <c r="V493" s="113"/>
    </row>
    <row r="494" customFormat="false" ht="15" hidden="false" customHeight="true" outlineLevel="0" collapsed="false">
      <c r="H494" s="113"/>
      <c r="I494" s="113"/>
      <c r="J494" s="113"/>
      <c r="L494" s="113"/>
      <c r="M494" s="113"/>
      <c r="N494" s="113"/>
      <c r="P494" s="113"/>
      <c r="Q494" s="113"/>
      <c r="R494" s="113"/>
      <c r="T494" s="113"/>
      <c r="U494" s="113"/>
      <c r="V494" s="113"/>
    </row>
    <row r="495" customFormat="false" ht="15" hidden="false" customHeight="true" outlineLevel="0" collapsed="false">
      <c r="H495" s="113"/>
      <c r="I495" s="113"/>
      <c r="J495" s="113"/>
      <c r="L495" s="113"/>
      <c r="M495" s="113"/>
      <c r="N495" s="113"/>
      <c r="P495" s="113"/>
      <c r="Q495" s="113"/>
      <c r="R495" s="113"/>
      <c r="T495" s="113"/>
      <c r="U495" s="113"/>
      <c r="V495" s="113"/>
    </row>
    <row r="496" customFormat="false" ht="15" hidden="false" customHeight="true" outlineLevel="0" collapsed="false">
      <c r="H496" s="113"/>
      <c r="I496" s="113"/>
      <c r="J496" s="113"/>
      <c r="L496" s="113"/>
      <c r="M496" s="113"/>
      <c r="N496" s="113"/>
      <c r="P496" s="113"/>
      <c r="Q496" s="113"/>
      <c r="R496" s="113"/>
      <c r="T496" s="113"/>
      <c r="U496" s="113"/>
      <c r="V496" s="113"/>
    </row>
    <row r="497" customFormat="false" ht="15" hidden="false" customHeight="true" outlineLevel="0" collapsed="false">
      <c r="H497" s="113"/>
      <c r="I497" s="113"/>
      <c r="J497" s="113"/>
      <c r="L497" s="113"/>
      <c r="M497" s="113"/>
      <c r="N497" s="113"/>
      <c r="P497" s="113"/>
      <c r="Q497" s="113"/>
      <c r="R497" s="113"/>
      <c r="T497" s="113"/>
      <c r="U497" s="113"/>
      <c r="V497" s="113"/>
    </row>
    <row r="498" customFormat="false" ht="15" hidden="false" customHeight="true" outlineLevel="0" collapsed="false">
      <c r="H498" s="113"/>
      <c r="I498" s="113"/>
      <c r="J498" s="113"/>
      <c r="L498" s="113"/>
      <c r="M498" s="113"/>
      <c r="N498" s="113"/>
      <c r="P498" s="113"/>
      <c r="Q498" s="113"/>
      <c r="R498" s="113"/>
      <c r="T498" s="113"/>
      <c r="U498" s="113"/>
      <c r="V498" s="113"/>
    </row>
    <row r="499" customFormat="false" ht="15" hidden="false" customHeight="true" outlineLevel="0" collapsed="false">
      <c r="H499" s="113"/>
      <c r="I499" s="113"/>
      <c r="J499" s="113"/>
      <c r="L499" s="113"/>
      <c r="M499" s="113"/>
      <c r="N499" s="113"/>
      <c r="P499" s="113"/>
      <c r="Q499" s="113"/>
      <c r="R499" s="113"/>
      <c r="T499" s="113"/>
      <c r="U499" s="113"/>
      <c r="V499" s="113"/>
    </row>
    <row r="500" customFormat="false" ht="15" hidden="false" customHeight="true" outlineLevel="0" collapsed="false">
      <c r="H500" s="113"/>
      <c r="I500" s="113"/>
      <c r="J500" s="113"/>
      <c r="L500" s="113"/>
      <c r="M500" s="113"/>
      <c r="N500" s="113"/>
      <c r="P500" s="113"/>
      <c r="Q500" s="113"/>
      <c r="R500" s="113"/>
      <c r="T500" s="113"/>
      <c r="U500" s="113"/>
      <c r="V500" s="113"/>
    </row>
    <row r="501" customFormat="false" ht="15" hidden="false" customHeight="true" outlineLevel="0" collapsed="false">
      <c r="H501" s="113"/>
      <c r="I501" s="113"/>
      <c r="J501" s="113"/>
      <c r="L501" s="113"/>
      <c r="M501" s="113"/>
      <c r="N501" s="113"/>
      <c r="P501" s="113"/>
      <c r="Q501" s="113"/>
      <c r="R501" s="113"/>
      <c r="T501" s="113"/>
      <c r="U501" s="113"/>
      <c r="V501" s="113"/>
    </row>
    <row r="502" customFormat="false" ht="15" hidden="false" customHeight="true" outlineLevel="0" collapsed="false">
      <c r="H502" s="113"/>
      <c r="I502" s="113"/>
      <c r="J502" s="113"/>
      <c r="L502" s="113"/>
      <c r="M502" s="113"/>
      <c r="N502" s="113"/>
      <c r="P502" s="113"/>
      <c r="Q502" s="113"/>
      <c r="R502" s="113"/>
      <c r="T502" s="113"/>
      <c r="U502" s="113"/>
      <c r="V502" s="113"/>
    </row>
    <row r="503" customFormat="false" ht="15" hidden="false" customHeight="true" outlineLevel="0" collapsed="false">
      <c r="H503" s="113"/>
      <c r="I503" s="113"/>
      <c r="J503" s="113"/>
      <c r="L503" s="113"/>
      <c r="M503" s="113"/>
      <c r="N503" s="113"/>
      <c r="P503" s="113"/>
      <c r="Q503" s="113"/>
      <c r="R503" s="113"/>
      <c r="T503" s="113"/>
      <c r="U503" s="113"/>
      <c r="V503" s="113"/>
    </row>
    <row r="504" customFormat="false" ht="15" hidden="false" customHeight="true" outlineLevel="0" collapsed="false">
      <c r="H504" s="113"/>
      <c r="I504" s="113"/>
      <c r="J504" s="113"/>
      <c r="L504" s="113"/>
      <c r="M504" s="113"/>
      <c r="N504" s="113"/>
      <c r="P504" s="113"/>
      <c r="Q504" s="113"/>
      <c r="R504" s="113"/>
      <c r="T504" s="113"/>
      <c r="U504" s="113"/>
      <c r="V504" s="113"/>
    </row>
    <row r="505" customFormat="false" ht="15" hidden="false" customHeight="true" outlineLevel="0" collapsed="false">
      <c r="H505" s="113"/>
      <c r="I505" s="113"/>
      <c r="J505" s="113"/>
      <c r="L505" s="113"/>
      <c r="M505" s="113"/>
      <c r="N505" s="113"/>
      <c r="P505" s="113"/>
      <c r="Q505" s="113"/>
      <c r="R505" s="113"/>
      <c r="T505" s="113"/>
      <c r="U505" s="113"/>
      <c r="V505" s="113"/>
    </row>
    <row r="506" customFormat="false" ht="15" hidden="false" customHeight="true" outlineLevel="0" collapsed="false">
      <c r="H506" s="113"/>
      <c r="I506" s="113"/>
      <c r="J506" s="113"/>
      <c r="L506" s="113"/>
      <c r="M506" s="113"/>
      <c r="N506" s="113"/>
      <c r="P506" s="113"/>
      <c r="Q506" s="113"/>
      <c r="R506" s="113"/>
      <c r="T506" s="113"/>
      <c r="U506" s="113"/>
      <c r="V506" s="113"/>
    </row>
    <row r="507" customFormat="false" ht="15" hidden="false" customHeight="true" outlineLevel="0" collapsed="false">
      <c r="H507" s="113"/>
      <c r="I507" s="113"/>
      <c r="J507" s="113"/>
      <c r="L507" s="113"/>
      <c r="M507" s="113"/>
      <c r="N507" s="113"/>
      <c r="P507" s="113"/>
      <c r="Q507" s="113"/>
      <c r="R507" s="113"/>
      <c r="T507" s="113"/>
      <c r="U507" s="113"/>
      <c r="V507" s="113"/>
    </row>
    <row r="508" customFormat="false" ht="15" hidden="false" customHeight="true" outlineLevel="0" collapsed="false">
      <c r="H508" s="113"/>
      <c r="I508" s="113"/>
      <c r="J508" s="113"/>
      <c r="L508" s="113"/>
      <c r="M508" s="113"/>
      <c r="N508" s="113"/>
      <c r="P508" s="113"/>
      <c r="Q508" s="113"/>
      <c r="R508" s="113"/>
      <c r="T508" s="113"/>
      <c r="U508" s="113"/>
      <c r="V508" s="113"/>
    </row>
    <row r="509" customFormat="false" ht="15" hidden="false" customHeight="true" outlineLevel="0" collapsed="false">
      <c r="H509" s="113"/>
      <c r="I509" s="113"/>
      <c r="J509" s="113"/>
      <c r="L509" s="113"/>
      <c r="M509" s="113"/>
      <c r="N509" s="113"/>
      <c r="P509" s="113"/>
      <c r="Q509" s="113"/>
      <c r="R509" s="113"/>
      <c r="T509" s="113"/>
      <c r="U509" s="113"/>
      <c r="V509" s="113"/>
    </row>
    <row r="510" customFormat="false" ht="15" hidden="false" customHeight="true" outlineLevel="0" collapsed="false">
      <c r="H510" s="113"/>
      <c r="I510" s="113"/>
      <c r="J510" s="113"/>
      <c r="L510" s="113"/>
      <c r="M510" s="113"/>
      <c r="N510" s="113"/>
      <c r="P510" s="113"/>
      <c r="Q510" s="113"/>
      <c r="R510" s="113"/>
      <c r="T510" s="113"/>
      <c r="U510" s="113"/>
      <c r="V510" s="113"/>
    </row>
    <row r="511" customFormat="false" ht="15" hidden="false" customHeight="true" outlineLevel="0" collapsed="false">
      <c r="H511" s="113"/>
      <c r="I511" s="113"/>
      <c r="J511" s="113"/>
      <c r="L511" s="113"/>
      <c r="M511" s="113"/>
      <c r="N511" s="113"/>
      <c r="P511" s="113"/>
      <c r="Q511" s="113"/>
      <c r="R511" s="113"/>
      <c r="T511" s="113"/>
      <c r="U511" s="113"/>
      <c r="V511" s="113"/>
    </row>
    <row r="512" customFormat="false" ht="15" hidden="false" customHeight="true" outlineLevel="0" collapsed="false">
      <c r="H512" s="113"/>
      <c r="I512" s="113"/>
      <c r="J512" s="113"/>
      <c r="L512" s="113"/>
      <c r="M512" s="113"/>
      <c r="N512" s="113"/>
      <c r="P512" s="113"/>
      <c r="Q512" s="113"/>
      <c r="R512" s="113"/>
      <c r="T512" s="113"/>
      <c r="U512" s="113"/>
      <c r="V512" s="113"/>
    </row>
    <row r="513" customFormat="false" ht="15" hidden="false" customHeight="true" outlineLevel="0" collapsed="false">
      <c r="H513" s="113"/>
      <c r="I513" s="113"/>
      <c r="J513" s="113"/>
      <c r="L513" s="113"/>
      <c r="M513" s="113"/>
      <c r="N513" s="113"/>
      <c r="P513" s="113"/>
      <c r="Q513" s="113"/>
      <c r="R513" s="113"/>
      <c r="T513" s="113"/>
      <c r="U513" s="113"/>
      <c r="V513" s="113"/>
    </row>
    <row r="514" customFormat="false" ht="15" hidden="false" customHeight="true" outlineLevel="0" collapsed="false">
      <c r="H514" s="113"/>
      <c r="I514" s="113"/>
      <c r="J514" s="113"/>
      <c r="L514" s="113"/>
      <c r="M514" s="113"/>
      <c r="N514" s="113"/>
      <c r="P514" s="113"/>
      <c r="Q514" s="113"/>
      <c r="R514" s="113"/>
      <c r="T514" s="113"/>
      <c r="U514" s="113"/>
      <c r="V514" s="113"/>
    </row>
    <row r="515" customFormat="false" ht="15" hidden="false" customHeight="true" outlineLevel="0" collapsed="false">
      <c r="H515" s="113"/>
      <c r="I515" s="113"/>
      <c r="J515" s="113"/>
      <c r="L515" s="113"/>
      <c r="M515" s="113"/>
      <c r="N515" s="113"/>
      <c r="P515" s="113"/>
      <c r="Q515" s="113"/>
      <c r="R515" s="113"/>
      <c r="T515" s="113"/>
      <c r="U515" s="113"/>
      <c r="V515" s="113"/>
    </row>
    <row r="516" customFormat="false" ht="15" hidden="false" customHeight="true" outlineLevel="0" collapsed="false">
      <c r="H516" s="113"/>
      <c r="I516" s="113"/>
      <c r="J516" s="113"/>
      <c r="L516" s="113"/>
      <c r="M516" s="113"/>
      <c r="N516" s="113"/>
      <c r="P516" s="113"/>
      <c r="Q516" s="113"/>
      <c r="R516" s="113"/>
      <c r="T516" s="113"/>
      <c r="U516" s="113"/>
      <c r="V516" s="113"/>
    </row>
    <row r="517" customFormat="false" ht="15" hidden="false" customHeight="true" outlineLevel="0" collapsed="false">
      <c r="H517" s="113"/>
      <c r="I517" s="113"/>
      <c r="J517" s="113"/>
      <c r="L517" s="113"/>
      <c r="M517" s="113"/>
      <c r="N517" s="113"/>
      <c r="P517" s="113"/>
      <c r="Q517" s="113"/>
      <c r="R517" s="113"/>
      <c r="T517" s="113"/>
      <c r="U517" s="113"/>
      <c r="V517" s="113"/>
    </row>
    <row r="518" customFormat="false" ht="15" hidden="false" customHeight="true" outlineLevel="0" collapsed="false">
      <c r="H518" s="113"/>
      <c r="I518" s="113"/>
      <c r="J518" s="113"/>
      <c r="L518" s="113"/>
      <c r="M518" s="113"/>
      <c r="N518" s="113"/>
      <c r="P518" s="113"/>
      <c r="Q518" s="113"/>
      <c r="R518" s="113"/>
      <c r="T518" s="113"/>
      <c r="U518" s="113"/>
      <c r="V518" s="113"/>
    </row>
    <row r="519" customFormat="false" ht="15" hidden="false" customHeight="true" outlineLevel="0" collapsed="false">
      <c r="H519" s="113"/>
      <c r="I519" s="113"/>
      <c r="J519" s="113"/>
      <c r="L519" s="113"/>
      <c r="M519" s="113"/>
      <c r="N519" s="113"/>
      <c r="P519" s="113"/>
      <c r="Q519" s="113"/>
      <c r="R519" s="113"/>
      <c r="T519" s="113"/>
      <c r="U519" s="113"/>
      <c r="V519" s="113"/>
    </row>
    <row r="520" customFormat="false" ht="15" hidden="false" customHeight="true" outlineLevel="0" collapsed="false">
      <c r="H520" s="113"/>
      <c r="I520" s="113"/>
      <c r="J520" s="113"/>
      <c r="L520" s="113"/>
      <c r="M520" s="113"/>
      <c r="N520" s="113"/>
      <c r="P520" s="113"/>
      <c r="Q520" s="113"/>
      <c r="R520" s="113"/>
      <c r="T520" s="113"/>
      <c r="U520" s="113"/>
      <c r="V520" s="113"/>
    </row>
    <row r="521" customFormat="false" ht="15" hidden="false" customHeight="true" outlineLevel="0" collapsed="false">
      <c r="H521" s="113"/>
      <c r="I521" s="113"/>
      <c r="J521" s="113"/>
      <c r="L521" s="113"/>
      <c r="M521" s="113"/>
      <c r="N521" s="113"/>
      <c r="P521" s="113"/>
      <c r="Q521" s="113"/>
      <c r="R521" s="113"/>
      <c r="T521" s="113"/>
      <c r="U521" s="113"/>
      <c r="V521" s="113"/>
    </row>
    <row r="522" customFormat="false" ht="15" hidden="false" customHeight="true" outlineLevel="0" collapsed="false">
      <c r="H522" s="113"/>
      <c r="I522" s="113"/>
      <c r="J522" s="113"/>
      <c r="L522" s="113"/>
      <c r="M522" s="113"/>
      <c r="N522" s="113"/>
      <c r="P522" s="113"/>
      <c r="Q522" s="113"/>
      <c r="R522" s="113"/>
      <c r="T522" s="113"/>
      <c r="U522" s="113"/>
      <c r="V522" s="113"/>
    </row>
    <row r="523" customFormat="false" ht="15" hidden="false" customHeight="true" outlineLevel="0" collapsed="false">
      <c r="H523" s="113"/>
      <c r="I523" s="113"/>
      <c r="J523" s="113"/>
      <c r="L523" s="113"/>
      <c r="M523" s="113"/>
      <c r="N523" s="113"/>
      <c r="P523" s="113"/>
      <c r="Q523" s="113"/>
      <c r="R523" s="113"/>
      <c r="T523" s="113"/>
      <c r="U523" s="113"/>
      <c r="V523" s="113"/>
    </row>
    <row r="524" customFormat="false" ht="15" hidden="false" customHeight="true" outlineLevel="0" collapsed="false">
      <c r="H524" s="113"/>
      <c r="I524" s="113"/>
      <c r="J524" s="113"/>
      <c r="L524" s="113"/>
      <c r="M524" s="113"/>
      <c r="N524" s="113"/>
      <c r="P524" s="113"/>
      <c r="Q524" s="113"/>
      <c r="R524" s="113"/>
      <c r="T524" s="113"/>
      <c r="U524" s="113"/>
      <c r="V524" s="113"/>
    </row>
    <row r="525" customFormat="false" ht="15" hidden="false" customHeight="true" outlineLevel="0" collapsed="false">
      <c r="H525" s="113"/>
      <c r="I525" s="113"/>
      <c r="J525" s="113"/>
      <c r="L525" s="113"/>
      <c r="M525" s="113"/>
      <c r="N525" s="113"/>
      <c r="P525" s="113"/>
      <c r="Q525" s="113"/>
      <c r="R525" s="113"/>
      <c r="T525" s="113"/>
      <c r="U525" s="113"/>
      <c r="V525" s="113"/>
    </row>
    <row r="526" customFormat="false" ht="15" hidden="false" customHeight="true" outlineLevel="0" collapsed="false">
      <c r="H526" s="113"/>
      <c r="I526" s="113"/>
      <c r="J526" s="113"/>
      <c r="L526" s="113"/>
      <c r="M526" s="113"/>
      <c r="N526" s="113"/>
      <c r="P526" s="113"/>
      <c r="Q526" s="113"/>
      <c r="R526" s="113"/>
      <c r="T526" s="113"/>
      <c r="U526" s="113"/>
      <c r="V526" s="113"/>
    </row>
    <row r="527" customFormat="false" ht="15" hidden="false" customHeight="true" outlineLevel="0" collapsed="false">
      <c r="H527" s="113"/>
      <c r="I527" s="113"/>
      <c r="J527" s="113"/>
      <c r="L527" s="113"/>
      <c r="M527" s="113"/>
      <c r="N527" s="113"/>
      <c r="P527" s="113"/>
      <c r="Q527" s="113"/>
      <c r="R527" s="113"/>
      <c r="T527" s="113"/>
      <c r="U527" s="113"/>
      <c r="V527" s="113"/>
    </row>
    <row r="528" customFormat="false" ht="15" hidden="false" customHeight="true" outlineLevel="0" collapsed="false">
      <c r="H528" s="113"/>
      <c r="I528" s="113"/>
      <c r="J528" s="113"/>
      <c r="L528" s="113"/>
      <c r="M528" s="113"/>
      <c r="N528" s="113"/>
      <c r="P528" s="113"/>
      <c r="Q528" s="113"/>
      <c r="R528" s="113"/>
      <c r="T528" s="113"/>
      <c r="U528" s="113"/>
      <c r="V528" s="113"/>
    </row>
    <row r="529" customFormat="false" ht="15" hidden="false" customHeight="true" outlineLevel="0" collapsed="false">
      <c r="H529" s="113"/>
      <c r="I529" s="113"/>
      <c r="J529" s="113"/>
      <c r="L529" s="113"/>
      <c r="M529" s="113"/>
      <c r="N529" s="113"/>
      <c r="P529" s="113"/>
      <c r="Q529" s="113"/>
      <c r="R529" s="113"/>
      <c r="T529" s="113"/>
      <c r="U529" s="113"/>
      <c r="V529" s="113"/>
    </row>
    <row r="530" customFormat="false" ht="15" hidden="false" customHeight="true" outlineLevel="0" collapsed="false">
      <c r="H530" s="113"/>
      <c r="I530" s="113"/>
      <c r="J530" s="113"/>
      <c r="L530" s="113"/>
      <c r="M530" s="113"/>
      <c r="N530" s="113"/>
      <c r="P530" s="113"/>
      <c r="Q530" s="113"/>
      <c r="R530" s="113"/>
      <c r="T530" s="113"/>
      <c r="U530" s="113"/>
      <c r="V530" s="113"/>
    </row>
    <row r="531" customFormat="false" ht="15" hidden="false" customHeight="true" outlineLevel="0" collapsed="false">
      <c r="H531" s="113"/>
      <c r="I531" s="113"/>
      <c r="J531" s="113"/>
      <c r="L531" s="113"/>
      <c r="M531" s="113"/>
      <c r="N531" s="113"/>
      <c r="P531" s="113"/>
      <c r="Q531" s="113"/>
      <c r="R531" s="113"/>
      <c r="T531" s="113"/>
      <c r="U531" s="113"/>
      <c r="V531" s="113"/>
    </row>
    <row r="532" customFormat="false" ht="15" hidden="false" customHeight="true" outlineLevel="0" collapsed="false">
      <c r="H532" s="113"/>
      <c r="I532" s="113"/>
      <c r="J532" s="113"/>
      <c r="L532" s="113"/>
      <c r="M532" s="113"/>
      <c r="N532" s="113"/>
      <c r="P532" s="113"/>
      <c r="Q532" s="113"/>
      <c r="R532" s="113"/>
      <c r="T532" s="113"/>
      <c r="U532" s="113"/>
      <c r="V532" s="113"/>
    </row>
    <row r="533" customFormat="false" ht="15" hidden="false" customHeight="true" outlineLevel="0" collapsed="false">
      <c r="H533" s="113"/>
      <c r="I533" s="113"/>
      <c r="J533" s="113"/>
      <c r="L533" s="113"/>
      <c r="M533" s="113"/>
      <c r="N533" s="113"/>
      <c r="P533" s="113"/>
      <c r="Q533" s="113"/>
      <c r="R533" s="113"/>
      <c r="T533" s="113"/>
      <c r="U533" s="113"/>
      <c r="V533" s="113"/>
    </row>
    <row r="534" customFormat="false" ht="15" hidden="false" customHeight="true" outlineLevel="0" collapsed="false">
      <c r="H534" s="113"/>
      <c r="I534" s="113"/>
      <c r="J534" s="113"/>
      <c r="L534" s="113"/>
      <c r="M534" s="113"/>
      <c r="N534" s="113"/>
      <c r="P534" s="113"/>
      <c r="Q534" s="113"/>
      <c r="R534" s="113"/>
      <c r="T534" s="113"/>
      <c r="U534" s="113"/>
      <c r="V534" s="113"/>
    </row>
    <row r="535" customFormat="false" ht="15" hidden="false" customHeight="true" outlineLevel="0" collapsed="false">
      <c r="H535" s="113"/>
      <c r="I535" s="113"/>
      <c r="J535" s="113"/>
      <c r="L535" s="113"/>
      <c r="M535" s="113"/>
      <c r="N535" s="113"/>
      <c r="P535" s="113"/>
      <c r="Q535" s="113"/>
      <c r="R535" s="113"/>
      <c r="T535" s="113"/>
      <c r="U535" s="113"/>
      <c r="V535" s="113"/>
    </row>
    <row r="536" customFormat="false" ht="15" hidden="false" customHeight="true" outlineLevel="0" collapsed="false">
      <c r="H536" s="113"/>
      <c r="I536" s="113"/>
      <c r="J536" s="113"/>
      <c r="L536" s="113"/>
      <c r="M536" s="113"/>
      <c r="N536" s="113"/>
      <c r="P536" s="113"/>
      <c r="Q536" s="113"/>
      <c r="R536" s="113"/>
      <c r="T536" s="113"/>
      <c r="U536" s="113"/>
      <c r="V536" s="113"/>
    </row>
    <row r="537" customFormat="false" ht="15" hidden="false" customHeight="true" outlineLevel="0" collapsed="false">
      <c r="H537" s="113"/>
      <c r="I537" s="113"/>
      <c r="J537" s="113"/>
      <c r="L537" s="113"/>
      <c r="M537" s="113"/>
      <c r="N537" s="113"/>
      <c r="P537" s="113"/>
      <c r="Q537" s="113"/>
      <c r="R537" s="113"/>
      <c r="T537" s="113"/>
      <c r="U537" s="113"/>
      <c r="V537" s="113"/>
    </row>
    <row r="538" customFormat="false" ht="15" hidden="false" customHeight="true" outlineLevel="0" collapsed="false">
      <c r="H538" s="113"/>
      <c r="I538" s="113"/>
      <c r="J538" s="113"/>
      <c r="L538" s="113"/>
      <c r="M538" s="113"/>
      <c r="N538" s="113"/>
      <c r="P538" s="113"/>
      <c r="Q538" s="113"/>
      <c r="R538" s="113"/>
      <c r="T538" s="113"/>
      <c r="U538" s="113"/>
      <c r="V538" s="113"/>
    </row>
    <row r="539" customFormat="false" ht="15" hidden="false" customHeight="true" outlineLevel="0" collapsed="false">
      <c r="H539" s="113"/>
      <c r="I539" s="113"/>
      <c r="J539" s="113"/>
      <c r="L539" s="113"/>
      <c r="M539" s="113"/>
      <c r="N539" s="113"/>
      <c r="P539" s="113"/>
      <c r="Q539" s="113"/>
      <c r="R539" s="113"/>
      <c r="T539" s="113"/>
      <c r="U539" s="113"/>
      <c r="V539" s="113"/>
    </row>
    <row r="540" customFormat="false" ht="15" hidden="false" customHeight="true" outlineLevel="0" collapsed="false">
      <c r="H540" s="113"/>
      <c r="I540" s="113"/>
      <c r="J540" s="113"/>
      <c r="L540" s="113"/>
      <c r="M540" s="113"/>
      <c r="N540" s="113"/>
      <c r="P540" s="113"/>
      <c r="Q540" s="113"/>
      <c r="R540" s="113"/>
      <c r="T540" s="113"/>
      <c r="U540" s="113"/>
      <c r="V540" s="113"/>
    </row>
    <row r="541" customFormat="false" ht="15" hidden="false" customHeight="true" outlineLevel="0" collapsed="false">
      <c r="H541" s="113"/>
      <c r="I541" s="113"/>
      <c r="J541" s="113"/>
      <c r="L541" s="113"/>
      <c r="M541" s="113"/>
      <c r="N541" s="113"/>
      <c r="P541" s="113"/>
      <c r="Q541" s="113"/>
      <c r="R541" s="113"/>
      <c r="T541" s="113"/>
      <c r="U541" s="113"/>
      <c r="V541" s="113"/>
    </row>
    <row r="542" customFormat="false" ht="15" hidden="false" customHeight="true" outlineLevel="0" collapsed="false">
      <c r="H542" s="113"/>
      <c r="I542" s="113"/>
      <c r="J542" s="113"/>
      <c r="L542" s="113"/>
      <c r="M542" s="113"/>
      <c r="N542" s="113"/>
      <c r="P542" s="113"/>
      <c r="Q542" s="113"/>
      <c r="R542" s="113"/>
      <c r="T542" s="113"/>
      <c r="U542" s="113"/>
      <c r="V542" s="113"/>
    </row>
    <row r="543" customFormat="false" ht="15" hidden="false" customHeight="true" outlineLevel="0" collapsed="false">
      <c r="H543" s="113"/>
      <c r="I543" s="113"/>
      <c r="J543" s="113"/>
      <c r="L543" s="113"/>
      <c r="M543" s="113"/>
      <c r="N543" s="113"/>
      <c r="P543" s="113"/>
      <c r="Q543" s="113"/>
      <c r="R543" s="113"/>
      <c r="T543" s="113"/>
      <c r="U543" s="113"/>
      <c r="V543" s="113"/>
    </row>
    <row r="544" customFormat="false" ht="15" hidden="false" customHeight="true" outlineLevel="0" collapsed="false">
      <c r="H544" s="113"/>
      <c r="I544" s="113"/>
      <c r="J544" s="113"/>
      <c r="L544" s="113"/>
      <c r="M544" s="113"/>
      <c r="N544" s="113"/>
      <c r="P544" s="113"/>
      <c r="Q544" s="113"/>
      <c r="R544" s="113"/>
      <c r="T544" s="113"/>
      <c r="U544" s="113"/>
      <c r="V544" s="113"/>
    </row>
    <row r="545" customFormat="false" ht="15" hidden="false" customHeight="true" outlineLevel="0" collapsed="false">
      <c r="H545" s="113"/>
      <c r="I545" s="113"/>
      <c r="J545" s="113"/>
      <c r="L545" s="113"/>
      <c r="M545" s="113"/>
      <c r="N545" s="113"/>
      <c r="P545" s="113"/>
      <c r="Q545" s="113"/>
      <c r="R545" s="113"/>
      <c r="T545" s="113"/>
      <c r="U545" s="113"/>
      <c r="V545" s="113"/>
    </row>
    <row r="546" customFormat="false" ht="15" hidden="false" customHeight="true" outlineLevel="0" collapsed="false">
      <c r="H546" s="113"/>
      <c r="I546" s="113"/>
      <c r="J546" s="113"/>
      <c r="L546" s="113"/>
      <c r="M546" s="113"/>
      <c r="N546" s="113"/>
      <c r="P546" s="113"/>
      <c r="Q546" s="113"/>
      <c r="R546" s="113"/>
      <c r="T546" s="113"/>
      <c r="U546" s="113"/>
      <c r="V546" s="113"/>
    </row>
    <row r="547" customFormat="false" ht="15" hidden="false" customHeight="true" outlineLevel="0" collapsed="false">
      <c r="H547" s="113"/>
      <c r="I547" s="113"/>
      <c r="J547" s="113"/>
      <c r="L547" s="113"/>
      <c r="M547" s="113"/>
      <c r="N547" s="113"/>
      <c r="P547" s="113"/>
      <c r="Q547" s="113"/>
      <c r="R547" s="113"/>
      <c r="T547" s="113"/>
      <c r="U547" s="113"/>
      <c r="V547" s="113"/>
    </row>
    <row r="548" customFormat="false" ht="15" hidden="false" customHeight="true" outlineLevel="0" collapsed="false">
      <c r="H548" s="113"/>
      <c r="I548" s="113"/>
      <c r="J548" s="113"/>
      <c r="L548" s="113"/>
      <c r="M548" s="113"/>
      <c r="N548" s="113"/>
      <c r="P548" s="113"/>
      <c r="Q548" s="113"/>
      <c r="R548" s="113"/>
      <c r="T548" s="113"/>
      <c r="U548" s="113"/>
      <c r="V548" s="113"/>
    </row>
    <row r="549" customFormat="false" ht="15" hidden="false" customHeight="true" outlineLevel="0" collapsed="false">
      <c r="H549" s="113"/>
      <c r="I549" s="113"/>
      <c r="J549" s="113"/>
      <c r="L549" s="113"/>
      <c r="M549" s="113"/>
      <c r="N549" s="113"/>
      <c r="P549" s="113"/>
      <c r="Q549" s="113"/>
      <c r="R549" s="113"/>
      <c r="T549" s="113"/>
      <c r="U549" s="113"/>
      <c r="V549" s="113"/>
    </row>
    <row r="550" customFormat="false" ht="15" hidden="false" customHeight="true" outlineLevel="0" collapsed="false">
      <c r="H550" s="113"/>
      <c r="I550" s="113"/>
      <c r="J550" s="113"/>
      <c r="L550" s="113"/>
      <c r="M550" s="113"/>
      <c r="N550" s="113"/>
      <c r="P550" s="113"/>
      <c r="Q550" s="113"/>
      <c r="R550" s="113"/>
      <c r="T550" s="113"/>
      <c r="U550" s="113"/>
      <c r="V550" s="113"/>
    </row>
    <row r="551" customFormat="false" ht="15" hidden="false" customHeight="true" outlineLevel="0" collapsed="false">
      <c r="H551" s="113"/>
      <c r="I551" s="113"/>
      <c r="J551" s="113"/>
      <c r="L551" s="113"/>
      <c r="M551" s="113"/>
      <c r="N551" s="113"/>
      <c r="P551" s="113"/>
      <c r="Q551" s="113"/>
      <c r="R551" s="113"/>
      <c r="T551" s="113"/>
      <c r="U551" s="113"/>
      <c r="V551" s="113"/>
    </row>
    <row r="552" customFormat="false" ht="15" hidden="false" customHeight="true" outlineLevel="0" collapsed="false">
      <c r="H552" s="113"/>
      <c r="I552" s="113"/>
      <c r="J552" s="113"/>
      <c r="L552" s="113"/>
      <c r="M552" s="113"/>
      <c r="N552" s="113"/>
      <c r="P552" s="113"/>
      <c r="Q552" s="113"/>
      <c r="R552" s="113"/>
      <c r="T552" s="113"/>
      <c r="U552" s="113"/>
      <c r="V552" s="113"/>
    </row>
    <row r="553" customFormat="false" ht="15" hidden="false" customHeight="true" outlineLevel="0" collapsed="false">
      <c r="H553" s="113"/>
      <c r="I553" s="113"/>
      <c r="J553" s="113"/>
      <c r="L553" s="113"/>
      <c r="M553" s="113"/>
      <c r="N553" s="113"/>
      <c r="P553" s="113"/>
      <c r="Q553" s="113"/>
      <c r="R553" s="113"/>
      <c r="T553" s="113"/>
      <c r="U553" s="113"/>
      <c r="V553" s="113"/>
    </row>
    <row r="554" customFormat="false" ht="15" hidden="false" customHeight="true" outlineLevel="0" collapsed="false">
      <c r="H554" s="113"/>
      <c r="I554" s="113"/>
      <c r="J554" s="113"/>
      <c r="L554" s="113"/>
      <c r="M554" s="113"/>
      <c r="N554" s="113"/>
      <c r="P554" s="113"/>
      <c r="Q554" s="113"/>
      <c r="R554" s="113"/>
      <c r="T554" s="113"/>
      <c r="U554" s="113"/>
      <c r="V554" s="113"/>
    </row>
    <row r="555" customFormat="false" ht="15" hidden="false" customHeight="true" outlineLevel="0" collapsed="false">
      <c r="H555" s="113"/>
      <c r="I555" s="113"/>
      <c r="J555" s="113"/>
      <c r="L555" s="113"/>
      <c r="M555" s="113"/>
      <c r="N555" s="113"/>
      <c r="P555" s="113"/>
      <c r="Q555" s="113"/>
      <c r="R555" s="113"/>
      <c r="T555" s="113"/>
      <c r="U555" s="113"/>
      <c r="V555" s="113"/>
    </row>
    <row r="556" customFormat="false" ht="15" hidden="false" customHeight="true" outlineLevel="0" collapsed="false">
      <c r="H556" s="113"/>
      <c r="I556" s="113"/>
      <c r="J556" s="113"/>
      <c r="L556" s="113"/>
      <c r="M556" s="113"/>
      <c r="N556" s="113"/>
      <c r="P556" s="113"/>
      <c r="Q556" s="113"/>
      <c r="R556" s="113"/>
      <c r="T556" s="113"/>
      <c r="U556" s="113"/>
      <c r="V556" s="113"/>
    </row>
    <row r="557" customFormat="false" ht="15" hidden="false" customHeight="true" outlineLevel="0" collapsed="false">
      <c r="H557" s="113"/>
      <c r="I557" s="113"/>
      <c r="J557" s="113"/>
      <c r="L557" s="113"/>
      <c r="M557" s="113"/>
      <c r="N557" s="113"/>
      <c r="P557" s="113"/>
      <c r="Q557" s="113"/>
      <c r="R557" s="113"/>
      <c r="T557" s="113"/>
      <c r="U557" s="113"/>
      <c r="V557" s="113"/>
    </row>
    <row r="558" customFormat="false" ht="15" hidden="false" customHeight="true" outlineLevel="0" collapsed="false">
      <c r="H558" s="113"/>
      <c r="I558" s="113"/>
      <c r="J558" s="113"/>
      <c r="L558" s="113"/>
      <c r="M558" s="113"/>
      <c r="N558" s="113"/>
      <c r="P558" s="113"/>
      <c r="Q558" s="113"/>
      <c r="R558" s="113"/>
      <c r="T558" s="113"/>
      <c r="U558" s="113"/>
      <c r="V558" s="113"/>
    </row>
    <row r="559" customFormat="false" ht="15" hidden="false" customHeight="true" outlineLevel="0" collapsed="false">
      <c r="H559" s="113"/>
      <c r="I559" s="113"/>
      <c r="J559" s="113"/>
      <c r="L559" s="113"/>
      <c r="M559" s="113"/>
      <c r="N559" s="113"/>
      <c r="P559" s="113"/>
      <c r="Q559" s="113"/>
      <c r="R559" s="113"/>
      <c r="T559" s="113"/>
      <c r="U559" s="113"/>
      <c r="V559" s="113"/>
    </row>
    <row r="560" customFormat="false" ht="15" hidden="false" customHeight="true" outlineLevel="0" collapsed="false">
      <c r="H560" s="113"/>
      <c r="I560" s="113"/>
      <c r="J560" s="113"/>
      <c r="L560" s="113"/>
      <c r="M560" s="113"/>
      <c r="N560" s="113"/>
      <c r="P560" s="113"/>
      <c r="Q560" s="113"/>
      <c r="R560" s="113"/>
      <c r="T560" s="113"/>
      <c r="U560" s="113"/>
      <c r="V560" s="113"/>
    </row>
    <row r="561" customFormat="false" ht="15" hidden="false" customHeight="true" outlineLevel="0" collapsed="false">
      <c r="H561" s="113"/>
      <c r="I561" s="113"/>
      <c r="J561" s="113"/>
      <c r="L561" s="113"/>
      <c r="M561" s="113"/>
      <c r="N561" s="113"/>
      <c r="P561" s="113"/>
      <c r="Q561" s="113"/>
      <c r="R561" s="113"/>
      <c r="T561" s="113"/>
      <c r="U561" s="113"/>
      <c r="V561" s="113"/>
    </row>
    <row r="562" customFormat="false" ht="15" hidden="false" customHeight="true" outlineLevel="0" collapsed="false">
      <c r="H562" s="113"/>
      <c r="I562" s="113"/>
      <c r="J562" s="113"/>
      <c r="L562" s="113"/>
      <c r="M562" s="113"/>
      <c r="N562" s="113"/>
      <c r="P562" s="113"/>
      <c r="Q562" s="113"/>
      <c r="R562" s="113"/>
      <c r="T562" s="113"/>
      <c r="U562" s="113"/>
      <c r="V562" s="113"/>
    </row>
    <row r="563" customFormat="false" ht="15" hidden="false" customHeight="true" outlineLevel="0" collapsed="false">
      <c r="H563" s="113"/>
      <c r="I563" s="113"/>
      <c r="J563" s="113"/>
      <c r="L563" s="113"/>
      <c r="M563" s="113"/>
      <c r="N563" s="113"/>
      <c r="P563" s="113"/>
      <c r="Q563" s="113"/>
      <c r="R563" s="113"/>
      <c r="T563" s="113"/>
      <c r="U563" s="113"/>
      <c r="V563" s="113"/>
    </row>
    <row r="564" customFormat="false" ht="15" hidden="false" customHeight="true" outlineLevel="0" collapsed="false">
      <c r="H564" s="113"/>
      <c r="I564" s="113"/>
      <c r="J564" s="113"/>
      <c r="L564" s="113"/>
      <c r="M564" s="113"/>
      <c r="N564" s="113"/>
      <c r="P564" s="113"/>
      <c r="Q564" s="113"/>
      <c r="R564" s="113"/>
      <c r="T564" s="113"/>
      <c r="U564" s="113"/>
      <c r="V564" s="113"/>
    </row>
    <row r="565" customFormat="false" ht="15" hidden="false" customHeight="true" outlineLevel="0" collapsed="false">
      <c r="H565" s="113"/>
      <c r="I565" s="113"/>
      <c r="J565" s="113"/>
      <c r="L565" s="113"/>
      <c r="M565" s="113"/>
      <c r="N565" s="113"/>
      <c r="P565" s="113"/>
      <c r="Q565" s="113"/>
      <c r="R565" s="113"/>
      <c r="T565" s="113"/>
      <c r="U565" s="113"/>
      <c r="V565" s="113"/>
    </row>
    <row r="566" customFormat="false" ht="15" hidden="false" customHeight="true" outlineLevel="0" collapsed="false">
      <c r="H566" s="113"/>
      <c r="I566" s="113"/>
      <c r="J566" s="113"/>
      <c r="L566" s="113"/>
      <c r="M566" s="113"/>
      <c r="N566" s="113"/>
      <c r="P566" s="113"/>
      <c r="Q566" s="113"/>
      <c r="R566" s="113"/>
      <c r="T566" s="113"/>
      <c r="U566" s="113"/>
      <c r="V566" s="113"/>
    </row>
    <row r="567" customFormat="false" ht="15" hidden="false" customHeight="true" outlineLevel="0" collapsed="false">
      <c r="H567" s="113"/>
      <c r="I567" s="113"/>
      <c r="J567" s="113"/>
      <c r="L567" s="113"/>
      <c r="M567" s="113"/>
      <c r="N567" s="113"/>
      <c r="P567" s="113"/>
      <c r="Q567" s="113"/>
      <c r="R567" s="113"/>
      <c r="T567" s="113"/>
      <c r="U567" s="113"/>
      <c r="V567" s="113"/>
    </row>
    <row r="568" customFormat="false" ht="15" hidden="false" customHeight="true" outlineLevel="0" collapsed="false">
      <c r="H568" s="113"/>
      <c r="I568" s="113"/>
      <c r="J568" s="113"/>
      <c r="L568" s="113"/>
      <c r="M568" s="113"/>
      <c r="N568" s="113"/>
      <c r="P568" s="113"/>
      <c r="Q568" s="113"/>
      <c r="R568" s="113"/>
      <c r="T568" s="113"/>
      <c r="U568" s="113"/>
      <c r="V568" s="113"/>
    </row>
    <row r="569" customFormat="false" ht="15" hidden="false" customHeight="true" outlineLevel="0" collapsed="false">
      <c r="H569" s="113"/>
      <c r="I569" s="113"/>
      <c r="J569" s="113"/>
      <c r="L569" s="113"/>
      <c r="M569" s="113"/>
      <c r="N569" s="113"/>
      <c r="P569" s="113"/>
      <c r="Q569" s="113"/>
      <c r="R569" s="113"/>
      <c r="T569" s="113"/>
      <c r="U569" s="113"/>
      <c r="V569" s="113"/>
    </row>
    <row r="570" customFormat="false" ht="15" hidden="false" customHeight="true" outlineLevel="0" collapsed="false">
      <c r="H570" s="113"/>
      <c r="I570" s="113"/>
      <c r="J570" s="113"/>
      <c r="L570" s="113"/>
      <c r="M570" s="113"/>
      <c r="N570" s="113"/>
      <c r="P570" s="113"/>
      <c r="Q570" s="113"/>
      <c r="R570" s="113"/>
      <c r="T570" s="113"/>
      <c r="U570" s="113"/>
      <c r="V570" s="113"/>
    </row>
    <row r="571" customFormat="false" ht="15" hidden="false" customHeight="true" outlineLevel="0" collapsed="false">
      <c r="H571" s="113"/>
      <c r="I571" s="113"/>
      <c r="J571" s="113"/>
      <c r="L571" s="113"/>
      <c r="M571" s="113"/>
      <c r="N571" s="113"/>
      <c r="P571" s="113"/>
      <c r="Q571" s="113"/>
      <c r="R571" s="113"/>
      <c r="T571" s="113"/>
      <c r="U571" s="113"/>
      <c r="V571" s="113"/>
    </row>
    <row r="572" customFormat="false" ht="15" hidden="false" customHeight="true" outlineLevel="0" collapsed="false">
      <c r="H572" s="113"/>
      <c r="I572" s="113"/>
      <c r="J572" s="113"/>
      <c r="L572" s="113"/>
      <c r="M572" s="113"/>
      <c r="N572" s="113"/>
      <c r="P572" s="113"/>
      <c r="Q572" s="113"/>
      <c r="R572" s="113"/>
      <c r="T572" s="113"/>
      <c r="U572" s="113"/>
      <c r="V572" s="113"/>
    </row>
    <row r="573" customFormat="false" ht="15" hidden="false" customHeight="true" outlineLevel="0" collapsed="false">
      <c r="H573" s="113"/>
      <c r="I573" s="113"/>
      <c r="J573" s="113"/>
      <c r="L573" s="113"/>
      <c r="M573" s="113"/>
      <c r="N573" s="113"/>
      <c r="P573" s="113"/>
      <c r="Q573" s="113"/>
      <c r="R573" s="113"/>
      <c r="T573" s="113"/>
      <c r="U573" s="113"/>
      <c r="V573" s="113"/>
    </row>
    <row r="574" customFormat="false" ht="15" hidden="false" customHeight="true" outlineLevel="0" collapsed="false">
      <c r="H574" s="113"/>
      <c r="I574" s="113"/>
      <c r="J574" s="113"/>
      <c r="L574" s="113"/>
      <c r="M574" s="113"/>
      <c r="N574" s="113"/>
      <c r="P574" s="113"/>
      <c r="Q574" s="113"/>
      <c r="R574" s="113"/>
      <c r="T574" s="113"/>
      <c r="U574" s="113"/>
      <c r="V574" s="113"/>
    </row>
    <row r="575" customFormat="false" ht="15" hidden="false" customHeight="true" outlineLevel="0" collapsed="false">
      <c r="H575" s="113"/>
      <c r="I575" s="113"/>
      <c r="J575" s="113"/>
      <c r="L575" s="113"/>
      <c r="M575" s="113"/>
      <c r="N575" s="113"/>
      <c r="P575" s="113"/>
      <c r="Q575" s="113"/>
      <c r="R575" s="113"/>
      <c r="T575" s="113"/>
      <c r="U575" s="113"/>
      <c r="V575" s="113"/>
    </row>
    <row r="576" customFormat="false" ht="15" hidden="false" customHeight="true" outlineLevel="0" collapsed="false">
      <c r="H576" s="113"/>
      <c r="I576" s="113"/>
      <c r="J576" s="113"/>
      <c r="L576" s="113"/>
      <c r="M576" s="113"/>
      <c r="N576" s="113"/>
      <c r="P576" s="113"/>
      <c r="Q576" s="113"/>
      <c r="R576" s="113"/>
      <c r="T576" s="113"/>
      <c r="U576" s="113"/>
      <c r="V576" s="113"/>
    </row>
    <row r="577" customFormat="false" ht="15" hidden="false" customHeight="true" outlineLevel="0" collapsed="false">
      <c r="H577" s="113"/>
      <c r="I577" s="113"/>
      <c r="J577" s="113"/>
      <c r="L577" s="113"/>
      <c r="M577" s="113"/>
      <c r="N577" s="113"/>
      <c r="P577" s="113"/>
      <c r="Q577" s="113"/>
      <c r="R577" s="113"/>
      <c r="T577" s="113"/>
      <c r="U577" s="113"/>
      <c r="V577" s="113"/>
    </row>
    <row r="578" customFormat="false" ht="15" hidden="false" customHeight="true" outlineLevel="0" collapsed="false">
      <c r="H578" s="113"/>
      <c r="I578" s="113"/>
      <c r="J578" s="113"/>
      <c r="L578" s="113"/>
      <c r="M578" s="113"/>
      <c r="N578" s="113"/>
      <c r="P578" s="113"/>
      <c r="Q578" s="113"/>
      <c r="R578" s="113"/>
      <c r="T578" s="113"/>
      <c r="U578" s="113"/>
      <c r="V578" s="113"/>
    </row>
    <row r="579" customFormat="false" ht="15" hidden="false" customHeight="true" outlineLevel="0" collapsed="false">
      <c r="H579" s="113"/>
      <c r="I579" s="113"/>
      <c r="J579" s="113"/>
      <c r="L579" s="113"/>
      <c r="M579" s="113"/>
      <c r="N579" s="113"/>
      <c r="P579" s="113"/>
      <c r="Q579" s="113"/>
      <c r="R579" s="113"/>
      <c r="T579" s="113"/>
      <c r="U579" s="113"/>
      <c r="V579" s="113"/>
    </row>
    <row r="580" customFormat="false" ht="15" hidden="false" customHeight="true" outlineLevel="0" collapsed="false">
      <c r="H580" s="113"/>
      <c r="I580" s="113"/>
      <c r="J580" s="113"/>
      <c r="L580" s="113"/>
      <c r="M580" s="113"/>
      <c r="N580" s="113"/>
      <c r="P580" s="113"/>
      <c r="Q580" s="113"/>
      <c r="R580" s="113"/>
      <c r="T580" s="113"/>
      <c r="U580" s="113"/>
      <c r="V580" s="113"/>
    </row>
    <row r="581" customFormat="false" ht="15" hidden="false" customHeight="true" outlineLevel="0" collapsed="false">
      <c r="H581" s="113"/>
      <c r="I581" s="113"/>
      <c r="J581" s="113"/>
      <c r="L581" s="113"/>
      <c r="M581" s="113"/>
      <c r="N581" s="113"/>
      <c r="P581" s="113"/>
      <c r="Q581" s="113"/>
      <c r="R581" s="113"/>
      <c r="T581" s="113"/>
      <c r="U581" s="113"/>
      <c r="V581" s="113"/>
    </row>
    <row r="582" customFormat="false" ht="15" hidden="false" customHeight="true" outlineLevel="0" collapsed="false">
      <c r="H582" s="113"/>
      <c r="I582" s="113"/>
      <c r="J582" s="113"/>
      <c r="L582" s="113"/>
      <c r="M582" s="113"/>
      <c r="N582" s="113"/>
      <c r="P582" s="113"/>
      <c r="Q582" s="113"/>
      <c r="R582" s="113"/>
      <c r="T582" s="113"/>
      <c r="U582" s="113"/>
      <c r="V582" s="113"/>
    </row>
    <row r="583" customFormat="false" ht="15" hidden="false" customHeight="true" outlineLevel="0" collapsed="false">
      <c r="H583" s="113"/>
      <c r="I583" s="113"/>
      <c r="J583" s="113"/>
      <c r="L583" s="113"/>
      <c r="M583" s="113"/>
      <c r="N583" s="113"/>
      <c r="P583" s="113"/>
      <c r="Q583" s="113"/>
      <c r="R583" s="113"/>
      <c r="T583" s="113"/>
      <c r="U583" s="113"/>
      <c r="V583" s="113"/>
    </row>
    <row r="584" customFormat="false" ht="15" hidden="false" customHeight="true" outlineLevel="0" collapsed="false">
      <c r="H584" s="113"/>
      <c r="I584" s="113"/>
      <c r="J584" s="113"/>
      <c r="L584" s="113"/>
      <c r="M584" s="113"/>
      <c r="N584" s="113"/>
      <c r="P584" s="113"/>
      <c r="Q584" s="113"/>
      <c r="R584" s="113"/>
      <c r="T584" s="113"/>
      <c r="U584" s="113"/>
      <c r="V584" s="113"/>
    </row>
    <row r="585" customFormat="false" ht="15" hidden="false" customHeight="true" outlineLevel="0" collapsed="false">
      <c r="H585" s="113"/>
      <c r="I585" s="113"/>
      <c r="J585" s="113"/>
      <c r="L585" s="113"/>
      <c r="M585" s="113"/>
      <c r="N585" s="113"/>
      <c r="P585" s="113"/>
      <c r="Q585" s="113"/>
      <c r="R585" s="113"/>
      <c r="T585" s="113"/>
      <c r="U585" s="113"/>
      <c r="V585" s="113"/>
    </row>
    <row r="586" customFormat="false" ht="15" hidden="false" customHeight="true" outlineLevel="0" collapsed="false">
      <c r="H586" s="113"/>
      <c r="I586" s="113"/>
      <c r="J586" s="113"/>
      <c r="L586" s="113"/>
      <c r="M586" s="113"/>
      <c r="N586" s="113"/>
      <c r="P586" s="113"/>
      <c r="Q586" s="113"/>
      <c r="R586" s="113"/>
      <c r="T586" s="113"/>
      <c r="U586" s="113"/>
      <c r="V586" s="113"/>
    </row>
    <row r="587" customFormat="false" ht="15" hidden="false" customHeight="true" outlineLevel="0" collapsed="false">
      <c r="H587" s="113"/>
      <c r="I587" s="113"/>
      <c r="J587" s="113"/>
      <c r="L587" s="113"/>
      <c r="M587" s="113"/>
      <c r="N587" s="113"/>
      <c r="P587" s="113"/>
      <c r="Q587" s="113"/>
      <c r="R587" s="113"/>
      <c r="T587" s="113"/>
      <c r="U587" s="113"/>
      <c r="V587" s="113"/>
    </row>
    <row r="588" customFormat="false" ht="15" hidden="false" customHeight="true" outlineLevel="0" collapsed="false">
      <c r="H588" s="113"/>
      <c r="I588" s="113"/>
      <c r="J588" s="113"/>
      <c r="L588" s="113"/>
      <c r="M588" s="113"/>
      <c r="N588" s="113"/>
      <c r="P588" s="113"/>
      <c r="Q588" s="113"/>
      <c r="R588" s="113"/>
      <c r="T588" s="113"/>
      <c r="U588" s="113"/>
      <c r="V588" s="113"/>
    </row>
    <row r="589" customFormat="false" ht="15" hidden="false" customHeight="true" outlineLevel="0" collapsed="false">
      <c r="H589" s="113"/>
      <c r="I589" s="113"/>
      <c r="J589" s="113"/>
      <c r="L589" s="113"/>
      <c r="M589" s="113"/>
      <c r="N589" s="113"/>
      <c r="P589" s="113"/>
      <c r="Q589" s="113"/>
      <c r="R589" s="113"/>
      <c r="T589" s="113"/>
      <c r="U589" s="113"/>
      <c r="V589" s="113"/>
    </row>
    <row r="590" customFormat="false" ht="15" hidden="false" customHeight="true" outlineLevel="0" collapsed="false">
      <c r="H590" s="113"/>
      <c r="I590" s="113"/>
      <c r="J590" s="113"/>
      <c r="L590" s="113"/>
      <c r="M590" s="113"/>
      <c r="N590" s="113"/>
      <c r="P590" s="113"/>
      <c r="Q590" s="113"/>
      <c r="R590" s="113"/>
      <c r="T590" s="113"/>
      <c r="U590" s="113"/>
      <c r="V590" s="113"/>
    </row>
    <row r="591" customFormat="false" ht="15" hidden="false" customHeight="true" outlineLevel="0" collapsed="false">
      <c r="H591" s="113"/>
      <c r="I591" s="113"/>
      <c r="J591" s="113"/>
      <c r="L591" s="113"/>
      <c r="M591" s="113"/>
      <c r="N591" s="113"/>
      <c r="P591" s="113"/>
      <c r="Q591" s="113"/>
      <c r="R591" s="113"/>
      <c r="T591" s="113"/>
      <c r="U591" s="113"/>
      <c r="V591" s="113"/>
    </row>
    <row r="592" customFormat="false" ht="15" hidden="false" customHeight="true" outlineLevel="0" collapsed="false">
      <c r="H592" s="113"/>
      <c r="I592" s="113"/>
      <c r="J592" s="113"/>
      <c r="L592" s="113"/>
      <c r="M592" s="113"/>
      <c r="N592" s="113"/>
      <c r="P592" s="113"/>
      <c r="Q592" s="113"/>
      <c r="R592" s="113"/>
      <c r="T592" s="113"/>
      <c r="U592" s="113"/>
      <c r="V592" s="113"/>
    </row>
    <row r="593" customFormat="false" ht="15" hidden="false" customHeight="true" outlineLevel="0" collapsed="false">
      <c r="H593" s="113"/>
      <c r="I593" s="113"/>
      <c r="J593" s="113"/>
      <c r="L593" s="113"/>
      <c r="M593" s="113"/>
      <c r="N593" s="113"/>
      <c r="P593" s="113"/>
      <c r="Q593" s="113"/>
      <c r="R593" s="113"/>
      <c r="T593" s="113"/>
      <c r="U593" s="113"/>
      <c r="V593" s="113"/>
    </row>
    <row r="594" customFormat="false" ht="15" hidden="false" customHeight="true" outlineLevel="0" collapsed="false">
      <c r="H594" s="113"/>
      <c r="I594" s="113"/>
      <c r="J594" s="113"/>
      <c r="L594" s="113"/>
      <c r="M594" s="113"/>
      <c r="N594" s="113"/>
      <c r="P594" s="113"/>
      <c r="Q594" s="113"/>
      <c r="R594" s="113"/>
      <c r="T594" s="113"/>
      <c r="U594" s="113"/>
      <c r="V594" s="113"/>
    </row>
    <row r="595" customFormat="false" ht="15" hidden="false" customHeight="true" outlineLevel="0" collapsed="false">
      <c r="H595" s="113"/>
      <c r="I595" s="113"/>
      <c r="J595" s="113"/>
      <c r="L595" s="113"/>
      <c r="M595" s="113"/>
      <c r="N595" s="113"/>
      <c r="P595" s="113"/>
      <c r="Q595" s="113"/>
      <c r="R595" s="113"/>
      <c r="T595" s="113"/>
      <c r="U595" s="113"/>
      <c r="V595" s="113"/>
    </row>
    <row r="596" customFormat="false" ht="15" hidden="false" customHeight="true" outlineLevel="0" collapsed="false">
      <c r="H596" s="113"/>
      <c r="I596" s="113"/>
      <c r="J596" s="113"/>
      <c r="L596" s="113"/>
      <c r="M596" s="113"/>
      <c r="N596" s="113"/>
      <c r="P596" s="113"/>
      <c r="Q596" s="113"/>
      <c r="R596" s="113"/>
      <c r="T596" s="113"/>
      <c r="U596" s="113"/>
      <c r="V596" s="113"/>
    </row>
    <row r="597" customFormat="false" ht="15" hidden="false" customHeight="true" outlineLevel="0" collapsed="false">
      <c r="H597" s="113"/>
      <c r="I597" s="113"/>
      <c r="J597" s="113"/>
      <c r="L597" s="113"/>
      <c r="M597" s="113"/>
      <c r="N597" s="113"/>
      <c r="P597" s="113"/>
      <c r="Q597" s="113"/>
      <c r="R597" s="113"/>
      <c r="T597" s="113"/>
      <c r="U597" s="113"/>
      <c r="V597" s="113"/>
    </row>
    <row r="598" customFormat="false" ht="15" hidden="false" customHeight="true" outlineLevel="0" collapsed="false">
      <c r="H598" s="113"/>
      <c r="I598" s="113"/>
      <c r="J598" s="113"/>
      <c r="L598" s="113"/>
      <c r="M598" s="113"/>
      <c r="N598" s="113"/>
      <c r="P598" s="113"/>
      <c r="Q598" s="113"/>
      <c r="R598" s="113"/>
      <c r="T598" s="113"/>
      <c r="U598" s="113"/>
      <c r="V598" s="113"/>
    </row>
    <row r="599" customFormat="false" ht="15" hidden="false" customHeight="true" outlineLevel="0" collapsed="false">
      <c r="H599" s="113"/>
      <c r="I599" s="113"/>
      <c r="J599" s="113"/>
      <c r="L599" s="113"/>
      <c r="M599" s="113"/>
      <c r="N599" s="113"/>
      <c r="P599" s="113"/>
      <c r="Q599" s="113"/>
      <c r="R599" s="113"/>
      <c r="T599" s="113"/>
      <c r="U599" s="113"/>
      <c r="V599" s="113"/>
    </row>
    <row r="600" customFormat="false" ht="15" hidden="false" customHeight="true" outlineLevel="0" collapsed="false">
      <c r="H600" s="113"/>
      <c r="I600" s="113"/>
      <c r="J600" s="113"/>
      <c r="L600" s="113"/>
      <c r="M600" s="113"/>
      <c r="N600" s="113"/>
      <c r="P600" s="113"/>
      <c r="Q600" s="113"/>
      <c r="R600" s="113"/>
      <c r="T600" s="113"/>
      <c r="U600" s="113"/>
      <c r="V600" s="113"/>
    </row>
    <row r="601" customFormat="false" ht="15" hidden="false" customHeight="true" outlineLevel="0" collapsed="false">
      <c r="H601" s="113"/>
      <c r="I601" s="113"/>
      <c r="J601" s="113"/>
      <c r="L601" s="113"/>
      <c r="M601" s="113"/>
      <c r="N601" s="113"/>
      <c r="P601" s="113"/>
      <c r="Q601" s="113"/>
      <c r="R601" s="113"/>
      <c r="T601" s="113"/>
      <c r="U601" s="113"/>
      <c r="V601" s="113"/>
    </row>
    <row r="602" customFormat="false" ht="15" hidden="false" customHeight="true" outlineLevel="0" collapsed="false">
      <c r="H602" s="113"/>
      <c r="I602" s="113"/>
      <c r="J602" s="113"/>
      <c r="L602" s="113"/>
      <c r="M602" s="113"/>
      <c r="N602" s="113"/>
      <c r="P602" s="113"/>
      <c r="Q602" s="113"/>
      <c r="R602" s="113"/>
      <c r="T602" s="113"/>
      <c r="U602" s="113"/>
      <c r="V602" s="113"/>
    </row>
    <row r="603" customFormat="false" ht="15" hidden="false" customHeight="true" outlineLevel="0" collapsed="false">
      <c r="H603" s="113"/>
      <c r="I603" s="113"/>
      <c r="J603" s="113"/>
      <c r="L603" s="113"/>
      <c r="M603" s="113"/>
      <c r="N603" s="113"/>
      <c r="P603" s="113"/>
      <c r="Q603" s="113"/>
      <c r="R603" s="113"/>
      <c r="T603" s="113"/>
      <c r="U603" s="113"/>
      <c r="V603" s="113"/>
    </row>
    <row r="604" customFormat="false" ht="15" hidden="false" customHeight="true" outlineLevel="0" collapsed="false">
      <c r="H604" s="113"/>
      <c r="I604" s="113"/>
      <c r="J604" s="113"/>
      <c r="L604" s="113"/>
      <c r="M604" s="113"/>
      <c r="N604" s="113"/>
      <c r="P604" s="113"/>
      <c r="Q604" s="113"/>
      <c r="R604" s="113"/>
      <c r="T604" s="113"/>
      <c r="U604" s="113"/>
      <c r="V604" s="113"/>
    </row>
    <row r="605" customFormat="false" ht="15" hidden="false" customHeight="true" outlineLevel="0" collapsed="false">
      <c r="H605" s="113"/>
      <c r="I605" s="113"/>
      <c r="J605" s="113"/>
      <c r="L605" s="113"/>
      <c r="M605" s="113"/>
      <c r="N605" s="113"/>
      <c r="P605" s="113"/>
      <c r="Q605" s="113"/>
      <c r="R605" s="113"/>
      <c r="T605" s="113"/>
      <c r="U605" s="113"/>
      <c r="V605" s="113"/>
    </row>
    <row r="606" customFormat="false" ht="15" hidden="false" customHeight="true" outlineLevel="0" collapsed="false">
      <c r="H606" s="113"/>
      <c r="I606" s="113"/>
      <c r="J606" s="113"/>
      <c r="L606" s="113"/>
      <c r="M606" s="113"/>
      <c r="N606" s="113"/>
      <c r="P606" s="113"/>
      <c r="Q606" s="113"/>
      <c r="R606" s="113"/>
      <c r="T606" s="113"/>
      <c r="U606" s="113"/>
      <c r="V606" s="113"/>
    </row>
    <row r="607" customFormat="false" ht="15" hidden="false" customHeight="true" outlineLevel="0" collapsed="false">
      <c r="H607" s="113"/>
      <c r="I607" s="113"/>
      <c r="J607" s="113"/>
      <c r="L607" s="113"/>
      <c r="M607" s="113"/>
      <c r="N607" s="113"/>
      <c r="P607" s="113"/>
      <c r="Q607" s="113"/>
      <c r="R607" s="113"/>
      <c r="T607" s="113"/>
      <c r="U607" s="113"/>
      <c r="V607" s="113"/>
    </row>
    <row r="608" customFormat="false" ht="15" hidden="false" customHeight="true" outlineLevel="0" collapsed="false">
      <c r="H608" s="113"/>
      <c r="I608" s="113"/>
      <c r="J608" s="113"/>
      <c r="L608" s="113"/>
      <c r="M608" s="113"/>
      <c r="N608" s="113"/>
      <c r="P608" s="113"/>
      <c r="Q608" s="113"/>
      <c r="R608" s="113"/>
      <c r="T608" s="113"/>
      <c r="U608" s="113"/>
      <c r="V608" s="113"/>
    </row>
    <row r="609" customFormat="false" ht="15" hidden="false" customHeight="true" outlineLevel="0" collapsed="false">
      <c r="H609" s="113"/>
      <c r="I609" s="113"/>
      <c r="J609" s="113"/>
      <c r="L609" s="113"/>
      <c r="M609" s="113"/>
      <c r="N609" s="113"/>
      <c r="P609" s="113"/>
      <c r="Q609" s="113"/>
      <c r="R609" s="113"/>
      <c r="T609" s="113"/>
      <c r="U609" s="113"/>
      <c r="V609" s="113"/>
    </row>
    <row r="610" customFormat="false" ht="15" hidden="false" customHeight="true" outlineLevel="0" collapsed="false">
      <c r="H610" s="113"/>
      <c r="I610" s="113"/>
      <c r="J610" s="113"/>
      <c r="L610" s="113"/>
      <c r="M610" s="113"/>
      <c r="N610" s="113"/>
      <c r="P610" s="113"/>
      <c r="Q610" s="113"/>
      <c r="R610" s="113"/>
      <c r="T610" s="113"/>
      <c r="U610" s="113"/>
      <c r="V610" s="113"/>
    </row>
    <row r="611" customFormat="false" ht="15" hidden="false" customHeight="true" outlineLevel="0" collapsed="false">
      <c r="H611" s="113"/>
      <c r="I611" s="113"/>
      <c r="J611" s="113"/>
      <c r="L611" s="113"/>
      <c r="M611" s="113"/>
      <c r="N611" s="113"/>
      <c r="P611" s="113"/>
      <c r="Q611" s="113"/>
      <c r="R611" s="113"/>
      <c r="T611" s="113"/>
      <c r="U611" s="113"/>
      <c r="V611" s="113"/>
    </row>
    <row r="612" customFormat="false" ht="15" hidden="false" customHeight="true" outlineLevel="0" collapsed="false">
      <c r="H612" s="113"/>
      <c r="I612" s="113"/>
      <c r="J612" s="113"/>
      <c r="L612" s="113"/>
      <c r="M612" s="113"/>
      <c r="N612" s="113"/>
      <c r="P612" s="113"/>
      <c r="Q612" s="113"/>
      <c r="R612" s="113"/>
      <c r="T612" s="113"/>
      <c r="U612" s="113"/>
      <c r="V612" s="113"/>
    </row>
    <row r="613" customFormat="false" ht="15" hidden="false" customHeight="true" outlineLevel="0" collapsed="false">
      <c r="H613" s="113"/>
      <c r="I613" s="113"/>
      <c r="J613" s="113"/>
      <c r="L613" s="113"/>
      <c r="M613" s="113"/>
      <c r="N613" s="113"/>
      <c r="P613" s="113"/>
      <c r="Q613" s="113"/>
      <c r="R613" s="113"/>
      <c r="T613" s="113"/>
      <c r="U613" s="113"/>
      <c r="V613" s="113"/>
    </row>
    <row r="614" customFormat="false" ht="15" hidden="false" customHeight="true" outlineLevel="0" collapsed="false">
      <c r="H614" s="113"/>
      <c r="I614" s="113"/>
      <c r="J614" s="113"/>
      <c r="L614" s="113"/>
      <c r="M614" s="113"/>
      <c r="N614" s="113"/>
      <c r="P614" s="113"/>
      <c r="Q614" s="113"/>
      <c r="R614" s="113"/>
      <c r="T614" s="113"/>
      <c r="U614" s="113"/>
      <c r="V614" s="113"/>
    </row>
    <row r="615" customFormat="false" ht="15" hidden="false" customHeight="true" outlineLevel="0" collapsed="false">
      <c r="H615" s="113"/>
      <c r="I615" s="113"/>
      <c r="J615" s="113"/>
      <c r="L615" s="113"/>
      <c r="M615" s="113"/>
      <c r="N615" s="113"/>
      <c r="P615" s="113"/>
      <c r="Q615" s="113"/>
      <c r="R615" s="113"/>
      <c r="T615" s="113"/>
      <c r="U615" s="113"/>
      <c r="V615" s="113"/>
    </row>
    <row r="616" customFormat="false" ht="15" hidden="false" customHeight="true" outlineLevel="0" collapsed="false">
      <c r="H616" s="113"/>
      <c r="I616" s="113"/>
      <c r="J616" s="113"/>
      <c r="L616" s="113"/>
      <c r="M616" s="113"/>
      <c r="N616" s="113"/>
      <c r="P616" s="113"/>
      <c r="Q616" s="113"/>
      <c r="R616" s="113"/>
      <c r="T616" s="113"/>
      <c r="U616" s="113"/>
      <c r="V616" s="113"/>
    </row>
    <row r="617" customFormat="false" ht="15" hidden="false" customHeight="true" outlineLevel="0" collapsed="false">
      <c r="H617" s="113"/>
      <c r="I617" s="113"/>
      <c r="J617" s="113"/>
      <c r="L617" s="113"/>
      <c r="M617" s="113"/>
      <c r="N617" s="113"/>
      <c r="P617" s="113"/>
      <c r="Q617" s="113"/>
      <c r="R617" s="113"/>
      <c r="T617" s="113"/>
      <c r="U617" s="113"/>
      <c r="V617" s="113"/>
    </row>
    <row r="618" customFormat="false" ht="15" hidden="false" customHeight="true" outlineLevel="0" collapsed="false">
      <c r="H618" s="113"/>
      <c r="I618" s="113"/>
      <c r="J618" s="113"/>
      <c r="L618" s="113"/>
      <c r="M618" s="113"/>
      <c r="N618" s="113"/>
      <c r="P618" s="113"/>
      <c r="Q618" s="113"/>
      <c r="R618" s="113"/>
      <c r="T618" s="113"/>
      <c r="U618" s="113"/>
      <c r="V618" s="113"/>
    </row>
    <row r="619" customFormat="false" ht="15" hidden="false" customHeight="true" outlineLevel="0" collapsed="false">
      <c r="H619" s="113"/>
      <c r="I619" s="113"/>
      <c r="J619" s="113"/>
      <c r="L619" s="113"/>
      <c r="M619" s="113"/>
      <c r="N619" s="113"/>
      <c r="P619" s="113"/>
      <c r="Q619" s="113"/>
      <c r="R619" s="113"/>
      <c r="T619" s="113"/>
      <c r="U619" s="113"/>
      <c r="V619" s="113"/>
    </row>
    <row r="620" customFormat="false" ht="15" hidden="false" customHeight="true" outlineLevel="0" collapsed="false">
      <c r="H620" s="113"/>
      <c r="I620" s="113"/>
      <c r="J620" s="113"/>
      <c r="L620" s="113"/>
      <c r="M620" s="113"/>
      <c r="N620" s="113"/>
      <c r="P620" s="113"/>
      <c r="Q620" s="113"/>
      <c r="R620" s="113"/>
      <c r="T620" s="113"/>
      <c r="U620" s="113"/>
      <c r="V620" s="113"/>
    </row>
    <row r="621" customFormat="false" ht="15" hidden="false" customHeight="true" outlineLevel="0" collapsed="false">
      <c r="H621" s="113"/>
      <c r="I621" s="113"/>
      <c r="J621" s="113"/>
      <c r="L621" s="113"/>
      <c r="M621" s="113"/>
      <c r="N621" s="113"/>
      <c r="P621" s="113"/>
      <c r="Q621" s="113"/>
      <c r="R621" s="113"/>
      <c r="T621" s="113"/>
      <c r="U621" s="113"/>
      <c r="V621" s="113"/>
    </row>
    <row r="622" customFormat="false" ht="15" hidden="false" customHeight="true" outlineLevel="0" collapsed="false">
      <c r="H622" s="113"/>
      <c r="I622" s="113"/>
      <c r="J622" s="113"/>
      <c r="L622" s="113"/>
      <c r="M622" s="113"/>
      <c r="N622" s="113"/>
      <c r="P622" s="113"/>
      <c r="Q622" s="113"/>
      <c r="R622" s="113"/>
      <c r="T622" s="113"/>
      <c r="U622" s="113"/>
      <c r="V622" s="113"/>
    </row>
    <row r="623" customFormat="false" ht="15" hidden="false" customHeight="true" outlineLevel="0" collapsed="false">
      <c r="H623" s="113"/>
      <c r="I623" s="113"/>
      <c r="J623" s="113"/>
      <c r="L623" s="113"/>
      <c r="M623" s="113"/>
      <c r="N623" s="113"/>
      <c r="P623" s="113"/>
      <c r="Q623" s="113"/>
      <c r="R623" s="113"/>
      <c r="T623" s="113"/>
      <c r="U623" s="113"/>
      <c r="V623" s="113"/>
    </row>
    <row r="624" customFormat="false" ht="15" hidden="false" customHeight="true" outlineLevel="0" collapsed="false">
      <c r="H624" s="113"/>
      <c r="I624" s="113"/>
      <c r="J624" s="113"/>
      <c r="L624" s="113"/>
      <c r="M624" s="113"/>
      <c r="N624" s="113"/>
      <c r="P624" s="113"/>
      <c r="Q624" s="113"/>
      <c r="R624" s="113"/>
      <c r="T624" s="113"/>
      <c r="U624" s="113"/>
      <c r="V624" s="113"/>
    </row>
    <row r="625" customFormat="false" ht="15" hidden="false" customHeight="true" outlineLevel="0" collapsed="false">
      <c r="H625" s="113"/>
      <c r="I625" s="113"/>
      <c r="J625" s="113"/>
      <c r="L625" s="113"/>
      <c r="M625" s="113"/>
      <c r="N625" s="113"/>
      <c r="P625" s="113"/>
      <c r="Q625" s="113"/>
      <c r="R625" s="113"/>
      <c r="T625" s="113"/>
      <c r="U625" s="113"/>
      <c r="V625" s="113"/>
    </row>
    <row r="626" customFormat="false" ht="15" hidden="false" customHeight="true" outlineLevel="0" collapsed="false">
      <c r="H626" s="113"/>
      <c r="I626" s="113"/>
      <c r="J626" s="113"/>
      <c r="L626" s="113"/>
      <c r="M626" s="113"/>
      <c r="N626" s="113"/>
      <c r="P626" s="113"/>
      <c r="Q626" s="113"/>
      <c r="R626" s="113"/>
      <c r="T626" s="113"/>
      <c r="U626" s="113"/>
      <c r="V626" s="113"/>
    </row>
    <row r="627" customFormat="false" ht="15" hidden="false" customHeight="true" outlineLevel="0" collapsed="false">
      <c r="H627" s="113"/>
      <c r="I627" s="113"/>
      <c r="J627" s="113"/>
      <c r="L627" s="113"/>
      <c r="M627" s="113"/>
      <c r="N627" s="113"/>
      <c r="P627" s="113"/>
      <c r="Q627" s="113"/>
      <c r="R627" s="113"/>
      <c r="T627" s="113"/>
      <c r="U627" s="113"/>
      <c r="V627" s="113"/>
    </row>
    <row r="628" customFormat="false" ht="15" hidden="false" customHeight="true" outlineLevel="0" collapsed="false">
      <c r="H628" s="113"/>
      <c r="I628" s="113"/>
      <c r="J628" s="113"/>
      <c r="L628" s="113"/>
      <c r="M628" s="113"/>
      <c r="N628" s="113"/>
      <c r="P628" s="113"/>
      <c r="Q628" s="113"/>
      <c r="R628" s="113"/>
      <c r="T628" s="113"/>
      <c r="U628" s="113"/>
      <c r="V628" s="113"/>
    </row>
    <row r="629" customFormat="false" ht="15" hidden="false" customHeight="true" outlineLevel="0" collapsed="false">
      <c r="H629" s="113"/>
      <c r="I629" s="113"/>
      <c r="J629" s="113"/>
      <c r="L629" s="113"/>
      <c r="M629" s="113"/>
      <c r="N629" s="113"/>
      <c r="P629" s="113"/>
      <c r="Q629" s="113"/>
      <c r="R629" s="113"/>
      <c r="T629" s="113"/>
      <c r="U629" s="113"/>
      <c r="V629" s="113"/>
    </row>
    <row r="630" customFormat="false" ht="15" hidden="false" customHeight="true" outlineLevel="0" collapsed="false">
      <c r="H630" s="113"/>
      <c r="I630" s="113"/>
      <c r="J630" s="113"/>
      <c r="L630" s="113"/>
      <c r="M630" s="113"/>
      <c r="N630" s="113"/>
      <c r="P630" s="113"/>
      <c r="Q630" s="113"/>
      <c r="R630" s="113"/>
      <c r="T630" s="113"/>
      <c r="U630" s="113"/>
      <c r="V630" s="113"/>
    </row>
    <row r="631" customFormat="false" ht="15" hidden="false" customHeight="true" outlineLevel="0" collapsed="false">
      <c r="H631" s="113"/>
      <c r="I631" s="113"/>
      <c r="J631" s="113"/>
      <c r="L631" s="113"/>
      <c r="M631" s="113"/>
      <c r="N631" s="113"/>
      <c r="P631" s="113"/>
      <c r="Q631" s="113"/>
      <c r="R631" s="113"/>
      <c r="T631" s="113"/>
      <c r="U631" s="113"/>
      <c r="V631" s="113"/>
    </row>
    <row r="632" customFormat="false" ht="15" hidden="false" customHeight="true" outlineLevel="0" collapsed="false">
      <c r="H632" s="113"/>
      <c r="I632" s="113"/>
      <c r="J632" s="113"/>
      <c r="L632" s="113"/>
      <c r="M632" s="113"/>
      <c r="N632" s="113"/>
      <c r="P632" s="113"/>
      <c r="Q632" s="113"/>
      <c r="R632" s="113"/>
      <c r="T632" s="113"/>
      <c r="U632" s="113"/>
      <c r="V632" s="113"/>
    </row>
    <row r="633" customFormat="false" ht="15" hidden="false" customHeight="true" outlineLevel="0" collapsed="false">
      <c r="H633" s="113"/>
      <c r="I633" s="113"/>
      <c r="J633" s="113"/>
      <c r="L633" s="113"/>
      <c r="M633" s="113"/>
      <c r="N633" s="113"/>
      <c r="P633" s="113"/>
      <c r="Q633" s="113"/>
      <c r="R633" s="113"/>
      <c r="T633" s="113"/>
      <c r="U633" s="113"/>
      <c r="V633" s="113"/>
    </row>
    <row r="634" customFormat="false" ht="15" hidden="false" customHeight="true" outlineLevel="0" collapsed="false">
      <c r="H634" s="113"/>
      <c r="I634" s="113"/>
      <c r="J634" s="113"/>
      <c r="L634" s="113"/>
      <c r="M634" s="113"/>
      <c r="N634" s="113"/>
      <c r="P634" s="113"/>
      <c r="Q634" s="113"/>
      <c r="R634" s="113"/>
      <c r="T634" s="113"/>
      <c r="U634" s="113"/>
      <c r="V634" s="113"/>
    </row>
    <row r="635" customFormat="false" ht="15" hidden="false" customHeight="true" outlineLevel="0" collapsed="false">
      <c r="H635" s="113"/>
      <c r="I635" s="113"/>
      <c r="J635" s="113"/>
      <c r="L635" s="113"/>
      <c r="M635" s="113"/>
      <c r="N635" s="113"/>
      <c r="P635" s="113"/>
      <c r="Q635" s="113"/>
      <c r="R635" s="113"/>
      <c r="T635" s="113"/>
      <c r="U635" s="113"/>
      <c r="V635" s="113"/>
    </row>
    <row r="636" customFormat="false" ht="15" hidden="false" customHeight="true" outlineLevel="0" collapsed="false">
      <c r="H636" s="113"/>
      <c r="I636" s="113"/>
      <c r="J636" s="113"/>
      <c r="L636" s="113"/>
      <c r="M636" s="113"/>
      <c r="N636" s="113"/>
      <c r="P636" s="113"/>
      <c r="Q636" s="113"/>
      <c r="R636" s="113"/>
      <c r="T636" s="113"/>
      <c r="U636" s="113"/>
      <c r="V636" s="113"/>
    </row>
    <row r="637" customFormat="false" ht="15" hidden="false" customHeight="true" outlineLevel="0" collapsed="false">
      <c r="H637" s="113"/>
      <c r="I637" s="113"/>
      <c r="J637" s="113"/>
      <c r="L637" s="113"/>
      <c r="M637" s="113"/>
      <c r="N637" s="113"/>
      <c r="P637" s="113"/>
      <c r="Q637" s="113"/>
      <c r="R637" s="113"/>
      <c r="T637" s="113"/>
      <c r="U637" s="113"/>
      <c r="V637" s="113"/>
    </row>
    <row r="638" customFormat="false" ht="15" hidden="false" customHeight="true" outlineLevel="0" collapsed="false">
      <c r="H638" s="113"/>
      <c r="I638" s="113"/>
      <c r="J638" s="113"/>
      <c r="L638" s="113"/>
      <c r="M638" s="113"/>
      <c r="N638" s="113"/>
      <c r="P638" s="113"/>
      <c r="Q638" s="113"/>
      <c r="R638" s="113"/>
      <c r="T638" s="113"/>
      <c r="U638" s="113"/>
      <c r="V638" s="113"/>
    </row>
    <row r="639" customFormat="false" ht="15" hidden="false" customHeight="true" outlineLevel="0" collapsed="false">
      <c r="H639" s="113"/>
      <c r="I639" s="113"/>
      <c r="J639" s="113"/>
      <c r="L639" s="113"/>
      <c r="M639" s="113"/>
      <c r="N639" s="113"/>
      <c r="P639" s="113"/>
      <c r="Q639" s="113"/>
      <c r="R639" s="113"/>
      <c r="T639" s="113"/>
      <c r="U639" s="113"/>
      <c r="V639" s="113"/>
    </row>
    <row r="640" customFormat="false" ht="15" hidden="false" customHeight="true" outlineLevel="0" collapsed="false">
      <c r="H640" s="113"/>
      <c r="I640" s="113"/>
      <c r="J640" s="113"/>
      <c r="L640" s="113"/>
      <c r="M640" s="113"/>
      <c r="N640" s="113"/>
      <c r="P640" s="113"/>
      <c r="Q640" s="113"/>
      <c r="R640" s="113"/>
      <c r="T640" s="113"/>
      <c r="U640" s="113"/>
      <c r="V640" s="113"/>
    </row>
    <row r="641" customFormat="false" ht="15" hidden="false" customHeight="true" outlineLevel="0" collapsed="false">
      <c r="H641" s="113"/>
      <c r="I641" s="113"/>
      <c r="J641" s="113"/>
      <c r="L641" s="113"/>
      <c r="M641" s="113"/>
      <c r="N641" s="113"/>
      <c r="P641" s="113"/>
      <c r="Q641" s="113"/>
      <c r="R641" s="113"/>
      <c r="T641" s="113"/>
      <c r="U641" s="113"/>
      <c r="V641" s="113"/>
    </row>
    <row r="642" customFormat="false" ht="15" hidden="false" customHeight="true" outlineLevel="0" collapsed="false">
      <c r="H642" s="113"/>
      <c r="I642" s="113"/>
      <c r="J642" s="113"/>
      <c r="L642" s="113"/>
      <c r="M642" s="113"/>
      <c r="N642" s="113"/>
      <c r="P642" s="113"/>
      <c r="Q642" s="113"/>
      <c r="R642" s="113"/>
      <c r="T642" s="113"/>
      <c r="U642" s="113"/>
      <c r="V642" s="113"/>
    </row>
    <row r="643" customFormat="false" ht="15" hidden="false" customHeight="true" outlineLevel="0" collapsed="false">
      <c r="H643" s="113"/>
      <c r="I643" s="113"/>
      <c r="J643" s="113"/>
      <c r="L643" s="113"/>
      <c r="M643" s="113"/>
      <c r="N643" s="113"/>
      <c r="P643" s="113"/>
      <c r="Q643" s="113"/>
      <c r="R643" s="113"/>
      <c r="T643" s="113"/>
      <c r="U643" s="113"/>
      <c r="V643" s="113"/>
    </row>
    <row r="644" customFormat="false" ht="15" hidden="false" customHeight="true" outlineLevel="0" collapsed="false">
      <c r="H644" s="113"/>
      <c r="I644" s="113"/>
      <c r="J644" s="113"/>
      <c r="L644" s="113"/>
      <c r="M644" s="113"/>
      <c r="N644" s="113"/>
      <c r="P644" s="113"/>
      <c r="Q644" s="113"/>
      <c r="R644" s="113"/>
      <c r="T644" s="113"/>
      <c r="U644" s="113"/>
      <c r="V644" s="113"/>
    </row>
    <row r="645" customFormat="false" ht="15" hidden="false" customHeight="true" outlineLevel="0" collapsed="false">
      <c r="H645" s="113"/>
      <c r="I645" s="113"/>
      <c r="J645" s="113"/>
      <c r="L645" s="113"/>
      <c r="M645" s="113"/>
      <c r="N645" s="113"/>
      <c r="P645" s="113"/>
      <c r="Q645" s="113"/>
      <c r="R645" s="113"/>
      <c r="T645" s="113"/>
      <c r="U645" s="113"/>
      <c r="V645" s="113"/>
    </row>
    <row r="646" customFormat="false" ht="15" hidden="false" customHeight="true" outlineLevel="0" collapsed="false">
      <c r="H646" s="113"/>
      <c r="I646" s="113"/>
      <c r="J646" s="113"/>
      <c r="L646" s="113"/>
      <c r="M646" s="113"/>
      <c r="N646" s="113"/>
      <c r="P646" s="113"/>
      <c r="Q646" s="113"/>
      <c r="R646" s="113"/>
      <c r="T646" s="113"/>
      <c r="U646" s="113"/>
      <c r="V646" s="113"/>
    </row>
    <row r="647" customFormat="false" ht="15" hidden="false" customHeight="true" outlineLevel="0" collapsed="false">
      <c r="H647" s="113"/>
      <c r="I647" s="113"/>
      <c r="J647" s="113"/>
      <c r="L647" s="113"/>
      <c r="M647" s="113"/>
      <c r="N647" s="113"/>
      <c r="P647" s="113"/>
      <c r="Q647" s="113"/>
      <c r="R647" s="113"/>
      <c r="T647" s="113"/>
      <c r="U647" s="113"/>
      <c r="V647" s="113"/>
    </row>
    <row r="648" customFormat="false" ht="15" hidden="false" customHeight="true" outlineLevel="0" collapsed="false">
      <c r="H648" s="113"/>
      <c r="I648" s="113"/>
      <c r="J648" s="113"/>
      <c r="L648" s="113"/>
      <c r="M648" s="113"/>
      <c r="N648" s="113"/>
      <c r="P648" s="113"/>
      <c r="Q648" s="113"/>
      <c r="R648" s="113"/>
      <c r="T648" s="113"/>
      <c r="U648" s="113"/>
      <c r="V648" s="113"/>
    </row>
    <row r="649" customFormat="false" ht="15" hidden="false" customHeight="true" outlineLevel="0" collapsed="false">
      <c r="H649" s="113"/>
      <c r="I649" s="113"/>
      <c r="J649" s="113"/>
      <c r="L649" s="113"/>
      <c r="M649" s="113"/>
      <c r="N649" s="113"/>
      <c r="P649" s="113"/>
      <c r="Q649" s="113"/>
      <c r="R649" s="113"/>
      <c r="T649" s="113"/>
      <c r="U649" s="113"/>
      <c r="V649" s="113"/>
    </row>
    <row r="650" customFormat="false" ht="15" hidden="false" customHeight="true" outlineLevel="0" collapsed="false">
      <c r="H650" s="113"/>
      <c r="I650" s="113"/>
      <c r="J650" s="113"/>
      <c r="L650" s="113"/>
      <c r="M650" s="113"/>
      <c r="N650" s="113"/>
      <c r="P650" s="113"/>
      <c r="Q650" s="113"/>
      <c r="R650" s="113"/>
      <c r="T650" s="113"/>
      <c r="U650" s="113"/>
      <c r="V650" s="113"/>
    </row>
    <row r="651" customFormat="false" ht="15" hidden="false" customHeight="true" outlineLevel="0" collapsed="false">
      <c r="H651" s="113"/>
      <c r="I651" s="113"/>
      <c r="J651" s="113"/>
      <c r="L651" s="113"/>
      <c r="M651" s="113"/>
      <c r="N651" s="113"/>
      <c r="P651" s="113"/>
      <c r="Q651" s="113"/>
      <c r="R651" s="113"/>
      <c r="T651" s="113"/>
      <c r="U651" s="113"/>
      <c r="V651" s="113"/>
    </row>
    <row r="652" customFormat="false" ht="15" hidden="false" customHeight="true" outlineLevel="0" collapsed="false">
      <c r="H652" s="113"/>
      <c r="I652" s="113"/>
      <c r="J652" s="113"/>
      <c r="L652" s="113"/>
      <c r="M652" s="113"/>
      <c r="N652" s="113"/>
      <c r="P652" s="113"/>
      <c r="Q652" s="113"/>
      <c r="R652" s="113"/>
      <c r="T652" s="113"/>
      <c r="U652" s="113"/>
      <c r="V652" s="113"/>
    </row>
    <row r="653" customFormat="false" ht="15" hidden="false" customHeight="true" outlineLevel="0" collapsed="false">
      <c r="H653" s="113"/>
      <c r="I653" s="113"/>
      <c r="J653" s="113"/>
      <c r="L653" s="113"/>
      <c r="M653" s="113"/>
      <c r="N653" s="113"/>
      <c r="P653" s="113"/>
      <c r="Q653" s="113"/>
      <c r="R653" s="113"/>
      <c r="T653" s="113"/>
      <c r="U653" s="113"/>
      <c r="V653" s="113"/>
    </row>
    <row r="654" customFormat="false" ht="15" hidden="false" customHeight="true" outlineLevel="0" collapsed="false">
      <c r="H654" s="113"/>
      <c r="I654" s="113"/>
      <c r="J654" s="113"/>
      <c r="L654" s="113"/>
      <c r="M654" s="113"/>
      <c r="N654" s="113"/>
      <c r="P654" s="113"/>
      <c r="Q654" s="113"/>
      <c r="R654" s="113"/>
      <c r="T654" s="113"/>
      <c r="U654" s="113"/>
      <c r="V654" s="113"/>
    </row>
    <row r="655" customFormat="false" ht="15" hidden="false" customHeight="true" outlineLevel="0" collapsed="false">
      <c r="H655" s="113"/>
      <c r="I655" s="113"/>
      <c r="J655" s="113"/>
      <c r="L655" s="113"/>
      <c r="M655" s="113"/>
      <c r="N655" s="113"/>
      <c r="P655" s="113"/>
      <c r="Q655" s="113"/>
      <c r="R655" s="113"/>
      <c r="T655" s="113"/>
      <c r="U655" s="113"/>
      <c r="V655" s="113"/>
    </row>
    <row r="656" customFormat="false" ht="15" hidden="false" customHeight="true" outlineLevel="0" collapsed="false">
      <c r="H656" s="113"/>
      <c r="I656" s="113"/>
      <c r="J656" s="113"/>
      <c r="L656" s="113"/>
      <c r="M656" s="113"/>
      <c r="N656" s="113"/>
      <c r="P656" s="113"/>
      <c r="Q656" s="113"/>
      <c r="R656" s="113"/>
      <c r="T656" s="113"/>
      <c r="U656" s="113"/>
      <c r="V656" s="113"/>
    </row>
    <row r="657" customFormat="false" ht="15" hidden="false" customHeight="true" outlineLevel="0" collapsed="false">
      <c r="H657" s="113"/>
      <c r="I657" s="113"/>
      <c r="J657" s="113"/>
      <c r="L657" s="113"/>
      <c r="M657" s="113"/>
      <c r="N657" s="113"/>
      <c r="P657" s="113"/>
      <c r="Q657" s="113"/>
      <c r="R657" s="113"/>
      <c r="T657" s="113"/>
      <c r="U657" s="113"/>
      <c r="V657" s="113"/>
    </row>
    <row r="658" customFormat="false" ht="15" hidden="false" customHeight="true" outlineLevel="0" collapsed="false">
      <c r="H658" s="113"/>
      <c r="I658" s="113"/>
      <c r="J658" s="113"/>
      <c r="L658" s="113"/>
      <c r="M658" s="113"/>
      <c r="N658" s="113"/>
      <c r="P658" s="113"/>
      <c r="Q658" s="113"/>
      <c r="R658" s="113"/>
      <c r="T658" s="113"/>
      <c r="U658" s="113"/>
      <c r="V658" s="113"/>
    </row>
    <row r="659" customFormat="false" ht="15" hidden="false" customHeight="true" outlineLevel="0" collapsed="false">
      <c r="H659" s="113"/>
      <c r="I659" s="113"/>
      <c r="J659" s="113"/>
      <c r="L659" s="113"/>
      <c r="M659" s="113"/>
      <c r="N659" s="113"/>
      <c r="P659" s="113"/>
      <c r="Q659" s="113"/>
      <c r="R659" s="113"/>
      <c r="T659" s="113"/>
      <c r="U659" s="113"/>
      <c r="V659" s="113"/>
    </row>
    <row r="660" customFormat="false" ht="15" hidden="false" customHeight="true" outlineLevel="0" collapsed="false">
      <c r="H660" s="113"/>
      <c r="I660" s="113"/>
      <c r="J660" s="113"/>
      <c r="L660" s="113"/>
      <c r="M660" s="113"/>
      <c r="N660" s="113"/>
      <c r="P660" s="113"/>
      <c r="Q660" s="113"/>
      <c r="R660" s="113"/>
      <c r="T660" s="113"/>
      <c r="U660" s="113"/>
      <c r="V660" s="113"/>
    </row>
    <row r="661" customFormat="false" ht="15" hidden="false" customHeight="true" outlineLevel="0" collapsed="false">
      <c r="H661" s="113"/>
      <c r="I661" s="113"/>
      <c r="J661" s="113"/>
      <c r="L661" s="113"/>
      <c r="M661" s="113"/>
      <c r="N661" s="113"/>
      <c r="P661" s="113"/>
      <c r="Q661" s="113"/>
      <c r="R661" s="113"/>
      <c r="T661" s="113"/>
      <c r="U661" s="113"/>
      <c r="V661" s="113"/>
    </row>
    <row r="662" customFormat="false" ht="15" hidden="false" customHeight="true" outlineLevel="0" collapsed="false">
      <c r="H662" s="113"/>
      <c r="I662" s="113"/>
      <c r="J662" s="113"/>
      <c r="L662" s="113"/>
      <c r="M662" s="113"/>
      <c r="N662" s="113"/>
      <c r="P662" s="113"/>
      <c r="Q662" s="113"/>
      <c r="R662" s="113"/>
      <c r="T662" s="113"/>
      <c r="U662" s="113"/>
      <c r="V662" s="113"/>
    </row>
    <row r="663" customFormat="false" ht="15" hidden="false" customHeight="true" outlineLevel="0" collapsed="false">
      <c r="H663" s="113"/>
      <c r="I663" s="113"/>
      <c r="J663" s="113"/>
      <c r="L663" s="113"/>
      <c r="M663" s="113"/>
      <c r="N663" s="113"/>
      <c r="P663" s="113"/>
      <c r="Q663" s="113"/>
      <c r="R663" s="113"/>
      <c r="T663" s="113"/>
      <c r="U663" s="113"/>
      <c r="V663" s="113"/>
    </row>
    <row r="664" customFormat="false" ht="15" hidden="false" customHeight="true" outlineLevel="0" collapsed="false">
      <c r="H664" s="113"/>
      <c r="I664" s="113"/>
      <c r="J664" s="113"/>
      <c r="L664" s="113"/>
      <c r="M664" s="113"/>
      <c r="N664" s="113"/>
      <c r="P664" s="113"/>
      <c r="Q664" s="113"/>
      <c r="R664" s="113"/>
      <c r="T664" s="113"/>
      <c r="U664" s="113"/>
      <c r="V664" s="113"/>
    </row>
    <row r="665" customFormat="false" ht="15" hidden="false" customHeight="true" outlineLevel="0" collapsed="false">
      <c r="H665" s="113"/>
      <c r="I665" s="113"/>
      <c r="J665" s="113"/>
      <c r="L665" s="113"/>
      <c r="M665" s="113"/>
      <c r="N665" s="113"/>
      <c r="P665" s="113"/>
      <c r="Q665" s="113"/>
      <c r="R665" s="113"/>
      <c r="T665" s="113"/>
      <c r="U665" s="113"/>
      <c r="V665" s="113"/>
    </row>
    <row r="666" customFormat="false" ht="15" hidden="false" customHeight="true" outlineLevel="0" collapsed="false">
      <c r="H666" s="113"/>
      <c r="I666" s="113"/>
      <c r="J666" s="113"/>
      <c r="L666" s="113"/>
      <c r="M666" s="113"/>
      <c r="N666" s="113"/>
      <c r="P666" s="113"/>
      <c r="Q666" s="113"/>
      <c r="R666" s="113"/>
      <c r="T666" s="113"/>
      <c r="U666" s="113"/>
      <c r="V666" s="113"/>
    </row>
    <row r="667" customFormat="false" ht="15" hidden="false" customHeight="true" outlineLevel="0" collapsed="false">
      <c r="H667" s="113"/>
      <c r="I667" s="113"/>
      <c r="J667" s="113"/>
      <c r="L667" s="113"/>
      <c r="M667" s="113"/>
      <c r="N667" s="113"/>
      <c r="P667" s="113"/>
      <c r="Q667" s="113"/>
      <c r="R667" s="113"/>
      <c r="T667" s="113"/>
      <c r="U667" s="113"/>
      <c r="V667" s="113"/>
    </row>
    <row r="668" customFormat="false" ht="15" hidden="false" customHeight="true" outlineLevel="0" collapsed="false">
      <c r="H668" s="113"/>
      <c r="I668" s="113"/>
      <c r="J668" s="113"/>
      <c r="L668" s="113"/>
      <c r="M668" s="113"/>
      <c r="N668" s="113"/>
      <c r="P668" s="113"/>
      <c r="Q668" s="113"/>
      <c r="R668" s="113"/>
      <c r="T668" s="113"/>
      <c r="U668" s="113"/>
      <c r="V668" s="113"/>
    </row>
    <row r="669" customFormat="false" ht="15" hidden="false" customHeight="true" outlineLevel="0" collapsed="false">
      <c r="H669" s="113"/>
      <c r="I669" s="113"/>
      <c r="J669" s="113"/>
      <c r="L669" s="113"/>
      <c r="M669" s="113"/>
      <c r="N669" s="113"/>
      <c r="P669" s="113"/>
      <c r="Q669" s="113"/>
      <c r="R669" s="113"/>
      <c r="T669" s="113"/>
      <c r="U669" s="113"/>
      <c r="V669" s="113"/>
    </row>
    <row r="670" customFormat="false" ht="15" hidden="false" customHeight="true" outlineLevel="0" collapsed="false">
      <c r="H670" s="113"/>
      <c r="I670" s="113"/>
      <c r="J670" s="113"/>
      <c r="L670" s="113"/>
      <c r="M670" s="113"/>
      <c r="N670" s="113"/>
      <c r="P670" s="113"/>
      <c r="Q670" s="113"/>
      <c r="R670" s="113"/>
      <c r="T670" s="113"/>
      <c r="U670" s="113"/>
      <c r="V670" s="113"/>
    </row>
    <row r="671" customFormat="false" ht="15" hidden="false" customHeight="true" outlineLevel="0" collapsed="false">
      <c r="H671" s="113"/>
      <c r="I671" s="113"/>
      <c r="J671" s="113"/>
      <c r="L671" s="113"/>
      <c r="M671" s="113"/>
      <c r="N671" s="113"/>
      <c r="P671" s="113"/>
      <c r="Q671" s="113"/>
      <c r="R671" s="113"/>
      <c r="T671" s="113"/>
      <c r="U671" s="113"/>
      <c r="V671" s="113"/>
    </row>
    <row r="672" customFormat="false" ht="15" hidden="false" customHeight="true" outlineLevel="0" collapsed="false">
      <c r="H672" s="113"/>
      <c r="I672" s="113"/>
      <c r="J672" s="113"/>
      <c r="L672" s="113"/>
      <c r="M672" s="113"/>
      <c r="N672" s="113"/>
      <c r="P672" s="113"/>
      <c r="Q672" s="113"/>
      <c r="R672" s="113"/>
      <c r="T672" s="113"/>
      <c r="U672" s="113"/>
      <c r="V672" s="113"/>
    </row>
    <row r="673" customFormat="false" ht="15" hidden="false" customHeight="true" outlineLevel="0" collapsed="false">
      <c r="H673" s="113"/>
      <c r="I673" s="113"/>
      <c r="J673" s="113"/>
      <c r="L673" s="113"/>
      <c r="M673" s="113"/>
      <c r="N673" s="113"/>
      <c r="P673" s="113"/>
      <c r="Q673" s="113"/>
      <c r="R673" s="113"/>
      <c r="T673" s="113"/>
      <c r="U673" s="113"/>
      <c r="V673" s="113"/>
    </row>
    <row r="674" customFormat="false" ht="15" hidden="false" customHeight="true" outlineLevel="0" collapsed="false">
      <c r="H674" s="113"/>
      <c r="I674" s="113"/>
      <c r="J674" s="113"/>
      <c r="L674" s="113"/>
      <c r="M674" s="113"/>
      <c r="N674" s="113"/>
      <c r="P674" s="113"/>
      <c r="Q674" s="113"/>
      <c r="R674" s="113"/>
      <c r="T674" s="113"/>
      <c r="U674" s="113"/>
      <c r="V674" s="113"/>
    </row>
    <row r="675" customFormat="false" ht="15" hidden="false" customHeight="true" outlineLevel="0" collapsed="false">
      <c r="H675" s="113"/>
      <c r="I675" s="113"/>
      <c r="J675" s="113"/>
      <c r="L675" s="113"/>
      <c r="M675" s="113"/>
      <c r="N675" s="113"/>
      <c r="P675" s="113"/>
      <c r="Q675" s="113"/>
      <c r="R675" s="113"/>
      <c r="T675" s="113"/>
      <c r="U675" s="113"/>
      <c r="V675" s="113"/>
    </row>
    <row r="676" customFormat="false" ht="15" hidden="false" customHeight="true" outlineLevel="0" collapsed="false">
      <c r="H676" s="113"/>
      <c r="I676" s="113"/>
      <c r="J676" s="113"/>
      <c r="L676" s="113"/>
      <c r="M676" s="113"/>
      <c r="N676" s="113"/>
      <c r="P676" s="113"/>
      <c r="Q676" s="113"/>
      <c r="R676" s="113"/>
      <c r="T676" s="113"/>
      <c r="U676" s="113"/>
      <c r="V676" s="113"/>
    </row>
    <row r="677" customFormat="false" ht="15" hidden="false" customHeight="true" outlineLevel="0" collapsed="false">
      <c r="H677" s="113"/>
      <c r="I677" s="113"/>
      <c r="J677" s="113"/>
      <c r="L677" s="113"/>
      <c r="M677" s="113"/>
      <c r="N677" s="113"/>
      <c r="P677" s="113"/>
      <c r="Q677" s="113"/>
      <c r="R677" s="113"/>
      <c r="T677" s="113"/>
      <c r="U677" s="113"/>
      <c r="V677" s="113"/>
    </row>
    <row r="678" customFormat="false" ht="15" hidden="false" customHeight="true" outlineLevel="0" collapsed="false">
      <c r="H678" s="113"/>
      <c r="I678" s="113"/>
      <c r="J678" s="113"/>
      <c r="L678" s="113"/>
      <c r="M678" s="113"/>
      <c r="N678" s="113"/>
      <c r="P678" s="113"/>
      <c r="Q678" s="113"/>
      <c r="R678" s="113"/>
      <c r="T678" s="113"/>
      <c r="U678" s="113"/>
      <c r="V678" s="113"/>
    </row>
    <row r="679" customFormat="false" ht="15" hidden="false" customHeight="true" outlineLevel="0" collapsed="false">
      <c r="H679" s="113"/>
      <c r="I679" s="113"/>
      <c r="J679" s="113"/>
      <c r="L679" s="113"/>
      <c r="M679" s="113"/>
      <c r="N679" s="113"/>
      <c r="P679" s="113"/>
      <c r="Q679" s="113"/>
      <c r="R679" s="113"/>
      <c r="T679" s="113"/>
      <c r="U679" s="113"/>
      <c r="V679" s="113"/>
    </row>
    <row r="680" customFormat="false" ht="15" hidden="false" customHeight="true" outlineLevel="0" collapsed="false">
      <c r="H680" s="113"/>
      <c r="I680" s="113"/>
      <c r="J680" s="113"/>
      <c r="L680" s="113"/>
      <c r="M680" s="113"/>
      <c r="N680" s="113"/>
      <c r="P680" s="113"/>
      <c r="Q680" s="113"/>
      <c r="R680" s="113"/>
      <c r="T680" s="113"/>
      <c r="U680" s="113"/>
      <c r="V680" s="113"/>
    </row>
    <row r="681" customFormat="false" ht="15" hidden="false" customHeight="true" outlineLevel="0" collapsed="false">
      <c r="H681" s="113"/>
      <c r="I681" s="113"/>
      <c r="J681" s="113"/>
      <c r="L681" s="113"/>
      <c r="M681" s="113"/>
      <c r="N681" s="113"/>
      <c r="P681" s="113"/>
      <c r="Q681" s="113"/>
      <c r="R681" s="113"/>
      <c r="T681" s="113"/>
      <c r="U681" s="113"/>
      <c r="V681" s="113"/>
    </row>
    <row r="682" customFormat="false" ht="15" hidden="false" customHeight="true" outlineLevel="0" collapsed="false">
      <c r="H682" s="113"/>
      <c r="I682" s="113"/>
      <c r="J682" s="113"/>
      <c r="L682" s="113"/>
      <c r="M682" s="113"/>
      <c r="N682" s="113"/>
      <c r="P682" s="113"/>
      <c r="Q682" s="113"/>
      <c r="R682" s="113"/>
      <c r="T682" s="113"/>
      <c r="U682" s="113"/>
      <c r="V682" s="113"/>
    </row>
    <row r="683" customFormat="false" ht="15" hidden="false" customHeight="true" outlineLevel="0" collapsed="false">
      <c r="H683" s="113"/>
      <c r="I683" s="113"/>
      <c r="J683" s="113"/>
      <c r="L683" s="113"/>
      <c r="M683" s="113"/>
      <c r="N683" s="113"/>
      <c r="P683" s="113"/>
      <c r="Q683" s="113"/>
      <c r="R683" s="113"/>
      <c r="T683" s="113"/>
      <c r="U683" s="113"/>
      <c r="V683" s="113"/>
    </row>
    <row r="684" customFormat="false" ht="15" hidden="false" customHeight="true" outlineLevel="0" collapsed="false">
      <c r="H684" s="113"/>
      <c r="I684" s="113"/>
      <c r="J684" s="113"/>
      <c r="L684" s="113"/>
      <c r="M684" s="113"/>
      <c r="N684" s="113"/>
      <c r="P684" s="113"/>
      <c r="Q684" s="113"/>
      <c r="R684" s="113"/>
      <c r="T684" s="113"/>
      <c r="U684" s="113"/>
      <c r="V684" s="113"/>
    </row>
    <row r="685" customFormat="false" ht="15" hidden="false" customHeight="true" outlineLevel="0" collapsed="false">
      <c r="H685" s="113"/>
      <c r="I685" s="113"/>
      <c r="J685" s="113"/>
      <c r="L685" s="113"/>
      <c r="M685" s="113"/>
      <c r="N685" s="113"/>
      <c r="P685" s="113"/>
      <c r="Q685" s="113"/>
      <c r="R685" s="113"/>
      <c r="T685" s="113"/>
      <c r="U685" s="113"/>
      <c r="V685" s="113"/>
    </row>
    <row r="686" customFormat="false" ht="15" hidden="false" customHeight="true" outlineLevel="0" collapsed="false">
      <c r="H686" s="113"/>
      <c r="I686" s="113"/>
      <c r="J686" s="113"/>
      <c r="L686" s="113"/>
      <c r="M686" s="113"/>
      <c r="N686" s="113"/>
      <c r="P686" s="113"/>
      <c r="Q686" s="113"/>
      <c r="R686" s="113"/>
      <c r="T686" s="113"/>
      <c r="U686" s="113"/>
      <c r="V686" s="113"/>
    </row>
    <row r="687" customFormat="false" ht="15" hidden="false" customHeight="true" outlineLevel="0" collapsed="false">
      <c r="H687" s="113"/>
      <c r="I687" s="113"/>
      <c r="J687" s="113"/>
      <c r="L687" s="113"/>
      <c r="M687" s="113"/>
      <c r="N687" s="113"/>
      <c r="P687" s="113"/>
      <c r="Q687" s="113"/>
      <c r="R687" s="113"/>
      <c r="T687" s="113"/>
      <c r="U687" s="113"/>
      <c r="V687" s="113"/>
    </row>
    <row r="688" customFormat="false" ht="15" hidden="false" customHeight="true" outlineLevel="0" collapsed="false">
      <c r="H688" s="113"/>
      <c r="I688" s="113"/>
      <c r="J688" s="113"/>
      <c r="L688" s="113"/>
      <c r="M688" s="113"/>
      <c r="N688" s="113"/>
      <c r="P688" s="113"/>
      <c r="Q688" s="113"/>
      <c r="R688" s="113"/>
      <c r="T688" s="113"/>
      <c r="U688" s="113"/>
      <c r="V688" s="113"/>
    </row>
    <row r="689" customFormat="false" ht="15" hidden="false" customHeight="true" outlineLevel="0" collapsed="false">
      <c r="H689" s="113"/>
      <c r="I689" s="113"/>
      <c r="J689" s="113"/>
      <c r="L689" s="113"/>
      <c r="M689" s="113"/>
      <c r="N689" s="113"/>
      <c r="P689" s="113"/>
      <c r="Q689" s="113"/>
      <c r="R689" s="113"/>
      <c r="T689" s="113"/>
      <c r="U689" s="113"/>
      <c r="V689" s="113"/>
    </row>
    <row r="690" customFormat="false" ht="15" hidden="false" customHeight="true" outlineLevel="0" collapsed="false">
      <c r="H690" s="113"/>
      <c r="I690" s="113"/>
      <c r="J690" s="113"/>
      <c r="L690" s="113"/>
      <c r="M690" s="113"/>
      <c r="N690" s="113"/>
      <c r="P690" s="113"/>
      <c r="Q690" s="113"/>
      <c r="R690" s="113"/>
      <c r="T690" s="113"/>
      <c r="U690" s="113"/>
      <c r="V690" s="113"/>
    </row>
    <row r="691" customFormat="false" ht="15" hidden="false" customHeight="true" outlineLevel="0" collapsed="false">
      <c r="H691" s="113"/>
      <c r="I691" s="113"/>
      <c r="J691" s="113"/>
      <c r="L691" s="113"/>
      <c r="M691" s="113"/>
      <c r="N691" s="113"/>
      <c r="P691" s="113"/>
      <c r="Q691" s="113"/>
      <c r="R691" s="113"/>
      <c r="T691" s="113"/>
      <c r="U691" s="113"/>
      <c r="V691" s="113"/>
    </row>
    <row r="692" customFormat="false" ht="15" hidden="false" customHeight="true" outlineLevel="0" collapsed="false">
      <c r="H692" s="113"/>
      <c r="I692" s="113"/>
      <c r="J692" s="113"/>
      <c r="L692" s="113"/>
      <c r="M692" s="113"/>
      <c r="N692" s="113"/>
      <c r="P692" s="113"/>
      <c r="Q692" s="113"/>
      <c r="R692" s="113"/>
      <c r="T692" s="113"/>
      <c r="U692" s="113"/>
      <c r="V692" s="113"/>
    </row>
    <row r="693" customFormat="false" ht="15" hidden="false" customHeight="true" outlineLevel="0" collapsed="false">
      <c r="H693" s="113"/>
      <c r="I693" s="113"/>
      <c r="J693" s="113"/>
      <c r="L693" s="113"/>
      <c r="M693" s="113"/>
      <c r="N693" s="113"/>
      <c r="P693" s="113"/>
      <c r="Q693" s="113"/>
      <c r="R693" s="113"/>
      <c r="T693" s="113"/>
      <c r="U693" s="113"/>
      <c r="V693" s="113"/>
    </row>
    <row r="694" customFormat="false" ht="15" hidden="false" customHeight="true" outlineLevel="0" collapsed="false">
      <c r="H694" s="113"/>
      <c r="I694" s="113"/>
      <c r="J694" s="113"/>
      <c r="L694" s="113"/>
      <c r="M694" s="113"/>
      <c r="N694" s="113"/>
      <c r="P694" s="113"/>
      <c r="Q694" s="113"/>
      <c r="R694" s="113"/>
      <c r="T694" s="113"/>
      <c r="U694" s="113"/>
      <c r="V694" s="113"/>
    </row>
    <row r="695" customFormat="false" ht="15" hidden="false" customHeight="true" outlineLevel="0" collapsed="false">
      <c r="H695" s="113"/>
      <c r="I695" s="113"/>
      <c r="J695" s="113"/>
      <c r="L695" s="113"/>
      <c r="M695" s="113"/>
      <c r="N695" s="113"/>
      <c r="P695" s="113"/>
      <c r="Q695" s="113"/>
      <c r="R695" s="113"/>
      <c r="T695" s="113"/>
      <c r="U695" s="113"/>
      <c r="V695" s="113"/>
    </row>
    <row r="696" customFormat="false" ht="15" hidden="false" customHeight="true" outlineLevel="0" collapsed="false">
      <c r="H696" s="113"/>
      <c r="I696" s="113"/>
      <c r="J696" s="113"/>
      <c r="L696" s="113"/>
      <c r="M696" s="113"/>
      <c r="N696" s="113"/>
      <c r="P696" s="113"/>
      <c r="Q696" s="113"/>
      <c r="R696" s="113"/>
      <c r="T696" s="113"/>
      <c r="U696" s="113"/>
      <c r="V696" s="113"/>
    </row>
    <row r="697" customFormat="false" ht="15" hidden="false" customHeight="true" outlineLevel="0" collapsed="false">
      <c r="H697" s="113"/>
      <c r="I697" s="113"/>
      <c r="J697" s="113"/>
      <c r="L697" s="113"/>
      <c r="M697" s="113"/>
      <c r="N697" s="113"/>
      <c r="P697" s="113"/>
      <c r="Q697" s="113"/>
      <c r="R697" s="113"/>
      <c r="T697" s="113"/>
      <c r="U697" s="113"/>
      <c r="V697" s="113"/>
    </row>
    <row r="698" customFormat="false" ht="15" hidden="false" customHeight="true" outlineLevel="0" collapsed="false">
      <c r="H698" s="113"/>
      <c r="I698" s="113"/>
      <c r="J698" s="113"/>
      <c r="L698" s="113"/>
      <c r="M698" s="113"/>
      <c r="N698" s="113"/>
      <c r="P698" s="113"/>
      <c r="Q698" s="113"/>
      <c r="R698" s="113"/>
      <c r="T698" s="113"/>
      <c r="U698" s="113"/>
      <c r="V698" s="113"/>
    </row>
    <row r="699" customFormat="false" ht="15" hidden="false" customHeight="true" outlineLevel="0" collapsed="false">
      <c r="H699" s="113"/>
      <c r="I699" s="113"/>
      <c r="J699" s="113"/>
      <c r="L699" s="113"/>
      <c r="M699" s="113"/>
      <c r="N699" s="113"/>
      <c r="P699" s="113"/>
      <c r="Q699" s="113"/>
      <c r="R699" s="113"/>
      <c r="T699" s="113"/>
      <c r="U699" s="113"/>
      <c r="V699" s="113"/>
    </row>
    <row r="700" customFormat="false" ht="15" hidden="false" customHeight="true" outlineLevel="0" collapsed="false">
      <c r="H700" s="113"/>
      <c r="I700" s="113"/>
      <c r="J700" s="113"/>
      <c r="L700" s="113"/>
      <c r="M700" s="113"/>
      <c r="N700" s="113"/>
      <c r="P700" s="113"/>
      <c r="Q700" s="113"/>
      <c r="R700" s="113"/>
      <c r="T700" s="113"/>
      <c r="U700" s="113"/>
      <c r="V700" s="113"/>
    </row>
    <row r="701" customFormat="false" ht="15" hidden="false" customHeight="true" outlineLevel="0" collapsed="false">
      <c r="H701" s="113"/>
      <c r="I701" s="113"/>
      <c r="J701" s="113"/>
      <c r="L701" s="113"/>
      <c r="M701" s="113"/>
      <c r="N701" s="113"/>
      <c r="P701" s="113"/>
      <c r="Q701" s="113"/>
      <c r="R701" s="113"/>
      <c r="T701" s="113"/>
      <c r="U701" s="113"/>
      <c r="V701" s="113"/>
    </row>
    <row r="702" customFormat="false" ht="15" hidden="false" customHeight="true" outlineLevel="0" collapsed="false">
      <c r="H702" s="113"/>
      <c r="I702" s="113"/>
      <c r="J702" s="113"/>
      <c r="L702" s="113"/>
      <c r="M702" s="113"/>
      <c r="N702" s="113"/>
      <c r="P702" s="113"/>
      <c r="Q702" s="113"/>
      <c r="R702" s="113"/>
      <c r="T702" s="113"/>
      <c r="U702" s="113"/>
      <c r="V702" s="113"/>
    </row>
    <row r="703" customFormat="false" ht="15" hidden="false" customHeight="true" outlineLevel="0" collapsed="false">
      <c r="H703" s="113"/>
      <c r="I703" s="113"/>
      <c r="J703" s="113"/>
      <c r="L703" s="113"/>
      <c r="M703" s="113"/>
      <c r="N703" s="113"/>
      <c r="P703" s="113"/>
      <c r="Q703" s="113"/>
      <c r="R703" s="113"/>
      <c r="T703" s="113"/>
      <c r="U703" s="113"/>
      <c r="V703" s="113"/>
    </row>
    <row r="704" customFormat="false" ht="15" hidden="false" customHeight="true" outlineLevel="0" collapsed="false"/>
  </sheetData>
  <mergeCells count="62">
    <mergeCell ref="A7:Y7"/>
    <mergeCell ref="B9:I9"/>
    <mergeCell ref="K9:R9"/>
    <mergeCell ref="B10:C10"/>
    <mergeCell ref="D10:E10"/>
    <mergeCell ref="F10:G10"/>
    <mergeCell ref="H10:I10"/>
    <mergeCell ref="K10:L10"/>
    <mergeCell ref="M10:N10"/>
    <mergeCell ref="O10:P10"/>
    <mergeCell ref="Q10:R10"/>
    <mergeCell ref="B11:C11"/>
    <mergeCell ref="D11:E11"/>
    <mergeCell ref="F11:G11"/>
    <mergeCell ref="H11:I11"/>
    <mergeCell ref="K11:L11"/>
    <mergeCell ref="M11:N11"/>
    <mergeCell ref="O11:P11"/>
    <mergeCell ref="Q11:R11"/>
    <mergeCell ref="B12:C13"/>
    <mergeCell ref="D12:E13"/>
    <mergeCell ref="F12:G13"/>
    <mergeCell ref="H12:I13"/>
    <mergeCell ref="K12:L13"/>
    <mergeCell ref="M12:N13"/>
    <mergeCell ref="O12:P13"/>
    <mergeCell ref="Q12:R13"/>
    <mergeCell ref="B14:C14"/>
    <mergeCell ref="D14:E14"/>
    <mergeCell ref="F14:G14"/>
    <mergeCell ref="H14:I14"/>
    <mergeCell ref="K14:L14"/>
    <mergeCell ref="M14:N14"/>
    <mergeCell ref="O14:P14"/>
    <mergeCell ref="Q14:R14"/>
    <mergeCell ref="B16:R16"/>
    <mergeCell ref="B17:D17"/>
    <mergeCell ref="E17:G17"/>
    <mergeCell ref="I17:K17"/>
    <mergeCell ref="M17:O17"/>
    <mergeCell ref="Q17:S17"/>
    <mergeCell ref="B18:D18"/>
    <mergeCell ref="E18:G18"/>
    <mergeCell ref="I18:K18"/>
    <mergeCell ref="M18:O18"/>
    <mergeCell ref="Q18:S18"/>
    <mergeCell ref="B19:D20"/>
    <mergeCell ref="E19:G20"/>
    <mergeCell ref="I19:K20"/>
    <mergeCell ref="M19:O20"/>
    <mergeCell ref="Q19:S20"/>
    <mergeCell ref="B21:D21"/>
    <mergeCell ref="E21:G21"/>
    <mergeCell ref="I21:K21"/>
    <mergeCell ref="M21:O21"/>
    <mergeCell ref="Q21:S21"/>
    <mergeCell ref="B22:D22"/>
    <mergeCell ref="E22:G22"/>
    <mergeCell ref="I22:K22"/>
    <mergeCell ref="M22:O22"/>
    <mergeCell ref="Q22:S22"/>
    <mergeCell ref="B23:S23"/>
  </mergeCells>
  <conditionalFormatting sqref="X36:X111">
    <cfRule type="expression" priority="2" aboveAverage="0" equalAverage="0" bottom="0" percent="0" rank="0" text="" dxfId="0">
      <formula>$Y36="✓ On Target"</formula>
    </cfRule>
    <cfRule type="expression" priority="3" aboveAverage="0" equalAverage="0" bottom="0" percent="0" rank="0" text="" dxfId="1">
      <formula>$Y36="✗ Off Target"</formula>
    </cfRule>
    <cfRule type="expression" priority="4" aboveAverage="0" equalAverage="0" bottom="0" percent="0" rank="0" text="" dxfId="2">
      <formula>$Y36="— No Data"</formula>
    </cfRule>
  </conditionalFormatting>
  <conditionalFormatting sqref="Y36:Y111">
    <cfRule type="expression" priority="5" aboveAverage="0" equalAverage="0" bottom="0" percent="0" rank="0" text="" dxfId="0">
      <formula>Y36="✓ On Target"</formula>
    </cfRule>
    <cfRule type="expression" priority="6" aboveAverage="0" equalAverage="0" bottom="0" percent="0" rank="0" text="" dxfId="1">
      <formula>Y36="✗ Off Target"</formula>
    </cfRule>
    <cfRule type="expression" priority="7" aboveAverage="0" equalAverage="0" bottom="0" percent="0" rank="0" text="" dxfId="2">
      <formula>Y36="— No Data"</formula>
    </cfRule>
  </conditionalFormatting>
  <conditionalFormatting sqref="H36:W111">
    <cfRule type="expression" priority="8" aboveAverage="0" equalAverage="0" bottom="0" percent="0" rank="0" text="" dxfId="0">
      <formula>AND(ISNUMBER(H36),ISNUMBER($G36),OR(AND($D36="P",H36&gt;=$G36),AND($D36="N",H36&lt;=$G36)))</formula>
    </cfRule>
    <cfRule type="expression" priority="9" aboveAverage="0" equalAverage="0" bottom="0" percent="0" rank="0" text="" dxfId="1">
      <formula>AND(ISNUMBER(H36),ISNUMBER($G36),OR(AND($D36="P",H36&lt;$G36),AND($D36="N",H36&gt;$G36)))</formula>
    </cfRule>
  </conditionalFormatting>
  <conditionalFormatting sqref="Y36:Y108">
    <cfRule type="expression" priority="10" aboveAverage="0" equalAverage="0" bottom="0" percent="0" rank="0" text="" dxfId="3">
      <formula>Y36="⊘ Non Target"</formula>
    </cfRule>
  </conditionalFormatting>
  <conditionalFormatting sqref="X36:X108">
    <cfRule type="expression" priority="11" aboveAverage="0" equalAverage="0" bottom="0" percent="0" rank="0" text="" dxfId="3">
      <formula>$Y36="⊘ Non Target"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05"/>
  <sheetViews>
    <sheetView showFormulas="false" showGridLines="fals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J63" activeCellId="0" sqref="J6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8"/>
    <col collapsed="false" customWidth="true" hidden="false" outlineLevel="0" max="3" min="3" style="1" width="13"/>
    <col collapsed="false" customWidth="true" hidden="true" outlineLevel="0" max="4" min="4" style="1" width="3"/>
    <col collapsed="false" customWidth="true" hidden="false" outlineLevel="0" max="5" min="5" style="1" width="9"/>
    <col collapsed="false" customWidth="true" hidden="false" outlineLevel="0" max="7" min="6" style="1" width="10"/>
    <col collapsed="false" customWidth="true" hidden="false" outlineLevel="0" max="10" min="8" style="1" width="7"/>
    <col collapsed="false" customWidth="true" hidden="false" outlineLevel="0" max="11" min="11" style="1" width="8"/>
    <col collapsed="false" customWidth="true" hidden="false" outlineLevel="0" max="14" min="12" style="1" width="7"/>
    <col collapsed="false" customWidth="true" hidden="false" outlineLevel="0" max="15" min="15" style="1" width="8"/>
    <col collapsed="false" customWidth="true" hidden="false" outlineLevel="0" max="18" min="16" style="1" width="7"/>
    <col collapsed="false" customWidth="true" hidden="false" outlineLevel="0" max="19" min="19" style="1" width="8"/>
    <col collapsed="false" customWidth="true" hidden="false" outlineLevel="0" max="22" min="20" style="1" width="7"/>
    <col collapsed="false" customWidth="true" hidden="false" outlineLevel="0" max="23" min="23" style="1" width="8"/>
    <col collapsed="false" customWidth="true" hidden="false" outlineLevel="0" max="24" min="24" style="1" width="10"/>
    <col collapsed="false" customWidth="true" hidden="false" outlineLevel="0" max="25" min="25" style="1" width="14"/>
    <col collapsed="false" customWidth="true" hidden="false" outlineLevel="0" max="26" min="26" style="1" width="16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30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30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30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2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21.75" hidden="false" customHeight="true" outlineLevel="0" collapsed="false">
      <c r="A7" s="3" t="s">
        <v>505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9" customFormat="false" ht="24" hidden="false" customHeight="true" outlineLevel="0" collapsed="false">
      <c r="B9" s="159" t="s">
        <v>486</v>
      </c>
      <c r="C9" s="159"/>
      <c r="D9" s="159"/>
      <c r="E9" s="159"/>
      <c r="F9" s="159"/>
      <c r="G9" s="159"/>
      <c r="H9" s="159"/>
      <c r="I9" s="159"/>
      <c r="K9" s="159" t="s">
        <v>487</v>
      </c>
      <c r="L9" s="159"/>
      <c r="M9" s="159"/>
      <c r="N9" s="159"/>
      <c r="O9" s="159"/>
      <c r="P9" s="159"/>
      <c r="Q9" s="159"/>
      <c r="R9" s="159"/>
    </row>
    <row r="10" customFormat="false" ht="6" hidden="false" customHeight="true" outlineLevel="0" collapsed="false">
      <c r="B10" s="4"/>
      <c r="C10" s="4"/>
      <c r="D10" s="5"/>
      <c r="E10" s="5"/>
      <c r="F10" s="6"/>
      <c r="G10" s="6"/>
      <c r="H10" s="7"/>
      <c r="I10" s="7"/>
      <c r="K10" s="4"/>
      <c r="L10" s="4"/>
      <c r="M10" s="5"/>
      <c r="N10" s="5"/>
      <c r="O10" s="6"/>
      <c r="P10" s="6"/>
      <c r="Q10" s="7"/>
      <c r="R10" s="7"/>
    </row>
    <row r="11" customFormat="false" ht="19.5" hidden="false" customHeight="true" outlineLevel="0" collapsed="false">
      <c r="B11" s="9" t="s">
        <v>488</v>
      </c>
      <c r="C11" s="9"/>
      <c r="D11" s="9" t="s">
        <v>489</v>
      </c>
      <c r="E11" s="9"/>
      <c r="F11" s="9" t="s">
        <v>490</v>
      </c>
      <c r="G11" s="9"/>
      <c r="H11" s="9" t="s">
        <v>248</v>
      </c>
      <c r="I11" s="9"/>
      <c r="K11" s="9" t="s">
        <v>488</v>
      </c>
      <c r="L11" s="9"/>
      <c r="M11" s="9" t="s">
        <v>489</v>
      </c>
      <c r="N11" s="9"/>
      <c r="O11" s="9" t="s">
        <v>490</v>
      </c>
      <c r="P11" s="9"/>
      <c r="Q11" s="9" t="s">
        <v>248</v>
      </c>
      <c r="R11" s="9"/>
    </row>
    <row r="12" customFormat="false" ht="24" hidden="false" customHeight="true" outlineLevel="0" collapsed="false">
      <c r="B12" s="160" t="n">
        <v>30</v>
      </c>
      <c r="C12" s="160"/>
      <c r="D12" s="161" t="n">
        <v>15</v>
      </c>
      <c r="E12" s="161"/>
      <c r="F12" s="162" t="n">
        <v>8</v>
      </c>
      <c r="G12" s="162"/>
      <c r="H12" s="163" t="n">
        <v>2</v>
      </c>
      <c r="I12" s="163"/>
      <c r="K12" s="160" t="n">
        <v>44</v>
      </c>
      <c r="L12" s="160"/>
      <c r="M12" s="161" t="n">
        <v>27</v>
      </c>
      <c r="N12" s="161"/>
      <c r="O12" s="162" t="n">
        <v>6</v>
      </c>
      <c r="P12" s="162"/>
      <c r="Q12" s="163" t="n">
        <v>6</v>
      </c>
      <c r="R12" s="163"/>
    </row>
    <row r="13" customFormat="false" ht="24" hidden="false" customHeight="true" outlineLevel="0" collapsed="false">
      <c r="B13" s="160"/>
      <c r="C13" s="160"/>
      <c r="D13" s="161"/>
      <c r="E13" s="161"/>
      <c r="F13" s="162"/>
      <c r="G13" s="162"/>
      <c r="H13" s="163"/>
      <c r="I13" s="163"/>
      <c r="K13" s="160"/>
      <c r="L13" s="160"/>
      <c r="M13" s="161"/>
      <c r="N13" s="161"/>
      <c r="O13" s="162"/>
      <c r="P13" s="162"/>
      <c r="Q13" s="163"/>
      <c r="R13" s="163"/>
    </row>
    <row r="14" customFormat="false" ht="3.75" hidden="false" customHeight="true" outlineLevel="0" collapsed="false">
      <c r="B14" s="18"/>
      <c r="C14" s="18"/>
      <c r="D14" s="18"/>
      <c r="E14" s="18"/>
      <c r="F14" s="18"/>
      <c r="G14" s="18"/>
      <c r="H14" s="18"/>
      <c r="I14" s="18"/>
      <c r="K14" s="18"/>
      <c r="L14" s="18"/>
      <c r="M14" s="18"/>
      <c r="N14" s="18"/>
      <c r="O14" s="18"/>
      <c r="P14" s="18"/>
      <c r="Q14" s="18"/>
      <c r="R14" s="18"/>
    </row>
    <row r="16" customFormat="false" ht="25.5" hidden="false" customHeight="true" outlineLevel="0" collapsed="false">
      <c r="B16" s="164" t="s">
        <v>506</v>
      </c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</row>
    <row r="17" customFormat="false" ht="6" hidden="false" customHeight="true" outlineLevel="0" collapsed="false">
      <c r="B17" s="165"/>
      <c r="C17" s="165"/>
      <c r="D17" s="165"/>
      <c r="E17" s="5"/>
      <c r="F17" s="5"/>
      <c r="G17" s="5"/>
      <c r="I17" s="6"/>
      <c r="J17" s="6"/>
      <c r="K17" s="6"/>
      <c r="M17" s="7"/>
      <c r="N17" s="7"/>
      <c r="O17" s="7"/>
      <c r="Q17" s="8"/>
      <c r="R17" s="8"/>
      <c r="S17" s="8"/>
    </row>
    <row r="18" customFormat="false" ht="21.75" hidden="false" customHeight="true" outlineLevel="0" collapsed="false">
      <c r="B18" s="9" t="s">
        <v>492</v>
      </c>
      <c r="C18" s="9"/>
      <c r="D18" s="9"/>
      <c r="E18" s="9" t="s">
        <v>489</v>
      </c>
      <c r="F18" s="9"/>
      <c r="G18" s="9"/>
      <c r="I18" s="9" t="s">
        <v>490</v>
      </c>
      <c r="J18" s="9"/>
      <c r="K18" s="9"/>
      <c r="M18" s="9" t="s">
        <v>248</v>
      </c>
      <c r="N18" s="9"/>
      <c r="O18" s="9"/>
      <c r="Q18" s="166" t="s">
        <v>5</v>
      </c>
      <c r="R18" s="166"/>
      <c r="S18" s="166"/>
    </row>
    <row r="19" customFormat="false" ht="27.75" hidden="false" customHeight="true" outlineLevel="0" collapsed="false">
      <c r="B19" s="167" t="n">
        <v>75</v>
      </c>
      <c r="C19" s="167"/>
      <c r="D19" s="167"/>
      <c r="E19" s="168" t="n">
        <v>42</v>
      </c>
      <c r="F19" s="168"/>
      <c r="G19" s="168"/>
      <c r="I19" s="169" t="n">
        <v>14</v>
      </c>
      <c r="J19" s="169"/>
      <c r="K19" s="169"/>
      <c r="M19" s="170" t="n">
        <v>9</v>
      </c>
      <c r="N19" s="170"/>
      <c r="O19" s="170"/>
      <c r="Q19" s="171" t="n">
        <v>30</v>
      </c>
      <c r="R19" s="171"/>
      <c r="S19" s="171"/>
    </row>
    <row r="20" customFormat="false" ht="27.75" hidden="false" customHeight="true" outlineLevel="0" collapsed="false">
      <c r="B20" s="167"/>
      <c r="C20" s="167"/>
      <c r="D20" s="167"/>
      <c r="E20" s="168"/>
      <c r="F20" s="168"/>
      <c r="G20" s="168"/>
      <c r="I20" s="169"/>
      <c r="J20" s="169"/>
      <c r="K20" s="169"/>
      <c r="M20" s="170"/>
      <c r="N20" s="170"/>
      <c r="O20" s="170"/>
      <c r="Q20" s="171"/>
      <c r="R20" s="171"/>
      <c r="S20" s="171"/>
    </row>
    <row r="21" customFormat="false" ht="21.75" hidden="false" customHeight="true" outlineLevel="0" collapsed="false">
      <c r="B21" s="15" t="s">
        <v>493</v>
      </c>
      <c r="C21" s="15"/>
      <c r="D21" s="15"/>
      <c r="E21" s="15" t="s">
        <v>507</v>
      </c>
      <c r="F21" s="15"/>
      <c r="G21" s="15"/>
      <c r="I21" s="15" t="s">
        <v>508</v>
      </c>
      <c r="J21" s="15"/>
      <c r="K21" s="15"/>
      <c r="M21" s="15" t="s">
        <v>509</v>
      </c>
      <c r="N21" s="15"/>
      <c r="O21" s="15"/>
      <c r="Q21" s="172" t="s">
        <v>510</v>
      </c>
      <c r="R21" s="172"/>
      <c r="S21" s="172"/>
    </row>
    <row r="22" customFormat="false" ht="3.75" hidden="false" customHeight="true" outlineLevel="0" collapsed="false">
      <c r="B22" s="18"/>
      <c r="C22" s="18"/>
      <c r="D22" s="18"/>
      <c r="E22" s="18"/>
      <c r="F22" s="18"/>
      <c r="G22" s="18"/>
      <c r="I22" s="18"/>
      <c r="J22" s="18"/>
      <c r="K22" s="18"/>
      <c r="M22" s="18"/>
      <c r="N22" s="18"/>
      <c r="O22" s="18"/>
      <c r="Q22" s="18"/>
      <c r="R22" s="18"/>
      <c r="S22" s="18"/>
    </row>
    <row r="23" customFormat="false" ht="24" hidden="false" customHeight="true" outlineLevel="0" collapsed="false">
      <c r="B23" s="47" t="s">
        <v>511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</row>
    <row r="24" customFormat="false" ht="24" hidden="false" customHeight="true" outlineLevel="0" collapsed="false">
      <c r="B24" s="48" t="s">
        <v>23</v>
      </c>
      <c r="C24" s="48" t="s">
        <v>29</v>
      </c>
      <c r="D24" s="48" t="s">
        <v>65</v>
      </c>
      <c r="E24" s="48" t="s">
        <v>66</v>
      </c>
      <c r="F24" s="48" t="s">
        <v>67</v>
      </c>
      <c r="G24" s="48" t="s">
        <v>30</v>
      </c>
    </row>
    <row r="25" customFormat="false" ht="21.75" hidden="false" customHeight="true" outlineLevel="0" collapsed="false">
      <c r="B25" s="55" t="s">
        <v>35</v>
      </c>
      <c r="C25" s="65" t="n">
        <v>17</v>
      </c>
      <c r="D25" s="57" t="n">
        <v>8</v>
      </c>
      <c r="E25" s="58" t="n">
        <v>2</v>
      </c>
      <c r="F25" s="59" t="n">
        <v>2</v>
      </c>
      <c r="G25" s="60" t="n">
        <v>0.8</v>
      </c>
    </row>
    <row r="26" customFormat="false" ht="21.75" hidden="false" customHeight="true" outlineLevel="0" collapsed="false">
      <c r="B26" s="49" t="s">
        <v>34</v>
      </c>
      <c r="C26" s="66" t="n">
        <v>27</v>
      </c>
      <c r="D26" s="51" t="n">
        <v>17</v>
      </c>
      <c r="E26" s="52" t="n">
        <v>5</v>
      </c>
      <c r="F26" s="53" t="n">
        <v>3</v>
      </c>
      <c r="G26" s="54" t="n">
        <v>0.772727272727273</v>
      </c>
    </row>
    <row r="27" customFormat="false" ht="21.75" hidden="false" customHeight="true" outlineLevel="0" collapsed="false">
      <c r="B27" s="55" t="s">
        <v>36</v>
      </c>
      <c r="C27" s="65" t="n">
        <v>26</v>
      </c>
      <c r="D27" s="57" t="n">
        <v>16</v>
      </c>
      <c r="E27" s="58" t="n">
        <v>6</v>
      </c>
      <c r="F27" s="59" t="n">
        <v>3</v>
      </c>
      <c r="G27" s="60" t="n">
        <v>0.727272727272727</v>
      </c>
    </row>
    <row r="28" customFormat="false" ht="21.75" hidden="false" customHeight="true" outlineLevel="0" collapsed="false">
      <c r="B28" s="49" t="s">
        <v>39</v>
      </c>
      <c r="C28" s="66" t="n">
        <v>0</v>
      </c>
      <c r="D28" s="51" t="n">
        <v>0</v>
      </c>
      <c r="E28" s="52" t="n">
        <v>0</v>
      </c>
      <c r="F28" s="53" t="n">
        <v>0</v>
      </c>
      <c r="G28" s="54" t="s">
        <v>32</v>
      </c>
    </row>
    <row r="29" customFormat="false" ht="21.75" hidden="false" customHeight="true" outlineLevel="0" collapsed="false">
      <c r="B29" s="55" t="s">
        <v>37</v>
      </c>
      <c r="C29" s="65" t="n">
        <v>4</v>
      </c>
      <c r="D29" s="57" t="n">
        <v>1</v>
      </c>
      <c r="E29" s="58" t="n">
        <v>1</v>
      </c>
      <c r="F29" s="59" t="n">
        <v>1</v>
      </c>
      <c r="G29" s="60" t="n">
        <v>0.5</v>
      </c>
    </row>
    <row r="30" customFormat="false" ht="25.5" hidden="false" customHeight="true" outlineLevel="0" collapsed="false">
      <c r="B30" s="61" t="s">
        <v>52</v>
      </c>
      <c r="C30" s="63" t="n">
        <v>75</v>
      </c>
      <c r="D30" s="63" t="n">
        <v>42</v>
      </c>
      <c r="E30" s="63" t="n">
        <v>14</v>
      </c>
      <c r="F30" s="63" t="n">
        <v>9</v>
      </c>
      <c r="G30" s="64" t="n">
        <v>0.75</v>
      </c>
    </row>
    <row r="31" customFormat="false" ht="15.75" hidden="false" customHeight="true" outlineLevel="0" collapsed="false"/>
    <row r="32" customFormat="false" ht="15.75" hidden="false" customHeight="true" outlineLevel="0" collapsed="false"/>
    <row r="35" customFormat="false" ht="25.5" hidden="false" customHeight="true" outlineLevel="0" collapsed="false">
      <c r="A35" s="67" t="s">
        <v>69</v>
      </c>
      <c r="B35" s="67" t="s">
        <v>70</v>
      </c>
      <c r="C35" s="67" t="s">
        <v>71</v>
      </c>
      <c r="D35" s="67" t="s">
        <v>72</v>
      </c>
      <c r="E35" s="67" t="s">
        <v>499</v>
      </c>
      <c r="F35" s="67" t="s">
        <v>500</v>
      </c>
      <c r="G35" s="67" t="s">
        <v>74</v>
      </c>
      <c r="H35" s="67" t="s">
        <v>75</v>
      </c>
      <c r="I35" s="67" t="s">
        <v>76</v>
      </c>
      <c r="J35" s="67" t="s">
        <v>77</v>
      </c>
      <c r="K35" s="173" t="s">
        <v>78</v>
      </c>
      <c r="L35" s="67" t="s">
        <v>79</v>
      </c>
      <c r="M35" s="67" t="s">
        <v>80</v>
      </c>
      <c r="N35" s="67" t="s">
        <v>81</v>
      </c>
      <c r="O35" s="173" t="s">
        <v>82</v>
      </c>
      <c r="P35" s="67" t="s">
        <v>83</v>
      </c>
      <c r="Q35" s="67" t="s">
        <v>84</v>
      </c>
      <c r="R35" s="67" t="s">
        <v>85</v>
      </c>
      <c r="S35" s="173" t="s">
        <v>86</v>
      </c>
      <c r="T35" s="67" t="s">
        <v>87</v>
      </c>
      <c r="U35" s="67" t="s">
        <v>88</v>
      </c>
      <c r="V35" s="67" t="s">
        <v>89</v>
      </c>
      <c r="W35" s="173" t="s">
        <v>90</v>
      </c>
      <c r="X35" s="67" t="s">
        <v>91</v>
      </c>
      <c r="Y35" s="67" t="s">
        <v>92</v>
      </c>
      <c r="Z35" s="68" t="s">
        <v>93</v>
      </c>
    </row>
    <row r="36" customFormat="false" ht="25.5" hidden="false" customHeight="true" outlineLevel="0" collapsed="false">
      <c r="A36" s="69" t="s">
        <v>111</v>
      </c>
      <c r="B36" s="70" t="s">
        <v>112</v>
      </c>
      <c r="C36" s="71" t="s">
        <v>35</v>
      </c>
      <c r="D36" s="71" t="s">
        <v>97</v>
      </c>
      <c r="E36" s="69" t="s">
        <v>501</v>
      </c>
      <c r="F36" s="87" t="n">
        <v>0.017</v>
      </c>
      <c r="G36" s="88" t="n">
        <v>0.0145</v>
      </c>
      <c r="H36" s="89" t="n">
        <v>0.0109375</v>
      </c>
      <c r="I36" s="89" t="n">
        <v>0.0106761565836299</v>
      </c>
      <c r="J36" s="89" t="n">
        <v>0.00843881856540084</v>
      </c>
      <c r="K36" s="174" t="n">
        <f aca="false">IF(COUNT(H36:J36)=0,"",AVERAGE(H36:J36))</f>
        <v>0.0100174917163436</v>
      </c>
      <c r="L36" s="90" t="n">
        <v>0.0072992700729927</v>
      </c>
      <c r="M36" s="90" t="n">
        <v>0.0088638195004029</v>
      </c>
      <c r="N36" s="90" t="n">
        <v>0.0131578947368421</v>
      </c>
      <c r="O36" s="174" t="n">
        <f aca="false">IF(COUNT(L36:N36)=0,"",AVERAGE(L36:N36))</f>
        <v>0.0097736614367459</v>
      </c>
      <c r="P36" s="90" t="n">
        <v>0.0109460516028147</v>
      </c>
      <c r="Q36" s="90"/>
      <c r="R36" s="90"/>
      <c r="S36" s="174" t="n">
        <f aca="false">IF(COUNT(P36:R36)=0,"",AVERAGE(P36:R36))</f>
        <v>0.0109460516028147</v>
      </c>
      <c r="T36" s="90"/>
      <c r="U36" s="90"/>
      <c r="V36" s="90"/>
      <c r="W36" s="174" t="str">
        <f aca="false">IF(COUNT(T36:V36)=0,"",AVERAGE(T36:V36))</f>
        <v/>
      </c>
      <c r="X36" s="92" t="n">
        <v>0.00865838089466814</v>
      </c>
      <c r="Y36" s="114" t="s">
        <v>104</v>
      </c>
      <c r="Z36" s="78" t="s">
        <v>100</v>
      </c>
    </row>
    <row r="37" customFormat="false" ht="25.5" hidden="false" customHeight="true" outlineLevel="0" collapsed="false">
      <c r="A37" s="69" t="s">
        <v>116</v>
      </c>
      <c r="B37" s="70" t="s">
        <v>117</v>
      </c>
      <c r="C37" s="71" t="s">
        <v>35</v>
      </c>
      <c r="D37" s="71" t="s">
        <v>97</v>
      </c>
      <c r="E37" s="69" t="s">
        <v>501</v>
      </c>
      <c r="F37" s="94" t="n">
        <v>0.0054</v>
      </c>
      <c r="G37" s="88" t="n">
        <v>0.0046</v>
      </c>
      <c r="H37" s="89" t="n">
        <v>0</v>
      </c>
      <c r="I37" s="89" t="n">
        <v>0</v>
      </c>
      <c r="J37" s="89" t="n">
        <v>0</v>
      </c>
      <c r="K37" s="174" t="n">
        <f aca="false">IF(COUNT(H37:J37)=0,"",AVERAGE(H37:J37))</f>
        <v>0</v>
      </c>
      <c r="L37" s="90" t="n">
        <v>0</v>
      </c>
      <c r="M37" s="90" t="n">
        <v>0</v>
      </c>
      <c r="N37" s="90" t="n">
        <v>0</v>
      </c>
      <c r="O37" s="175" t="n">
        <f aca="false">IF(COUNT(L37:N37)=0,"",AVERAGE(L37:N37))</f>
        <v>0</v>
      </c>
      <c r="P37" s="124" t="n">
        <v>0</v>
      </c>
      <c r="Q37" s="124"/>
      <c r="R37" s="124"/>
      <c r="S37" s="175" t="n">
        <f aca="false">IF(COUNT(P37:R37)=0,"",AVERAGE(P37:R37))</f>
        <v>0</v>
      </c>
      <c r="T37" s="124"/>
      <c r="U37" s="124"/>
      <c r="V37" s="124"/>
      <c r="W37" s="175" t="str">
        <f aca="false">IF(COUNT(T37:V37)=0,"",AVERAGE(T37:V37))</f>
        <v/>
      </c>
      <c r="X37" s="125" t="n">
        <v>0</v>
      </c>
      <c r="Y37" s="114" t="s">
        <v>104</v>
      </c>
      <c r="Z37" s="78" t="s">
        <v>100</v>
      </c>
    </row>
    <row r="38" customFormat="false" ht="25.5" hidden="false" customHeight="true" outlineLevel="0" collapsed="false">
      <c r="A38" s="69" t="s">
        <v>118</v>
      </c>
      <c r="B38" s="70" t="s">
        <v>119</v>
      </c>
      <c r="C38" s="71" t="s">
        <v>35</v>
      </c>
      <c r="D38" s="71" t="s">
        <v>97</v>
      </c>
      <c r="E38" s="69" t="s">
        <v>501</v>
      </c>
      <c r="F38" s="87" t="s">
        <v>32</v>
      </c>
      <c r="G38" s="91" t="s">
        <v>32</v>
      </c>
      <c r="H38" s="89" t="n">
        <v>0.105309291259704</v>
      </c>
      <c r="I38" s="89" t="n">
        <v>0.0810565299420027</v>
      </c>
      <c r="J38" s="89" t="n">
        <v>0.0814728906929545</v>
      </c>
      <c r="K38" s="174" t="n">
        <f aca="false">IF(COUNT(H38:J38)=0,"",AVERAGE(H38:J38))</f>
        <v>0.0892795706315537</v>
      </c>
      <c r="L38" s="90" t="n">
        <v>0.0561227432658476</v>
      </c>
      <c r="M38" s="90" t="n">
        <v>0.0608836907082521</v>
      </c>
      <c r="N38" s="90" t="n">
        <v>0.0747238466536712</v>
      </c>
      <c r="O38" s="174" t="n">
        <f aca="false">IF(COUNT(L38:N38)=0,"",AVERAGE(L38:N38))</f>
        <v>0.0639100935425903</v>
      </c>
      <c r="P38" s="90" t="n">
        <v>0.0614299411039584</v>
      </c>
      <c r="Q38" s="90"/>
      <c r="R38" s="90"/>
      <c r="S38" s="174" t="n">
        <f aca="false">IF(COUNT(P38:R38)=0,"",AVERAGE(P38:R38))</f>
        <v>0.0614299411039584</v>
      </c>
      <c r="T38" s="90"/>
      <c r="U38" s="90"/>
      <c r="V38" s="90"/>
      <c r="W38" s="174" t="str">
        <f aca="false">IF(COUNT(T38:V38)=0,"",AVERAGE(T38:V38))</f>
        <v/>
      </c>
      <c r="X38" s="92" t="n">
        <v>0.0727011569487007</v>
      </c>
      <c r="Y38" s="114" t="s">
        <v>120</v>
      </c>
      <c r="Z38" s="78" t="s">
        <v>100</v>
      </c>
    </row>
    <row r="39" customFormat="false" ht="25.5" hidden="false" customHeight="true" outlineLevel="0" collapsed="false">
      <c r="A39" s="69" t="s">
        <v>127</v>
      </c>
      <c r="B39" s="70" t="s">
        <v>128</v>
      </c>
      <c r="C39" s="71" t="s">
        <v>35</v>
      </c>
      <c r="D39" s="71" t="s">
        <v>110</v>
      </c>
      <c r="E39" s="69" t="s">
        <v>501</v>
      </c>
      <c r="F39" s="102" t="s">
        <v>32</v>
      </c>
      <c r="G39" s="75" t="s">
        <v>32</v>
      </c>
      <c r="H39" s="81" t="n">
        <v>0.00523809523809524</v>
      </c>
      <c r="I39" s="81" t="n">
        <v>0.00385356454720617</v>
      </c>
      <c r="J39" s="81" t="n">
        <v>0.00527325023969319</v>
      </c>
      <c r="K39" s="176" t="n">
        <f aca="false">IF(COUNT(H39:J39)=0,"",AVERAGE(H39:J39))</f>
        <v>0.00478830334166487</v>
      </c>
      <c r="L39" s="103" t="n">
        <v>0.00295302013422819</v>
      </c>
      <c r="M39" s="103" t="n">
        <v>0.00371872887085869</v>
      </c>
      <c r="N39" s="103" t="n">
        <v>0.00371872887085869</v>
      </c>
      <c r="O39" s="176" t="n">
        <f aca="false">IF(COUNT(L39:N39)=0,"",AVERAGE(L39:N39))</f>
        <v>0.00346349262531519</v>
      </c>
      <c r="P39" s="103" t="n">
        <v>0.00465509944985188</v>
      </c>
      <c r="Q39" s="103"/>
      <c r="R39" s="103"/>
      <c r="S39" s="176" t="n">
        <f aca="false">IF(COUNT(P39:R39)=0,"",AVERAGE(P39:R39))</f>
        <v>0.00465509944985188</v>
      </c>
      <c r="T39" s="103"/>
      <c r="U39" s="103"/>
      <c r="V39" s="103"/>
      <c r="W39" s="176" t="str">
        <f aca="false">IF(COUNT(T39:V39)=0,"",AVERAGE(T39:V39))</f>
        <v/>
      </c>
      <c r="X39" s="104" t="n">
        <v>0.00387066173794653</v>
      </c>
      <c r="Y39" s="114" t="s">
        <v>120</v>
      </c>
      <c r="Z39" s="78" t="s">
        <v>100</v>
      </c>
    </row>
    <row r="40" customFormat="false" ht="25.5" hidden="false" customHeight="true" outlineLevel="0" collapsed="false">
      <c r="A40" s="69" t="s">
        <v>129</v>
      </c>
      <c r="B40" s="70" t="s">
        <v>130</v>
      </c>
      <c r="C40" s="71" t="s">
        <v>35</v>
      </c>
      <c r="D40" s="71" t="s">
        <v>110</v>
      </c>
      <c r="E40" s="69" t="s">
        <v>501</v>
      </c>
      <c r="F40" s="102" t="s">
        <v>32</v>
      </c>
      <c r="G40" s="75" t="s">
        <v>32</v>
      </c>
      <c r="H40" s="81" t="n">
        <v>0.0055713915522156</v>
      </c>
      <c r="I40" s="81" t="n">
        <v>0.00555878740870015</v>
      </c>
      <c r="J40" s="81" t="n">
        <v>0.00576407506702413</v>
      </c>
      <c r="K40" s="176" t="n">
        <f aca="false">IF(COUNT(H40:J40)=0,"",AVERAGE(H40:J40))</f>
        <v>0.00563141800931329</v>
      </c>
      <c r="L40" s="103" t="n">
        <v>0.00469688694702349</v>
      </c>
      <c r="M40" s="103" t="n">
        <v>0.00526734856372879</v>
      </c>
      <c r="N40" s="103" t="n">
        <v>0.00526734856372879</v>
      </c>
      <c r="O40" s="176" t="n">
        <f aca="false">IF(COUNT(L40:N40)=0,"",AVERAGE(L40:N40))</f>
        <v>0.00507719469149369</v>
      </c>
      <c r="P40" s="103" t="n">
        <v>0.00483902187237886</v>
      </c>
      <c r="Q40" s="103"/>
      <c r="R40" s="103"/>
      <c r="S40" s="176" t="n">
        <f aca="false">IF(COUNT(P40:R40)=0,"",AVERAGE(P40:R40))</f>
        <v>0.00483902187237886</v>
      </c>
      <c r="T40" s="103"/>
      <c r="U40" s="103"/>
      <c r="V40" s="103"/>
      <c r="W40" s="176" t="str">
        <f aca="false">IF(COUNT(T40:V40)=0,"",AVERAGE(T40:V40))</f>
        <v/>
      </c>
      <c r="X40" s="104" t="n">
        <v>0.00516415247816839</v>
      </c>
      <c r="Y40" s="114" t="s">
        <v>120</v>
      </c>
      <c r="Z40" s="78" t="s">
        <v>100</v>
      </c>
    </row>
    <row r="41" customFormat="false" ht="25.5" hidden="false" customHeight="true" outlineLevel="0" collapsed="false">
      <c r="A41" s="69" t="s">
        <v>139</v>
      </c>
      <c r="B41" s="70" t="s">
        <v>140</v>
      </c>
      <c r="C41" s="71" t="s">
        <v>35</v>
      </c>
      <c r="D41" s="71" t="s">
        <v>97</v>
      </c>
      <c r="E41" s="69" t="s">
        <v>501</v>
      </c>
      <c r="F41" s="87" t="n">
        <v>0.646</v>
      </c>
      <c r="G41" s="88" t="s">
        <v>141</v>
      </c>
      <c r="H41" s="89" t="n">
        <v>0.812258064516129</v>
      </c>
      <c r="I41" s="89" t="n">
        <v>0.656785714285714</v>
      </c>
      <c r="J41" s="89" t="n">
        <v>0.887645380732938</v>
      </c>
      <c r="K41" s="174" t="n">
        <f aca="false">IF(COUNT(H41:J41)=0,"",AVERAGE(H41:J41))</f>
        <v>0.78556305317826</v>
      </c>
      <c r="L41" s="90" t="n">
        <v>1.12879818594104</v>
      </c>
      <c r="M41" s="90" t="n">
        <v>1</v>
      </c>
      <c r="N41" s="90" t="n">
        <v>1.06417233560091</v>
      </c>
      <c r="O41" s="174" t="n">
        <f aca="false">IF(COUNT(L41:N41)=0,"",AVERAGE(L41:N41))</f>
        <v>1.06432350718065</v>
      </c>
      <c r="P41" s="90" t="n">
        <v>0.95633091946456</v>
      </c>
      <c r="Q41" s="90"/>
      <c r="R41" s="90"/>
      <c r="S41" s="174" t="n">
        <f aca="false">IF(COUNT(P41:R41)=0,"",AVERAGE(P41:R41))</f>
        <v>0.95633091946456</v>
      </c>
      <c r="T41" s="90"/>
      <c r="U41" s="90"/>
      <c r="V41" s="90"/>
      <c r="W41" s="174" t="str">
        <f aca="false">IF(COUNT(T41:V41)=0,"",AVERAGE(T41:V41))</f>
        <v/>
      </c>
      <c r="X41" s="92" t="n">
        <v>0.95718061955965</v>
      </c>
      <c r="Y41" s="114" t="s">
        <v>113</v>
      </c>
      <c r="Z41" s="78" t="s">
        <v>100</v>
      </c>
    </row>
    <row r="42" customFormat="false" ht="25.5" hidden="false" customHeight="true" outlineLevel="0" collapsed="false">
      <c r="A42" s="69" t="s">
        <v>142</v>
      </c>
      <c r="B42" s="70" t="s">
        <v>143</v>
      </c>
      <c r="C42" s="71" t="s">
        <v>35</v>
      </c>
      <c r="D42" s="71" t="s">
        <v>97</v>
      </c>
      <c r="E42" s="69" t="s">
        <v>501</v>
      </c>
      <c r="F42" s="96" t="n">
        <v>3.9</v>
      </c>
      <c r="G42" s="97" t="n">
        <v>3.77</v>
      </c>
      <c r="H42" s="177" t="n">
        <v>2.7671568627451</v>
      </c>
      <c r="I42" s="177" t="n">
        <v>2.55</v>
      </c>
      <c r="J42" s="177" t="n">
        <v>4.96537250786988</v>
      </c>
      <c r="K42" s="178" t="n">
        <f aca="false">IF(COUNT(H42:J42)=0,"",AVERAGE(H42:J42))</f>
        <v>3.42750979020499</v>
      </c>
      <c r="L42" s="179" t="n">
        <v>6.55087358684481</v>
      </c>
      <c r="M42" s="179" t="n">
        <v>6.68303094983992</v>
      </c>
      <c r="N42" s="179" t="n">
        <v>5.13130434782609</v>
      </c>
      <c r="O42" s="178" t="n">
        <f aca="false">IF(COUNT(L42:N42)=0,"",AVERAGE(L42:N42))</f>
        <v>6.12173629483694</v>
      </c>
      <c r="P42" s="179" t="n">
        <v>6.20958751393534</v>
      </c>
      <c r="Q42" s="179"/>
      <c r="R42" s="179"/>
      <c r="S42" s="178" t="n">
        <f aca="false">IF(COUNT(P42:R42)=0,"",AVERAGE(P42:R42))</f>
        <v>6.20958751393534</v>
      </c>
      <c r="T42" s="179"/>
      <c r="U42" s="179"/>
      <c r="V42" s="179"/>
      <c r="W42" s="178" t="str">
        <f aca="false">IF(COUNT(T42:V42)=0,"",AVERAGE(T42:V42))</f>
        <v/>
      </c>
      <c r="X42" s="100" t="n">
        <v>4.9891916885249</v>
      </c>
      <c r="Y42" s="114" t="s">
        <v>104</v>
      </c>
      <c r="Z42" s="78" t="s">
        <v>100</v>
      </c>
    </row>
    <row r="43" customFormat="false" ht="25.5" hidden="false" customHeight="true" outlineLevel="0" collapsed="false">
      <c r="A43" s="69" t="s">
        <v>152</v>
      </c>
      <c r="B43" s="70" t="s">
        <v>153</v>
      </c>
      <c r="C43" s="71" t="s">
        <v>34</v>
      </c>
      <c r="D43" s="71" t="s">
        <v>97</v>
      </c>
      <c r="E43" s="69" t="s">
        <v>501</v>
      </c>
      <c r="F43" s="87" t="n">
        <v>0.253</v>
      </c>
      <c r="G43" s="88" t="n">
        <v>0.2</v>
      </c>
      <c r="H43" s="89" t="n">
        <v>0.289340101522843</v>
      </c>
      <c r="I43" s="89" t="n">
        <v>0.256147540983607</v>
      </c>
      <c r="J43" s="89" t="n">
        <v>0.476415094339623</v>
      </c>
      <c r="K43" s="174" t="n">
        <f aca="false">IF(COUNT(H43:J43)=0,"",AVERAGE(H43:J43))</f>
        <v>0.340634245615358</v>
      </c>
      <c r="L43" s="90" t="n">
        <v>0.319266055045872</v>
      </c>
      <c r="M43" s="90" t="n">
        <v>0.291428571428571</v>
      </c>
      <c r="N43" s="90" t="n">
        <v>0.304587155963303</v>
      </c>
      <c r="O43" s="174" t="n">
        <f aca="false">IF(COUNT(L43:N43)=0,"",AVERAGE(L43:N43))</f>
        <v>0.305093927479249</v>
      </c>
      <c r="P43" s="90" t="n">
        <v>0.246666666666667</v>
      </c>
      <c r="Q43" s="90"/>
      <c r="R43" s="90"/>
      <c r="S43" s="174" t="n">
        <f aca="false">IF(COUNT(P43:R43)=0,"",AVERAGE(P43:R43))</f>
        <v>0.246666666666667</v>
      </c>
      <c r="T43" s="90"/>
      <c r="U43" s="90"/>
      <c r="V43" s="90"/>
      <c r="W43" s="174" t="str">
        <f aca="false">IF(COUNT(T43:V43)=0,"",AVERAGE(T43:V43))</f>
        <v/>
      </c>
      <c r="X43" s="92" t="n">
        <v>0.329950150330615</v>
      </c>
      <c r="Y43" s="114" t="s">
        <v>113</v>
      </c>
      <c r="Z43" s="78" t="s">
        <v>100</v>
      </c>
    </row>
    <row r="44" customFormat="false" ht="25.5" hidden="false" customHeight="true" outlineLevel="0" collapsed="false">
      <c r="A44" s="69" t="s">
        <v>154</v>
      </c>
      <c r="B44" s="70" t="s">
        <v>155</v>
      </c>
      <c r="C44" s="71" t="s">
        <v>34</v>
      </c>
      <c r="D44" s="71" t="s">
        <v>97</v>
      </c>
      <c r="E44" s="69" t="s">
        <v>501</v>
      </c>
      <c r="F44" s="102" t="n">
        <v>0.18</v>
      </c>
      <c r="G44" s="82" t="n">
        <v>0</v>
      </c>
      <c r="H44" s="103" t="n">
        <v>0</v>
      </c>
      <c r="I44" s="103" t="n">
        <v>0</v>
      </c>
      <c r="J44" s="81" t="n">
        <v>0</v>
      </c>
      <c r="K44" s="176" t="n">
        <f aca="false">IF(COUNT(H44:J44)=0,"",SUM(H44:J44))</f>
        <v>0</v>
      </c>
      <c r="L44" s="74" t="n">
        <v>0</v>
      </c>
      <c r="M44" s="103" t="n">
        <v>0</v>
      </c>
      <c r="N44" s="103" t="n">
        <v>0</v>
      </c>
      <c r="O44" s="176" t="n">
        <f aca="false">IF(COUNT(L44:N44)=0,"",SUM(L44:N44))</f>
        <v>0</v>
      </c>
      <c r="P44" s="103" t="n">
        <v>0</v>
      </c>
      <c r="Q44" s="103"/>
      <c r="R44" s="103"/>
      <c r="S44" s="176" t="n">
        <v>0</v>
      </c>
      <c r="T44" s="103"/>
      <c r="U44" s="103"/>
      <c r="V44" s="103"/>
      <c r="W44" s="176" t="n">
        <v>0</v>
      </c>
      <c r="X44" s="104" t="n">
        <v>0</v>
      </c>
      <c r="Y44" s="114" t="s">
        <v>104</v>
      </c>
      <c r="Z44" s="78" t="s">
        <v>100</v>
      </c>
    </row>
    <row r="45" customFormat="false" ht="25.5" hidden="false" customHeight="true" outlineLevel="0" collapsed="false">
      <c r="A45" s="69" t="s">
        <v>156</v>
      </c>
      <c r="B45" s="70" t="s">
        <v>157</v>
      </c>
      <c r="C45" s="71" t="s">
        <v>34</v>
      </c>
      <c r="D45" s="71" t="s">
        <v>110</v>
      </c>
      <c r="E45" s="69" t="s">
        <v>501</v>
      </c>
      <c r="F45" s="87" t="n">
        <v>0.974</v>
      </c>
      <c r="G45" s="88" t="n">
        <v>0.98</v>
      </c>
      <c r="H45" s="89" t="n">
        <v>1</v>
      </c>
      <c r="I45" s="89" t="n">
        <v>1</v>
      </c>
      <c r="J45" s="89" t="n">
        <v>1</v>
      </c>
      <c r="K45" s="174" t="n">
        <f aca="false">IF(COUNT(H45:J45)=0,"",AVERAGE(H45:J45))</f>
        <v>1</v>
      </c>
      <c r="L45" s="90" t="n">
        <v>1</v>
      </c>
      <c r="M45" s="90" t="n">
        <v>1</v>
      </c>
      <c r="N45" s="90" t="n">
        <v>0.998547918683446</v>
      </c>
      <c r="O45" s="174" t="n">
        <f aca="false">IF(COUNT(L45:N45)=0,"",AVERAGE(L45:N45))</f>
        <v>0.999515972894482</v>
      </c>
      <c r="P45" s="90" t="n">
        <v>1</v>
      </c>
      <c r="Q45" s="90"/>
      <c r="R45" s="90"/>
      <c r="S45" s="174" t="n">
        <f aca="false">IF(COUNT(P45:R45)=0,"",AVERAGE(P45:R45))</f>
        <v>1</v>
      </c>
      <c r="T45" s="90"/>
      <c r="U45" s="90"/>
      <c r="V45" s="90"/>
      <c r="W45" s="174" t="str">
        <f aca="false">IF(COUNT(T45:V45)=0,"",AVERAGE(T45:V45))</f>
        <v/>
      </c>
      <c r="X45" s="92" t="n">
        <v>1</v>
      </c>
      <c r="Y45" s="114" t="s">
        <v>104</v>
      </c>
      <c r="Z45" s="78" t="s">
        <v>100</v>
      </c>
    </row>
    <row r="46" customFormat="false" ht="25.5" hidden="false" customHeight="true" outlineLevel="0" collapsed="false">
      <c r="A46" s="69" t="s">
        <v>160</v>
      </c>
      <c r="B46" s="70" t="s">
        <v>161</v>
      </c>
      <c r="C46" s="71" t="s">
        <v>34</v>
      </c>
      <c r="D46" s="71" t="s">
        <v>110</v>
      </c>
      <c r="E46" s="69" t="s">
        <v>501</v>
      </c>
      <c r="F46" s="87" t="n">
        <v>1</v>
      </c>
      <c r="G46" s="88" t="n">
        <v>1</v>
      </c>
      <c r="H46" s="89" t="n">
        <v>1</v>
      </c>
      <c r="I46" s="89" t="n">
        <v>1</v>
      </c>
      <c r="J46" s="89" t="n">
        <v>1</v>
      </c>
      <c r="K46" s="174" t="n">
        <f aca="false">IF(COUNT(H46:J46)=0,"",AVERAGE(H46:J46))</f>
        <v>1</v>
      </c>
      <c r="L46" s="90" t="n">
        <v>1</v>
      </c>
      <c r="M46" s="90" t="n">
        <v>1</v>
      </c>
      <c r="N46" s="90" t="n">
        <v>1</v>
      </c>
      <c r="O46" s="174" t="n">
        <f aca="false">IF(COUNT(L46:N46)=0,"",AVERAGE(L46:N46))</f>
        <v>1</v>
      </c>
      <c r="P46" s="90" t="n">
        <v>1</v>
      </c>
      <c r="Q46" s="90"/>
      <c r="R46" s="90"/>
      <c r="S46" s="174" t="n">
        <f aca="false">IF(COUNT(P46:R46)=0,"",AVERAGE(P46:R46))</f>
        <v>1</v>
      </c>
      <c r="T46" s="90"/>
      <c r="U46" s="90"/>
      <c r="V46" s="90"/>
      <c r="W46" s="174" t="str">
        <f aca="false">IF(COUNT(T46:V46)=0,"",AVERAGE(T46:V46))</f>
        <v/>
      </c>
      <c r="X46" s="92" t="n">
        <v>1</v>
      </c>
      <c r="Y46" s="114" t="s">
        <v>104</v>
      </c>
      <c r="Z46" s="78" t="s">
        <v>100</v>
      </c>
    </row>
    <row r="47" customFormat="false" ht="25.5" hidden="false" customHeight="true" outlineLevel="0" collapsed="false">
      <c r="A47" s="69" t="s">
        <v>162</v>
      </c>
      <c r="B47" s="70" t="s">
        <v>163</v>
      </c>
      <c r="C47" s="71" t="s">
        <v>34</v>
      </c>
      <c r="D47" s="71" t="s">
        <v>97</v>
      </c>
      <c r="E47" s="69" t="s">
        <v>501</v>
      </c>
      <c r="F47" s="87" t="n">
        <v>0.01</v>
      </c>
      <c r="G47" s="88" t="n">
        <v>0.012</v>
      </c>
      <c r="H47" s="89" t="n">
        <v>0.0368117797695263</v>
      </c>
      <c r="I47" s="89" t="n">
        <v>0.0322413435620983</v>
      </c>
      <c r="J47" s="89" t="n">
        <v>0.0301330008312552</v>
      </c>
      <c r="K47" s="174" t="n">
        <f aca="false">IF(COUNT(H47:J47)=0,"",AVERAGE(H47:J47))</f>
        <v>0.0330620413876266</v>
      </c>
      <c r="L47" s="90" t="n">
        <v>0.0376251643572368</v>
      </c>
      <c r="M47" s="90" t="n">
        <v>0.0400042220814862</v>
      </c>
      <c r="N47" s="90" t="n">
        <v>0.0229489386115892</v>
      </c>
      <c r="O47" s="174" t="n">
        <f aca="false">IF(COUNT(L47:N47)=0,"",AVERAGE(L47:N47))</f>
        <v>0.0335261083501041</v>
      </c>
      <c r="P47" s="90" t="n">
        <v>0.0196753566158387</v>
      </c>
      <c r="Q47" s="90"/>
      <c r="R47" s="90"/>
      <c r="S47" s="174" t="n">
        <f aca="false">IF(COUNT(P47:R47)=0,"",AVERAGE(P47:R47))</f>
        <v>0.0196753566158387</v>
      </c>
      <c r="T47" s="90"/>
      <c r="U47" s="90"/>
      <c r="V47" s="90"/>
      <c r="W47" s="174" t="str">
        <f aca="false">IF(COUNT(T47:V47)=0,"",AVERAGE(T47:V47))</f>
        <v/>
      </c>
      <c r="X47" s="92" t="n">
        <v>0.0353436028724317</v>
      </c>
      <c r="Y47" s="114" t="s">
        <v>113</v>
      </c>
      <c r="Z47" s="78" t="s">
        <v>100</v>
      </c>
    </row>
    <row r="48" customFormat="false" ht="25.5" hidden="false" customHeight="true" outlineLevel="0" collapsed="false">
      <c r="A48" s="69" t="s">
        <v>164</v>
      </c>
      <c r="B48" s="70" t="s">
        <v>165</v>
      </c>
      <c r="C48" s="71" t="s">
        <v>166</v>
      </c>
      <c r="D48" s="71" t="s">
        <v>110</v>
      </c>
      <c r="E48" s="69" t="s">
        <v>501</v>
      </c>
      <c r="F48" s="87" t="n">
        <v>0.788</v>
      </c>
      <c r="G48" s="88" t="n">
        <v>0.9</v>
      </c>
      <c r="H48" s="89" t="n">
        <v>0.9349</v>
      </c>
      <c r="I48" s="90" t="n">
        <v>0.925608011444921</v>
      </c>
      <c r="J48" s="90" t="n">
        <v>0.9597</v>
      </c>
      <c r="K48" s="174" t="n">
        <f aca="false">IF(COUNT(H48:J48)=0,"",AVERAGE(H48:J48))</f>
        <v>0.940069337148307</v>
      </c>
      <c r="L48" s="90" t="n">
        <v>0.9276</v>
      </c>
      <c r="M48" s="90" t="n">
        <v>0.9315</v>
      </c>
      <c r="N48" s="90" t="n">
        <v>0.9347</v>
      </c>
      <c r="O48" s="174" t="n">
        <f aca="false">IF(COUNT(L48:N48)=0,"",AVERAGE(L48:N48))</f>
        <v>0.931266666666667</v>
      </c>
      <c r="P48" s="90" t="n">
        <v>0.956</v>
      </c>
      <c r="Q48" s="90"/>
      <c r="R48" s="90"/>
      <c r="S48" s="174" t="n">
        <f aca="false">IF(COUNT(P48:R48)=0,"",AVERAGE(P48:R48))</f>
        <v>0.956</v>
      </c>
      <c r="T48" s="90"/>
      <c r="U48" s="90"/>
      <c r="V48" s="90"/>
      <c r="W48" s="174" t="str">
        <f aca="false">IF(COUNT(T48:V48)=0,"",AVERAGE(T48:V48))</f>
        <v/>
      </c>
      <c r="X48" s="92" t="n">
        <v>0.9349</v>
      </c>
      <c r="Y48" s="114" t="s">
        <v>104</v>
      </c>
      <c r="Z48" s="78" t="s">
        <v>105</v>
      </c>
    </row>
    <row r="49" customFormat="false" ht="25.5" hidden="false" customHeight="true" outlineLevel="0" collapsed="false">
      <c r="A49" s="69" t="s">
        <v>167</v>
      </c>
      <c r="B49" s="70" t="s">
        <v>168</v>
      </c>
      <c r="C49" s="71" t="s">
        <v>166</v>
      </c>
      <c r="D49" s="71" t="s">
        <v>110</v>
      </c>
      <c r="E49" s="69" t="s">
        <v>501</v>
      </c>
      <c r="F49" s="87" t="n">
        <v>0.988</v>
      </c>
      <c r="G49" s="88" t="n">
        <v>0.99</v>
      </c>
      <c r="H49" s="89" t="n">
        <v>1</v>
      </c>
      <c r="I49" s="89" t="n">
        <v>1</v>
      </c>
      <c r="J49" s="89" t="n">
        <v>1</v>
      </c>
      <c r="K49" s="174" t="n">
        <f aca="false">IF(COUNT(H49:J49)=0,"",AVERAGE(H49:J49))</f>
        <v>1</v>
      </c>
      <c r="L49" s="174" t="n">
        <f aca="false">IF(COUNT(I49:K49)=0,"",AVERAGE(I49:K49))</f>
        <v>1</v>
      </c>
      <c r="M49" s="174" t="n">
        <f aca="false">IF(COUNT(J49:L49)=0,"",AVERAGE(J49:L49))</f>
        <v>1</v>
      </c>
      <c r="N49" s="90"/>
      <c r="O49" s="174" t="n">
        <f aca="false">IF(COUNT(L49:N49)=0,"",AVERAGE(L49:N49))</f>
        <v>1</v>
      </c>
      <c r="P49" s="90"/>
      <c r="Q49" s="90"/>
      <c r="R49" s="90"/>
      <c r="S49" s="174" t="str">
        <f aca="false">IF(COUNT(P49:R49)=0,"",AVERAGE(P49:R49))</f>
        <v/>
      </c>
      <c r="T49" s="90"/>
      <c r="U49" s="90"/>
      <c r="V49" s="90"/>
      <c r="W49" s="174" t="str">
        <f aca="false">IF(COUNT(T49:V49)=0,"",AVERAGE(T49:V49))</f>
        <v/>
      </c>
      <c r="X49" s="92" t="n">
        <v>1</v>
      </c>
      <c r="Y49" s="114" t="s">
        <v>104</v>
      </c>
      <c r="Z49" s="78" t="s">
        <v>100</v>
      </c>
    </row>
    <row r="50" customFormat="false" ht="25.5" hidden="false" customHeight="true" outlineLevel="0" collapsed="false">
      <c r="A50" s="69" t="s">
        <v>169</v>
      </c>
      <c r="B50" s="70" t="s">
        <v>170</v>
      </c>
      <c r="C50" s="71" t="s">
        <v>166</v>
      </c>
      <c r="D50" s="71" t="s">
        <v>110</v>
      </c>
      <c r="E50" s="69" t="s">
        <v>501</v>
      </c>
      <c r="F50" s="87" t="n">
        <v>0.92</v>
      </c>
      <c r="G50" s="88" t="n">
        <v>0.93</v>
      </c>
      <c r="H50" s="89" t="n">
        <v>0.888748241912799</v>
      </c>
      <c r="I50" s="89" t="n">
        <v>0.913132196472817</v>
      </c>
      <c r="J50" s="89" t="n">
        <v>0.953449709060682</v>
      </c>
      <c r="K50" s="174" t="n">
        <f aca="false">IF(COUNT(H50:J50)=0,"",AVERAGE(H50:J50))</f>
        <v>0.918443382482099</v>
      </c>
      <c r="L50" s="90" t="n">
        <v>0.966825123900071</v>
      </c>
      <c r="M50" s="90" t="n">
        <v>0.9653</v>
      </c>
      <c r="N50" s="90" t="n">
        <v>0.95387551691231</v>
      </c>
      <c r="O50" s="174" t="n">
        <f aca="false">IF(COUNT(L50:N50)=0,"",AVERAGE(L50:N50))</f>
        <v>0.962000213604127</v>
      </c>
      <c r="P50" s="90" t="n">
        <v>0.9497</v>
      </c>
      <c r="Q50" s="90"/>
      <c r="R50" s="90"/>
      <c r="S50" s="174" t="n">
        <f aca="false">IF(COUNT(P50:R50)=0,"",AVERAGE(P50:R50))</f>
        <v>0.9497</v>
      </c>
      <c r="T50" s="90"/>
      <c r="U50" s="90"/>
      <c r="V50" s="90"/>
      <c r="W50" s="174" t="str">
        <f aca="false">IF(COUNT(T50:V50)=0,"",AVERAGE(T50:V50))</f>
        <v/>
      </c>
      <c r="X50" s="92" t="n">
        <v>0.944527204882861</v>
      </c>
      <c r="Y50" s="114" t="s">
        <v>113</v>
      </c>
      <c r="Z50" s="78" t="s">
        <v>100</v>
      </c>
    </row>
    <row r="51" customFormat="false" ht="25.5" hidden="false" customHeight="true" outlineLevel="0" collapsed="false">
      <c r="A51" s="69" t="s">
        <v>171</v>
      </c>
      <c r="B51" s="70" t="s">
        <v>172</v>
      </c>
      <c r="C51" s="71" t="s">
        <v>166</v>
      </c>
      <c r="D51" s="71" t="s">
        <v>97</v>
      </c>
      <c r="E51" s="69" t="s">
        <v>501</v>
      </c>
      <c r="F51" s="72" t="n">
        <v>0.55</v>
      </c>
      <c r="G51" s="73" t="s">
        <v>32</v>
      </c>
      <c r="H51" s="106" t="n">
        <v>0</v>
      </c>
      <c r="I51" s="106" t="n">
        <v>2</v>
      </c>
      <c r="J51" s="106" t="n">
        <v>1</v>
      </c>
      <c r="K51" s="182" t="n">
        <f aca="false">IF(COUNT(H51:J51)=0,"",SUM(H51:J51))</f>
        <v>3</v>
      </c>
      <c r="L51" s="74" t="n">
        <v>0</v>
      </c>
      <c r="M51" s="74" t="n">
        <v>0</v>
      </c>
      <c r="N51" s="74" t="n">
        <v>0</v>
      </c>
      <c r="O51" s="182" t="n">
        <f aca="false">IF(COUNT(L51:N51)=0,"",SUM(L51:N51))</f>
        <v>0</v>
      </c>
      <c r="P51" s="74" t="n">
        <v>0</v>
      </c>
      <c r="Q51" s="74"/>
      <c r="R51" s="74"/>
      <c r="S51" s="182" t="n">
        <v>0</v>
      </c>
      <c r="T51" s="74"/>
      <c r="U51" s="74"/>
      <c r="V51" s="74"/>
      <c r="W51" s="182" t="n">
        <v>0</v>
      </c>
      <c r="X51" s="76" t="n">
        <v>3</v>
      </c>
      <c r="Y51" s="114" t="s">
        <v>120</v>
      </c>
      <c r="Z51" s="78" t="s">
        <v>100</v>
      </c>
    </row>
    <row r="52" customFormat="false" ht="25.5" hidden="false" customHeight="true" outlineLevel="0" collapsed="false">
      <c r="A52" s="69" t="s">
        <v>174</v>
      </c>
      <c r="B52" s="70" t="s">
        <v>175</v>
      </c>
      <c r="C52" s="71" t="s">
        <v>166</v>
      </c>
      <c r="D52" s="71" t="s">
        <v>110</v>
      </c>
      <c r="E52" s="69" t="s">
        <v>501</v>
      </c>
      <c r="F52" s="87" t="n">
        <v>0.828</v>
      </c>
      <c r="G52" s="88" t="n">
        <v>0.8538</v>
      </c>
      <c r="H52" s="89" t="n">
        <v>0.91</v>
      </c>
      <c r="I52" s="89" t="n">
        <v>0.806</v>
      </c>
      <c r="J52" s="89" t="n">
        <v>0.8</v>
      </c>
      <c r="K52" s="174" t="n">
        <f aca="false">IF(COUNT(H52:J52)=0,"",AVERAGE(H52:J52))</f>
        <v>0.838666666666667</v>
      </c>
      <c r="L52" s="90" t="n">
        <v>1.05416666666667</v>
      </c>
      <c r="M52" s="90" t="n">
        <v>0.808333333333333</v>
      </c>
      <c r="N52" s="90" t="n">
        <v>0.95</v>
      </c>
      <c r="O52" s="174" t="n">
        <f aca="false">IF(COUNT(L52:N52)=0,"",AVERAGE(L52:N52))</f>
        <v>0.937500000000001</v>
      </c>
      <c r="P52" s="90" t="n">
        <v>0.9764</v>
      </c>
      <c r="Q52" s="90"/>
      <c r="R52" s="90"/>
      <c r="S52" s="174" t="n">
        <f aca="false">IF(COUNT(P52:R52)=0,"",AVERAGE(P52:R52))</f>
        <v>0.9764</v>
      </c>
      <c r="T52" s="90"/>
      <c r="U52" s="90"/>
      <c r="V52" s="90"/>
      <c r="W52" s="174" t="str">
        <f aca="false">IF(COUNT(T52:V52)=0,"",AVERAGE(T52:V52))</f>
        <v/>
      </c>
      <c r="X52" s="92" t="n">
        <v>0.946416666666668</v>
      </c>
      <c r="Y52" s="114" t="s">
        <v>113</v>
      </c>
      <c r="Z52" s="78" t="s">
        <v>100</v>
      </c>
    </row>
    <row r="53" customFormat="false" ht="25.5" hidden="false" customHeight="true" outlineLevel="0" collapsed="false">
      <c r="A53" s="69" t="s">
        <v>176</v>
      </c>
      <c r="B53" s="70" t="s">
        <v>177</v>
      </c>
      <c r="C53" s="71" t="s">
        <v>166</v>
      </c>
      <c r="D53" s="71" t="s">
        <v>97</v>
      </c>
      <c r="E53" s="69" t="s">
        <v>501</v>
      </c>
      <c r="F53" s="87" t="n">
        <v>0.017</v>
      </c>
      <c r="G53" s="88" t="n">
        <v>0.0145</v>
      </c>
      <c r="H53" s="89" t="n">
        <v>0</v>
      </c>
      <c r="I53" s="89" t="n">
        <v>0</v>
      </c>
      <c r="J53" s="89" t="n">
        <v>0</v>
      </c>
      <c r="K53" s="174" t="n">
        <f aca="false">IF(COUNT(H53:J53)=0,"",AVERAGE(H53:J53))</f>
        <v>0</v>
      </c>
      <c r="L53" s="90" t="n">
        <v>0.00530503978779841</v>
      </c>
      <c r="M53" s="90" t="n">
        <v>0.0076</v>
      </c>
      <c r="N53" s="90" t="n">
        <v>0.00230414746543779</v>
      </c>
      <c r="O53" s="174" t="n">
        <f aca="false">IF(COUNT(L53:N53)=0,"",AVERAGE(L53:N53))</f>
        <v>0.00506972908441207</v>
      </c>
      <c r="P53" s="90" t="n">
        <v>0.0056</v>
      </c>
      <c r="Q53" s="90"/>
      <c r="R53" s="90"/>
      <c r="S53" s="174" t="n">
        <f aca="false">IF(COUNT(P53:R53)=0,"",AVERAGE(P53:R53))</f>
        <v>0.0056</v>
      </c>
      <c r="T53" s="90"/>
      <c r="U53" s="90"/>
      <c r="V53" s="90"/>
      <c r="W53" s="174" t="str">
        <f aca="false">IF(COUNT(T53:V53)=0,"",AVERAGE(T53:V53))</f>
        <v/>
      </c>
      <c r="X53" s="92" t="n">
        <v>0.00265251989389921</v>
      </c>
      <c r="Y53" s="114" t="s">
        <v>104</v>
      </c>
      <c r="Z53" s="78" t="s">
        <v>100</v>
      </c>
    </row>
    <row r="54" customFormat="false" ht="25.5" hidden="false" customHeight="true" outlineLevel="0" collapsed="false">
      <c r="A54" s="69" t="s">
        <v>178</v>
      </c>
      <c r="B54" s="70" t="s">
        <v>179</v>
      </c>
      <c r="C54" s="71" t="s">
        <v>166</v>
      </c>
      <c r="D54" s="71" t="s">
        <v>97</v>
      </c>
      <c r="E54" s="69" t="s">
        <v>501</v>
      </c>
      <c r="F54" s="87" t="n">
        <v>0.019</v>
      </c>
      <c r="G54" s="88" t="n">
        <v>0.0162</v>
      </c>
      <c r="H54" s="89" t="n">
        <v>0.04</v>
      </c>
      <c r="I54" s="89" t="n">
        <v>0.025069231890395</v>
      </c>
      <c r="J54" s="89" t="n">
        <v>0.0270157938487116</v>
      </c>
      <c r="K54" s="174" t="n">
        <f aca="false">IF(COUNT(H54:J54)=0,"",AVERAGE(H54:J54))</f>
        <v>0.0306950085797022</v>
      </c>
      <c r="L54" s="90" t="n">
        <v>0.0233640133508648</v>
      </c>
      <c r="M54" s="90" t="n">
        <v>0.0255</v>
      </c>
      <c r="N54" s="90" t="n">
        <v>0.0222669918354363</v>
      </c>
      <c r="O54" s="174" t="n">
        <f aca="false">IF(COUNT(L54:N54)=0,"",AVERAGE(L54:N54))</f>
        <v>0.0237103350621004</v>
      </c>
      <c r="P54" s="90" t="n">
        <v>0.0254</v>
      </c>
      <c r="Q54" s="90"/>
      <c r="R54" s="90"/>
      <c r="S54" s="174" t="n">
        <f aca="false">IF(COUNT(P54:R54)=0,"",AVERAGE(P54:R54))</f>
        <v>0.0254</v>
      </c>
      <c r="T54" s="90"/>
      <c r="U54" s="90"/>
      <c r="V54" s="90"/>
      <c r="W54" s="174" t="str">
        <f aca="false">IF(COUNT(T54:V54)=0,"",AVERAGE(T54:V54))</f>
        <v/>
      </c>
      <c r="X54" s="92" t="n">
        <v>0.0270295109652835</v>
      </c>
      <c r="Y54" s="114" t="s">
        <v>113</v>
      </c>
      <c r="Z54" s="78" t="s">
        <v>100</v>
      </c>
    </row>
    <row r="55" customFormat="false" ht="25.5" hidden="false" customHeight="true" outlineLevel="0" collapsed="false">
      <c r="A55" s="69" t="s">
        <v>180</v>
      </c>
      <c r="B55" s="70" t="s">
        <v>181</v>
      </c>
      <c r="C55" s="71" t="s">
        <v>166</v>
      </c>
      <c r="D55" s="71" t="s">
        <v>97</v>
      </c>
      <c r="E55" s="69" t="s">
        <v>501</v>
      </c>
      <c r="F55" s="102" t="n">
        <v>0.01</v>
      </c>
      <c r="G55" s="82" t="n">
        <v>0.0085</v>
      </c>
      <c r="H55" s="81" t="n">
        <v>0</v>
      </c>
      <c r="I55" s="81" t="n">
        <v>0</v>
      </c>
      <c r="J55" s="81" t="n">
        <v>0</v>
      </c>
      <c r="K55" s="176" t="n">
        <f aca="false">IF(COUNT(H55:J55)=0,"",AVERAGE(H55:J55))</f>
        <v>0</v>
      </c>
      <c r="L55" s="103" t="n">
        <v>0</v>
      </c>
      <c r="M55" s="103" t="n">
        <v>0</v>
      </c>
      <c r="N55" s="103" t="n">
        <v>0</v>
      </c>
      <c r="O55" s="176" t="n">
        <f aca="false">IF(COUNT(L55:N55)=0,"",AVERAGE(L55:N55))</f>
        <v>0</v>
      </c>
      <c r="P55" s="103"/>
      <c r="Q55" s="103"/>
      <c r="R55" s="103"/>
      <c r="S55" s="176" t="str">
        <f aca="false">IF(COUNT(P55:R55)=0,"",AVERAGE(P55:R55))</f>
        <v/>
      </c>
      <c r="T55" s="103"/>
      <c r="U55" s="103"/>
      <c r="V55" s="103"/>
      <c r="W55" s="176" t="str">
        <f aca="false">IF(COUNT(T55:V55)=0,"",AVERAGE(T55:V55))</f>
        <v/>
      </c>
      <c r="X55" s="104" t="n">
        <v>0</v>
      </c>
      <c r="Y55" s="114" t="s">
        <v>104</v>
      </c>
      <c r="Z55" s="78" t="s">
        <v>100</v>
      </c>
    </row>
    <row r="56" customFormat="false" ht="25.5" hidden="false" customHeight="true" outlineLevel="0" collapsed="false">
      <c r="A56" s="69" t="s">
        <v>182</v>
      </c>
      <c r="B56" s="70" t="s">
        <v>183</v>
      </c>
      <c r="C56" s="71" t="s">
        <v>166</v>
      </c>
      <c r="D56" s="71" t="s">
        <v>97</v>
      </c>
      <c r="E56" s="69" t="s">
        <v>501</v>
      </c>
      <c r="F56" s="87" t="n">
        <v>0.072</v>
      </c>
      <c r="G56" s="88" t="n">
        <v>0.0612</v>
      </c>
      <c r="H56" s="89" t="n">
        <v>0</v>
      </c>
      <c r="I56" s="89" t="n">
        <v>0</v>
      </c>
      <c r="J56" s="89" t="n">
        <v>0</v>
      </c>
      <c r="K56" s="174" t="n">
        <f aca="false">IF(COUNT(H56:J56)=0,"",AVERAGE(H56:J56))</f>
        <v>0</v>
      </c>
      <c r="L56" s="90" t="n">
        <v>0</v>
      </c>
      <c r="M56" s="90" t="n">
        <v>0</v>
      </c>
      <c r="N56" s="90"/>
      <c r="O56" s="174" t="n">
        <f aca="false">IF(COUNT(L56:N56)=0,"",AVERAGE(L56:N56))</f>
        <v>0</v>
      </c>
      <c r="P56" s="90" t="n">
        <v>0.03</v>
      </c>
      <c r="Q56" s="90"/>
      <c r="R56" s="90"/>
      <c r="S56" s="174" t="n">
        <f aca="false">IF(COUNT(P56:R56)=0,"",AVERAGE(P56:R56))</f>
        <v>0.03</v>
      </c>
      <c r="T56" s="90"/>
      <c r="U56" s="90"/>
      <c r="V56" s="90"/>
      <c r="W56" s="174" t="str">
        <f aca="false">IF(COUNT(T56:V56)=0,"",AVERAGE(T56:V56))</f>
        <v/>
      </c>
      <c r="X56" s="92" t="n">
        <v>0</v>
      </c>
      <c r="Y56" s="114" t="s">
        <v>104</v>
      </c>
      <c r="Z56" s="78" t="s">
        <v>100</v>
      </c>
    </row>
    <row r="57" customFormat="false" ht="25.5" hidden="false" customHeight="true" outlineLevel="0" collapsed="false">
      <c r="A57" s="69" t="s">
        <v>184</v>
      </c>
      <c r="B57" s="70" t="s">
        <v>185</v>
      </c>
      <c r="C57" s="71" t="s">
        <v>166</v>
      </c>
      <c r="D57" s="71" t="s">
        <v>110</v>
      </c>
      <c r="E57" s="69" t="s">
        <v>501</v>
      </c>
      <c r="F57" s="87" t="n">
        <v>1</v>
      </c>
      <c r="G57" s="88" t="n">
        <v>1</v>
      </c>
      <c r="H57" s="89" t="n">
        <v>1</v>
      </c>
      <c r="I57" s="89" t="n">
        <v>1</v>
      </c>
      <c r="J57" s="89" t="n">
        <v>1</v>
      </c>
      <c r="K57" s="174" t="n">
        <f aca="false">IF(COUNT(H57:J57)=0,"",AVERAGE(H57:J57))</f>
        <v>1</v>
      </c>
      <c r="L57" s="90" t="n">
        <v>1</v>
      </c>
      <c r="M57" s="90" t="n">
        <v>1</v>
      </c>
      <c r="N57" s="90" t="n">
        <v>1</v>
      </c>
      <c r="O57" s="174" t="n">
        <f aca="false">IF(COUNT(L57:N57)=0,"",AVERAGE(L57:N57))</f>
        <v>1</v>
      </c>
      <c r="P57" s="90" t="n">
        <v>1</v>
      </c>
      <c r="Q57" s="90"/>
      <c r="R57" s="90"/>
      <c r="S57" s="174" t="n">
        <f aca="false">IF(COUNT(P57:R57)=0,"",AVERAGE(P57:R57))</f>
        <v>1</v>
      </c>
      <c r="T57" s="90"/>
      <c r="U57" s="90"/>
      <c r="V57" s="90"/>
      <c r="W57" s="174" t="str">
        <f aca="false">IF(COUNT(T57:V57)=0,"",AVERAGE(T57:V57))</f>
        <v/>
      </c>
      <c r="X57" s="92" t="n">
        <v>1</v>
      </c>
      <c r="Y57" s="114" t="s">
        <v>104</v>
      </c>
      <c r="Z57" s="78" t="s">
        <v>100</v>
      </c>
    </row>
    <row r="58" customFormat="false" ht="25.5" hidden="false" customHeight="true" outlineLevel="0" collapsed="false">
      <c r="A58" s="69" t="s">
        <v>186</v>
      </c>
      <c r="B58" s="70" t="s">
        <v>187</v>
      </c>
      <c r="C58" s="71" t="s">
        <v>166</v>
      </c>
      <c r="D58" s="71" t="s">
        <v>97</v>
      </c>
      <c r="E58" s="69" t="s">
        <v>501</v>
      </c>
      <c r="F58" s="102" t="n">
        <v>0.027</v>
      </c>
      <c r="G58" s="82" t="n">
        <v>0.0135</v>
      </c>
      <c r="H58" s="81" t="n">
        <v>0.0159313725490196</v>
      </c>
      <c r="I58" s="81" t="n">
        <v>0.0184466019417476</v>
      </c>
      <c r="J58" s="81" t="n">
        <v>0.0240585774058577</v>
      </c>
      <c r="K58" s="176" t="n">
        <f aca="false">IF(COUNT(H58:J58)=0,"",AVERAGE(H58:J58))</f>
        <v>0.0194788506322083</v>
      </c>
      <c r="L58" s="103" t="n">
        <v>0.040920716112532</v>
      </c>
      <c r="M58" s="103" t="n">
        <v>0.0321285140562249</v>
      </c>
      <c r="N58" s="103" t="n">
        <v>0.0143295803480041</v>
      </c>
      <c r="O58" s="176" t="n">
        <f aca="false">IF(COUNT(L58:N58)=0,"",AVERAGE(L58:N58))</f>
        <v>0.0291262701722537</v>
      </c>
      <c r="P58" s="103" t="n">
        <v>0.0105777054515867</v>
      </c>
      <c r="Q58" s="103"/>
      <c r="R58" s="103"/>
      <c r="S58" s="176" t="n">
        <f aca="false">IF(COUNT(P58:R58)=0,"",AVERAGE(P58:R58))</f>
        <v>0.0105777054515867</v>
      </c>
      <c r="T58" s="103"/>
      <c r="U58" s="103"/>
      <c r="V58" s="103"/>
      <c r="W58" s="176" t="str">
        <f aca="false">IF(COUNT(T58:V58)=0,"",AVERAGE(T58:V58))</f>
        <v/>
      </c>
      <c r="X58" s="104" t="n">
        <v>0.0301997833723702</v>
      </c>
      <c r="Y58" s="114" t="s">
        <v>104</v>
      </c>
      <c r="Z58" s="78" t="s">
        <v>100</v>
      </c>
    </row>
    <row r="59" customFormat="false" ht="25.5" hidden="false" customHeight="true" outlineLevel="0" collapsed="false">
      <c r="A59" s="69" t="s">
        <v>191</v>
      </c>
      <c r="B59" s="70" t="s">
        <v>192</v>
      </c>
      <c r="C59" s="71" t="s">
        <v>166</v>
      </c>
      <c r="D59" s="71" t="s">
        <v>110</v>
      </c>
      <c r="E59" s="69" t="s">
        <v>501</v>
      </c>
      <c r="F59" s="87" t="n">
        <v>0.8863</v>
      </c>
      <c r="G59" s="88" t="n">
        <v>0.8938</v>
      </c>
      <c r="H59" s="89" t="n">
        <v>0.9654</v>
      </c>
      <c r="I59" s="89" t="n">
        <v>0.8125</v>
      </c>
      <c r="J59" s="89" t="n">
        <v>0.8458</v>
      </c>
      <c r="K59" s="174" t="n">
        <f aca="false">IF(COUNT(H59:J59)=0,"",AVERAGE(H59:J59))</f>
        <v>0.874566666666667</v>
      </c>
      <c r="L59" s="90" t="n">
        <v>0.8493</v>
      </c>
      <c r="M59" s="90" t="n">
        <v>0.9861</v>
      </c>
      <c r="N59" s="90" t="n">
        <v>1</v>
      </c>
      <c r="O59" s="174" t="n">
        <f aca="false">IF(COUNT(L59:N59)=0,"",AVERAGE(L59:N59))</f>
        <v>0.945133333333333</v>
      </c>
      <c r="P59" s="90" t="n">
        <v>0.695</v>
      </c>
      <c r="Q59" s="90"/>
      <c r="R59" s="90"/>
      <c r="S59" s="174" t="n">
        <f aca="false">IF(COUNT(P59:R59)=0,"",AVERAGE(P59:R59))</f>
        <v>0.695</v>
      </c>
      <c r="T59" s="90"/>
      <c r="U59" s="90"/>
      <c r="V59" s="90"/>
      <c r="W59" s="174" t="str">
        <f aca="false">IF(COUNT(T59:V59)=0,"",AVERAGE(T59:V59))</f>
        <v/>
      </c>
      <c r="X59" s="92" t="n">
        <v>0.8493</v>
      </c>
      <c r="Y59" s="114" t="s">
        <v>113</v>
      </c>
      <c r="Z59" s="78" t="s">
        <v>100</v>
      </c>
    </row>
    <row r="60" customFormat="false" ht="25.5" hidden="false" customHeight="true" outlineLevel="0" collapsed="false">
      <c r="A60" s="69" t="s">
        <v>193</v>
      </c>
      <c r="B60" s="70" t="s">
        <v>194</v>
      </c>
      <c r="C60" s="71" t="s">
        <v>166</v>
      </c>
      <c r="D60" s="71" t="s">
        <v>110</v>
      </c>
      <c r="E60" s="69" t="s">
        <v>501</v>
      </c>
      <c r="F60" s="87" t="n">
        <v>0.9024</v>
      </c>
      <c r="G60" s="88" t="n">
        <v>0.8658</v>
      </c>
      <c r="H60" s="89" t="n">
        <v>0.8386</v>
      </c>
      <c r="I60" s="90"/>
      <c r="J60" s="90"/>
      <c r="K60" s="174" t="n">
        <f aca="false">IF(COUNT(H60:J60)=0,"",AVERAGE(H60:J60))</f>
        <v>0.8386</v>
      </c>
      <c r="L60" s="90"/>
      <c r="M60" s="90"/>
      <c r="N60" s="90" t="s">
        <v>195</v>
      </c>
      <c r="O60" s="174" t="str">
        <f aca="false">IF(COUNT(L60:N60)=0,"",AVERAGE(L60:N60))</f>
        <v/>
      </c>
      <c r="P60" s="90"/>
      <c r="Q60" s="90"/>
      <c r="R60" s="90"/>
      <c r="S60" s="174" t="str">
        <f aca="false">IF(COUNT(P60:R60)=0,"",AVERAGE(P60:R60))</f>
        <v/>
      </c>
      <c r="T60" s="90"/>
      <c r="U60" s="90"/>
      <c r="V60" s="90"/>
      <c r="W60" s="174" t="str">
        <f aca="false">IF(COUNT(T60:V60)=0,"",AVERAGE(T60:V60))</f>
        <v/>
      </c>
      <c r="X60" s="92" t="n">
        <v>0.8386</v>
      </c>
      <c r="Y60" s="114" t="s">
        <v>113</v>
      </c>
      <c r="Z60" s="78" t="s">
        <v>100</v>
      </c>
    </row>
    <row r="61" customFormat="false" ht="25.5" hidden="false" customHeight="true" outlineLevel="0" collapsed="false">
      <c r="A61" s="69" t="s">
        <v>196</v>
      </c>
      <c r="B61" s="70" t="s">
        <v>197</v>
      </c>
      <c r="C61" s="71" t="s">
        <v>166</v>
      </c>
      <c r="D61" s="71" t="s">
        <v>110</v>
      </c>
      <c r="E61" s="69" t="s">
        <v>501</v>
      </c>
      <c r="F61" s="87" t="n">
        <v>0.782</v>
      </c>
      <c r="G61" s="88" t="n">
        <v>0.807</v>
      </c>
      <c r="H61" s="89" t="n">
        <v>0.9338</v>
      </c>
      <c r="I61" s="89" t="n">
        <v>0.7393</v>
      </c>
      <c r="J61" s="89" t="n">
        <v>0.7265</v>
      </c>
      <c r="K61" s="174" t="n">
        <f aca="false">IF(COUNT(H61:J61)=0,"",AVERAGE(H61:J61))</f>
        <v>0.799866666666667</v>
      </c>
      <c r="L61" s="90" t="n">
        <v>0.9613</v>
      </c>
      <c r="M61" s="90" t="n">
        <v>0.9734</v>
      </c>
      <c r="N61" s="90" t="n">
        <v>0.7208</v>
      </c>
      <c r="O61" s="174" t="n">
        <f aca="false">IF(COUNT(L61:N61)=0,"",AVERAGE(L61:N61))</f>
        <v>0.885166666666667</v>
      </c>
      <c r="P61" s="90" t="n">
        <v>0.904</v>
      </c>
      <c r="Q61" s="90"/>
      <c r="R61" s="90"/>
      <c r="S61" s="174" t="n">
        <f aca="false">IF(COUNT(P61:R61)=0,"",AVERAGE(P61:R61))</f>
        <v>0.904</v>
      </c>
      <c r="T61" s="90"/>
      <c r="U61" s="90"/>
      <c r="V61" s="90"/>
      <c r="W61" s="174" t="str">
        <f aca="false">IF(COUNT(T61:V61)=0,"",AVERAGE(T61:V61))</f>
        <v/>
      </c>
      <c r="X61" s="92" t="n">
        <v>0.9613</v>
      </c>
      <c r="Y61" s="114" t="s">
        <v>104</v>
      </c>
      <c r="Z61" s="78" t="s">
        <v>100</v>
      </c>
    </row>
    <row r="62" customFormat="false" ht="25.5" hidden="false" customHeight="true" outlineLevel="0" collapsed="false">
      <c r="A62" s="69" t="s">
        <v>198</v>
      </c>
      <c r="B62" s="70" t="s">
        <v>199</v>
      </c>
      <c r="C62" s="71" t="s">
        <v>166</v>
      </c>
      <c r="D62" s="71" t="s">
        <v>110</v>
      </c>
      <c r="E62" s="69" t="s">
        <v>501</v>
      </c>
      <c r="F62" s="87" t="n">
        <v>0.821</v>
      </c>
      <c r="G62" s="88" t="n">
        <v>0.848</v>
      </c>
      <c r="H62" s="89" t="n">
        <v>0.9314</v>
      </c>
      <c r="I62" s="89" t="n">
        <v>0.92</v>
      </c>
      <c r="J62" s="90" t="n">
        <v>0.9247</v>
      </c>
      <c r="K62" s="174" t="n">
        <f aca="false">IF(COUNT(H62:J62)=0,"",AVERAGE(H62:J62))</f>
        <v>0.925366666666667</v>
      </c>
      <c r="L62" s="90" t="n">
        <v>0.9101</v>
      </c>
      <c r="M62" s="90" t="n">
        <v>0.8788</v>
      </c>
      <c r="N62" s="90" t="n">
        <v>0.9091</v>
      </c>
      <c r="O62" s="174" t="n">
        <f aca="false">IF(COUNT(L62:N62)=0,"",AVERAGE(L62:N62))</f>
        <v>0.899333333333333</v>
      </c>
      <c r="P62" s="90" t="n">
        <v>0.8291</v>
      </c>
      <c r="Q62" s="90"/>
      <c r="R62" s="90"/>
      <c r="S62" s="174" t="n">
        <f aca="false">IF(COUNT(P62:R62)=0,"",AVERAGE(P62:R62))</f>
        <v>0.8291</v>
      </c>
      <c r="T62" s="90"/>
      <c r="U62" s="90"/>
      <c r="V62" s="90"/>
      <c r="W62" s="174" t="str">
        <f aca="false">IF(COUNT(T62:V62)=0,"",AVERAGE(T62:V62))</f>
        <v/>
      </c>
      <c r="X62" s="92" t="n">
        <v>0.9101</v>
      </c>
      <c r="Y62" s="114" t="s">
        <v>104</v>
      </c>
      <c r="Z62" s="78" t="s">
        <v>190</v>
      </c>
    </row>
    <row r="63" customFormat="false" ht="25.5" hidden="false" customHeight="true" outlineLevel="0" collapsed="false">
      <c r="A63" s="69" t="s">
        <v>211</v>
      </c>
      <c r="B63" s="70" t="s">
        <v>212</v>
      </c>
      <c r="C63" s="71" t="s">
        <v>213</v>
      </c>
      <c r="D63" s="71" t="s">
        <v>110</v>
      </c>
      <c r="E63" s="69" t="s">
        <v>501</v>
      </c>
      <c r="F63" s="87" t="s">
        <v>32</v>
      </c>
      <c r="G63" s="91" t="n">
        <v>1</v>
      </c>
      <c r="H63" s="89" t="n">
        <v>1</v>
      </c>
      <c r="I63" s="89" t="n">
        <v>1</v>
      </c>
      <c r="J63" s="89" t="n">
        <v>1</v>
      </c>
      <c r="K63" s="174" t="n">
        <f aca="false">IF(COUNT(H63:J63)=0,"",LOOKUP(2,1/(H63:J63&lt;&gt;""),H63:J63))</f>
        <v>1</v>
      </c>
      <c r="L63" s="90" t="n">
        <v>1</v>
      </c>
      <c r="M63" s="90" t="n">
        <v>1</v>
      </c>
      <c r="N63" s="90" t="n">
        <v>1</v>
      </c>
      <c r="O63" s="174" t="n">
        <f aca="false">IF(COUNT(L63:N63)=0,"",LOOKUP(2,1/(L63:N63&lt;&gt;""),L63:N63))</f>
        <v>1</v>
      </c>
      <c r="P63" s="90" t="n">
        <v>1</v>
      </c>
      <c r="Q63" s="90"/>
      <c r="R63" s="90"/>
      <c r="S63" s="174" t="n">
        <f aca="false">IF(COUNT(P63:R63)=0,"",LOOKUP(2,1/(P63:R63&lt;&gt;""),P63:R63))</f>
        <v>1</v>
      </c>
      <c r="T63" s="90"/>
      <c r="U63" s="90"/>
      <c r="V63" s="90"/>
      <c r="W63" s="174" t="str">
        <f aca="false">IF(COUNT(T63:V63)=0,"",LOOKUP(2,1/(T63:V63&lt;&gt;""),T63:V63))</f>
        <v/>
      </c>
      <c r="X63" s="92" t="n">
        <v>1</v>
      </c>
      <c r="Y63" s="114" t="s">
        <v>120</v>
      </c>
      <c r="Z63" s="78" t="s">
        <v>214</v>
      </c>
    </row>
    <row r="64" customFormat="false" ht="25.5" hidden="false" customHeight="true" outlineLevel="0" collapsed="false">
      <c r="A64" s="69" t="s">
        <v>255</v>
      </c>
      <c r="B64" s="70" t="s">
        <v>256</v>
      </c>
      <c r="C64" s="71" t="s">
        <v>35</v>
      </c>
      <c r="D64" s="71" t="s">
        <v>110</v>
      </c>
      <c r="E64" s="183" t="s">
        <v>502</v>
      </c>
      <c r="F64" s="87" t="n">
        <v>0.33</v>
      </c>
      <c r="G64" s="88" t="n">
        <v>0.2</v>
      </c>
      <c r="H64" s="184"/>
      <c r="I64" s="184"/>
      <c r="J64" s="184"/>
      <c r="K64" s="185" t="n">
        <v>1.822</v>
      </c>
      <c r="L64" s="184"/>
      <c r="M64" s="184"/>
      <c r="N64" s="184"/>
      <c r="O64" s="186" t="n">
        <v>0.68</v>
      </c>
      <c r="P64" s="184"/>
      <c r="Q64" s="184"/>
      <c r="R64" s="184"/>
      <c r="S64" s="186"/>
      <c r="T64" s="184"/>
      <c r="U64" s="184"/>
      <c r="V64" s="184"/>
      <c r="W64" s="186"/>
      <c r="X64" s="92" t="n">
        <v>1.822</v>
      </c>
      <c r="Y64" s="114" t="s">
        <v>104</v>
      </c>
      <c r="Z64" s="78" t="s">
        <v>257</v>
      </c>
    </row>
    <row r="65" customFormat="false" ht="25.5" hidden="false" customHeight="true" outlineLevel="0" collapsed="false">
      <c r="A65" s="69" t="s">
        <v>258</v>
      </c>
      <c r="B65" s="70" t="s">
        <v>259</v>
      </c>
      <c r="C65" s="71" t="s">
        <v>35</v>
      </c>
      <c r="D65" s="71" t="s">
        <v>97</v>
      </c>
      <c r="E65" s="183" t="s">
        <v>502</v>
      </c>
      <c r="F65" s="115" t="n">
        <v>20.7</v>
      </c>
      <c r="G65" s="116" t="n">
        <v>21</v>
      </c>
      <c r="H65" s="184"/>
      <c r="I65" s="184"/>
      <c r="J65" s="184"/>
      <c r="K65" s="187" t="n">
        <v>20</v>
      </c>
      <c r="L65" s="184"/>
      <c r="M65" s="184"/>
      <c r="N65" s="184"/>
      <c r="O65" s="187" t="s">
        <v>173</v>
      </c>
      <c r="P65" s="184"/>
      <c r="Q65" s="184"/>
      <c r="R65" s="184"/>
      <c r="S65" s="187"/>
      <c r="T65" s="184"/>
      <c r="U65" s="184"/>
      <c r="V65" s="184"/>
      <c r="W65" s="187"/>
      <c r="X65" s="118" t="n">
        <v>20</v>
      </c>
      <c r="Y65" s="114" t="s">
        <v>104</v>
      </c>
      <c r="Z65" s="78" t="s">
        <v>257</v>
      </c>
    </row>
    <row r="66" customFormat="false" ht="25.5" hidden="false" customHeight="true" outlineLevel="0" collapsed="false">
      <c r="A66" s="69" t="s">
        <v>262</v>
      </c>
      <c r="B66" s="70" t="s">
        <v>263</v>
      </c>
      <c r="C66" s="71" t="s">
        <v>35</v>
      </c>
      <c r="D66" s="71" t="s">
        <v>110</v>
      </c>
      <c r="E66" s="183" t="s">
        <v>502</v>
      </c>
      <c r="F66" s="87" t="s">
        <v>32</v>
      </c>
      <c r="G66" s="91" t="s">
        <v>32</v>
      </c>
      <c r="H66" s="184"/>
      <c r="I66" s="184"/>
      <c r="J66" s="184"/>
      <c r="K66" s="185" t="n">
        <v>1</v>
      </c>
      <c r="L66" s="184"/>
      <c r="M66" s="184"/>
      <c r="N66" s="184"/>
      <c r="O66" s="186"/>
      <c r="P66" s="184"/>
      <c r="Q66" s="184"/>
      <c r="R66" s="184"/>
      <c r="S66" s="186"/>
      <c r="T66" s="184"/>
      <c r="U66" s="184"/>
      <c r="V66" s="184"/>
      <c r="W66" s="186"/>
      <c r="X66" s="92" t="n">
        <v>1</v>
      </c>
      <c r="Y66" s="114" t="s">
        <v>120</v>
      </c>
      <c r="Z66" s="78" t="s">
        <v>264</v>
      </c>
    </row>
    <row r="67" customFormat="false" ht="25.5" hidden="false" customHeight="true" outlineLevel="0" collapsed="false">
      <c r="A67" s="69" t="s">
        <v>265</v>
      </c>
      <c r="B67" s="70" t="s">
        <v>266</v>
      </c>
      <c r="C67" s="71" t="s">
        <v>35</v>
      </c>
      <c r="D67" s="71" t="s">
        <v>97</v>
      </c>
      <c r="E67" s="183" t="s">
        <v>502</v>
      </c>
      <c r="F67" s="87" t="n">
        <v>0.52</v>
      </c>
      <c r="G67" s="88" t="n">
        <v>0.84</v>
      </c>
      <c r="H67" s="184"/>
      <c r="I67" s="184"/>
      <c r="J67" s="184"/>
      <c r="K67" s="185" t="n">
        <v>0</v>
      </c>
      <c r="L67" s="184"/>
      <c r="M67" s="184"/>
      <c r="N67" s="184"/>
      <c r="O67" s="186"/>
      <c r="P67" s="184"/>
      <c r="Q67" s="184"/>
      <c r="R67" s="184"/>
      <c r="S67" s="186"/>
      <c r="T67" s="184"/>
      <c r="U67" s="184"/>
      <c r="V67" s="184"/>
      <c r="W67" s="186"/>
      <c r="X67" s="92" t="n">
        <v>0</v>
      </c>
      <c r="Y67" s="114" t="s">
        <v>104</v>
      </c>
      <c r="Z67" s="78" t="s">
        <v>257</v>
      </c>
    </row>
    <row r="68" customFormat="false" ht="25.5" hidden="false" customHeight="true" outlineLevel="0" collapsed="false">
      <c r="A68" s="69" t="s">
        <v>270</v>
      </c>
      <c r="B68" s="70" t="s">
        <v>271</v>
      </c>
      <c r="C68" s="71" t="s">
        <v>35</v>
      </c>
      <c r="D68" s="71" t="s">
        <v>97</v>
      </c>
      <c r="E68" s="183" t="s">
        <v>502</v>
      </c>
      <c r="F68" s="96" t="n">
        <v>4.7</v>
      </c>
      <c r="G68" s="119" t="n">
        <v>9.8</v>
      </c>
      <c r="H68" s="188"/>
      <c r="I68" s="188"/>
      <c r="J68" s="188"/>
      <c r="K68" s="189" t="n">
        <v>3.3</v>
      </c>
      <c r="L68" s="188"/>
      <c r="M68" s="188"/>
      <c r="N68" s="188"/>
      <c r="O68" s="190"/>
      <c r="P68" s="188"/>
      <c r="Q68" s="188"/>
      <c r="R68" s="188"/>
      <c r="S68" s="190"/>
      <c r="T68" s="188"/>
      <c r="U68" s="188"/>
      <c r="V68" s="188"/>
      <c r="W68" s="190"/>
      <c r="X68" s="100" t="n">
        <v>3.3</v>
      </c>
      <c r="Y68" s="114" t="s">
        <v>104</v>
      </c>
      <c r="Z68" s="78" t="s">
        <v>257</v>
      </c>
    </row>
    <row r="69" customFormat="false" ht="25.5" hidden="false" customHeight="true" outlineLevel="0" collapsed="false">
      <c r="A69" s="69" t="s">
        <v>272</v>
      </c>
      <c r="B69" s="70" t="s">
        <v>273</v>
      </c>
      <c r="C69" s="71" t="s">
        <v>35</v>
      </c>
      <c r="D69" s="71" t="s">
        <v>97</v>
      </c>
      <c r="E69" s="183" t="s">
        <v>502</v>
      </c>
      <c r="F69" s="87" t="n">
        <v>0.025</v>
      </c>
      <c r="G69" s="88" t="n">
        <v>0.04</v>
      </c>
      <c r="H69" s="184"/>
      <c r="I69" s="184"/>
      <c r="J69" s="184"/>
      <c r="K69" s="185" t="n">
        <v>0.01</v>
      </c>
      <c r="L69" s="184"/>
      <c r="M69" s="184"/>
      <c r="N69" s="184"/>
      <c r="O69" s="186"/>
      <c r="P69" s="184"/>
      <c r="Q69" s="184"/>
      <c r="R69" s="184"/>
      <c r="S69" s="186"/>
      <c r="T69" s="184"/>
      <c r="U69" s="184"/>
      <c r="V69" s="184"/>
      <c r="W69" s="186"/>
      <c r="X69" s="92" t="n">
        <v>0.01</v>
      </c>
      <c r="Y69" s="114" t="s">
        <v>104</v>
      </c>
      <c r="Z69" s="78" t="s">
        <v>257</v>
      </c>
    </row>
    <row r="70" customFormat="false" ht="25.5" hidden="false" customHeight="true" outlineLevel="0" collapsed="false">
      <c r="A70" s="69" t="s">
        <v>274</v>
      </c>
      <c r="B70" s="70" t="s">
        <v>275</v>
      </c>
      <c r="C70" s="71" t="s">
        <v>35</v>
      </c>
      <c r="D70" s="71" t="s">
        <v>110</v>
      </c>
      <c r="E70" s="183" t="s">
        <v>502</v>
      </c>
      <c r="F70" s="102" t="n">
        <v>0.3</v>
      </c>
      <c r="G70" s="82" t="n">
        <v>0.9</v>
      </c>
      <c r="H70" s="191"/>
      <c r="I70" s="191"/>
      <c r="J70" s="191"/>
      <c r="K70" s="192" t="n">
        <v>0.4</v>
      </c>
      <c r="L70" s="191"/>
      <c r="M70" s="191"/>
      <c r="N70" s="191"/>
      <c r="O70" s="193" t="s">
        <v>512</v>
      </c>
      <c r="P70" s="191"/>
      <c r="Q70" s="191"/>
      <c r="R70" s="191"/>
      <c r="S70" s="193"/>
      <c r="T70" s="191"/>
      <c r="U70" s="191"/>
      <c r="V70" s="191"/>
      <c r="W70" s="193"/>
      <c r="X70" s="104" t="n">
        <v>0.4</v>
      </c>
      <c r="Y70" s="114" t="s">
        <v>113</v>
      </c>
      <c r="Z70" s="78" t="s">
        <v>257</v>
      </c>
    </row>
    <row r="71" customFormat="false" ht="25.5" hidden="false" customHeight="true" outlineLevel="0" collapsed="false">
      <c r="A71" s="69" t="s">
        <v>277</v>
      </c>
      <c r="B71" s="70" t="s">
        <v>278</v>
      </c>
      <c r="C71" s="71" t="s">
        <v>35</v>
      </c>
      <c r="D71" s="71" t="s">
        <v>110</v>
      </c>
      <c r="E71" s="183" t="s">
        <v>502</v>
      </c>
      <c r="F71" s="87" t="n">
        <v>0.5879</v>
      </c>
      <c r="G71" s="91" t="s">
        <v>32</v>
      </c>
      <c r="H71" s="184"/>
      <c r="I71" s="184"/>
      <c r="J71" s="184"/>
      <c r="K71" s="185" t="n">
        <v>0.4559</v>
      </c>
      <c r="L71" s="184"/>
      <c r="M71" s="184"/>
      <c r="N71" s="184"/>
      <c r="O71" s="186" t="n">
        <v>0.8195</v>
      </c>
      <c r="P71" s="184"/>
      <c r="Q71" s="184"/>
      <c r="R71" s="184"/>
      <c r="S71" s="186"/>
      <c r="T71" s="184"/>
      <c r="U71" s="184"/>
      <c r="V71" s="184"/>
      <c r="W71" s="186"/>
      <c r="X71" s="92" t="n">
        <v>0.4559</v>
      </c>
      <c r="Y71" s="114" t="s">
        <v>120</v>
      </c>
      <c r="Z71" s="78" t="s">
        <v>190</v>
      </c>
    </row>
    <row r="72" customFormat="false" ht="25.5" hidden="false" customHeight="true" outlineLevel="0" collapsed="false">
      <c r="A72" s="69" t="s">
        <v>283</v>
      </c>
      <c r="B72" s="70" t="s">
        <v>284</v>
      </c>
      <c r="C72" s="71" t="s">
        <v>34</v>
      </c>
      <c r="D72" s="71" t="s">
        <v>110</v>
      </c>
      <c r="E72" s="183" t="s">
        <v>502</v>
      </c>
      <c r="F72" s="87" t="n">
        <v>0.767</v>
      </c>
      <c r="G72" s="88" t="n">
        <v>0.5</v>
      </c>
      <c r="H72" s="184"/>
      <c r="I72" s="184"/>
      <c r="J72" s="184"/>
      <c r="K72" s="186" t="n">
        <v>0.979222797927461</v>
      </c>
      <c r="L72" s="184"/>
      <c r="M72" s="184"/>
      <c r="N72" s="184"/>
      <c r="O72" s="186"/>
      <c r="P72" s="184"/>
      <c r="Q72" s="184"/>
      <c r="R72" s="184"/>
      <c r="S72" s="186"/>
      <c r="T72" s="184"/>
      <c r="U72" s="184"/>
      <c r="V72" s="184"/>
      <c r="W72" s="186"/>
      <c r="X72" s="92" t="n">
        <v>0.979222797927461</v>
      </c>
      <c r="Y72" s="114" t="s">
        <v>104</v>
      </c>
      <c r="Z72" s="78" t="s">
        <v>257</v>
      </c>
    </row>
    <row r="73" customFormat="false" ht="25.5" hidden="false" customHeight="true" outlineLevel="0" collapsed="false">
      <c r="A73" s="69" t="s">
        <v>285</v>
      </c>
      <c r="B73" s="70" t="s">
        <v>286</v>
      </c>
      <c r="C73" s="71" t="s">
        <v>34</v>
      </c>
      <c r="D73" s="71" t="s">
        <v>110</v>
      </c>
      <c r="E73" s="183" t="s">
        <v>502</v>
      </c>
      <c r="F73" s="87" t="n">
        <v>0.776</v>
      </c>
      <c r="G73" s="88" t="n">
        <v>0.5</v>
      </c>
      <c r="H73" s="184"/>
      <c r="I73" s="184"/>
      <c r="J73" s="184"/>
      <c r="K73" s="186" t="n">
        <v>0.983056994818653</v>
      </c>
      <c r="L73" s="184"/>
      <c r="M73" s="184"/>
      <c r="N73" s="184"/>
      <c r="O73" s="186"/>
      <c r="P73" s="184"/>
      <c r="Q73" s="184"/>
      <c r="R73" s="184"/>
      <c r="S73" s="186"/>
      <c r="T73" s="184"/>
      <c r="U73" s="184"/>
      <c r="V73" s="184"/>
      <c r="W73" s="186"/>
      <c r="X73" s="92" t="n">
        <v>0.983056994818653</v>
      </c>
      <c r="Y73" s="114" t="s">
        <v>104</v>
      </c>
      <c r="Z73" s="78" t="s">
        <v>257</v>
      </c>
    </row>
    <row r="74" customFormat="false" ht="25.5" hidden="false" customHeight="true" outlineLevel="0" collapsed="false">
      <c r="A74" s="69" t="s">
        <v>287</v>
      </c>
      <c r="B74" s="70" t="s">
        <v>288</v>
      </c>
      <c r="C74" s="71" t="s">
        <v>34</v>
      </c>
      <c r="D74" s="71" t="s">
        <v>110</v>
      </c>
      <c r="E74" s="183" t="s">
        <v>502</v>
      </c>
      <c r="F74" s="87" t="n">
        <v>0.454</v>
      </c>
      <c r="G74" s="88" t="n">
        <v>0.3</v>
      </c>
      <c r="H74" s="184"/>
      <c r="I74" s="184"/>
      <c r="J74" s="184"/>
      <c r="K74" s="186" t="n">
        <v>0.839603046388184</v>
      </c>
      <c r="L74" s="184"/>
      <c r="M74" s="184"/>
      <c r="N74" s="184"/>
      <c r="O74" s="186"/>
      <c r="P74" s="184"/>
      <c r="Q74" s="184"/>
      <c r="R74" s="184"/>
      <c r="S74" s="186"/>
      <c r="T74" s="184"/>
      <c r="U74" s="184"/>
      <c r="V74" s="184"/>
      <c r="W74" s="186"/>
      <c r="X74" s="92" t="n">
        <v>0.839603046388184</v>
      </c>
      <c r="Y74" s="114" t="s">
        <v>104</v>
      </c>
      <c r="Z74" s="78" t="s">
        <v>257</v>
      </c>
    </row>
    <row r="75" customFormat="false" ht="25.5" hidden="false" customHeight="true" outlineLevel="0" collapsed="false">
      <c r="A75" s="69" t="s">
        <v>289</v>
      </c>
      <c r="B75" s="70" t="s">
        <v>290</v>
      </c>
      <c r="C75" s="71" t="s">
        <v>34</v>
      </c>
      <c r="D75" s="71" t="s">
        <v>110</v>
      </c>
      <c r="E75" s="183" t="s">
        <v>502</v>
      </c>
      <c r="F75" s="87" t="n">
        <v>0.637</v>
      </c>
      <c r="G75" s="88" t="n">
        <v>0.5</v>
      </c>
      <c r="H75" s="184"/>
      <c r="I75" s="184"/>
      <c r="J75" s="184"/>
      <c r="K75" s="186" t="n">
        <v>1.04201101928375</v>
      </c>
      <c r="L75" s="184"/>
      <c r="M75" s="184"/>
      <c r="N75" s="184"/>
      <c r="O75" s="186"/>
      <c r="P75" s="184"/>
      <c r="Q75" s="184"/>
      <c r="R75" s="184"/>
      <c r="S75" s="186"/>
      <c r="T75" s="184"/>
      <c r="U75" s="184"/>
      <c r="V75" s="184"/>
      <c r="W75" s="186"/>
      <c r="X75" s="92" t="n">
        <v>1.04201101928375</v>
      </c>
      <c r="Y75" s="114" t="s">
        <v>104</v>
      </c>
      <c r="Z75" s="78" t="s">
        <v>257</v>
      </c>
    </row>
    <row r="76" customFormat="false" ht="25.5" hidden="false" customHeight="true" outlineLevel="0" collapsed="false">
      <c r="A76" s="69" t="s">
        <v>291</v>
      </c>
      <c r="B76" s="70" t="s">
        <v>292</v>
      </c>
      <c r="C76" s="71" t="s">
        <v>34</v>
      </c>
      <c r="D76" s="71" t="s">
        <v>110</v>
      </c>
      <c r="E76" s="183" t="s">
        <v>502</v>
      </c>
      <c r="F76" s="87" t="n">
        <v>0.92</v>
      </c>
      <c r="G76" s="88" t="n">
        <v>0.3</v>
      </c>
      <c r="H76" s="184"/>
      <c r="I76" s="184"/>
      <c r="J76" s="184"/>
      <c r="K76" s="186" t="n">
        <v>1.35135135135135</v>
      </c>
      <c r="L76" s="184"/>
      <c r="M76" s="184"/>
      <c r="N76" s="184"/>
      <c r="O76" s="186"/>
      <c r="P76" s="184"/>
      <c r="Q76" s="184"/>
      <c r="R76" s="184"/>
      <c r="S76" s="186"/>
      <c r="T76" s="184"/>
      <c r="U76" s="184"/>
      <c r="V76" s="184"/>
      <c r="W76" s="186"/>
      <c r="X76" s="92" t="n">
        <v>1.35135135135135</v>
      </c>
      <c r="Y76" s="114" t="s">
        <v>104</v>
      </c>
      <c r="Z76" s="78" t="s">
        <v>257</v>
      </c>
    </row>
    <row r="77" customFormat="false" ht="25.5" hidden="false" customHeight="true" outlineLevel="0" collapsed="false">
      <c r="A77" s="69" t="s">
        <v>293</v>
      </c>
      <c r="B77" s="70" t="s">
        <v>294</v>
      </c>
      <c r="C77" s="71" t="s">
        <v>34</v>
      </c>
      <c r="D77" s="71" t="s">
        <v>110</v>
      </c>
      <c r="E77" s="183" t="s">
        <v>502</v>
      </c>
      <c r="F77" s="87" t="n">
        <v>0.88</v>
      </c>
      <c r="G77" s="88" t="n">
        <v>0.3</v>
      </c>
      <c r="H77" s="184"/>
      <c r="I77" s="184"/>
      <c r="J77" s="184"/>
      <c r="K77" s="186" t="n">
        <v>1.03454545454545</v>
      </c>
      <c r="L77" s="184"/>
      <c r="M77" s="184"/>
      <c r="N77" s="184"/>
      <c r="O77" s="186"/>
      <c r="P77" s="184"/>
      <c r="Q77" s="184"/>
      <c r="R77" s="184"/>
      <c r="S77" s="186"/>
      <c r="T77" s="184"/>
      <c r="U77" s="184"/>
      <c r="V77" s="184"/>
      <c r="W77" s="186"/>
      <c r="X77" s="92" t="n">
        <v>1.03454545454545</v>
      </c>
      <c r="Y77" s="114" t="s">
        <v>104</v>
      </c>
      <c r="Z77" s="78" t="s">
        <v>257</v>
      </c>
    </row>
    <row r="78" customFormat="false" ht="25.5" hidden="false" customHeight="true" outlineLevel="0" collapsed="false">
      <c r="A78" s="69" t="s">
        <v>295</v>
      </c>
      <c r="B78" s="70" t="s">
        <v>296</v>
      </c>
      <c r="C78" s="71" t="s">
        <v>34</v>
      </c>
      <c r="D78" s="71" t="s">
        <v>110</v>
      </c>
      <c r="E78" s="183" t="s">
        <v>502</v>
      </c>
      <c r="F78" s="87" t="n">
        <v>0.841</v>
      </c>
      <c r="G78" s="88" t="n">
        <v>0.3</v>
      </c>
      <c r="H78" s="184"/>
      <c r="I78" s="184"/>
      <c r="J78" s="184"/>
      <c r="K78" s="186" t="n">
        <v>0.914</v>
      </c>
      <c r="L78" s="184"/>
      <c r="M78" s="184"/>
      <c r="N78" s="184"/>
      <c r="O78" s="186"/>
      <c r="P78" s="184"/>
      <c r="Q78" s="184"/>
      <c r="R78" s="184"/>
      <c r="S78" s="186"/>
      <c r="T78" s="184"/>
      <c r="U78" s="184"/>
      <c r="V78" s="184"/>
      <c r="W78" s="186"/>
      <c r="X78" s="92" t="n">
        <v>0.914</v>
      </c>
      <c r="Y78" s="114" t="s">
        <v>104</v>
      </c>
      <c r="Z78" s="78" t="s">
        <v>257</v>
      </c>
    </row>
    <row r="79" customFormat="false" ht="25.5" hidden="false" customHeight="true" outlineLevel="0" collapsed="false">
      <c r="A79" s="69" t="s">
        <v>297</v>
      </c>
      <c r="B79" s="70" t="s">
        <v>298</v>
      </c>
      <c r="C79" s="71" t="s">
        <v>34</v>
      </c>
      <c r="D79" s="71" t="s">
        <v>110</v>
      </c>
      <c r="E79" s="183" t="s">
        <v>502</v>
      </c>
      <c r="F79" s="87" t="n">
        <v>1</v>
      </c>
      <c r="G79" s="88" t="n">
        <v>0.9</v>
      </c>
      <c r="H79" s="184"/>
      <c r="I79" s="184"/>
      <c r="J79" s="184"/>
      <c r="K79" s="186" t="n">
        <v>0.880819366852886</v>
      </c>
      <c r="L79" s="184"/>
      <c r="M79" s="184"/>
      <c r="N79" s="184"/>
      <c r="O79" s="186"/>
      <c r="P79" s="184"/>
      <c r="Q79" s="184"/>
      <c r="R79" s="184"/>
      <c r="S79" s="186"/>
      <c r="T79" s="184"/>
      <c r="U79" s="184"/>
      <c r="V79" s="184"/>
      <c r="W79" s="186"/>
      <c r="X79" s="92" t="n">
        <v>0.880819366852886</v>
      </c>
      <c r="Y79" s="114" t="s">
        <v>113</v>
      </c>
      <c r="Z79" s="78" t="s">
        <v>257</v>
      </c>
    </row>
    <row r="80" customFormat="false" ht="25.5" hidden="false" customHeight="true" outlineLevel="0" collapsed="false">
      <c r="A80" s="69" t="s">
        <v>299</v>
      </c>
      <c r="B80" s="70" t="s">
        <v>300</v>
      </c>
      <c r="C80" s="71" t="s">
        <v>34</v>
      </c>
      <c r="D80" s="71" t="s">
        <v>110</v>
      </c>
      <c r="E80" s="183" t="s">
        <v>502</v>
      </c>
      <c r="F80" s="87" t="n">
        <v>0.938</v>
      </c>
      <c r="G80" s="88" t="n">
        <v>0.9</v>
      </c>
      <c r="H80" s="184"/>
      <c r="I80" s="184"/>
      <c r="J80" s="184"/>
      <c r="K80" s="186" t="n">
        <v>0.956937799043062</v>
      </c>
      <c r="L80" s="184"/>
      <c r="M80" s="184"/>
      <c r="N80" s="184"/>
      <c r="O80" s="186"/>
      <c r="P80" s="184"/>
      <c r="Q80" s="184"/>
      <c r="R80" s="184"/>
      <c r="S80" s="186"/>
      <c r="T80" s="184"/>
      <c r="U80" s="184"/>
      <c r="V80" s="184"/>
      <c r="W80" s="186"/>
      <c r="X80" s="92" t="n">
        <v>0.956937799043062</v>
      </c>
      <c r="Y80" s="114" t="s">
        <v>104</v>
      </c>
      <c r="Z80" s="78" t="s">
        <v>257</v>
      </c>
    </row>
    <row r="81" customFormat="false" ht="25.5" hidden="false" customHeight="true" outlineLevel="0" collapsed="false">
      <c r="A81" s="69" t="s">
        <v>301</v>
      </c>
      <c r="B81" s="70" t="s">
        <v>302</v>
      </c>
      <c r="C81" s="71" t="s">
        <v>34</v>
      </c>
      <c r="D81" s="71" t="s">
        <v>110</v>
      </c>
      <c r="E81" s="183" t="s">
        <v>502</v>
      </c>
      <c r="F81" s="87" t="n">
        <v>0.995</v>
      </c>
      <c r="G81" s="91" t="n">
        <v>0.6</v>
      </c>
      <c r="H81" s="184"/>
      <c r="I81" s="184"/>
      <c r="J81" s="184"/>
      <c r="K81" s="185" t="n">
        <v>1.0065</v>
      </c>
      <c r="L81" s="184"/>
      <c r="M81" s="184"/>
      <c r="N81" s="184"/>
      <c r="O81" s="186" t="n">
        <v>1</v>
      </c>
      <c r="P81" s="184"/>
      <c r="Q81" s="184"/>
      <c r="R81" s="184"/>
      <c r="S81" s="186"/>
      <c r="T81" s="184"/>
      <c r="U81" s="184"/>
      <c r="V81" s="184"/>
      <c r="W81" s="186" t="n">
        <v>1.0704</v>
      </c>
      <c r="X81" s="92" t="n">
        <v>1.0065</v>
      </c>
      <c r="Y81" s="114" t="s">
        <v>104</v>
      </c>
      <c r="Z81" s="78" t="s">
        <v>257</v>
      </c>
    </row>
    <row r="82" customFormat="false" ht="25.5" hidden="false" customHeight="true" outlineLevel="0" collapsed="false">
      <c r="A82" s="69" t="s">
        <v>305</v>
      </c>
      <c r="B82" s="70" t="s">
        <v>306</v>
      </c>
      <c r="C82" s="71" t="s">
        <v>34</v>
      </c>
      <c r="D82" s="71" t="s">
        <v>97</v>
      </c>
      <c r="E82" s="183" t="s">
        <v>502</v>
      </c>
      <c r="F82" s="87" t="s">
        <v>32</v>
      </c>
      <c r="G82" s="91" t="s">
        <v>32</v>
      </c>
      <c r="H82" s="184"/>
      <c r="I82" s="184"/>
      <c r="J82" s="184"/>
      <c r="K82" s="185" t="n">
        <v>0.392717815344603</v>
      </c>
      <c r="L82" s="184"/>
      <c r="M82" s="184"/>
      <c r="N82" s="184"/>
      <c r="O82" s="186" t="n">
        <v>424</v>
      </c>
      <c r="P82" s="184"/>
      <c r="Q82" s="184"/>
      <c r="R82" s="184"/>
      <c r="S82" s="186"/>
      <c r="T82" s="184"/>
      <c r="U82" s="184"/>
      <c r="V82" s="184"/>
      <c r="W82" s="186"/>
      <c r="X82" s="92" t="n">
        <v>0.392717815344603</v>
      </c>
      <c r="Y82" s="114" t="s">
        <v>120</v>
      </c>
      <c r="Z82" s="78" t="s">
        <v>307</v>
      </c>
    </row>
    <row r="83" customFormat="false" ht="25.5" hidden="false" customHeight="true" outlineLevel="0" collapsed="false">
      <c r="A83" s="69" t="s">
        <v>308</v>
      </c>
      <c r="B83" s="70" t="s">
        <v>309</v>
      </c>
      <c r="C83" s="71" t="s">
        <v>34</v>
      </c>
      <c r="D83" s="71" t="s">
        <v>97</v>
      </c>
      <c r="E83" s="183" t="s">
        <v>502</v>
      </c>
      <c r="F83" s="102" t="n">
        <v>0</v>
      </c>
      <c r="G83" s="121" t="n">
        <v>15</v>
      </c>
      <c r="H83" s="191"/>
      <c r="I83" s="191"/>
      <c r="J83" s="191"/>
      <c r="K83" s="192" t="n">
        <v>0.1</v>
      </c>
      <c r="L83" s="191"/>
      <c r="M83" s="191"/>
      <c r="N83" s="191"/>
      <c r="O83" s="193" t="n">
        <v>0.07</v>
      </c>
      <c r="P83" s="191"/>
      <c r="Q83" s="191"/>
      <c r="R83" s="191"/>
      <c r="S83" s="193"/>
      <c r="T83" s="191"/>
      <c r="U83" s="191"/>
      <c r="V83" s="191"/>
      <c r="W83" s="193"/>
      <c r="X83" s="104" t="n">
        <v>0.1</v>
      </c>
      <c r="Y83" s="114" t="s">
        <v>104</v>
      </c>
      <c r="Z83" s="78" t="s">
        <v>257</v>
      </c>
    </row>
    <row r="84" customFormat="false" ht="25.5" hidden="false" customHeight="true" outlineLevel="0" collapsed="false">
      <c r="A84" s="69" t="s">
        <v>311</v>
      </c>
      <c r="B84" s="70" t="s">
        <v>312</v>
      </c>
      <c r="C84" s="71" t="s">
        <v>34</v>
      </c>
      <c r="D84" s="71" t="s">
        <v>97</v>
      </c>
      <c r="E84" s="183" t="s">
        <v>502</v>
      </c>
      <c r="F84" s="102" t="n">
        <v>0.4</v>
      </c>
      <c r="G84" s="75" t="n">
        <v>0.7</v>
      </c>
      <c r="H84" s="191"/>
      <c r="I84" s="191"/>
      <c r="J84" s="191"/>
      <c r="K84" s="192" t="n">
        <v>0.2</v>
      </c>
      <c r="L84" s="191"/>
      <c r="M84" s="191"/>
      <c r="N84" s="191"/>
      <c r="O84" s="193" t="n">
        <v>0.3</v>
      </c>
      <c r="P84" s="191"/>
      <c r="Q84" s="191"/>
      <c r="R84" s="191"/>
      <c r="S84" s="193"/>
      <c r="T84" s="191"/>
      <c r="U84" s="191"/>
      <c r="V84" s="191"/>
      <c r="W84" s="193"/>
      <c r="X84" s="104" t="n">
        <v>0.2</v>
      </c>
      <c r="Y84" s="114" t="s">
        <v>104</v>
      </c>
      <c r="Z84" s="78" t="s">
        <v>257</v>
      </c>
    </row>
    <row r="85" customFormat="false" ht="25.5" hidden="false" customHeight="true" outlineLevel="0" collapsed="false">
      <c r="A85" s="69" t="s">
        <v>313</v>
      </c>
      <c r="B85" s="70" t="s">
        <v>314</v>
      </c>
      <c r="C85" s="71" t="s">
        <v>34</v>
      </c>
      <c r="D85" s="71" t="s">
        <v>97</v>
      </c>
      <c r="E85" s="183" t="s">
        <v>502</v>
      </c>
      <c r="F85" s="102" t="n">
        <v>0.13</v>
      </c>
      <c r="G85" s="122" t="n">
        <v>11</v>
      </c>
      <c r="H85" s="191"/>
      <c r="I85" s="191"/>
      <c r="J85" s="191"/>
      <c r="K85" s="192" t="n">
        <v>0</v>
      </c>
      <c r="L85" s="191"/>
      <c r="M85" s="191"/>
      <c r="N85" s="191"/>
      <c r="O85" s="193" t="n">
        <v>0</v>
      </c>
      <c r="P85" s="191"/>
      <c r="Q85" s="191"/>
      <c r="R85" s="191"/>
      <c r="S85" s="193"/>
      <c r="T85" s="191"/>
      <c r="U85" s="191"/>
      <c r="V85" s="191"/>
      <c r="W85" s="193"/>
      <c r="X85" s="104" t="n">
        <v>0</v>
      </c>
      <c r="Y85" s="114" t="s">
        <v>104</v>
      </c>
      <c r="Z85" s="78" t="s">
        <v>257</v>
      </c>
    </row>
    <row r="86" customFormat="false" ht="25.5" hidden="false" customHeight="true" outlineLevel="0" collapsed="false">
      <c r="A86" s="69" t="s">
        <v>315</v>
      </c>
      <c r="B86" s="70" t="s">
        <v>316</v>
      </c>
      <c r="C86" s="71" t="s">
        <v>34</v>
      </c>
      <c r="D86" s="71" t="s">
        <v>97</v>
      </c>
      <c r="E86" s="183" t="s">
        <v>502</v>
      </c>
      <c r="F86" s="102" t="n">
        <v>0.47</v>
      </c>
      <c r="G86" s="82" t="n">
        <v>0.4</v>
      </c>
      <c r="H86" s="191"/>
      <c r="I86" s="191"/>
      <c r="J86" s="191"/>
      <c r="K86" s="192" t="n">
        <v>0</v>
      </c>
      <c r="L86" s="191"/>
      <c r="M86" s="191"/>
      <c r="N86" s="191"/>
      <c r="O86" s="193" t="n">
        <v>0</v>
      </c>
      <c r="P86" s="191"/>
      <c r="Q86" s="191"/>
      <c r="R86" s="191"/>
      <c r="S86" s="193"/>
      <c r="T86" s="191"/>
      <c r="U86" s="191"/>
      <c r="V86" s="191"/>
      <c r="W86" s="193"/>
      <c r="X86" s="104" t="n">
        <v>0</v>
      </c>
      <c r="Y86" s="114" t="s">
        <v>104</v>
      </c>
      <c r="Z86" s="78" t="s">
        <v>100</v>
      </c>
    </row>
    <row r="87" customFormat="false" ht="25.5" hidden="false" customHeight="true" outlineLevel="0" collapsed="false">
      <c r="A87" s="69" t="s">
        <v>319</v>
      </c>
      <c r="B87" s="70" t="s">
        <v>320</v>
      </c>
      <c r="C87" s="71" t="s">
        <v>34</v>
      </c>
      <c r="D87" s="71" t="s">
        <v>97</v>
      </c>
      <c r="E87" s="183" t="s">
        <v>502</v>
      </c>
      <c r="F87" s="102" t="n">
        <v>4.5</v>
      </c>
      <c r="G87" s="75" t="s">
        <v>32</v>
      </c>
      <c r="H87" s="191"/>
      <c r="I87" s="191"/>
      <c r="J87" s="191"/>
      <c r="K87" s="192" t="n">
        <v>1.61550888529887</v>
      </c>
      <c r="L87" s="191"/>
      <c r="M87" s="191"/>
      <c r="N87" s="191"/>
      <c r="O87" s="193" t="n">
        <v>7.44</v>
      </c>
      <c r="P87" s="191"/>
      <c r="Q87" s="191"/>
      <c r="R87" s="191"/>
      <c r="S87" s="193"/>
      <c r="T87" s="191"/>
      <c r="U87" s="191"/>
      <c r="V87" s="191"/>
      <c r="W87" s="193"/>
      <c r="X87" s="104" t="n">
        <v>1.61550888529887</v>
      </c>
      <c r="Y87" s="114" t="s">
        <v>120</v>
      </c>
      <c r="Z87" s="78" t="s">
        <v>100</v>
      </c>
    </row>
    <row r="88" customFormat="false" ht="25.5" hidden="false" customHeight="true" outlineLevel="0" collapsed="false">
      <c r="A88" s="69" t="s">
        <v>323</v>
      </c>
      <c r="B88" s="70" t="s">
        <v>324</v>
      </c>
      <c r="C88" s="71" t="s">
        <v>34</v>
      </c>
      <c r="D88" s="71" t="s">
        <v>97</v>
      </c>
      <c r="E88" s="183" t="s">
        <v>502</v>
      </c>
      <c r="F88" s="102" t="n">
        <v>0.9</v>
      </c>
      <c r="G88" s="122" t="n">
        <v>1.5</v>
      </c>
      <c r="H88" s="191"/>
      <c r="I88" s="191"/>
      <c r="J88" s="191"/>
      <c r="K88" s="193"/>
      <c r="L88" s="191"/>
      <c r="M88" s="191"/>
      <c r="N88" s="191"/>
      <c r="O88" s="193" t="n">
        <v>0</v>
      </c>
      <c r="P88" s="191"/>
      <c r="Q88" s="191"/>
      <c r="R88" s="191"/>
      <c r="S88" s="193"/>
      <c r="T88" s="191"/>
      <c r="U88" s="191"/>
      <c r="V88" s="191"/>
      <c r="W88" s="193"/>
      <c r="X88" s="104"/>
      <c r="Y88" s="114" t="s">
        <v>99</v>
      </c>
      <c r="Z88" s="78" t="s">
        <v>257</v>
      </c>
    </row>
    <row r="89" customFormat="false" ht="25.5" hidden="false" customHeight="true" outlineLevel="0" collapsed="false">
      <c r="A89" s="69" t="s">
        <v>325</v>
      </c>
      <c r="B89" s="70" t="s">
        <v>326</v>
      </c>
      <c r="C89" s="71" t="s">
        <v>34</v>
      </c>
      <c r="D89" s="71" t="s">
        <v>110</v>
      </c>
      <c r="E89" s="183" t="s">
        <v>502</v>
      </c>
      <c r="F89" s="102" t="n">
        <v>0.9</v>
      </c>
      <c r="G89" s="82" t="n">
        <v>3</v>
      </c>
      <c r="H89" s="191"/>
      <c r="I89" s="191"/>
      <c r="J89" s="191"/>
      <c r="K89" s="192" t="n">
        <v>0.7</v>
      </c>
      <c r="L89" s="191"/>
      <c r="M89" s="191"/>
      <c r="N89" s="191"/>
      <c r="O89" s="193" t="n">
        <v>0.77</v>
      </c>
      <c r="P89" s="191"/>
      <c r="Q89" s="191"/>
      <c r="R89" s="191"/>
      <c r="S89" s="193"/>
      <c r="T89" s="191"/>
      <c r="U89" s="191"/>
      <c r="V89" s="191"/>
      <c r="W89" s="193"/>
      <c r="X89" s="104" t="n">
        <v>0.7</v>
      </c>
      <c r="Y89" s="114" t="s">
        <v>113</v>
      </c>
      <c r="Z89" s="78" t="s">
        <v>257</v>
      </c>
    </row>
    <row r="90" customFormat="false" ht="25.5" hidden="false" customHeight="true" outlineLevel="0" collapsed="false">
      <c r="A90" s="69" t="s">
        <v>327</v>
      </c>
      <c r="B90" s="70" t="s">
        <v>328</v>
      </c>
      <c r="C90" s="71" t="s">
        <v>34</v>
      </c>
      <c r="D90" s="71" t="s">
        <v>110</v>
      </c>
      <c r="E90" s="183" t="s">
        <v>502</v>
      </c>
      <c r="F90" s="87" t="n">
        <v>0.777</v>
      </c>
      <c r="G90" s="88" t="n">
        <v>0.7</v>
      </c>
      <c r="H90" s="184"/>
      <c r="I90" s="184"/>
      <c r="J90" s="184"/>
      <c r="K90" s="185" t="n">
        <v>0.607</v>
      </c>
      <c r="L90" s="184"/>
      <c r="M90" s="184"/>
      <c r="N90" s="184"/>
      <c r="O90" s="186" t="n">
        <v>0.6107</v>
      </c>
      <c r="P90" s="184"/>
      <c r="Q90" s="184"/>
      <c r="R90" s="184"/>
      <c r="S90" s="186"/>
      <c r="T90" s="184"/>
      <c r="U90" s="184"/>
      <c r="V90" s="184"/>
      <c r="W90" s="186"/>
      <c r="X90" s="92" t="n">
        <v>0.607</v>
      </c>
      <c r="Y90" s="114" t="s">
        <v>113</v>
      </c>
      <c r="Z90" s="78" t="s">
        <v>257</v>
      </c>
    </row>
    <row r="91" customFormat="false" ht="25.5" hidden="false" customHeight="true" outlineLevel="0" collapsed="false">
      <c r="A91" s="69" t="s">
        <v>329</v>
      </c>
      <c r="B91" s="70" t="s">
        <v>330</v>
      </c>
      <c r="C91" s="71" t="s">
        <v>34</v>
      </c>
      <c r="D91" s="71" t="s">
        <v>97</v>
      </c>
      <c r="E91" s="183" t="s">
        <v>502</v>
      </c>
      <c r="F91" s="102" t="n">
        <v>28.6</v>
      </c>
      <c r="G91" s="122" t="n">
        <v>14.3</v>
      </c>
      <c r="H91" s="191"/>
      <c r="I91" s="191"/>
      <c r="J91" s="191"/>
      <c r="K91" s="193"/>
      <c r="L91" s="191"/>
      <c r="M91" s="191"/>
      <c r="N91" s="191"/>
      <c r="O91" s="193" t="n">
        <v>0</v>
      </c>
      <c r="P91" s="191"/>
      <c r="Q91" s="191"/>
      <c r="R91" s="191"/>
      <c r="S91" s="193"/>
      <c r="T91" s="191"/>
      <c r="U91" s="191"/>
      <c r="V91" s="191"/>
      <c r="W91" s="193"/>
      <c r="X91" s="104"/>
      <c r="Y91" s="114" t="s">
        <v>99</v>
      </c>
      <c r="Z91" s="78" t="s">
        <v>257</v>
      </c>
    </row>
    <row r="92" customFormat="false" ht="25.5" hidden="false" customHeight="true" outlineLevel="0" collapsed="false">
      <c r="A92" s="69" t="s">
        <v>333</v>
      </c>
      <c r="B92" s="70" t="s">
        <v>334</v>
      </c>
      <c r="C92" s="71" t="s">
        <v>166</v>
      </c>
      <c r="D92" s="71" t="s">
        <v>110</v>
      </c>
      <c r="E92" s="183" t="s">
        <v>502</v>
      </c>
      <c r="F92" s="87" t="n">
        <v>0.624</v>
      </c>
      <c r="G92" s="91" t="n">
        <v>0.6</v>
      </c>
      <c r="H92" s="184"/>
      <c r="I92" s="184"/>
      <c r="J92" s="184"/>
      <c r="K92" s="186" t="n">
        <v>0.638</v>
      </c>
      <c r="L92" s="184"/>
      <c r="M92" s="184"/>
      <c r="N92" s="184"/>
      <c r="O92" s="186"/>
      <c r="P92" s="184"/>
      <c r="Q92" s="184"/>
      <c r="R92" s="184"/>
      <c r="S92" s="186"/>
      <c r="T92" s="184"/>
      <c r="U92" s="184"/>
      <c r="V92" s="184"/>
      <c r="W92" s="186"/>
      <c r="X92" s="92" t="n">
        <v>0.638</v>
      </c>
      <c r="Y92" s="114" t="s">
        <v>104</v>
      </c>
      <c r="Z92" s="78" t="s">
        <v>257</v>
      </c>
    </row>
    <row r="93" customFormat="false" ht="25.5" hidden="false" customHeight="true" outlineLevel="0" collapsed="false">
      <c r="A93" s="69" t="s">
        <v>335</v>
      </c>
      <c r="B93" s="70" t="s">
        <v>336</v>
      </c>
      <c r="C93" s="71" t="s">
        <v>166</v>
      </c>
      <c r="D93" s="71" t="s">
        <v>110</v>
      </c>
      <c r="E93" s="183" t="s">
        <v>502</v>
      </c>
      <c r="F93" s="87" t="n">
        <v>0.76</v>
      </c>
      <c r="G93" s="91" t="n">
        <v>0.7</v>
      </c>
      <c r="H93" s="184"/>
      <c r="I93" s="184"/>
      <c r="J93" s="184"/>
      <c r="K93" s="186"/>
      <c r="L93" s="184"/>
      <c r="M93" s="184"/>
      <c r="N93" s="184"/>
      <c r="O93" s="186"/>
      <c r="P93" s="184"/>
      <c r="Q93" s="184"/>
      <c r="R93" s="184"/>
      <c r="S93" s="186"/>
      <c r="T93" s="184"/>
      <c r="U93" s="184"/>
      <c r="V93" s="184"/>
      <c r="W93" s="186"/>
      <c r="X93" s="92"/>
      <c r="Y93" s="114" t="s">
        <v>99</v>
      </c>
      <c r="Z93" s="78" t="s">
        <v>257</v>
      </c>
    </row>
    <row r="94" customFormat="false" ht="25.5" hidden="false" customHeight="true" outlineLevel="0" collapsed="false">
      <c r="A94" s="69" t="s">
        <v>337</v>
      </c>
      <c r="B94" s="70" t="s">
        <v>338</v>
      </c>
      <c r="C94" s="71" t="s">
        <v>166</v>
      </c>
      <c r="D94" s="71" t="s">
        <v>110</v>
      </c>
      <c r="E94" s="183" t="s">
        <v>502</v>
      </c>
      <c r="F94" s="87" t="n">
        <v>0.821</v>
      </c>
      <c r="G94" s="91" t="n">
        <v>0.7</v>
      </c>
      <c r="H94" s="184"/>
      <c r="I94" s="184"/>
      <c r="J94" s="184"/>
      <c r="K94" s="186"/>
      <c r="L94" s="184"/>
      <c r="M94" s="184"/>
      <c r="N94" s="184"/>
      <c r="O94" s="186"/>
      <c r="P94" s="184"/>
      <c r="Q94" s="184"/>
      <c r="R94" s="184"/>
      <c r="S94" s="186"/>
      <c r="T94" s="184"/>
      <c r="U94" s="184"/>
      <c r="V94" s="184"/>
      <c r="W94" s="186"/>
      <c r="X94" s="92"/>
      <c r="Y94" s="114" t="s">
        <v>99</v>
      </c>
      <c r="Z94" s="78" t="s">
        <v>257</v>
      </c>
    </row>
    <row r="95" customFormat="false" ht="25.5" hidden="false" customHeight="true" outlineLevel="0" collapsed="false">
      <c r="A95" s="69" t="s">
        <v>339</v>
      </c>
      <c r="B95" s="70" t="s">
        <v>340</v>
      </c>
      <c r="C95" s="71" t="s">
        <v>166</v>
      </c>
      <c r="D95" s="71" t="s">
        <v>110</v>
      </c>
      <c r="E95" s="183" t="s">
        <v>502</v>
      </c>
      <c r="F95" s="87" t="n">
        <v>0.91</v>
      </c>
      <c r="G95" s="88" t="n">
        <v>0.92</v>
      </c>
      <c r="H95" s="184"/>
      <c r="I95" s="184"/>
      <c r="J95" s="184"/>
      <c r="K95" s="185" t="n">
        <v>1</v>
      </c>
      <c r="L95" s="184"/>
      <c r="M95" s="184"/>
      <c r="N95" s="184"/>
      <c r="O95" s="186" t="n">
        <v>1</v>
      </c>
      <c r="P95" s="184"/>
      <c r="Q95" s="184"/>
      <c r="R95" s="184"/>
      <c r="S95" s="186"/>
      <c r="T95" s="184"/>
      <c r="U95" s="184"/>
      <c r="V95" s="184"/>
      <c r="W95" s="186"/>
      <c r="X95" s="92" t="n">
        <v>1</v>
      </c>
      <c r="Y95" s="114" t="s">
        <v>104</v>
      </c>
      <c r="Z95" s="78" t="s">
        <v>341</v>
      </c>
    </row>
    <row r="96" customFormat="false" ht="25.5" hidden="false" customHeight="true" outlineLevel="0" collapsed="false">
      <c r="A96" s="69" t="s">
        <v>342</v>
      </c>
      <c r="B96" s="70" t="s">
        <v>343</v>
      </c>
      <c r="C96" s="71" t="s">
        <v>166</v>
      </c>
      <c r="D96" s="71" t="s">
        <v>110</v>
      </c>
      <c r="E96" s="183" t="s">
        <v>502</v>
      </c>
      <c r="F96" s="87" t="n">
        <v>0.78</v>
      </c>
      <c r="G96" s="91" t="n">
        <v>0.85</v>
      </c>
      <c r="H96" s="184"/>
      <c r="I96" s="184"/>
      <c r="J96" s="184"/>
      <c r="K96" s="185" t="n">
        <v>1</v>
      </c>
      <c r="L96" s="184"/>
      <c r="M96" s="184"/>
      <c r="N96" s="184"/>
      <c r="O96" s="186" t="n">
        <v>1</v>
      </c>
      <c r="P96" s="184"/>
      <c r="Q96" s="184"/>
      <c r="R96" s="184"/>
      <c r="S96" s="186"/>
      <c r="T96" s="184"/>
      <c r="U96" s="184"/>
      <c r="V96" s="184"/>
      <c r="W96" s="186"/>
      <c r="X96" s="92" t="n">
        <v>1</v>
      </c>
      <c r="Y96" s="114" t="s">
        <v>104</v>
      </c>
      <c r="Z96" s="78" t="s">
        <v>344</v>
      </c>
    </row>
    <row r="97" customFormat="false" ht="25.5" hidden="false" customHeight="true" outlineLevel="0" collapsed="false">
      <c r="A97" s="69" t="s">
        <v>345</v>
      </c>
      <c r="B97" s="70" t="s">
        <v>346</v>
      </c>
      <c r="C97" s="71" t="s">
        <v>166</v>
      </c>
      <c r="D97" s="71" t="s">
        <v>110</v>
      </c>
      <c r="E97" s="183" t="s">
        <v>502</v>
      </c>
      <c r="F97" s="87" t="n">
        <v>0.786</v>
      </c>
      <c r="G97" s="88" t="n">
        <v>0.8</v>
      </c>
      <c r="H97" s="184"/>
      <c r="I97" s="184"/>
      <c r="J97" s="184"/>
      <c r="K97" s="185" t="n">
        <v>1</v>
      </c>
      <c r="L97" s="184"/>
      <c r="M97" s="184"/>
      <c r="N97" s="184"/>
      <c r="O97" s="186" t="n">
        <v>1</v>
      </c>
      <c r="P97" s="184"/>
      <c r="Q97" s="184"/>
      <c r="R97" s="184"/>
      <c r="S97" s="186"/>
      <c r="T97" s="184"/>
      <c r="U97" s="184"/>
      <c r="V97" s="184"/>
      <c r="W97" s="186"/>
      <c r="X97" s="92" t="n">
        <v>1</v>
      </c>
      <c r="Y97" s="114" t="s">
        <v>104</v>
      </c>
      <c r="Z97" s="78" t="s">
        <v>257</v>
      </c>
    </row>
    <row r="98" customFormat="false" ht="25.5" hidden="false" customHeight="true" outlineLevel="0" collapsed="false">
      <c r="A98" s="69" t="s">
        <v>347</v>
      </c>
      <c r="B98" s="70" t="s">
        <v>348</v>
      </c>
      <c r="C98" s="71" t="s">
        <v>166</v>
      </c>
      <c r="D98" s="71" t="s">
        <v>110</v>
      </c>
      <c r="E98" s="183" t="s">
        <v>502</v>
      </c>
      <c r="F98" s="87" t="n">
        <v>0.98</v>
      </c>
      <c r="G98" s="88" t="n">
        <v>0.6</v>
      </c>
      <c r="H98" s="184"/>
      <c r="I98" s="184"/>
      <c r="J98" s="184"/>
      <c r="K98" s="185" t="n">
        <v>0.979</v>
      </c>
      <c r="L98" s="184"/>
      <c r="M98" s="184"/>
      <c r="N98" s="184"/>
      <c r="O98" s="186"/>
      <c r="P98" s="184"/>
      <c r="Q98" s="184"/>
      <c r="R98" s="184"/>
      <c r="S98" s="186"/>
      <c r="T98" s="184"/>
      <c r="U98" s="184"/>
      <c r="V98" s="184"/>
      <c r="W98" s="186"/>
      <c r="X98" s="92" t="n">
        <v>0.979</v>
      </c>
      <c r="Y98" s="114" t="s">
        <v>104</v>
      </c>
      <c r="Z98" s="78" t="s">
        <v>257</v>
      </c>
    </row>
    <row r="99" customFormat="false" ht="25.5" hidden="false" customHeight="true" outlineLevel="0" collapsed="false">
      <c r="A99" s="69" t="s">
        <v>349</v>
      </c>
      <c r="B99" s="70" t="s">
        <v>350</v>
      </c>
      <c r="C99" s="71" t="s">
        <v>166</v>
      </c>
      <c r="D99" s="71" t="s">
        <v>97</v>
      </c>
      <c r="E99" s="183" t="s">
        <v>502</v>
      </c>
      <c r="F99" s="94" t="n">
        <v>13.3</v>
      </c>
      <c r="G99" s="109" t="n">
        <v>25</v>
      </c>
      <c r="H99" s="194"/>
      <c r="I99" s="194"/>
      <c r="J99" s="194"/>
      <c r="K99" s="195" t="n">
        <v>20.3</v>
      </c>
      <c r="L99" s="194"/>
      <c r="M99" s="194"/>
      <c r="N99" s="194"/>
      <c r="O99" s="196"/>
      <c r="P99" s="194"/>
      <c r="Q99" s="194"/>
      <c r="R99" s="194"/>
      <c r="S99" s="196"/>
      <c r="T99" s="194"/>
      <c r="U99" s="194"/>
      <c r="V99" s="194"/>
      <c r="W99" s="196" t="n">
        <v>22</v>
      </c>
      <c r="X99" s="125" t="n">
        <v>20.3</v>
      </c>
      <c r="Y99" s="114" t="s">
        <v>104</v>
      </c>
      <c r="Z99" s="78" t="s">
        <v>257</v>
      </c>
    </row>
    <row r="100" customFormat="false" ht="25.5" hidden="false" customHeight="true" outlineLevel="0" collapsed="false">
      <c r="A100" s="69" t="s">
        <v>353</v>
      </c>
      <c r="B100" s="70" t="s">
        <v>354</v>
      </c>
      <c r="C100" s="71" t="s">
        <v>166</v>
      </c>
      <c r="D100" s="71" t="s">
        <v>97</v>
      </c>
      <c r="E100" s="183" t="s">
        <v>502</v>
      </c>
      <c r="F100" s="102" t="n">
        <v>56.1</v>
      </c>
      <c r="G100" s="122" t="n">
        <v>28.05</v>
      </c>
      <c r="H100" s="191"/>
      <c r="I100" s="191"/>
      <c r="J100" s="191"/>
      <c r="K100" s="192"/>
      <c r="L100" s="191"/>
      <c r="M100" s="191"/>
      <c r="N100" s="191"/>
      <c r="O100" s="193" t="n">
        <v>0</v>
      </c>
      <c r="P100" s="191"/>
      <c r="Q100" s="191"/>
      <c r="R100" s="191"/>
      <c r="S100" s="193"/>
      <c r="T100" s="191"/>
      <c r="U100" s="191"/>
      <c r="V100" s="191"/>
      <c r="W100" s="193"/>
      <c r="X100" s="104" t="n">
        <v>0</v>
      </c>
      <c r="Y100" s="114" t="s">
        <v>99</v>
      </c>
      <c r="Z100" s="78" t="s">
        <v>257</v>
      </c>
    </row>
    <row r="101" customFormat="false" ht="25.5" hidden="false" customHeight="true" outlineLevel="0" collapsed="false">
      <c r="A101" s="69" t="s">
        <v>357</v>
      </c>
      <c r="B101" s="70" t="s">
        <v>358</v>
      </c>
      <c r="C101" s="71" t="s">
        <v>166</v>
      </c>
      <c r="D101" s="71" t="s">
        <v>97</v>
      </c>
      <c r="E101" s="183" t="s">
        <v>502</v>
      </c>
      <c r="F101" s="102" t="n">
        <v>15.7</v>
      </c>
      <c r="G101" s="122" t="n">
        <v>7.85</v>
      </c>
      <c r="H101" s="191"/>
      <c r="I101" s="191"/>
      <c r="J101" s="191"/>
      <c r="K101" s="192" t="n">
        <v>0</v>
      </c>
      <c r="L101" s="191"/>
      <c r="M101" s="191"/>
      <c r="N101" s="191"/>
      <c r="O101" s="193" t="n">
        <v>61.576354679803</v>
      </c>
      <c r="P101" s="191"/>
      <c r="Q101" s="191"/>
      <c r="R101" s="191"/>
      <c r="S101" s="193"/>
      <c r="T101" s="191"/>
      <c r="U101" s="191"/>
      <c r="V101" s="191"/>
      <c r="W101" s="193"/>
      <c r="X101" s="104" t="n">
        <v>0</v>
      </c>
      <c r="Y101" s="114" t="s">
        <v>104</v>
      </c>
      <c r="Z101" s="78" t="s">
        <v>100</v>
      </c>
    </row>
    <row r="102" customFormat="false" ht="25.5" hidden="false" customHeight="true" outlineLevel="0" collapsed="false">
      <c r="A102" s="69" t="s">
        <v>359</v>
      </c>
      <c r="B102" s="70" t="s">
        <v>360</v>
      </c>
      <c r="C102" s="71" t="s">
        <v>166</v>
      </c>
      <c r="D102" s="71" t="s">
        <v>97</v>
      </c>
      <c r="E102" s="183" t="s">
        <v>502</v>
      </c>
      <c r="F102" s="102" t="n">
        <v>11.7</v>
      </c>
      <c r="G102" s="82" t="n">
        <v>5.85</v>
      </c>
      <c r="H102" s="191"/>
      <c r="I102" s="191"/>
      <c r="J102" s="191"/>
      <c r="K102" s="192" t="n">
        <v>11.2</v>
      </c>
      <c r="L102" s="191"/>
      <c r="M102" s="191"/>
      <c r="N102" s="191"/>
      <c r="O102" s="193" t="n">
        <v>7.38916256157635</v>
      </c>
      <c r="P102" s="191"/>
      <c r="Q102" s="191"/>
      <c r="R102" s="191"/>
      <c r="S102" s="193"/>
      <c r="T102" s="191"/>
      <c r="U102" s="191"/>
      <c r="V102" s="191"/>
      <c r="W102" s="193"/>
      <c r="X102" s="104" t="n">
        <v>11.2</v>
      </c>
      <c r="Y102" s="114" t="s">
        <v>113</v>
      </c>
      <c r="Z102" s="78" t="s">
        <v>257</v>
      </c>
    </row>
    <row r="103" customFormat="false" ht="25.5" hidden="false" customHeight="true" outlineLevel="0" collapsed="false">
      <c r="A103" s="69" t="s">
        <v>377</v>
      </c>
      <c r="B103" s="70" t="s">
        <v>378</v>
      </c>
      <c r="C103" s="71" t="s">
        <v>236</v>
      </c>
      <c r="D103" s="71" t="s">
        <v>110</v>
      </c>
      <c r="E103" s="183" t="s">
        <v>502</v>
      </c>
      <c r="F103" s="87" t="n">
        <v>0.483</v>
      </c>
      <c r="G103" s="88" t="n">
        <v>0.5606</v>
      </c>
      <c r="H103" s="184"/>
      <c r="I103" s="184"/>
      <c r="J103" s="184"/>
      <c r="K103" s="185" t="n">
        <v>0.440963855421687</v>
      </c>
      <c r="L103" s="184"/>
      <c r="M103" s="184"/>
      <c r="N103" s="184"/>
      <c r="O103" s="186" t="n">
        <v>0.326876513317191</v>
      </c>
      <c r="P103" s="184"/>
      <c r="Q103" s="184"/>
      <c r="R103" s="184"/>
      <c r="S103" s="186"/>
      <c r="T103" s="184"/>
      <c r="U103" s="184"/>
      <c r="V103" s="184"/>
      <c r="W103" s="186"/>
      <c r="X103" s="92" t="n">
        <v>0.133227597145123</v>
      </c>
      <c r="Y103" s="114" t="s">
        <v>113</v>
      </c>
      <c r="Z103" s="78" t="s">
        <v>190</v>
      </c>
    </row>
    <row r="104" customFormat="false" ht="25.5" hidden="false" customHeight="true" outlineLevel="0" collapsed="false">
      <c r="A104" s="69" t="s">
        <v>379</v>
      </c>
      <c r="B104" s="70" t="s">
        <v>380</v>
      </c>
      <c r="C104" s="71" t="s">
        <v>236</v>
      </c>
      <c r="D104" s="71" t="s">
        <v>97</v>
      </c>
      <c r="E104" s="183" t="s">
        <v>502</v>
      </c>
      <c r="F104" s="87" t="s">
        <v>32</v>
      </c>
      <c r="G104" s="91" t="s">
        <v>32</v>
      </c>
      <c r="H104" s="184"/>
      <c r="I104" s="184"/>
      <c r="J104" s="184"/>
      <c r="K104" s="185" t="n">
        <v>0.133227597145123</v>
      </c>
      <c r="L104" s="184"/>
      <c r="M104" s="184"/>
      <c r="N104" s="184"/>
      <c r="O104" s="186"/>
      <c r="P104" s="184"/>
      <c r="Q104" s="184"/>
      <c r="R104" s="184"/>
      <c r="S104" s="186"/>
      <c r="T104" s="184"/>
      <c r="U104" s="184"/>
      <c r="V104" s="184"/>
      <c r="W104" s="186"/>
      <c r="X104" s="92" t="n">
        <v>0.10042735042735</v>
      </c>
      <c r="Y104" s="114" t="s">
        <v>120</v>
      </c>
      <c r="Z104" s="78" t="s">
        <v>105</v>
      </c>
    </row>
    <row r="105" customFormat="false" ht="25.5" hidden="false" customHeight="true" outlineLevel="0" collapsed="false">
      <c r="A105" s="69" t="s">
        <v>382</v>
      </c>
      <c r="B105" s="70" t="s">
        <v>383</v>
      </c>
      <c r="C105" s="71" t="s">
        <v>236</v>
      </c>
      <c r="D105" s="71" t="s">
        <v>97</v>
      </c>
      <c r="E105" s="183" t="s">
        <v>502</v>
      </c>
      <c r="F105" s="87" t="n">
        <v>0.07</v>
      </c>
      <c r="G105" s="88" t="n">
        <v>0.115</v>
      </c>
      <c r="H105" s="184"/>
      <c r="I105" s="184"/>
      <c r="J105" s="184"/>
      <c r="K105" s="185" t="n">
        <v>0.1</v>
      </c>
      <c r="L105" s="184"/>
      <c r="M105" s="184"/>
      <c r="N105" s="184"/>
      <c r="O105" s="186"/>
      <c r="P105" s="184"/>
      <c r="Q105" s="184"/>
      <c r="R105" s="184"/>
      <c r="S105" s="186"/>
      <c r="T105" s="184"/>
      <c r="U105" s="184"/>
      <c r="V105" s="184"/>
      <c r="W105" s="186"/>
      <c r="X105" s="92" t="n">
        <v>0.1</v>
      </c>
      <c r="Y105" s="114" t="s">
        <v>104</v>
      </c>
      <c r="Z105" s="78" t="s">
        <v>257</v>
      </c>
    </row>
    <row r="106" customFormat="false" ht="25.5" hidden="false" customHeight="true" outlineLevel="0" collapsed="false">
      <c r="A106" s="69" t="s">
        <v>464</v>
      </c>
      <c r="B106" s="70" t="s">
        <v>465</v>
      </c>
      <c r="C106" s="71" t="s">
        <v>236</v>
      </c>
      <c r="D106" s="71" t="s">
        <v>110</v>
      </c>
      <c r="E106" s="183" t="s">
        <v>504</v>
      </c>
      <c r="F106" s="87" t="n">
        <v>0.755</v>
      </c>
      <c r="G106" s="91" t="n">
        <v>0.7</v>
      </c>
      <c r="H106" s="184"/>
      <c r="I106" s="184"/>
      <c r="J106" s="184"/>
      <c r="K106" s="186"/>
      <c r="L106" s="184"/>
      <c r="M106" s="184"/>
      <c r="N106" s="184"/>
      <c r="O106" s="186"/>
      <c r="P106" s="184"/>
      <c r="Q106" s="184"/>
      <c r="R106" s="184"/>
      <c r="S106" s="186"/>
      <c r="T106" s="184"/>
      <c r="U106" s="184"/>
      <c r="V106" s="184"/>
      <c r="W106" s="186"/>
      <c r="X106" s="92"/>
      <c r="Y106" s="114" t="s">
        <v>99</v>
      </c>
      <c r="Z106" s="78" t="s">
        <v>257</v>
      </c>
    </row>
    <row r="107" customFormat="false" ht="25.5" hidden="false" customHeight="true" outlineLevel="0" collapsed="false">
      <c r="A107" s="69" t="s">
        <v>397</v>
      </c>
      <c r="B107" s="70" t="s">
        <v>398</v>
      </c>
      <c r="C107" s="71" t="s">
        <v>35</v>
      </c>
      <c r="D107" s="71" t="s">
        <v>97</v>
      </c>
      <c r="E107" s="183" t="s">
        <v>502</v>
      </c>
      <c r="F107" s="115" t="n">
        <v>20.7</v>
      </c>
      <c r="G107" s="116" t="n">
        <v>21</v>
      </c>
      <c r="H107" s="184"/>
      <c r="I107" s="184"/>
      <c r="J107" s="184"/>
      <c r="K107" s="187"/>
      <c r="L107" s="184"/>
      <c r="M107" s="184"/>
      <c r="N107" s="184"/>
      <c r="O107" s="187"/>
      <c r="P107" s="184"/>
      <c r="Q107" s="184"/>
      <c r="R107" s="184"/>
      <c r="S107" s="187"/>
      <c r="T107" s="184"/>
      <c r="U107" s="184"/>
      <c r="V107" s="184"/>
      <c r="W107" s="187"/>
      <c r="X107" s="118"/>
      <c r="Y107" s="114" t="s">
        <v>99</v>
      </c>
      <c r="Z107" s="78" t="s">
        <v>257</v>
      </c>
    </row>
    <row r="108" customFormat="false" ht="25.5" hidden="false" customHeight="true" outlineLevel="0" collapsed="false">
      <c r="A108" s="69" t="s">
        <v>220</v>
      </c>
      <c r="B108" s="70" t="s">
        <v>221</v>
      </c>
      <c r="C108" s="71" t="s">
        <v>35</v>
      </c>
      <c r="D108" s="71" t="s">
        <v>97</v>
      </c>
      <c r="E108" s="183" t="s">
        <v>501</v>
      </c>
      <c r="F108" s="115" t="n">
        <v>6</v>
      </c>
      <c r="G108" s="116" t="n">
        <v>5</v>
      </c>
      <c r="H108" s="184"/>
      <c r="I108" s="184"/>
      <c r="J108" s="184"/>
      <c r="K108" s="187" t="str">
        <f aca="false">IF(COUNT(H109:J109)=0,"",AVERAGE(H109:J109))</f>
        <v/>
      </c>
      <c r="L108" s="184"/>
      <c r="M108" s="184"/>
      <c r="N108" s="184"/>
      <c r="O108" s="187" t="str">
        <f aca="false">IF(COUNT(L109:N109)=0,"",AVERAGE(L109:N109))</f>
        <v/>
      </c>
      <c r="P108" s="184"/>
      <c r="Q108" s="184"/>
      <c r="R108" s="184"/>
      <c r="S108" s="187" t="str">
        <f aca="false">IF(COUNT(P109:R109)=0,"",AVERAGE(P109:R109))</f>
        <v/>
      </c>
      <c r="T108" s="184"/>
      <c r="U108" s="184"/>
      <c r="V108" s="184"/>
      <c r="W108" s="187" t="str">
        <f aca="false">IF(COUNT(T109:V109)=0,"",AVERAGE(T109:V109))</f>
        <v/>
      </c>
      <c r="X108" s="118"/>
      <c r="Y108" s="114" t="s">
        <v>99</v>
      </c>
      <c r="Z108" s="78" t="s">
        <v>100</v>
      </c>
    </row>
    <row r="109" customFormat="false" ht="25.5" hidden="false" customHeight="true" outlineLevel="0" collapsed="false">
      <c r="A109" s="69" t="s">
        <v>222</v>
      </c>
      <c r="B109" s="70" t="s">
        <v>223</v>
      </c>
      <c r="C109" s="71" t="s">
        <v>34</v>
      </c>
      <c r="D109" s="71" t="s">
        <v>97</v>
      </c>
      <c r="E109" s="183" t="s">
        <v>501</v>
      </c>
      <c r="F109" s="115" t="n">
        <v>0.14</v>
      </c>
      <c r="G109" s="116" t="n">
        <v>0.07</v>
      </c>
      <c r="H109" s="184"/>
      <c r="I109" s="184"/>
      <c r="J109" s="184"/>
      <c r="K109" s="187" t="str">
        <f aca="false">IF(COUNT(H110:J110)=0,"",AVERAGE(H110:J110))</f>
        <v/>
      </c>
      <c r="L109" s="184"/>
      <c r="M109" s="184"/>
      <c r="N109" s="184"/>
      <c r="O109" s="187" t="str">
        <f aca="false">IF(COUNT(L110:N110)=0,"",AVERAGE(L110:N110))</f>
        <v/>
      </c>
      <c r="P109" s="184"/>
      <c r="Q109" s="184"/>
      <c r="R109" s="184"/>
      <c r="S109" s="187" t="str">
        <f aca="false">IF(COUNT(P110:R110)=0,"",AVERAGE(P110:R110))</f>
        <v/>
      </c>
      <c r="T109" s="184"/>
      <c r="U109" s="184"/>
      <c r="V109" s="184"/>
      <c r="W109" s="187" t="str">
        <f aca="false">IF(COUNT(T110:V110)=0,"",AVERAGE(T110:V110))</f>
        <v/>
      </c>
      <c r="X109" s="118"/>
      <c r="Y109" s="114" t="s">
        <v>99</v>
      </c>
      <c r="Z109" s="78" t="s">
        <v>224</v>
      </c>
    </row>
    <row r="110" customFormat="false" ht="25.5" hidden="false" customHeight="true" outlineLevel="0" collapsed="false">
      <c r="H110" s="113"/>
      <c r="I110" s="113"/>
      <c r="J110" s="113"/>
      <c r="L110" s="113"/>
      <c r="M110" s="113"/>
      <c r="N110" s="113"/>
      <c r="P110" s="113"/>
      <c r="Q110" s="113"/>
      <c r="R110" s="113"/>
      <c r="T110" s="113"/>
      <c r="U110" s="113"/>
      <c r="V110" s="113"/>
    </row>
    <row r="111" customFormat="false" ht="25.5" hidden="false" customHeight="true" outlineLevel="0" collapsed="false">
      <c r="H111" s="113"/>
      <c r="I111" s="113"/>
      <c r="J111" s="113"/>
      <c r="L111" s="113"/>
      <c r="M111" s="113"/>
      <c r="N111" s="113"/>
      <c r="P111" s="113"/>
      <c r="Q111" s="113"/>
      <c r="R111" s="113"/>
      <c r="T111" s="113"/>
      <c r="U111" s="113"/>
      <c r="V111" s="113"/>
    </row>
    <row r="112" customFormat="false" ht="15" hidden="false" customHeight="true" outlineLevel="0" collapsed="false">
      <c r="H112" s="113"/>
      <c r="I112" s="113"/>
      <c r="J112" s="113"/>
      <c r="L112" s="113"/>
      <c r="M112" s="113"/>
      <c r="N112" s="113"/>
      <c r="P112" s="113"/>
      <c r="Q112" s="113"/>
      <c r="R112" s="113"/>
      <c r="T112" s="113"/>
      <c r="U112" s="113"/>
      <c r="V112" s="113"/>
    </row>
    <row r="113" customFormat="false" ht="15" hidden="false" customHeight="true" outlineLevel="0" collapsed="false">
      <c r="H113" s="113"/>
      <c r="I113" s="113"/>
      <c r="J113" s="113"/>
      <c r="L113" s="113"/>
      <c r="M113" s="113"/>
      <c r="N113" s="113"/>
      <c r="P113" s="113"/>
      <c r="Q113" s="113"/>
      <c r="R113" s="113"/>
      <c r="T113" s="113"/>
      <c r="U113" s="113"/>
      <c r="V113" s="113"/>
    </row>
    <row r="114" customFormat="false" ht="15" hidden="false" customHeight="true" outlineLevel="0" collapsed="false">
      <c r="H114" s="113"/>
      <c r="I114" s="113"/>
      <c r="J114" s="113"/>
      <c r="L114" s="113"/>
      <c r="M114" s="113"/>
      <c r="N114" s="113"/>
      <c r="P114" s="113"/>
      <c r="Q114" s="113"/>
      <c r="R114" s="113"/>
      <c r="T114" s="113"/>
      <c r="U114" s="113"/>
      <c r="V114" s="113"/>
    </row>
    <row r="115" customFormat="false" ht="15" hidden="false" customHeight="true" outlineLevel="0" collapsed="false">
      <c r="H115" s="113"/>
      <c r="I115" s="113"/>
      <c r="J115" s="113"/>
      <c r="L115" s="113"/>
      <c r="M115" s="113"/>
      <c r="N115" s="113"/>
      <c r="P115" s="113"/>
      <c r="Q115" s="113"/>
      <c r="R115" s="113"/>
      <c r="T115" s="113"/>
      <c r="U115" s="113"/>
      <c r="V115" s="113"/>
    </row>
    <row r="116" customFormat="false" ht="15" hidden="false" customHeight="true" outlineLevel="0" collapsed="false">
      <c r="H116" s="113"/>
      <c r="I116" s="113"/>
      <c r="J116" s="113"/>
      <c r="L116" s="113"/>
      <c r="M116" s="113"/>
      <c r="N116" s="113"/>
      <c r="P116" s="113"/>
      <c r="Q116" s="113"/>
      <c r="R116" s="113"/>
      <c r="T116" s="113"/>
      <c r="U116" s="113"/>
      <c r="V116" s="113"/>
    </row>
    <row r="117" customFormat="false" ht="15" hidden="false" customHeight="true" outlineLevel="0" collapsed="false">
      <c r="H117" s="113"/>
      <c r="I117" s="113"/>
      <c r="J117" s="113"/>
      <c r="L117" s="113"/>
      <c r="M117" s="113"/>
      <c r="N117" s="113"/>
      <c r="P117" s="113"/>
      <c r="Q117" s="113"/>
      <c r="R117" s="113"/>
      <c r="T117" s="113"/>
      <c r="U117" s="113"/>
      <c r="V117" s="113"/>
    </row>
    <row r="118" customFormat="false" ht="15" hidden="false" customHeight="true" outlineLevel="0" collapsed="false">
      <c r="H118" s="113"/>
      <c r="I118" s="113"/>
      <c r="J118" s="113"/>
      <c r="L118" s="113"/>
      <c r="M118" s="113"/>
      <c r="N118" s="113"/>
      <c r="P118" s="113"/>
      <c r="Q118" s="113"/>
      <c r="R118" s="113"/>
      <c r="T118" s="113"/>
      <c r="U118" s="113"/>
      <c r="V118" s="113"/>
    </row>
    <row r="119" customFormat="false" ht="15" hidden="false" customHeight="true" outlineLevel="0" collapsed="false">
      <c r="H119" s="113"/>
      <c r="I119" s="113"/>
      <c r="J119" s="113"/>
      <c r="L119" s="113"/>
      <c r="M119" s="113"/>
      <c r="N119" s="113"/>
      <c r="P119" s="113"/>
      <c r="Q119" s="113"/>
      <c r="R119" s="113"/>
      <c r="T119" s="113"/>
      <c r="U119" s="113"/>
      <c r="V119" s="113"/>
    </row>
    <row r="120" customFormat="false" ht="15" hidden="false" customHeight="true" outlineLevel="0" collapsed="false">
      <c r="H120" s="113"/>
      <c r="I120" s="113"/>
      <c r="J120" s="113"/>
      <c r="L120" s="113"/>
      <c r="M120" s="113"/>
      <c r="N120" s="113"/>
      <c r="P120" s="113"/>
      <c r="Q120" s="113"/>
      <c r="R120" s="113"/>
      <c r="T120" s="113"/>
      <c r="U120" s="113"/>
      <c r="V120" s="113"/>
    </row>
    <row r="121" customFormat="false" ht="15" hidden="false" customHeight="true" outlineLevel="0" collapsed="false">
      <c r="H121" s="113"/>
      <c r="I121" s="113"/>
      <c r="J121" s="113"/>
      <c r="L121" s="113"/>
      <c r="M121" s="113"/>
      <c r="N121" s="113"/>
      <c r="P121" s="113"/>
      <c r="Q121" s="113"/>
      <c r="R121" s="113"/>
      <c r="T121" s="113"/>
      <c r="U121" s="113"/>
      <c r="V121" s="113"/>
    </row>
    <row r="122" customFormat="false" ht="15" hidden="false" customHeight="true" outlineLevel="0" collapsed="false">
      <c r="H122" s="113"/>
      <c r="I122" s="113"/>
      <c r="J122" s="113"/>
      <c r="L122" s="113"/>
      <c r="M122" s="113"/>
      <c r="N122" s="113"/>
      <c r="P122" s="113"/>
      <c r="Q122" s="113"/>
      <c r="R122" s="113"/>
      <c r="T122" s="113"/>
      <c r="U122" s="113"/>
      <c r="V122" s="113"/>
    </row>
    <row r="123" customFormat="false" ht="15" hidden="false" customHeight="true" outlineLevel="0" collapsed="false">
      <c r="H123" s="113"/>
      <c r="I123" s="113"/>
      <c r="J123" s="113"/>
      <c r="L123" s="113"/>
      <c r="M123" s="113"/>
      <c r="N123" s="113"/>
      <c r="P123" s="113"/>
      <c r="Q123" s="113"/>
      <c r="R123" s="113"/>
      <c r="T123" s="113"/>
      <c r="U123" s="113"/>
      <c r="V123" s="113"/>
    </row>
    <row r="124" customFormat="false" ht="15" hidden="false" customHeight="true" outlineLevel="0" collapsed="false">
      <c r="H124" s="113"/>
      <c r="I124" s="113"/>
      <c r="J124" s="113"/>
      <c r="L124" s="113"/>
      <c r="M124" s="113"/>
      <c r="N124" s="113"/>
      <c r="P124" s="113"/>
      <c r="Q124" s="113"/>
      <c r="R124" s="113"/>
      <c r="T124" s="113"/>
      <c r="U124" s="113"/>
      <c r="V124" s="113"/>
    </row>
    <row r="125" customFormat="false" ht="15" hidden="false" customHeight="true" outlineLevel="0" collapsed="false">
      <c r="H125" s="113"/>
      <c r="I125" s="113"/>
      <c r="J125" s="113"/>
      <c r="L125" s="113"/>
      <c r="M125" s="113"/>
      <c r="N125" s="113"/>
      <c r="P125" s="113"/>
      <c r="Q125" s="113"/>
      <c r="R125" s="113"/>
      <c r="T125" s="113"/>
      <c r="U125" s="113"/>
      <c r="V125" s="113"/>
    </row>
    <row r="126" customFormat="false" ht="15" hidden="false" customHeight="true" outlineLevel="0" collapsed="false">
      <c r="H126" s="113"/>
      <c r="I126" s="113"/>
      <c r="J126" s="113"/>
      <c r="L126" s="113"/>
      <c r="M126" s="113"/>
      <c r="N126" s="113"/>
      <c r="P126" s="113"/>
      <c r="Q126" s="113"/>
      <c r="R126" s="113"/>
      <c r="T126" s="113"/>
      <c r="U126" s="113"/>
      <c r="V126" s="113"/>
    </row>
    <row r="127" customFormat="false" ht="15" hidden="false" customHeight="true" outlineLevel="0" collapsed="false">
      <c r="H127" s="113"/>
      <c r="I127" s="113"/>
      <c r="J127" s="113"/>
      <c r="L127" s="113"/>
      <c r="M127" s="113"/>
      <c r="N127" s="113"/>
      <c r="P127" s="113"/>
      <c r="Q127" s="113"/>
      <c r="R127" s="113"/>
      <c r="T127" s="113"/>
      <c r="U127" s="113"/>
      <c r="V127" s="113"/>
    </row>
    <row r="128" customFormat="false" ht="15" hidden="false" customHeight="true" outlineLevel="0" collapsed="false">
      <c r="H128" s="113"/>
      <c r="I128" s="113"/>
      <c r="J128" s="113"/>
      <c r="L128" s="113"/>
      <c r="M128" s="113"/>
      <c r="N128" s="113"/>
      <c r="P128" s="113"/>
      <c r="Q128" s="113"/>
      <c r="R128" s="113"/>
      <c r="T128" s="113"/>
      <c r="U128" s="113"/>
      <c r="V128" s="113"/>
    </row>
    <row r="129" customFormat="false" ht="15" hidden="false" customHeight="true" outlineLevel="0" collapsed="false">
      <c r="H129" s="113"/>
      <c r="I129" s="113"/>
      <c r="J129" s="113"/>
      <c r="L129" s="113"/>
      <c r="M129" s="113"/>
      <c r="N129" s="113"/>
      <c r="P129" s="113"/>
      <c r="Q129" s="113"/>
      <c r="R129" s="113"/>
      <c r="T129" s="113"/>
      <c r="U129" s="113"/>
      <c r="V129" s="113"/>
    </row>
    <row r="130" customFormat="false" ht="15" hidden="false" customHeight="true" outlineLevel="0" collapsed="false">
      <c r="H130" s="113"/>
      <c r="I130" s="113"/>
      <c r="J130" s="113"/>
      <c r="L130" s="113"/>
      <c r="M130" s="113"/>
      <c r="N130" s="113"/>
      <c r="P130" s="113"/>
      <c r="Q130" s="113"/>
      <c r="R130" s="113"/>
      <c r="T130" s="113"/>
      <c r="U130" s="113"/>
      <c r="V130" s="113"/>
    </row>
    <row r="131" customFormat="false" ht="15" hidden="false" customHeight="true" outlineLevel="0" collapsed="false">
      <c r="H131" s="113"/>
      <c r="I131" s="113"/>
      <c r="J131" s="113"/>
      <c r="L131" s="113"/>
      <c r="M131" s="113"/>
      <c r="N131" s="113"/>
      <c r="P131" s="113"/>
      <c r="Q131" s="113"/>
      <c r="R131" s="113"/>
      <c r="T131" s="113"/>
      <c r="U131" s="113"/>
      <c r="V131" s="113"/>
    </row>
    <row r="132" customFormat="false" ht="15" hidden="false" customHeight="true" outlineLevel="0" collapsed="false">
      <c r="H132" s="113"/>
      <c r="I132" s="113"/>
      <c r="J132" s="113"/>
      <c r="L132" s="113"/>
      <c r="M132" s="113"/>
      <c r="N132" s="113"/>
      <c r="P132" s="113"/>
      <c r="Q132" s="113"/>
      <c r="R132" s="113"/>
      <c r="T132" s="113"/>
      <c r="U132" s="113"/>
      <c r="V132" s="113"/>
    </row>
    <row r="133" customFormat="false" ht="15" hidden="false" customHeight="true" outlineLevel="0" collapsed="false">
      <c r="H133" s="113"/>
      <c r="I133" s="113"/>
      <c r="J133" s="113"/>
      <c r="L133" s="113"/>
      <c r="M133" s="113"/>
      <c r="N133" s="113"/>
      <c r="P133" s="113"/>
      <c r="Q133" s="113"/>
      <c r="R133" s="113"/>
      <c r="T133" s="113"/>
      <c r="U133" s="113"/>
      <c r="V133" s="113"/>
    </row>
    <row r="134" customFormat="false" ht="15" hidden="false" customHeight="true" outlineLevel="0" collapsed="false">
      <c r="H134" s="113"/>
      <c r="I134" s="113"/>
      <c r="J134" s="113"/>
      <c r="L134" s="113"/>
      <c r="M134" s="113"/>
      <c r="N134" s="113"/>
      <c r="P134" s="113"/>
      <c r="Q134" s="113"/>
      <c r="R134" s="113"/>
      <c r="T134" s="113"/>
      <c r="U134" s="113"/>
      <c r="V134" s="113"/>
    </row>
    <row r="135" customFormat="false" ht="15" hidden="false" customHeight="true" outlineLevel="0" collapsed="false">
      <c r="H135" s="113"/>
      <c r="I135" s="113"/>
      <c r="J135" s="113"/>
      <c r="L135" s="113"/>
      <c r="M135" s="113"/>
      <c r="N135" s="113"/>
      <c r="P135" s="113"/>
      <c r="Q135" s="113"/>
      <c r="R135" s="113"/>
      <c r="T135" s="113"/>
      <c r="U135" s="113"/>
      <c r="V135" s="113"/>
    </row>
    <row r="136" customFormat="false" ht="15" hidden="false" customHeight="true" outlineLevel="0" collapsed="false">
      <c r="H136" s="113"/>
      <c r="I136" s="113"/>
      <c r="J136" s="113"/>
      <c r="L136" s="113"/>
      <c r="M136" s="113"/>
      <c r="N136" s="113"/>
      <c r="P136" s="113"/>
      <c r="Q136" s="113"/>
      <c r="R136" s="113"/>
      <c r="T136" s="113"/>
      <c r="U136" s="113"/>
      <c r="V136" s="113"/>
    </row>
    <row r="137" customFormat="false" ht="15" hidden="false" customHeight="true" outlineLevel="0" collapsed="false">
      <c r="H137" s="113"/>
      <c r="I137" s="113"/>
      <c r="J137" s="113"/>
      <c r="L137" s="113"/>
      <c r="M137" s="113"/>
      <c r="N137" s="113"/>
      <c r="P137" s="113"/>
      <c r="Q137" s="113"/>
      <c r="R137" s="113"/>
      <c r="T137" s="113"/>
      <c r="U137" s="113"/>
      <c r="V137" s="113"/>
    </row>
    <row r="138" customFormat="false" ht="15" hidden="false" customHeight="true" outlineLevel="0" collapsed="false">
      <c r="H138" s="113"/>
      <c r="I138" s="113"/>
      <c r="J138" s="113"/>
      <c r="L138" s="113"/>
      <c r="M138" s="113"/>
      <c r="N138" s="113"/>
      <c r="P138" s="113"/>
      <c r="Q138" s="113"/>
      <c r="R138" s="113"/>
      <c r="T138" s="113"/>
      <c r="U138" s="113"/>
      <c r="V138" s="113"/>
    </row>
    <row r="139" customFormat="false" ht="15" hidden="false" customHeight="true" outlineLevel="0" collapsed="false">
      <c r="H139" s="113"/>
      <c r="I139" s="113"/>
      <c r="J139" s="113"/>
      <c r="L139" s="113"/>
      <c r="M139" s="113"/>
      <c r="N139" s="113"/>
      <c r="P139" s="113"/>
      <c r="Q139" s="113"/>
      <c r="R139" s="113"/>
      <c r="T139" s="113"/>
      <c r="U139" s="113"/>
      <c r="V139" s="113"/>
    </row>
    <row r="140" customFormat="false" ht="15" hidden="false" customHeight="true" outlineLevel="0" collapsed="false">
      <c r="H140" s="113"/>
      <c r="I140" s="113"/>
      <c r="J140" s="113"/>
      <c r="L140" s="113"/>
      <c r="M140" s="113"/>
      <c r="N140" s="113"/>
      <c r="P140" s="113"/>
      <c r="Q140" s="113"/>
      <c r="R140" s="113"/>
      <c r="T140" s="113"/>
      <c r="U140" s="113"/>
      <c r="V140" s="113"/>
    </row>
    <row r="141" customFormat="false" ht="15" hidden="false" customHeight="true" outlineLevel="0" collapsed="false">
      <c r="H141" s="113"/>
      <c r="I141" s="113"/>
      <c r="J141" s="113"/>
      <c r="L141" s="113"/>
      <c r="M141" s="113"/>
      <c r="N141" s="113"/>
      <c r="P141" s="113"/>
      <c r="Q141" s="113"/>
      <c r="R141" s="113"/>
      <c r="T141" s="113"/>
      <c r="U141" s="113"/>
      <c r="V141" s="113"/>
    </row>
    <row r="142" customFormat="false" ht="15" hidden="false" customHeight="true" outlineLevel="0" collapsed="false">
      <c r="H142" s="113"/>
      <c r="I142" s="113"/>
      <c r="J142" s="113"/>
      <c r="L142" s="113"/>
      <c r="M142" s="113"/>
      <c r="N142" s="113"/>
      <c r="P142" s="113"/>
      <c r="Q142" s="113"/>
      <c r="R142" s="113"/>
      <c r="T142" s="113"/>
      <c r="U142" s="113"/>
      <c r="V142" s="113"/>
    </row>
    <row r="143" customFormat="false" ht="15" hidden="false" customHeight="true" outlineLevel="0" collapsed="false">
      <c r="H143" s="113"/>
      <c r="I143" s="113"/>
      <c r="J143" s="113"/>
      <c r="L143" s="113"/>
      <c r="M143" s="113"/>
      <c r="N143" s="113"/>
      <c r="P143" s="113"/>
      <c r="Q143" s="113"/>
      <c r="R143" s="113"/>
      <c r="T143" s="113"/>
      <c r="U143" s="113"/>
      <c r="V143" s="113"/>
    </row>
    <row r="144" customFormat="false" ht="15" hidden="false" customHeight="true" outlineLevel="0" collapsed="false">
      <c r="H144" s="113"/>
      <c r="I144" s="113"/>
      <c r="J144" s="113"/>
      <c r="L144" s="113"/>
      <c r="M144" s="113"/>
      <c r="N144" s="113"/>
      <c r="P144" s="113"/>
      <c r="Q144" s="113"/>
      <c r="R144" s="113"/>
      <c r="T144" s="113"/>
      <c r="U144" s="113"/>
      <c r="V144" s="113"/>
    </row>
    <row r="145" customFormat="false" ht="15" hidden="false" customHeight="true" outlineLevel="0" collapsed="false">
      <c r="H145" s="113"/>
      <c r="I145" s="113"/>
      <c r="J145" s="113"/>
      <c r="L145" s="113"/>
      <c r="M145" s="113"/>
      <c r="N145" s="113"/>
      <c r="P145" s="113"/>
      <c r="Q145" s="113"/>
      <c r="R145" s="113"/>
      <c r="T145" s="113"/>
      <c r="U145" s="113"/>
      <c r="V145" s="113"/>
    </row>
    <row r="146" customFormat="false" ht="15" hidden="false" customHeight="true" outlineLevel="0" collapsed="false">
      <c r="H146" s="113"/>
      <c r="I146" s="113"/>
      <c r="J146" s="113"/>
      <c r="L146" s="113"/>
      <c r="M146" s="113"/>
      <c r="N146" s="113"/>
      <c r="P146" s="113"/>
      <c r="Q146" s="113"/>
      <c r="R146" s="113"/>
      <c r="T146" s="113"/>
      <c r="U146" s="113"/>
      <c r="V146" s="113"/>
    </row>
    <row r="147" customFormat="false" ht="15" hidden="false" customHeight="true" outlineLevel="0" collapsed="false">
      <c r="H147" s="113"/>
      <c r="I147" s="113"/>
      <c r="J147" s="113"/>
      <c r="L147" s="113"/>
      <c r="M147" s="113"/>
      <c r="N147" s="113"/>
      <c r="P147" s="113"/>
      <c r="Q147" s="113"/>
      <c r="R147" s="113"/>
      <c r="T147" s="113"/>
      <c r="U147" s="113"/>
      <c r="V147" s="113"/>
    </row>
    <row r="148" customFormat="false" ht="15" hidden="false" customHeight="true" outlineLevel="0" collapsed="false">
      <c r="H148" s="113"/>
      <c r="I148" s="113"/>
      <c r="J148" s="113"/>
      <c r="L148" s="113"/>
      <c r="M148" s="113"/>
      <c r="N148" s="113"/>
      <c r="P148" s="113"/>
      <c r="Q148" s="113"/>
      <c r="R148" s="113"/>
      <c r="T148" s="113"/>
      <c r="U148" s="113"/>
      <c r="V148" s="113"/>
    </row>
    <row r="149" customFormat="false" ht="15" hidden="false" customHeight="true" outlineLevel="0" collapsed="false">
      <c r="H149" s="113"/>
      <c r="I149" s="113"/>
      <c r="J149" s="113"/>
      <c r="L149" s="113"/>
      <c r="M149" s="113"/>
      <c r="N149" s="113"/>
      <c r="P149" s="113"/>
      <c r="Q149" s="113"/>
      <c r="R149" s="113"/>
      <c r="T149" s="113"/>
      <c r="U149" s="113"/>
      <c r="V149" s="113"/>
    </row>
    <row r="150" customFormat="false" ht="15" hidden="false" customHeight="true" outlineLevel="0" collapsed="false">
      <c r="H150" s="113"/>
      <c r="I150" s="113"/>
      <c r="J150" s="113"/>
      <c r="L150" s="113"/>
      <c r="M150" s="113"/>
      <c r="N150" s="113"/>
      <c r="P150" s="113"/>
      <c r="Q150" s="113"/>
      <c r="R150" s="113"/>
      <c r="T150" s="113"/>
      <c r="U150" s="113"/>
      <c r="V150" s="113"/>
    </row>
    <row r="151" customFormat="false" ht="15" hidden="false" customHeight="true" outlineLevel="0" collapsed="false">
      <c r="H151" s="113"/>
      <c r="I151" s="113"/>
      <c r="J151" s="113"/>
      <c r="L151" s="113"/>
      <c r="M151" s="113"/>
      <c r="N151" s="113"/>
      <c r="P151" s="113"/>
      <c r="Q151" s="113"/>
      <c r="R151" s="113"/>
      <c r="T151" s="113"/>
      <c r="U151" s="113"/>
      <c r="V151" s="113"/>
    </row>
    <row r="152" customFormat="false" ht="15" hidden="false" customHeight="true" outlineLevel="0" collapsed="false">
      <c r="H152" s="113"/>
      <c r="I152" s="113"/>
      <c r="J152" s="113"/>
      <c r="L152" s="113"/>
      <c r="M152" s="113"/>
      <c r="N152" s="113"/>
      <c r="P152" s="113"/>
      <c r="Q152" s="113"/>
      <c r="R152" s="113"/>
      <c r="T152" s="113"/>
      <c r="U152" s="113"/>
      <c r="V152" s="113"/>
    </row>
    <row r="153" customFormat="false" ht="15" hidden="false" customHeight="true" outlineLevel="0" collapsed="false">
      <c r="H153" s="113"/>
      <c r="I153" s="113"/>
      <c r="J153" s="113"/>
      <c r="L153" s="113"/>
      <c r="M153" s="113"/>
      <c r="N153" s="113"/>
      <c r="P153" s="113"/>
      <c r="Q153" s="113"/>
      <c r="R153" s="113"/>
      <c r="T153" s="113"/>
      <c r="U153" s="113"/>
      <c r="V153" s="113"/>
    </row>
    <row r="154" customFormat="false" ht="15" hidden="false" customHeight="true" outlineLevel="0" collapsed="false">
      <c r="H154" s="113"/>
      <c r="I154" s="113"/>
      <c r="J154" s="113"/>
      <c r="L154" s="113"/>
      <c r="M154" s="113"/>
      <c r="N154" s="113"/>
      <c r="P154" s="113"/>
      <c r="Q154" s="113"/>
      <c r="R154" s="113"/>
      <c r="T154" s="113"/>
      <c r="U154" s="113"/>
      <c r="V154" s="113"/>
    </row>
    <row r="155" customFormat="false" ht="15" hidden="false" customHeight="true" outlineLevel="0" collapsed="false">
      <c r="H155" s="113"/>
      <c r="I155" s="113"/>
      <c r="J155" s="113"/>
      <c r="L155" s="113"/>
      <c r="M155" s="113"/>
      <c r="N155" s="113"/>
      <c r="P155" s="113"/>
      <c r="Q155" s="113"/>
      <c r="R155" s="113"/>
      <c r="T155" s="113"/>
      <c r="U155" s="113"/>
      <c r="V155" s="113"/>
    </row>
    <row r="156" customFormat="false" ht="15" hidden="false" customHeight="true" outlineLevel="0" collapsed="false">
      <c r="H156" s="113"/>
      <c r="I156" s="113"/>
      <c r="J156" s="113"/>
      <c r="L156" s="113"/>
      <c r="M156" s="113"/>
      <c r="N156" s="113"/>
      <c r="P156" s="113"/>
      <c r="Q156" s="113"/>
      <c r="R156" s="113"/>
      <c r="T156" s="113"/>
      <c r="U156" s="113"/>
      <c r="V156" s="113"/>
    </row>
    <row r="157" customFormat="false" ht="15" hidden="false" customHeight="true" outlineLevel="0" collapsed="false">
      <c r="H157" s="113"/>
      <c r="I157" s="113"/>
      <c r="J157" s="113"/>
      <c r="L157" s="113"/>
      <c r="M157" s="113"/>
      <c r="N157" s="113"/>
      <c r="P157" s="113"/>
      <c r="Q157" s="113"/>
      <c r="R157" s="113"/>
      <c r="T157" s="113"/>
      <c r="U157" s="113"/>
      <c r="V157" s="113"/>
    </row>
    <row r="158" customFormat="false" ht="15" hidden="false" customHeight="true" outlineLevel="0" collapsed="false">
      <c r="H158" s="113"/>
      <c r="I158" s="113"/>
      <c r="J158" s="113"/>
      <c r="L158" s="113"/>
      <c r="M158" s="113"/>
      <c r="N158" s="113"/>
      <c r="P158" s="113"/>
      <c r="Q158" s="113"/>
      <c r="R158" s="113"/>
      <c r="T158" s="113"/>
      <c r="U158" s="113"/>
      <c r="V158" s="113"/>
    </row>
    <row r="159" customFormat="false" ht="15" hidden="false" customHeight="true" outlineLevel="0" collapsed="false">
      <c r="H159" s="113"/>
      <c r="I159" s="113"/>
      <c r="J159" s="113"/>
      <c r="L159" s="113"/>
      <c r="M159" s="113"/>
      <c r="N159" s="113"/>
      <c r="P159" s="113"/>
      <c r="Q159" s="113"/>
      <c r="R159" s="113"/>
      <c r="T159" s="113"/>
      <c r="U159" s="113"/>
      <c r="V159" s="113"/>
    </row>
    <row r="160" customFormat="false" ht="15" hidden="false" customHeight="true" outlineLevel="0" collapsed="false">
      <c r="H160" s="113"/>
      <c r="I160" s="113"/>
      <c r="J160" s="113"/>
      <c r="L160" s="113"/>
      <c r="M160" s="113"/>
      <c r="N160" s="113"/>
      <c r="P160" s="113"/>
      <c r="Q160" s="113"/>
      <c r="R160" s="113"/>
      <c r="T160" s="113"/>
      <c r="U160" s="113"/>
      <c r="V160" s="113"/>
    </row>
    <row r="161" customFormat="false" ht="15" hidden="false" customHeight="true" outlineLevel="0" collapsed="false">
      <c r="H161" s="113"/>
      <c r="I161" s="113"/>
      <c r="J161" s="113"/>
      <c r="L161" s="113"/>
      <c r="M161" s="113"/>
      <c r="N161" s="113"/>
      <c r="P161" s="113"/>
      <c r="Q161" s="113"/>
      <c r="R161" s="113"/>
      <c r="T161" s="113"/>
      <c r="U161" s="113"/>
      <c r="V161" s="113"/>
    </row>
    <row r="162" customFormat="false" ht="15" hidden="false" customHeight="true" outlineLevel="0" collapsed="false">
      <c r="H162" s="113"/>
      <c r="I162" s="113"/>
      <c r="J162" s="113"/>
      <c r="L162" s="113"/>
      <c r="M162" s="113"/>
      <c r="N162" s="113"/>
      <c r="P162" s="113"/>
      <c r="Q162" s="113"/>
      <c r="R162" s="113"/>
      <c r="T162" s="113"/>
      <c r="U162" s="113"/>
      <c r="V162" s="113"/>
    </row>
    <row r="163" customFormat="false" ht="15" hidden="false" customHeight="true" outlineLevel="0" collapsed="false">
      <c r="H163" s="113"/>
      <c r="I163" s="113"/>
      <c r="J163" s="113"/>
      <c r="L163" s="113"/>
      <c r="M163" s="113"/>
      <c r="N163" s="113"/>
      <c r="P163" s="113"/>
      <c r="Q163" s="113"/>
      <c r="R163" s="113"/>
      <c r="T163" s="113"/>
      <c r="U163" s="113"/>
      <c r="V163" s="113"/>
    </row>
    <row r="164" customFormat="false" ht="15" hidden="false" customHeight="true" outlineLevel="0" collapsed="false">
      <c r="H164" s="113"/>
      <c r="I164" s="113"/>
      <c r="J164" s="113"/>
      <c r="L164" s="113"/>
      <c r="M164" s="113"/>
      <c r="N164" s="113"/>
      <c r="P164" s="113"/>
      <c r="Q164" s="113"/>
      <c r="R164" s="113"/>
      <c r="T164" s="113"/>
      <c r="U164" s="113"/>
      <c r="V164" s="113"/>
    </row>
    <row r="165" customFormat="false" ht="15" hidden="false" customHeight="true" outlineLevel="0" collapsed="false">
      <c r="H165" s="113"/>
      <c r="I165" s="113"/>
      <c r="J165" s="113"/>
      <c r="L165" s="113"/>
      <c r="M165" s="113"/>
      <c r="N165" s="113"/>
      <c r="P165" s="113"/>
      <c r="Q165" s="113"/>
      <c r="R165" s="113"/>
      <c r="T165" s="113"/>
      <c r="U165" s="113"/>
      <c r="V165" s="113"/>
    </row>
    <row r="166" customFormat="false" ht="15" hidden="false" customHeight="true" outlineLevel="0" collapsed="false">
      <c r="H166" s="113"/>
      <c r="I166" s="113"/>
      <c r="J166" s="113"/>
      <c r="L166" s="113"/>
      <c r="M166" s="113"/>
      <c r="N166" s="113"/>
      <c r="P166" s="113"/>
      <c r="Q166" s="113"/>
      <c r="R166" s="113"/>
      <c r="T166" s="113"/>
      <c r="U166" s="113"/>
      <c r="V166" s="113"/>
    </row>
    <row r="167" customFormat="false" ht="15" hidden="false" customHeight="true" outlineLevel="0" collapsed="false">
      <c r="H167" s="113"/>
      <c r="I167" s="113"/>
      <c r="J167" s="113"/>
      <c r="L167" s="113"/>
      <c r="M167" s="113"/>
      <c r="N167" s="113"/>
      <c r="P167" s="113"/>
      <c r="Q167" s="113"/>
      <c r="R167" s="113"/>
      <c r="T167" s="113"/>
      <c r="U167" s="113"/>
      <c r="V167" s="113"/>
    </row>
    <row r="168" customFormat="false" ht="15" hidden="false" customHeight="true" outlineLevel="0" collapsed="false">
      <c r="H168" s="113"/>
      <c r="I168" s="113"/>
      <c r="J168" s="113"/>
      <c r="L168" s="113"/>
      <c r="M168" s="113"/>
      <c r="N168" s="113"/>
      <c r="P168" s="113"/>
      <c r="Q168" s="113"/>
      <c r="R168" s="113"/>
      <c r="T168" s="113"/>
      <c r="U168" s="113"/>
      <c r="V168" s="113"/>
    </row>
    <row r="169" customFormat="false" ht="15" hidden="false" customHeight="true" outlineLevel="0" collapsed="false">
      <c r="H169" s="113"/>
      <c r="I169" s="113"/>
      <c r="J169" s="113"/>
      <c r="L169" s="113"/>
      <c r="M169" s="113"/>
      <c r="N169" s="113"/>
      <c r="P169" s="113"/>
      <c r="Q169" s="113"/>
      <c r="R169" s="113"/>
      <c r="T169" s="113"/>
      <c r="U169" s="113"/>
      <c r="V169" s="113"/>
    </row>
    <row r="170" customFormat="false" ht="15" hidden="false" customHeight="true" outlineLevel="0" collapsed="false">
      <c r="H170" s="113"/>
      <c r="I170" s="113"/>
      <c r="J170" s="113"/>
      <c r="L170" s="113"/>
      <c r="M170" s="113"/>
      <c r="N170" s="113"/>
      <c r="P170" s="113"/>
      <c r="Q170" s="113"/>
      <c r="R170" s="113"/>
      <c r="T170" s="113"/>
      <c r="U170" s="113"/>
      <c r="V170" s="113"/>
    </row>
    <row r="171" customFormat="false" ht="15" hidden="false" customHeight="true" outlineLevel="0" collapsed="false">
      <c r="H171" s="113"/>
      <c r="I171" s="113"/>
      <c r="J171" s="113"/>
      <c r="L171" s="113"/>
      <c r="M171" s="113"/>
      <c r="N171" s="113"/>
      <c r="P171" s="113"/>
      <c r="Q171" s="113"/>
      <c r="R171" s="113"/>
      <c r="T171" s="113"/>
      <c r="U171" s="113"/>
      <c r="V171" s="113"/>
    </row>
    <row r="172" customFormat="false" ht="15" hidden="false" customHeight="true" outlineLevel="0" collapsed="false">
      <c r="H172" s="113"/>
      <c r="I172" s="113"/>
      <c r="J172" s="113"/>
      <c r="L172" s="113"/>
      <c r="M172" s="113"/>
      <c r="N172" s="113"/>
      <c r="P172" s="113"/>
      <c r="Q172" s="113"/>
      <c r="R172" s="113"/>
      <c r="T172" s="113"/>
      <c r="U172" s="113"/>
      <c r="V172" s="113"/>
    </row>
    <row r="173" customFormat="false" ht="15" hidden="false" customHeight="true" outlineLevel="0" collapsed="false">
      <c r="H173" s="113"/>
      <c r="I173" s="113"/>
      <c r="J173" s="113"/>
      <c r="L173" s="113"/>
      <c r="M173" s="113"/>
      <c r="N173" s="113"/>
      <c r="P173" s="113"/>
      <c r="Q173" s="113"/>
      <c r="R173" s="113"/>
      <c r="T173" s="113"/>
      <c r="U173" s="113"/>
      <c r="V173" s="113"/>
    </row>
    <row r="174" customFormat="false" ht="15" hidden="false" customHeight="true" outlineLevel="0" collapsed="false">
      <c r="H174" s="113"/>
      <c r="I174" s="113"/>
      <c r="J174" s="113"/>
      <c r="L174" s="113"/>
      <c r="M174" s="113"/>
      <c r="N174" s="113"/>
      <c r="P174" s="113"/>
      <c r="Q174" s="113"/>
      <c r="R174" s="113"/>
      <c r="T174" s="113"/>
      <c r="U174" s="113"/>
      <c r="V174" s="113"/>
    </row>
    <row r="175" customFormat="false" ht="15" hidden="false" customHeight="true" outlineLevel="0" collapsed="false">
      <c r="H175" s="113"/>
      <c r="I175" s="113"/>
      <c r="J175" s="113"/>
      <c r="L175" s="113"/>
      <c r="M175" s="113"/>
      <c r="N175" s="113"/>
      <c r="P175" s="113"/>
      <c r="Q175" s="113"/>
      <c r="R175" s="113"/>
      <c r="T175" s="113"/>
      <c r="U175" s="113"/>
      <c r="V175" s="113"/>
    </row>
    <row r="176" customFormat="false" ht="15" hidden="false" customHeight="true" outlineLevel="0" collapsed="false">
      <c r="H176" s="113"/>
      <c r="I176" s="113"/>
      <c r="J176" s="113"/>
      <c r="L176" s="113"/>
      <c r="M176" s="113"/>
      <c r="N176" s="113"/>
      <c r="P176" s="113"/>
      <c r="Q176" s="113"/>
      <c r="R176" s="113"/>
      <c r="T176" s="113"/>
      <c r="U176" s="113"/>
      <c r="V176" s="113"/>
    </row>
    <row r="177" customFormat="false" ht="15" hidden="false" customHeight="true" outlineLevel="0" collapsed="false">
      <c r="H177" s="113"/>
      <c r="I177" s="113"/>
      <c r="J177" s="113"/>
      <c r="L177" s="113"/>
      <c r="M177" s="113"/>
      <c r="N177" s="113"/>
      <c r="P177" s="113"/>
      <c r="Q177" s="113"/>
      <c r="R177" s="113"/>
      <c r="T177" s="113"/>
      <c r="U177" s="113"/>
      <c r="V177" s="113"/>
    </row>
    <row r="178" customFormat="false" ht="15" hidden="false" customHeight="true" outlineLevel="0" collapsed="false">
      <c r="H178" s="113"/>
      <c r="I178" s="113"/>
      <c r="J178" s="113"/>
      <c r="L178" s="113"/>
      <c r="M178" s="113"/>
      <c r="N178" s="113"/>
      <c r="P178" s="113"/>
      <c r="Q178" s="113"/>
      <c r="R178" s="113"/>
      <c r="T178" s="113"/>
      <c r="U178" s="113"/>
      <c r="V178" s="113"/>
    </row>
    <row r="179" customFormat="false" ht="15" hidden="false" customHeight="true" outlineLevel="0" collapsed="false">
      <c r="H179" s="113"/>
      <c r="I179" s="113"/>
      <c r="J179" s="113"/>
      <c r="L179" s="113"/>
      <c r="M179" s="113"/>
      <c r="N179" s="113"/>
      <c r="P179" s="113"/>
      <c r="Q179" s="113"/>
      <c r="R179" s="113"/>
      <c r="T179" s="113"/>
      <c r="U179" s="113"/>
      <c r="V179" s="113"/>
    </row>
    <row r="180" customFormat="false" ht="15" hidden="false" customHeight="true" outlineLevel="0" collapsed="false">
      <c r="H180" s="113"/>
      <c r="I180" s="113"/>
      <c r="J180" s="113"/>
      <c r="L180" s="113"/>
      <c r="M180" s="113"/>
      <c r="N180" s="113"/>
      <c r="P180" s="113"/>
      <c r="Q180" s="113"/>
      <c r="R180" s="113"/>
      <c r="T180" s="113"/>
      <c r="U180" s="113"/>
      <c r="V180" s="113"/>
    </row>
    <row r="181" customFormat="false" ht="15" hidden="false" customHeight="true" outlineLevel="0" collapsed="false">
      <c r="H181" s="113"/>
      <c r="I181" s="113"/>
      <c r="J181" s="113"/>
      <c r="L181" s="113"/>
      <c r="M181" s="113"/>
      <c r="N181" s="113"/>
      <c r="P181" s="113"/>
      <c r="Q181" s="113"/>
      <c r="R181" s="113"/>
      <c r="T181" s="113"/>
      <c r="U181" s="113"/>
      <c r="V181" s="113"/>
    </row>
    <row r="182" customFormat="false" ht="15" hidden="false" customHeight="true" outlineLevel="0" collapsed="false">
      <c r="H182" s="113"/>
      <c r="I182" s="113"/>
      <c r="J182" s="113"/>
      <c r="L182" s="113"/>
      <c r="M182" s="113"/>
      <c r="N182" s="113"/>
      <c r="P182" s="113"/>
      <c r="Q182" s="113"/>
      <c r="R182" s="113"/>
      <c r="T182" s="113"/>
      <c r="U182" s="113"/>
      <c r="V182" s="113"/>
    </row>
    <row r="183" customFormat="false" ht="15" hidden="false" customHeight="true" outlineLevel="0" collapsed="false">
      <c r="H183" s="113"/>
      <c r="I183" s="113"/>
      <c r="J183" s="113"/>
      <c r="L183" s="113"/>
      <c r="M183" s="113"/>
      <c r="N183" s="113"/>
      <c r="P183" s="113"/>
      <c r="Q183" s="113"/>
      <c r="R183" s="113"/>
      <c r="T183" s="113"/>
      <c r="U183" s="113"/>
      <c r="V183" s="113"/>
    </row>
    <row r="184" customFormat="false" ht="15" hidden="false" customHeight="true" outlineLevel="0" collapsed="false">
      <c r="H184" s="113"/>
      <c r="I184" s="113"/>
      <c r="J184" s="113"/>
      <c r="L184" s="113"/>
      <c r="M184" s="113"/>
      <c r="N184" s="113"/>
      <c r="P184" s="113"/>
      <c r="Q184" s="113"/>
      <c r="R184" s="113"/>
      <c r="T184" s="113"/>
      <c r="U184" s="113"/>
      <c r="V184" s="113"/>
    </row>
    <row r="185" customFormat="false" ht="15" hidden="false" customHeight="true" outlineLevel="0" collapsed="false">
      <c r="H185" s="113"/>
      <c r="I185" s="113"/>
      <c r="J185" s="113"/>
      <c r="L185" s="113"/>
      <c r="M185" s="113"/>
      <c r="N185" s="113"/>
      <c r="P185" s="113"/>
      <c r="Q185" s="113"/>
      <c r="R185" s="113"/>
      <c r="T185" s="113"/>
      <c r="U185" s="113"/>
      <c r="V185" s="113"/>
    </row>
    <row r="186" customFormat="false" ht="15" hidden="false" customHeight="true" outlineLevel="0" collapsed="false">
      <c r="H186" s="113"/>
      <c r="I186" s="113"/>
      <c r="J186" s="113"/>
      <c r="L186" s="113"/>
      <c r="M186" s="113"/>
      <c r="N186" s="113"/>
      <c r="P186" s="113"/>
      <c r="Q186" s="113"/>
      <c r="R186" s="113"/>
      <c r="T186" s="113"/>
      <c r="U186" s="113"/>
      <c r="V186" s="113"/>
    </row>
    <row r="187" customFormat="false" ht="15" hidden="false" customHeight="true" outlineLevel="0" collapsed="false">
      <c r="H187" s="113"/>
      <c r="I187" s="113"/>
      <c r="J187" s="113"/>
      <c r="L187" s="113"/>
      <c r="M187" s="113"/>
      <c r="N187" s="113"/>
      <c r="P187" s="113"/>
      <c r="Q187" s="113"/>
      <c r="R187" s="113"/>
      <c r="T187" s="113"/>
      <c r="U187" s="113"/>
      <c r="V187" s="113"/>
    </row>
    <row r="188" customFormat="false" ht="15" hidden="false" customHeight="true" outlineLevel="0" collapsed="false">
      <c r="H188" s="113"/>
      <c r="I188" s="113"/>
      <c r="J188" s="113"/>
      <c r="L188" s="113"/>
      <c r="M188" s="113"/>
      <c r="N188" s="113"/>
      <c r="P188" s="113"/>
      <c r="Q188" s="113"/>
      <c r="R188" s="113"/>
      <c r="T188" s="113"/>
      <c r="U188" s="113"/>
      <c r="V188" s="113"/>
    </row>
    <row r="189" customFormat="false" ht="15" hidden="false" customHeight="true" outlineLevel="0" collapsed="false">
      <c r="H189" s="113"/>
      <c r="I189" s="113"/>
      <c r="J189" s="113"/>
      <c r="L189" s="113"/>
      <c r="M189" s="113"/>
      <c r="N189" s="113"/>
      <c r="P189" s="113"/>
      <c r="Q189" s="113"/>
      <c r="R189" s="113"/>
      <c r="T189" s="113"/>
      <c r="U189" s="113"/>
      <c r="V189" s="113"/>
    </row>
    <row r="190" customFormat="false" ht="15" hidden="false" customHeight="true" outlineLevel="0" collapsed="false">
      <c r="H190" s="113"/>
      <c r="I190" s="113"/>
      <c r="J190" s="113"/>
      <c r="L190" s="113"/>
      <c r="M190" s="113"/>
      <c r="N190" s="113"/>
      <c r="P190" s="113"/>
      <c r="Q190" s="113"/>
      <c r="R190" s="113"/>
      <c r="T190" s="113"/>
      <c r="U190" s="113"/>
      <c r="V190" s="113"/>
    </row>
    <row r="191" customFormat="false" ht="15" hidden="false" customHeight="true" outlineLevel="0" collapsed="false">
      <c r="H191" s="113"/>
      <c r="I191" s="113"/>
      <c r="J191" s="113"/>
      <c r="L191" s="113"/>
      <c r="M191" s="113"/>
      <c r="N191" s="113"/>
      <c r="P191" s="113"/>
      <c r="Q191" s="113"/>
      <c r="R191" s="113"/>
      <c r="T191" s="113"/>
      <c r="U191" s="113"/>
      <c r="V191" s="113"/>
    </row>
    <row r="192" customFormat="false" ht="15" hidden="false" customHeight="true" outlineLevel="0" collapsed="false">
      <c r="H192" s="113"/>
      <c r="I192" s="113"/>
      <c r="J192" s="113"/>
      <c r="L192" s="113"/>
      <c r="M192" s="113"/>
      <c r="N192" s="113"/>
      <c r="P192" s="113"/>
      <c r="Q192" s="113"/>
      <c r="R192" s="113"/>
      <c r="T192" s="113"/>
      <c r="U192" s="113"/>
      <c r="V192" s="113"/>
    </row>
    <row r="193" customFormat="false" ht="15" hidden="false" customHeight="true" outlineLevel="0" collapsed="false">
      <c r="H193" s="113"/>
      <c r="I193" s="113"/>
      <c r="J193" s="113"/>
      <c r="L193" s="113"/>
      <c r="M193" s="113"/>
      <c r="N193" s="113"/>
      <c r="P193" s="113"/>
      <c r="Q193" s="113"/>
      <c r="R193" s="113"/>
      <c r="T193" s="113"/>
      <c r="U193" s="113"/>
      <c r="V193" s="113"/>
    </row>
    <row r="194" customFormat="false" ht="15" hidden="false" customHeight="true" outlineLevel="0" collapsed="false">
      <c r="H194" s="113"/>
      <c r="I194" s="113"/>
      <c r="J194" s="113"/>
      <c r="L194" s="113"/>
      <c r="M194" s="113"/>
      <c r="N194" s="113"/>
      <c r="P194" s="113"/>
      <c r="Q194" s="113"/>
      <c r="R194" s="113"/>
      <c r="T194" s="113"/>
      <c r="U194" s="113"/>
      <c r="V194" s="113"/>
    </row>
    <row r="195" customFormat="false" ht="15" hidden="false" customHeight="true" outlineLevel="0" collapsed="false">
      <c r="H195" s="113"/>
      <c r="I195" s="113"/>
      <c r="J195" s="113"/>
      <c r="L195" s="113"/>
      <c r="M195" s="113"/>
      <c r="N195" s="113"/>
      <c r="P195" s="113"/>
      <c r="Q195" s="113"/>
      <c r="R195" s="113"/>
      <c r="T195" s="113"/>
      <c r="U195" s="113"/>
      <c r="V195" s="113"/>
    </row>
    <row r="196" customFormat="false" ht="15" hidden="false" customHeight="true" outlineLevel="0" collapsed="false">
      <c r="H196" s="113"/>
      <c r="I196" s="113"/>
      <c r="J196" s="113"/>
      <c r="L196" s="113"/>
      <c r="M196" s="113"/>
      <c r="N196" s="113"/>
      <c r="P196" s="113"/>
      <c r="Q196" s="113"/>
      <c r="R196" s="113"/>
      <c r="T196" s="113"/>
      <c r="U196" s="113"/>
      <c r="V196" s="113"/>
    </row>
    <row r="197" customFormat="false" ht="15" hidden="false" customHeight="true" outlineLevel="0" collapsed="false">
      <c r="H197" s="113"/>
      <c r="I197" s="113"/>
      <c r="J197" s="113"/>
      <c r="L197" s="113"/>
      <c r="M197" s="113"/>
      <c r="N197" s="113"/>
      <c r="P197" s="113"/>
      <c r="Q197" s="113"/>
      <c r="R197" s="113"/>
      <c r="T197" s="113"/>
      <c r="U197" s="113"/>
      <c r="V197" s="113"/>
    </row>
    <row r="198" customFormat="false" ht="15" hidden="false" customHeight="true" outlineLevel="0" collapsed="false">
      <c r="H198" s="113"/>
      <c r="I198" s="113"/>
      <c r="J198" s="113"/>
      <c r="L198" s="113"/>
      <c r="M198" s="113"/>
      <c r="N198" s="113"/>
      <c r="P198" s="113"/>
      <c r="Q198" s="113"/>
      <c r="R198" s="113"/>
      <c r="T198" s="113"/>
      <c r="U198" s="113"/>
      <c r="V198" s="113"/>
    </row>
    <row r="199" customFormat="false" ht="15" hidden="false" customHeight="true" outlineLevel="0" collapsed="false">
      <c r="H199" s="113"/>
      <c r="I199" s="113"/>
      <c r="J199" s="113"/>
      <c r="L199" s="113"/>
      <c r="M199" s="113"/>
      <c r="N199" s="113"/>
      <c r="P199" s="113"/>
      <c r="Q199" s="113"/>
      <c r="R199" s="113"/>
      <c r="T199" s="113"/>
      <c r="U199" s="113"/>
      <c r="V199" s="113"/>
    </row>
    <row r="200" customFormat="false" ht="15" hidden="false" customHeight="true" outlineLevel="0" collapsed="false">
      <c r="H200" s="113"/>
      <c r="I200" s="113"/>
      <c r="J200" s="113"/>
      <c r="L200" s="113"/>
      <c r="M200" s="113"/>
      <c r="N200" s="113"/>
      <c r="P200" s="113"/>
      <c r="Q200" s="113"/>
      <c r="R200" s="113"/>
      <c r="T200" s="113"/>
      <c r="U200" s="113"/>
      <c r="V200" s="113"/>
    </row>
    <row r="201" customFormat="false" ht="15" hidden="false" customHeight="true" outlineLevel="0" collapsed="false">
      <c r="H201" s="113"/>
      <c r="I201" s="113"/>
      <c r="J201" s="113"/>
      <c r="L201" s="113"/>
      <c r="M201" s="113"/>
      <c r="N201" s="113"/>
      <c r="P201" s="113"/>
      <c r="Q201" s="113"/>
      <c r="R201" s="113"/>
      <c r="T201" s="113"/>
      <c r="U201" s="113"/>
      <c r="V201" s="113"/>
    </row>
    <row r="202" customFormat="false" ht="15" hidden="false" customHeight="true" outlineLevel="0" collapsed="false">
      <c r="H202" s="113"/>
      <c r="I202" s="113"/>
      <c r="J202" s="113"/>
      <c r="L202" s="113"/>
      <c r="M202" s="113"/>
      <c r="N202" s="113"/>
      <c r="P202" s="113"/>
      <c r="Q202" s="113"/>
      <c r="R202" s="113"/>
      <c r="T202" s="113"/>
      <c r="U202" s="113"/>
      <c r="V202" s="113"/>
    </row>
    <row r="203" customFormat="false" ht="15" hidden="false" customHeight="true" outlineLevel="0" collapsed="false">
      <c r="H203" s="113"/>
      <c r="I203" s="113"/>
      <c r="J203" s="113"/>
      <c r="L203" s="113"/>
      <c r="M203" s="113"/>
      <c r="N203" s="113"/>
      <c r="P203" s="113"/>
      <c r="Q203" s="113"/>
      <c r="R203" s="113"/>
      <c r="T203" s="113"/>
      <c r="U203" s="113"/>
      <c r="V203" s="113"/>
    </row>
    <row r="204" customFormat="false" ht="15" hidden="false" customHeight="true" outlineLevel="0" collapsed="false">
      <c r="H204" s="113"/>
      <c r="I204" s="113"/>
      <c r="J204" s="113"/>
      <c r="L204" s="113"/>
      <c r="M204" s="113"/>
      <c r="N204" s="113"/>
      <c r="P204" s="113"/>
      <c r="Q204" s="113"/>
      <c r="R204" s="113"/>
      <c r="T204" s="113"/>
      <c r="U204" s="113"/>
      <c r="V204" s="113"/>
    </row>
    <row r="205" customFormat="false" ht="15" hidden="false" customHeight="true" outlineLevel="0" collapsed="false">
      <c r="H205" s="113"/>
      <c r="I205" s="113"/>
      <c r="J205" s="113"/>
      <c r="L205" s="113"/>
      <c r="M205" s="113"/>
      <c r="N205" s="113"/>
      <c r="P205" s="113"/>
      <c r="Q205" s="113"/>
      <c r="R205" s="113"/>
      <c r="T205" s="113"/>
      <c r="U205" s="113"/>
      <c r="V205" s="113"/>
    </row>
    <row r="206" customFormat="false" ht="15" hidden="false" customHeight="true" outlineLevel="0" collapsed="false">
      <c r="H206" s="113"/>
      <c r="I206" s="113"/>
      <c r="J206" s="113"/>
      <c r="L206" s="113"/>
      <c r="M206" s="113"/>
      <c r="N206" s="113"/>
      <c r="P206" s="113"/>
      <c r="Q206" s="113"/>
      <c r="R206" s="113"/>
      <c r="T206" s="113"/>
      <c r="U206" s="113"/>
      <c r="V206" s="113"/>
    </row>
    <row r="207" customFormat="false" ht="15" hidden="false" customHeight="true" outlineLevel="0" collapsed="false">
      <c r="H207" s="113"/>
      <c r="I207" s="113"/>
      <c r="J207" s="113"/>
      <c r="L207" s="113"/>
      <c r="M207" s="113"/>
      <c r="N207" s="113"/>
      <c r="P207" s="113"/>
      <c r="Q207" s="113"/>
      <c r="R207" s="113"/>
      <c r="T207" s="113"/>
      <c r="U207" s="113"/>
      <c r="V207" s="113"/>
    </row>
    <row r="208" customFormat="false" ht="15" hidden="false" customHeight="true" outlineLevel="0" collapsed="false">
      <c r="H208" s="113"/>
      <c r="I208" s="113"/>
      <c r="J208" s="113"/>
      <c r="L208" s="113"/>
      <c r="M208" s="113"/>
      <c r="N208" s="113"/>
      <c r="P208" s="113"/>
      <c r="Q208" s="113"/>
      <c r="R208" s="113"/>
      <c r="T208" s="113"/>
      <c r="U208" s="113"/>
      <c r="V208" s="113"/>
    </row>
    <row r="209" customFormat="false" ht="15" hidden="false" customHeight="true" outlineLevel="0" collapsed="false">
      <c r="H209" s="113"/>
      <c r="I209" s="113"/>
      <c r="J209" s="113"/>
      <c r="L209" s="113"/>
      <c r="M209" s="113"/>
      <c r="N209" s="113"/>
      <c r="P209" s="113"/>
      <c r="Q209" s="113"/>
      <c r="R209" s="113"/>
      <c r="T209" s="113"/>
      <c r="U209" s="113"/>
      <c r="V209" s="113"/>
    </row>
    <row r="210" customFormat="false" ht="15" hidden="false" customHeight="true" outlineLevel="0" collapsed="false">
      <c r="H210" s="113"/>
      <c r="I210" s="113"/>
      <c r="J210" s="113"/>
      <c r="L210" s="113"/>
      <c r="M210" s="113"/>
      <c r="N210" s="113"/>
      <c r="P210" s="113"/>
      <c r="Q210" s="113"/>
      <c r="R210" s="113"/>
      <c r="T210" s="113"/>
      <c r="U210" s="113"/>
      <c r="V210" s="113"/>
    </row>
    <row r="211" customFormat="false" ht="15" hidden="false" customHeight="true" outlineLevel="0" collapsed="false">
      <c r="H211" s="113"/>
      <c r="I211" s="113"/>
      <c r="J211" s="113"/>
      <c r="L211" s="113"/>
      <c r="M211" s="113"/>
      <c r="N211" s="113"/>
      <c r="P211" s="113"/>
      <c r="Q211" s="113"/>
      <c r="R211" s="113"/>
      <c r="T211" s="113"/>
      <c r="U211" s="113"/>
      <c r="V211" s="113"/>
    </row>
    <row r="212" customFormat="false" ht="15" hidden="false" customHeight="true" outlineLevel="0" collapsed="false">
      <c r="H212" s="113"/>
      <c r="I212" s="113"/>
      <c r="J212" s="113"/>
      <c r="L212" s="113"/>
      <c r="M212" s="113"/>
      <c r="N212" s="113"/>
      <c r="P212" s="113"/>
      <c r="Q212" s="113"/>
      <c r="R212" s="113"/>
      <c r="T212" s="113"/>
      <c r="U212" s="113"/>
      <c r="V212" s="113"/>
    </row>
    <row r="213" customFormat="false" ht="15" hidden="false" customHeight="true" outlineLevel="0" collapsed="false">
      <c r="H213" s="113"/>
      <c r="I213" s="113"/>
      <c r="J213" s="113"/>
      <c r="L213" s="113"/>
      <c r="M213" s="113"/>
      <c r="N213" s="113"/>
      <c r="P213" s="113"/>
      <c r="Q213" s="113"/>
      <c r="R213" s="113"/>
      <c r="T213" s="113"/>
      <c r="U213" s="113"/>
      <c r="V213" s="113"/>
    </row>
    <row r="214" customFormat="false" ht="15" hidden="false" customHeight="true" outlineLevel="0" collapsed="false">
      <c r="H214" s="113"/>
      <c r="I214" s="113"/>
      <c r="J214" s="113"/>
      <c r="L214" s="113"/>
      <c r="M214" s="113"/>
      <c r="N214" s="113"/>
      <c r="P214" s="113"/>
      <c r="Q214" s="113"/>
      <c r="R214" s="113"/>
      <c r="T214" s="113"/>
      <c r="U214" s="113"/>
      <c r="V214" s="113"/>
    </row>
    <row r="215" customFormat="false" ht="15" hidden="false" customHeight="true" outlineLevel="0" collapsed="false">
      <c r="H215" s="113"/>
      <c r="I215" s="113"/>
      <c r="J215" s="113"/>
      <c r="L215" s="113"/>
      <c r="M215" s="113"/>
      <c r="N215" s="113"/>
      <c r="P215" s="113"/>
      <c r="Q215" s="113"/>
      <c r="R215" s="113"/>
      <c r="T215" s="113"/>
      <c r="U215" s="113"/>
      <c r="V215" s="113"/>
    </row>
    <row r="216" customFormat="false" ht="15" hidden="false" customHeight="true" outlineLevel="0" collapsed="false">
      <c r="H216" s="113"/>
      <c r="I216" s="113"/>
      <c r="J216" s="113"/>
      <c r="L216" s="113"/>
      <c r="M216" s="113"/>
      <c r="N216" s="113"/>
      <c r="P216" s="113"/>
      <c r="Q216" s="113"/>
      <c r="R216" s="113"/>
      <c r="T216" s="113"/>
      <c r="U216" s="113"/>
      <c r="V216" s="113"/>
    </row>
    <row r="217" customFormat="false" ht="15" hidden="false" customHeight="true" outlineLevel="0" collapsed="false">
      <c r="H217" s="113"/>
      <c r="I217" s="113"/>
      <c r="J217" s="113"/>
      <c r="L217" s="113"/>
      <c r="M217" s="113"/>
      <c r="N217" s="113"/>
      <c r="P217" s="113"/>
      <c r="Q217" s="113"/>
      <c r="R217" s="113"/>
      <c r="T217" s="113"/>
      <c r="U217" s="113"/>
      <c r="V217" s="113"/>
    </row>
    <row r="218" customFormat="false" ht="15" hidden="false" customHeight="true" outlineLevel="0" collapsed="false">
      <c r="H218" s="113"/>
      <c r="I218" s="113"/>
      <c r="J218" s="113"/>
      <c r="L218" s="113"/>
      <c r="M218" s="113"/>
      <c r="N218" s="113"/>
      <c r="P218" s="113"/>
      <c r="Q218" s="113"/>
      <c r="R218" s="113"/>
      <c r="T218" s="113"/>
      <c r="U218" s="113"/>
      <c r="V218" s="113"/>
    </row>
    <row r="219" customFormat="false" ht="15" hidden="false" customHeight="true" outlineLevel="0" collapsed="false">
      <c r="H219" s="113"/>
      <c r="I219" s="113"/>
      <c r="J219" s="113"/>
      <c r="L219" s="113"/>
      <c r="M219" s="113"/>
      <c r="N219" s="113"/>
      <c r="P219" s="113"/>
      <c r="Q219" s="113"/>
      <c r="R219" s="113"/>
      <c r="T219" s="113"/>
      <c r="U219" s="113"/>
      <c r="V219" s="113"/>
    </row>
    <row r="220" customFormat="false" ht="15" hidden="false" customHeight="true" outlineLevel="0" collapsed="false">
      <c r="H220" s="113"/>
      <c r="I220" s="113"/>
      <c r="J220" s="113"/>
      <c r="L220" s="113"/>
      <c r="M220" s="113"/>
      <c r="N220" s="113"/>
      <c r="P220" s="113"/>
      <c r="Q220" s="113"/>
      <c r="R220" s="113"/>
      <c r="T220" s="113"/>
      <c r="U220" s="113"/>
      <c r="V220" s="113"/>
    </row>
    <row r="221" customFormat="false" ht="15" hidden="false" customHeight="true" outlineLevel="0" collapsed="false">
      <c r="H221" s="113"/>
      <c r="I221" s="113"/>
      <c r="J221" s="113"/>
      <c r="L221" s="113"/>
      <c r="M221" s="113"/>
      <c r="N221" s="113"/>
      <c r="P221" s="113"/>
      <c r="Q221" s="113"/>
      <c r="R221" s="113"/>
      <c r="T221" s="113"/>
      <c r="U221" s="113"/>
      <c r="V221" s="113"/>
    </row>
    <row r="222" customFormat="false" ht="15" hidden="false" customHeight="true" outlineLevel="0" collapsed="false">
      <c r="H222" s="113"/>
      <c r="I222" s="113"/>
      <c r="J222" s="113"/>
      <c r="L222" s="113"/>
      <c r="M222" s="113"/>
      <c r="N222" s="113"/>
      <c r="P222" s="113"/>
      <c r="Q222" s="113"/>
      <c r="R222" s="113"/>
      <c r="T222" s="113"/>
      <c r="U222" s="113"/>
      <c r="V222" s="113"/>
    </row>
    <row r="223" customFormat="false" ht="15" hidden="false" customHeight="true" outlineLevel="0" collapsed="false">
      <c r="H223" s="113"/>
      <c r="I223" s="113"/>
      <c r="J223" s="113"/>
      <c r="L223" s="113"/>
      <c r="M223" s="113"/>
      <c r="N223" s="113"/>
      <c r="P223" s="113"/>
      <c r="Q223" s="113"/>
      <c r="R223" s="113"/>
      <c r="T223" s="113"/>
      <c r="U223" s="113"/>
      <c r="V223" s="113"/>
    </row>
    <row r="224" customFormat="false" ht="15" hidden="false" customHeight="true" outlineLevel="0" collapsed="false">
      <c r="H224" s="113"/>
      <c r="I224" s="113"/>
      <c r="J224" s="113"/>
      <c r="L224" s="113"/>
      <c r="M224" s="113"/>
      <c r="N224" s="113"/>
      <c r="P224" s="113"/>
      <c r="Q224" s="113"/>
      <c r="R224" s="113"/>
      <c r="T224" s="113"/>
      <c r="U224" s="113"/>
      <c r="V224" s="113"/>
    </row>
    <row r="225" customFormat="false" ht="15" hidden="false" customHeight="true" outlineLevel="0" collapsed="false">
      <c r="H225" s="113"/>
      <c r="I225" s="113"/>
      <c r="J225" s="113"/>
      <c r="L225" s="113"/>
      <c r="M225" s="113"/>
      <c r="N225" s="113"/>
      <c r="P225" s="113"/>
      <c r="Q225" s="113"/>
      <c r="R225" s="113"/>
      <c r="T225" s="113"/>
      <c r="U225" s="113"/>
      <c r="V225" s="113"/>
    </row>
    <row r="226" customFormat="false" ht="15" hidden="false" customHeight="true" outlineLevel="0" collapsed="false">
      <c r="H226" s="113"/>
      <c r="I226" s="113"/>
      <c r="J226" s="113"/>
      <c r="L226" s="113"/>
      <c r="M226" s="113"/>
      <c r="N226" s="113"/>
      <c r="P226" s="113"/>
      <c r="Q226" s="113"/>
      <c r="R226" s="113"/>
      <c r="T226" s="113"/>
      <c r="U226" s="113"/>
      <c r="V226" s="113"/>
    </row>
    <row r="227" customFormat="false" ht="15" hidden="false" customHeight="true" outlineLevel="0" collapsed="false">
      <c r="H227" s="113"/>
      <c r="I227" s="113"/>
      <c r="J227" s="113"/>
      <c r="L227" s="113"/>
      <c r="M227" s="113"/>
      <c r="N227" s="113"/>
      <c r="P227" s="113"/>
      <c r="Q227" s="113"/>
      <c r="R227" s="113"/>
      <c r="T227" s="113"/>
      <c r="U227" s="113"/>
      <c r="V227" s="113"/>
    </row>
    <row r="228" customFormat="false" ht="15" hidden="false" customHeight="true" outlineLevel="0" collapsed="false">
      <c r="H228" s="113"/>
      <c r="I228" s="113"/>
      <c r="J228" s="113"/>
      <c r="L228" s="113"/>
      <c r="M228" s="113"/>
      <c r="N228" s="113"/>
      <c r="P228" s="113"/>
      <c r="Q228" s="113"/>
      <c r="R228" s="113"/>
      <c r="T228" s="113"/>
      <c r="U228" s="113"/>
      <c r="V228" s="113"/>
    </row>
    <row r="229" customFormat="false" ht="15" hidden="false" customHeight="true" outlineLevel="0" collapsed="false">
      <c r="H229" s="113"/>
      <c r="I229" s="113"/>
      <c r="J229" s="113"/>
      <c r="L229" s="113"/>
      <c r="M229" s="113"/>
      <c r="N229" s="113"/>
      <c r="P229" s="113"/>
      <c r="Q229" s="113"/>
      <c r="R229" s="113"/>
      <c r="T229" s="113"/>
      <c r="U229" s="113"/>
      <c r="V229" s="113"/>
    </row>
    <row r="230" customFormat="false" ht="15" hidden="false" customHeight="true" outlineLevel="0" collapsed="false">
      <c r="H230" s="113"/>
      <c r="I230" s="113"/>
      <c r="J230" s="113"/>
      <c r="L230" s="113"/>
      <c r="M230" s="113"/>
      <c r="N230" s="113"/>
      <c r="P230" s="113"/>
      <c r="Q230" s="113"/>
      <c r="R230" s="113"/>
      <c r="T230" s="113"/>
      <c r="U230" s="113"/>
      <c r="V230" s="113"/>
    </row>
    <row r="231" customFormat="false" ht="15" hidden="false" customHeight="true" outlineLevel="0" collapsed="false">
      <c r="H231" s="113"/>
      <c r="I231" s="113"/>
      <c r="J231" s="113"/>
      <c r="L231" s="113"/>
      <c r="M231" s="113"/>
      <c r="N231" s="113"/>
      <c r="P231" s="113"/>
      <c r="Q231" s="113"/>
      <c r="R231" s="113"/>
      <c r="T231" s="113"/>
      <c r="U231" s="113"/>
      <c r="V231" s="113"/>
    </row>
    <row r="232" customFormat="false" ht="15" hidden="false" customHeight="true" outlineLevel="0" collapsed="false">
      <c r="H232" s="113"/>
      <c r="I232" s="113"/>
      <c r="J232" s="113"/>
      <c r="L232" s="113"/>
      <c r="M232" s="113"/>
      <c r="N232" s="113"/>
      <c r="P232" s="113"/>
      <c r="Q232" s="113"/>
      <c r="R232" s="113"/>
      <c r="T232" s="113"/>
      <c r="U232" s="113"/>
      <c r="V232" s="113"/>
    </row>
    <row r="233" customFormat="false" ht="15" hidden="false" customHeight="true" outlineLevel="0" collapsed="false">
      <c r="H233" s="113"/>
      <c r="I233" s="113"/>
      <c r="J233" s="113"/>
      <c r="L233" s="113"/>
      <c r="M233" s="113"/>
      <c r="N233" s="113"/>
      <c r="P233" s="113"/>
      <c r="Q233" s="113"/>
      <c r="R233" s="113"/>
      <c r="T233" s="113"/>
      <c r="U233" s="113"/>
      <c r="V233" s="113"/>
    </row>
    <row r="234" customFormat="false" ht="15" hidden="false" customHeight="true" outlineLevel="0" collapsed="false">
      <c r="H234" s="113"/>
      <c r="I234" s="113"/>
      <c r="J234" s="113"/>
      <c r="L234" s="113"/>
      <c r="M234" s="113"/>
      <c r="N234" s="113"/>
      <c r="P234" s="113"/>
      <c r="Q234" s="113"/>
      <c r="R234" s="113"/>
      <c r="T234" s="113"/>
      <c r="U234" s="113"/>
      <c r="V234" s="113"/>
    </row>
    <row r="235" customFormat="false" ht="15" hidden="false" customHeight="true" outlineLevel="0" collapsed="false">
      <c r="H235" s="113"/>
      <c r="I235" s="113"/>
      <c r="J235" s="113"/>
      <c r="L235" s="113"/>
      <c r="M235" s="113"/>
      <c r="N235" s="113"/>
      <c r="P235" s="113"/>
      <c r="Q235" s="113"/>
      <c r="R235" s="113"/>
      <c r="T235" s="113"/>
      <c r="U235" s="113"/>
      <c r="V235" s="113"/>
    </row>
    <row r="236" customFormat="false" ht="15" hidden="false" customHeight="true" outlineLevel="0" collapsed="false">
      <c r="H236" s="113"/>
      <c r="I236" s="113"/>
      <c r="J236" s="113"/>
      <c r="L236" s="113"/>
      <c r="M236" s="113"/>
      <c r="N236" s="113"/>
      <c r="P236" s="113"/>
      <c r="Q236" s="113"/>
      <c r="R236" s="113"/>
      <c r="T236" s="113"/>
      <c r="U236" s="113"/>
      <c r="V236" s="113"/>
    </row>
    <row r="237" customFormat="false" ht="15" hidden="false" customHeight="true" outlineLevel="0" collapsed="false">
      <c r="H237" s="113"/>
      <c r="I237" s="113"/>
      <c r="J237" s="113"/>
      <c r="L237" s="113"/>
      <c r="M237" s="113"/>
      <c r="N237" s="113"/>
      <c r="P237" s="113"/>
      <c r="Q237" s="113"/>
      <c r="R237" s="113"/>
      <c r="T237" s="113"/>
      <c r="U237" s="113"/>
      <c r="V237" s="113"/>
    </row>
    <row r="238" customFormat="false" ht="15" hidden="false" customHeight="true" outlineLevel="0" collapsed="false">
      <c r="H238" s="113"/>
      <c r="I238" s="113"/>
      <c r="J238" s="113"/>
      <c r="L238" s="113"/>
      <c r="M238" s="113"/>
      <c r="N238" s="113"/>
      <c r="P238" s="113"/>
      <c r="Q238" s="113"/>
      <c r="R238" s="113"/>
      <c r="T238" s="113"/>
      <c r="U238" s="113"/>
      <c r="V238" s="113"/>
    </row>
    <row r="239" customFormat="false" ht="15" hidden="false" customHeight="true" outlineLevel="0" collapsed="false">
      <c r="H239" s="113"/>
      <c r="I239" s="113"/>
      <c r="J239" s="113"/>
      <c r="L239" s="113"/>
      <c r="M239" s="113"/>
      <c r="N239" s="113"/>
      <c r="P239" s="113"/>
      <c r="Q239" s="113"/>
      <c r="R239" s="113"/>
      <c r="T239" s="113"/>
      <c r="U239" s="113"/>
      <c r="V239" s="113"/>
    </row>
    <row r="240" customFormat="false" ht="15" hidden="false" customHeight="true" outlineLevel="0" collapsed="false">
      <c r="H240" s="113"/>
      <c r="I240" s="113"/>
      <c r="J240" s="113"/>
      <c r="L240" s="113"/>
      <c r="M240" s="113"/>
      <c r="N240" s="113"/>
      <c r="P240" s="113"/>
      <c r="Q240" s="113"/>
      <c r="R240" s="113"/>
      <c r="T240" s="113"/>
      <c r="U240" s="113"/>
      <c r="V240" s="113"/>
    </row>
    <row r="241" customFormat="false" ht="15" hidden="false" customHeight="true" outlineLevel="0" collapsed="false">
      <c r="H241" s="113"/>
      <c r="I241" s="113"/>
      <c r="J241" s="113"/>
      <c r="L241" s="113"/>
      <c r="M241" s="113"/>
      <c r="N241" s="113"/>
      <c r="P241" s="113"/>
      <c r="Q241" s="113"/>
      <c r="R241" s="113"/>
      <c r="T241" s="113"/>
      <c r="U241" s="113"/>
      <c r="V241" s="113"/>
    </row>
    <row r="242" customFormat="false" ht="15" hidden="false" customHeight="true" outlineLevel="0" collapsed="false">
      <c r="H242" s="113"/>
      <c r="I242" s="113"/>
      <c r="J242" s="113"/>
      <c r="L242" s="113"/>
      <c r="M242" s="113"/>
      <c r="N242" s="113"/>
      <c r="P242" s="113"/>
      <c r="Q242" s="113"/>
      <c r="R242" s="113"/>
      <c r="T242" s="113"/>
      <c r="U242" s="113"/>
      <c r="V242" s="113"/>
    </row>
    <row r="243" customFormat="false" ht="15" hidden="false" customHeight="true" outlineLevel="0" collapsed="false">
      <c r="H243" s="113"/>
      <c r="I243" s="113"/>
      <c r="J243" s="113"/>
      <c r="L243" s="113"/>
      <c r="M243" s="113"/>
      <c r="N243" s="113"/>
      <c r="P243" s="113"/>
      <c r="Q243" s="113"/>
      <c r="R243" s="113"/>
      <c r="T243" s="113"/>
      <c r="U243" s="113"/>
      <c r="V243" s="113"/>
    </row>
    <row r="244" customFormat="false" ht="15" hidden="false" customHeight="true" outlineLevel="0" collapsed="false">
      <c r="H244" s="113"/>
      <c r="I244" s="113"/>
      <c r="J244" s="113"/>
      <c r="L244" s="113"/>
      <c r="M244" s="113"/>
      <c r="N244" s="113"/>
      <c r="P244" s="113"/>
      <c r="Q244" s="113"/>
      <c r="R244" s="113"/>
      <c r="T244" s="113"/>
      <c r="U244" s="113"/>
      <c r="V244" s="113"/>
    </row>
    <row r="245" customFormat="false" ht="15" hidden="false" customHeight="true" outlineLevel="0" collapsed="false">
      <c r="H245" s="113"/>
      <c r="I245" s="113"/>
      <c r="J245" s="113"/>
      <c r="L245" s="113"/>
      <c r="M245" s="113"/>
      <c r="N245" s="113"/>
      <c r="P245" s="113"/>
      <c r="Q245" s="113"/>
      <c r="R245" s="113"/>
      <c r="T245" s="113"/>
      <c r="U245" s="113"/>
      <c r="V245" s="113"/>
    </row>
    <row r="246" customFormat="false" ht="15" hidden="false" customHeight="true" outlineLevel="0" collapsed="false">
      <c r="H246" s="113"/>
      <c r="I246" s="113"/>
      <c r="J246" s="113"/>
      <c r="L246" s="113"/>
      <c r="M246" s="113"/>
      <c r="N246" s="113"/>
      <c r="P246" s="113"/>
      <c r="Q246" s="113"/>
      <c r="R246" s="113"/>
      <c r="T246" s="113"/>
      <c r="U246" s="113"/>
      <c r="V246" s="113"/>
    </row>
    <row r="247" customFormat="false" ht="15" hidden="false" customHeight="true" outlineLevel="0" collapsed="false">
      <c r="H247" s="113"/>
      <c r="I247" s="113"/>
      <c r="J247" s="113"/>
      <c r="L247" s="113"/>
      <c r="M247" s="113"/>
      <c r="N247" s="113"/>
      <c r="P247" s="113"/>
      <c r="Q247" s="113"/>
      <c r="R247" s="113"/>
      <c r="T247" s="113"/>
      <c r="U247" s="113"/>
      <c r="V247" s="113"/>
    </row>
    <row r="248" customFormat="false" ht="15" hidden="false" customHeight="true" outlineLevel="0" collapsed="false">
      <c r="H248" s="113"/>
      <c r="I248" s="113"/>
      <c r="J248" s="113"/>
      <c r="L248" s="113"/>
      <c r="M248" s="113"/>
      <c r="N248" s="113"/>
      <c r="P248" s="113"/>
      <c r="Q248" s="113"/>
      <c r="R248" s="113"/>
      <c r="T248" s="113"/>
      <c r="U248" s="113"/>
      <c r="V248" s="113"/>
    </row>
    <row r="249" customFormat="false" ht="15" hidden="false" customHeight="true" outlineLevel="0" collapsed="false">
      <c r="H249" s="113"/>
      <c r="I249" s="113"/>
      <c r="J249" s="113"/>
      <c r="L249" s="113"/>
      <c r="M249" s="113"/>
      <c r="N249" s="113"/>
      <c r="P249" s="113"/>
      <c r="Q249" s="113"/>
      <c r="R249" s="113"/>
      <c r="T249" s="113"/>
      <c r="U249" s="113"/>
      <c r="V249" s="113"/>
    </row>
    <row r="250" customFormat="false" ht="15" hidden="false" customHeight="true" outlineLevel="0" collapsed="false">
      <c r="H250" s="113"/>
      <c r="I250" s="113"/>
      <c r="J250" s="113"/>
      <c r="L250" s="113"/>
      <c r="M250" s="113"/>
      <c r="N250" s="113"/>
      <c r="P250" s="113"/>
      <c r="Q250" s="113"/>
      <c r="R250" s="113"/>
      <c r="T250" s="113"/>
      <c r="U250" s="113"/>
      <c r="V250" s="113"/>
    </row>
    <row r="251" customFormat="false" ht="15" hidden="false" customHeight="true" outlineLevel="0" collapsed="false">
      <c r="H251" s="113"/>
      <c r="I251" s="113"/>
      <c r="J251" s="113"/>
      <c r="L251" s="113"/>
      <c r="M251" s="113"/>
      <c r="N251" s="113"/>
      <c r="P251" s="113"/>
      <c r="Q251" s="113"/>
      <c r="R251" s="113"/>
      <c r="T251" s="113"/>
      <c r="U251" s="113"/>
      <c r="V251" s="113"/>
    </row>
    <row r="252" customFormat="false" ht="15" hidden="false" customHeight="true" outlineLevel="0" collapsed="false">
      <c r="H252" s="113"/>
      <c r="I252" s="113"/>
      <c r="J252" s="113"/>
      <c r="L252" s="113"/>
      <c r="M252" s="113"/>
      <c r="N252" s="113"/>
      <c r="P252" s="113"/>
      <c r="Q252" s="113"/>
      <c r="R252" s="113"/>
      <c r="T252" s="113"/>
      <c r="U252" s="113"/>
      <c r="V252" s="113"/>
    </row>
    <row r="253" customFormat="false" ht="15" hidden="false" customHeight="true" outlineLevel="0" collapsed="false">
      <c r="H253" s="113"/>
      <c r="I253" s="113"/>
      <c r="J253" s="113"/>
      <c r="L253" s="113"/>
      <c r="M253" s="113"/>
      <c r="N253" s="113"/>
      <c r="P253" s="113"/>
      <c r="Q253" s="113"/>
      <c r="R253" s="113"/>
      <c r="T253" s="113"/>
      <c r="U253" s="113"/>
      <c r="V253" s="113"/>
    </row>
    <row r="254" customFormat="false" ht="15" hidden="false" customHeight="true" outlineLevel="0" collapsed="false">
      <c r="H254" s="113"/>
      <c r="I254" s="113"/>
      <c r="J254" s="113"/>
      <c r="L254" s="113"/>
      <c r="M254" s="113"/>
      <c r="N254" s="113"/>
      <c r="P254" s="113"/>
      <c r="Q254" s="113"/>
      <c r="R254" s="113"/>
      <c r="T254" s="113"/>
      <c r="U254" s="113"/>
      <c r="V254" s="113"/>
    </row>
    <row r="255" customFormat="false" ht="15" hidden="false" customHeight="true" outlineLevel="0" collapsed="false">
      <c r="H255" s="113"/>
      <c r="I255" s="113"/>
      <c r="J255" s="113"/>
      <c r="L255" s="113"/>
      <c r="M255" s="113"/>
      <c r="N255" s="113"/>
      <c r="P255" s="113"/>
      <c r="Q255" s="113"/>
      <c r="R255" s="113"/>
      <c r="T255" s="113"/>
      <c r="U255" s="113"/>
      <c r="V255" s="113"/>
    </row>
    <row r="256" customFormat="false" ht="15" hidden="false" customHeight="true" outlineLevel="0" collapsed="false">
      <c r="H256" s="113"/>
      <c r="I256" s="113"/>
      <c r="J256" s="113"/>
      <c r="L256" s="113"/>
      <c r="M256" s="113"/>
      <c r="N256" s="113"/>
      <c r="P256" s="113"/>
      <c r="Q256" s="113"/>
      <c r="R256" s="113"/>
      <c r="T256" s="113"/>
      <c r="U256" s="113"/>
      <c r="V256" s="113"/>
    </row>
    <row r="257" customFormat="false" ht="15" hidden="false" customHeight="true" outlineLevel="0" collapsed="false">
      <c r="H257" s="113"/>
      <c r="I257" s="113"/>
      <c r="J257" s="113"/>
      <c r="L257" s="113"/>
      <c r="M257" s="113"/>
      <c r="N257" s="113"/>
      <c r="P257" s="113"/>
      <c r="Q257" s="113"/>
      <c r="R257" s="113"/>
      <c r="T257" s="113"/>
      <c r="U257" s="113"/>
      <c r="V257" s="113"/>
    </row>
    <row r="258" customFormat="false" ht="15" hidden="false" customHeight="true" outlineLevel="0" collapsed="false">
      <c r="H258" s="113"/>
      <c r="I258" s="113"/>
      <c r="J258" s="113"/>
      <c r="L258" s="113"/>
      <c r="M258" s="113"/>
      <c r="N258" s="113"/>
      <c r="P258" s="113"/>
      <c r="Q258" s="113"/>
      <c r="R258" s="113"/>
      <c r="T258" s="113"/>
      <c r="U258" s="113"/>
      <c r="V258" s="113"/>
    </row>
    <row r="259" customFormat="false" ht="15" hidden="false" customHeight="true" outlineLevel="0" collapsed="false">
      <c r="H259" s="113"/>
      <c r="I259" s="113"/>
      <c r="J259" s="113"/>
      <c r="L259" s="113"/>
      <c r="M259" s="113"/>
      <c r="N259" s="113"/>
      <c r="P259" s="113"/>
      <c r="Q259" s="113"/>
      <c r="R259" s="113"/>
      <c r="T259" s="113"/>
      <c r="U259" s="113"/>
      <c r="V259" s="113"/>
    </row>
    <row r="260" customFormat="false" ht="15" hidden="false" customHeight="true" outlineLevel="0" collapsed="false">
      <c r="H260" s="113"/>
      <c r="I260" s="113"/>
      <c r="J260" s="113"/>
      <c r="L260" s="113"/>
      <c r="M260" s="113"/>
      <c r="N260" s="113"/>
      <c r="P260" s="113"/>
      <c r="Q260" s="113"/>
      <c r="R260" s="113"/>
      <c r="T260" s="113"/>
      <c r="U260" s="113"/>
      <c r="V260" s="113"/>
    </row>
    <row r="261" customFormat="false" ht="15" hidden="false" customHeight="true" outlineLevel="0" collapsed="false">
      <c r="H261" s="113"/>
      <c r="I261" s="113"/>
      <c r="J261" s="113"/>
      <c r="L261" s="113"/>
      <c r="M261" s="113"/>
      <c r="N261" s="113"/>
      <c r="P261" s="113"/>
      <c r="Q261" s="113"/>
      <c r="R261" s="113"/>
      <c r="T261" s="113"/>
      <c r="U261" s="113"/>
      <c r="V261" s="113"/>
    </row>
    <row r="262" customFormat="false" ht="15" hidden="false" customHeight="true" outlineLevel="0" collapsed="false">
      <c r="H262" s="113"/>
      <c r="I262" s="113"/>
      <c r="J262" s="113"/>
      <c r="L262" s="113"/>
      <c r="M262" s="113"/>
      <c r="N262" s="113"/>
      <c r="P262" s="113"/>
      <c r="Q262" s="113"/>
      <c r="R262" s="113"/>
      <c r="T262" s="113"/>
      <c r="U262" s="113"/>
      <c r="V262" s="113"/>
    </row>
    <row r="263" customFormat="false" ht="15" hidden="false" customHeight="true" outlineLevel="0" collapsed="false">
      <c r="H263" s="113"/>
      <c r="I263" s="113"/>
      <c r="J263" s="113"/>
      <c r="L263" s="113"/>
      <c r="M263" s="113"/>
      <c r="N263" s="113"/>
      <c r="P263" s="113"/>
      <c r="Q263" s="113"/>
      <c r="R263" s="113"/>
      <c r="T263" s="113"/>
      <c r="U263" s="113"/>
      <c r="V263" s="113"/>
    </row>
    <row r="264" customFormat="false" ht="15" hidden="false" customHeight="true" outlineLevel="0" collapsed="false">
      <c r="H264" s="113"/>
      <c r="I264" s="113"/>
      <c r="J264" s="113"/>
      <c r="L264" s="113"/>
      <c r="M264" s="113"/>
      <c r="N264" s="113"/>
      <c r="P264" s="113"/>
      <c r="Q264" s="113"/>
      <c r="R264" s="113"/>
      <c r="T264" s="113"/>
      <c r="U264" s="113"/>
      <c r="V264" s="113"/>
    </row>
    <row r="265" customFormat="false" ht="15" hidden="false" customHeight="true" outlineLevel="0" collapsed="false">
      <c r="H265" s="113"/>
      <c r="I265" s="113"/>
      <c r="J265" s="113"/>
      <c r="L265" s="113"/>
      <c r="M265" s="113"/>
      <c r="N265" s="113"/>
      <c r="P265" s="113"/>
      <c r="Q265" s="113"/>
      <c r="R265" s="113"/>
      <c r="T265" s="113"/>
      <c r="U265" s="113"/>
      <c r="V265" s="113"/>
    </row>
    <row r="266" customFormat="false" ht="15" hidden="false" customHeight="true" outlineLevel="0" collapsed="false">
      <c r="H266" s="113"/>
      <c r="I266" s="113"/>
      <c r="J266" s="113"/>
      <c r="L266" s="113"/>
      <c r="M266" s="113"/>
      <c r="N266" s="113"/>
      <c r="P266" s="113"/>
      <c r="Q266" s="113"/>
      <c r="R266" s="113"/>
      <c r="T266" s="113"/>
      <c r="U266" s="113"/>
      <c r="V266" s="113"/>
    </row>
    <row r="267" customFormat="false" ht="15" hidden="false" customHeight="true" outlineLevel="0" collapsed="false">
      <c r="H267" s="113"/>
      <c r="I267" s="113"/>
      <c r="J267" s="113"/>
      <c r="L267" s="113"/>
      <c r="M267" s="113"/>
      <c r="N267" s="113"/>
      <c r="P267" s="113"/>
      <c r="Q267" s="113"/>
      <c r="R267" s="113"/>
      <c r="T267" s="113"/>
      <c r="U267" s="113"/>
      <c r="V267" s="113"/>
    </row>
    <row r="268" customFormat="false" ht="15" hidden="false" customHeight="true" outlineLevel="0" collapsed="false">
      <c r="H268" s="113"/>
      <c r="I268" s="113"/>
      <c r="J268" s="113"/>
      <c r="L268" s="113"/>
      <c r="M268" s="113"/>
      <c r="N268" s="113"/>
      <c r="P268" s="113"/>
      <c r="Q268" s="113"/>
      <c r="R268" s="113"/>
      <c r="T268" s="113"/>
      <c r="U268" s="113"/>
      <c r="V268" s="113"/>
    </row>
    <row r="269" customFormat="false" ht="15" hidden="false" customHeight="true" outlineLevel="0" collapsed="false">
      <c r="H269" s="113"/>
      <c r="I269" s="113"/>
      <c r="J269" s="113"/>
      <c r="L269" s="113"/>
      <c r="M269" s="113"/>
      <c r="N269" s="113"/>
      <c r="P269" s="113"/>
      <c r="Q269" s="113"/>
      <c r="R269" s="113"/>
      <c r="T269" s="113"/>
      <c r="U269" s="113"/>
      <c r="V269" s="113"/>
    </row>
    <row r="270" customFormat="false" ht="15" hidden="false" customHeight="true" outlineLevel="0" collapsed="false">
      <c r="H270" s="113"/>
      <c r="I270" s="113"/>
      <c r="J270" s="113"/>
      <c r="L270" s="113"/>
      <c r="M270" s="113"/>
      <c r="N270" s="113"/>
      <c r="P270" s="113"/>
      <c r="Q270" s="113"/>
      <c r="R270" s="113"/>
      <c r="T270" s="113"/>
      <c r="U270" s="113"/>
      <c r="V270" s="113"/>
    </row>
    <row r="271" customFormat="false" ht="15" hidden="false" customHeight="true" outlineLevel="0" collapsed="false">
      <c r="H271" s="113"/>
      <c r="I271" s="113"/>
      <c r="J271" s="113"/>
      <c r="L271" s="113"/>
      <c r="M271" s="113"/>
      <c r="N271" s="113"/>
      <c r="P271" s="113"/>
      <c r="Q271" s="113"/>
      <c r="R271" s="113"/>
      <c r="T271" s="113"/>
      <c r="U271" s="113"/>
      <c r="V271" s="113"/>
    </row>
    <row r="272" customFormat="false" ht="15" hidden="false" customHeight="true" outlineLevel="0" collapsed="false">
      <c r="H272" s="113"/>
      <c r="I272" s="113"/>
      <c r="J272" s="113"/>
      <c r="L272" s="113"/>
      <c r="M272" s="113"/>
      <c r="N272" s="113"/>
      <c r="P272" s="113"/>
      <c r="Q272" s="113"/>
      <c r="R272" s="113"/>
      <c r="T272" s="113"/>
      <c r="U272" s="113"/>
      <c r="V272" s="113"/>
    </row>
    <row r="273" customFormat="false" ht="15" hidden="false" customHeight="true" outlineLevel="0" collapsed="false">
      <c r="H273" s="113"/>
      <c r="I273" s="113"/>
      <c r="J273" s="113"/>
      <c r="L273" s="113"/>
      <c r="M273" s="113"/>
      <c r="N273" s="113"/>
      <c r="P273" s="113"/>
      <c r="Q273" s="113"/>
      <c r="R273" s="113"/>
      <c r="T273" s="113"/>
      <c r="U273" s="113"/>
      <c r="V273" s="113"/>
    </row>
    <row r="274" customFormat="false" ht="15" hidden="false" customHeight="true" outlineLevel="0" collapsed="false">
      <c r="H274" s="113"/>
      <c r="I274" s="113"/>
      <c r="J274" s="113"/>
      <c r="L274" s="113"/>
      <c r="M274" s="113"/>
      <c r="N274" s="113"/>
      <c r="P274" s="113"/>
      <c r="Q274" s="113"/>
      <c r="R274" s="113"/>
      <c r="T274" s="113"/>
      <c r="U274" s="113"/>
      <c r="V274" s="113"/>
    </row>
    <row r="275" customFormat="false" ht="15" hidden="false" customHeight="true" outlineLevel="0" collapsed="false">
      <c r="H275" s="113"/>
      <c r="I275" s="113"/>
      <c r="J275" s="113"/>
      <c r="L275" s="113"/>
      <c r="M275" s="113"/>
      <c r="N275" s="113"/>
      <c r="P275" s="113"/>
      <c r="Q275" s="113"/>
      <c r="R275" s="113"/>
      <c r="T275" s="113"/>
      <c r="U275" s="113"/>
      <c r="V275" s="113"/>
    </row>
    <row r="276" customFormat="false" ht="15" hidden="false" customHeight="true" outlineLevel="0" collapsed="false">
      <c r="H276" s="113"/>
      <c r="I276" s="113"/>
      <c r="J276" s="113"/>
      <c r="L276" s="113"/>
      <c r="M276" s="113"/>
      <c r="N276" s="113"/>
      <c r="P276" s="113"/>
      <c r="Q276" s="113"/>
      <c r="R276" s="113"/>
      <c r="T276" s="113"/>
      <c r="U276" s="113"/>
      <c r="V276" s="113"/>
    </row>
    <row r="277" customFormat="false" ht="15" hidden="false" customHeight="true" outlineLevel="0" collapsed="false">
      <c r="H277" s="113"/>
      <c r="I277" s="113"/>
      <c r="J277" s="113"/>
      <c r="L277" s="113"/>
      <c r="M277" s="113"/>
      <c r="N277" s="113"/>
      <c r="P277" s="113"/>
      <c r="Q277" s="113"/>
      <c r="R277" s="113"/>
      <c r="T277" s="113"/>
      <c r="U277" s="113"/>
      <c r="V277" s="113"/>
    </row>
    <row r="278" customFormat="false" ht="15" hidden="false" customHeight="true" outlineLevel="0" collapsed="false">
      <c r="H278" s="113"/>
      <c r="I278" s="113"/>
      <c r="J278" s="113"/>
      <c r="L278" s="113"/>
      <c r="M278" s="113"/>
      <c r="N278" s="113"/>
      <c r="P278" s="113"/>
      <c r="Q278" s="113"/>
      <c r="R278" s="113"/>
      <c r="T278" s="113"/>
      <c r="U278" s="113"/>
      <c r="V278" s="113"/>
    </row>
    <row r="279" customFormat="false" ht="15" hidden="false" customHeight="true" outlineLevel="0" collapsed="false">
      <c r="H279" s="113"/>
      <c r="I279" s="113"/>
      <c r="J279" s="113"/>
      <c r="L279" s="113"/>
      <c r="M279" s="113"/>
      <c r="N279" s="113"/>
      <c r="P279" s="113"/>
      <c r="Q279" s="113"/>
      <c r="R279" s="113"/>
      <c r="T279" s="113"/>
      <c r="U279" s="113"/>
      <c r="V279" s="113"/>
    </row>
    <row r="280" customFormat="false" ht="15" hidden="false" customHeight="true" outlineLevel="0" collapsed="false">
      <c r="H280" s="113"/>
      <c r="I280" s="113"/>
      <c r="J280" s="113"/>
      <c r="L280" s="113"/>
      <c r="M280" s="113"/>
      <c r="N280" s="113"/>
      <c r="P280" s="113"/>
      <c r="Q280" s="113"/>
      <c r="R280" s="113"/>
      <c r="T280" s="113"/>
      <c r="U280" s="113"/>
      <c r="V280" s="113"/>
    </row>
    <row r="281" customFormat="false" ht="15" hidden="false" customHeight="true" outlineLevel="0" collapsed="false">
      <c r="H281" s="113"/>
      <c r="I281" s="113"/>
      <c r="J281" s="113"/>
      <c r="L281" s="113"/>
      <c r="M281" s="113"/>
      <c r="N281" s="113"/>
      <c r="P281" s="113"/>
      <c r="Q281" s="113"/>
      <c r="R281" s="113"/>
      <c r="T281" s="113"/>
      <c r="U281" s="113"/>
      <c r="V281" s="113"/>
    </row>
    <row r="282" customFormat="false" ht="15" hidden="false" customHeight="true" outlineLevel="0" collapsed="false">
      <c r="H282" s="113"/>
      <c r="I282" s="113"/>
      <c r="J282" s="113"/>
      <c r="L282" s="113"/>
      <c r="M282" s="113"/>
      <c r="N282" s="113"/>
      <c r="P282" s="113"/>
      <c r="Q282" s="113"/>
      <c r="R282" s="113"/>
      <c r="T282" s="113"/>
      <c r="U282" s="113"/>
      <c r="V282" s="113"/>
    </row>
    <row r="283" customFormat="false" ht="15" hidden="false" customHeight="true" outlineLevel="0" collapsed="false">
      <c r="H283" s="113"/>
      <c r="I283" s="113"/>
      <c r="J283" s="113"/>
      <c r="L283" s="113"/>
      <c r="M283" s="113"/>
      <c r="N283" s="113"/>
      <c r="P283" s="113"/>
      <c r="Q283" s="113"/>
      <c r="R283" s="113"/>
      <c r="T283" s="113"/>
      <c r="U283" s="113"/>
      <c r="V283" s="113"/>
    </row>
    <row r="284" customFormat="false" ht="15" hidden="false" customHeight="true" outlineLevel="0" collapsed="false">
      <c r="H284" s="113"/>
      <c r="I284" s="113"/>
      <c r="J284" s="113"/>
      <c r="L284" s="113"/>
      <c r="M284" s="113"/>
      <c r="N284" s="113"/>
      <c r="P284" s="113"/>
      <c r="Q284" s="113"/>
      <c r="R284" s="113"/>
      <c r="T284" s="113"/>
      <c r="U284" s="113"/>
      <c r="V284" s="113"/>
    </row>
    <row r="285" customFormat="false" ht="15" hidden="false" customHeight="true" outlineLevel="0" collapsed="false">
      <c r="H285" s="113"/>
      <c r="I285" s="113"/>
      <c r="J285" s="113"/>
      <c r="L285" s="113"/>
      <c r="M285" s="113"/>
      <c r="N285" s="113"/>
      <c r="P285" s="113"/>
      <c r="Q285" s="113"/>
      <c r="R285" s="113"/>
      <c r="T285" s="113"/>
      <c r="U285" s="113"/>
      <c r="V285" s="113"/>
    </row>
    <row r="286" customFormat="false" ht="15" hidden="false" customHeight="true" outlineLevel="0" collapsed="false">
      <c r="H286" s="113"/>
      <c r="I286" s="113"/>
      <c r="J286" s="113"/>
      <c r="L286" s="113"/>
      <c r="M286" s="113"/>
      <c r="N286" s="113"/>
      <c r="P286" s="113"/>
      <c r="Q286" s="113"/>
      <c r="R286" s="113"/>
      <c r="T286" s="113"/>
      <c r="U286" s="113"/>
      <c r="V286" s="113"/>
    </row>
    <row r="287" customFormat="false" ht="15" hidden="false" customHeight="true" outlineLevel="0" collapsed="false">
      <c r="H287" s="113"/>
      <c r="I287" s="113"/>
      <c r="J287" s="113"/>
      <c r="L287" s="113"/>
      <c r="M287" s="113"/>
      <c r="N287" s="113"/>
      <c r="P287" s="113"/>
      <c r="Q287" s="113"/>
      <c r="R287" s="113"/>
      <c r="T287" s="113"/>
      <c r="U287" s="113"/>
      <c r="V287" s="113"/>
    </row>
    <row r="288" customFormat="false" ht="15" hidden="false" customHeight="true" outlineLevel="0" collapsed="false">
      <c r="H288" s="113"/>
      <c r="I288" s="113"/>
      <c r="J288" s="113"/>
      <c r="L288" s="113"/>
      <c r="M288" s="113"/>
      <c r="N288" s="113"/>
      <c r="P288" s="113"/>
      <c r="Q288" s="113"/>
      <c r="R288" s="113"/>
      <c r="T288" s="113"/>
      <c r="U288" s="113"/>
      <c r="V288" s="113"/>
    </row>
    <row r="289" customFormat="false" ht="15" hidden="false" customHeight="true" outlineLevel="0" collapsed="false">
      <c r="H289" s="113"/>
      <c r="I289" s="113"/>
      <c r="J289" s="113"/>
      <c r="L289" s="113"/>
      <c r="M289" s="113"/>
      <c r="N289" s="113"/>
      <c r="P289" s="113"/>
      <c r="Q289" s="113"/>
      <c r="R289" s="113"/>
      <c r="T289" s="113"/>
      <c r="U289" s="113"/>
      <c r="V289" s="113"/>
    </row>
    <row r="290" customFormat="false" ht="15" hidden="false" customHeight="true" outlineLevel="0" collapsed="false">
      <c r="H290" s="113"/>
      <c r="I290" s="113"/>
      <c r="J290" s="113"/>
      <c r="L290" s="113"/>
      <c r="M290" s="113"/>
      <c r="N290" s="113"/>
      <c r="P290" s="113"/>
      <c r="Q290" s="113"/>
      <c r="R290" s="113"/>
      <c r="T290" s="113"/>
      <c r="U290" s="113"/>
      <c r="V290" s="113"/>
    </row>
    <row r="291" customFormat="false" ht="15" hidden="false" customHeight="true" outlineLevel="0" collapsed="false">
      <c r="H291" s="113"/>
      <c r="I291" s="113"/>
      <c r="J291" s="113"/>
      <c r="L291" s="113"/>
      <c r="M291" s="113"/>
      <c r="N291" s="113"/>
      <c r="P291" s="113"/>
      <c r="Q291" s="113"/>
      <c r="R291" s="113"/>
      <c r="T291" s="113"/>
      <c r="U291" s="113"/>
      <c r="V291" s="113"/>
    </row>
    <row r="292" customFormat="false" ht="15" hidden="false" customHeight="true" outlineLevel="0" collapsed="false">
      <c r="H292" s="113"/>
      <c r="I292" s="113"/>
      <c r="J292" s="113"/>
      <c r="L292" s="113"/>
      <c r="M292" s="113"/>
      <c r="N292" s="113"/>
      <c r="P292" s="113"/>
      <c r="Q292" s="113"/>
      <c r="R292" s="113"/>
      <c r="T292" s="113"/>
      <c r="U292" s="113"/>
      <c r="V292" s="113"/>
    </row>
    <row r="293" customFormat="false" ht="15" hidden="false" customHeight="true" outlineLevel="0" collapsed="false">
      <c r="H293" s="113"/>
      <c r="I293" s="113"/>
      <c r="J293" s="113"/>
      <c r="L293" s="113"/>
      <c r="M293" s="113"/>
      <c r="N293" s="113"/>
      <c r="P293" s="113"/>
      <c r="Q293" s="113"/>
      <c r="R293" s="113"/>
      <c r="T293" s="113"/>
      <c r="U293" s="113"/>
      <c r="V293" s="113"/>
    </row>
    <row r="294" customFormat="false" ht="15" hidden="false" customHeight="true" outlineLevel="0" collapsed="false">
      <c r="H294" s="113"/>
      <c r="I294" s="113"/>
      <c r="J294" s="113"/>
      <c r="L294" s="113"/>
      <c r="M294" s="113"/>
      <c r="N294" s="113"/>
      <c r="P294" s="113"/>
      <c r="Q294" s="113"/>
      <c r="R294" s="113"/>
      <c r="T294" s="113"/>
      <c r="U294" s="113"/>
      <c r="V294" s="113"/>
    </row>
    <row r="295" customFormat="false" ht="15" hidden="false" customHeight="true" outlineLevel="0" collapsed="false">
      <c r="H295" s="113"/>
      <c r="I295" s="113"/>
      <c r="J295" s="113"/>
      <c r="L295" s="113"/>
      <c r="M295" s="113"/>
      <c r="N295" s="113"/>
      <c r="P295" s="113"/>
      <c r="Q295" s="113"/>
      <c r="R295" s="113"/>
      <c r="T295" s="113"/>
      <c r="U295" s="113"/>
      <c r="V295" s="113"/>
    </row>
    <row r="296" customFormat="false" ht="15" hidden="false" customHeight="true" outlineLevel="0" collapsed="false">
      <c r="H296" s="113"/>
      <c r="I296" s="113"/>
      <c r="J296" s="113"/>
      <c r="L296" s="113"/>
      <c r="M296" s="113"/>
      <c r="N296" s="113"/>
      <c r="P296" s="113"/>
      <c r="Q296" s="113"/>
      <c r="R296" s="113"/>
      <c r="T296" s="113"/>
      <c r="U296" s="113"/>
      <c r="V296" s="113"/>
    </row>
    <row r="297" customFormat="false" ht="15" hidden="false" customHeight="true" outlineLevel="0" collapsed="false">
      <c r="H297" s="113"/>
      <c r="I297" s="113"/>
      <c r="J297" s="113"/>
      <c r="L297" s="113"/>
      <c r="M297" s="113"/>
      <c r="N297" s="113"/>
      <c r="P297" s="113"/>
      <c r="Q297" s="113"/>
      <c r="R297" s="113"/>
      <c r="T297" s="113"/>
      <c r="U297" s="113"/>
      <c r="V297" s="113"/>
    </row>
    <row r="298" customFormat="false" ht="15" hidden="false" customHeight="true" outlineLevel="0" collapsed="false">
      <c r="H298" s="113"/>
      <c r="I298" s="113"/>
      <c r="J298" s="113"/>
      <c r="L298" s="113"/>
      <c r="M298" s="113"/>
      <c r="N298" s="113"/>
      <c r="P298" s="113"/>
      <c r="Q298" s="113"/>
      <c r="R298" s="113"/>
      <c r="T298" s="113"/>
      <c r="U298" s="113"/>
      <c r="V298" s="113"/>
    </row>
    <row r="299" customFormat="false" ht="15" hidden="false" customHeight="true" outlineLevel="0" collapsed="false">
      <c r="H299" s="113"/>
      <c r="I299" s="113"/>
      <c r="J299" s="113"/>
      <c r="L299" s="113"/>
      <c r="M299" s="113"/>
      <c r="N299" s="113"/>
      <c r="P299" s="113"/>
      <c r="Q299" s="113"/>
      <c r="R299" s="113"/>
      <c r="T299" s="113"/>
      <c r="U299" s="113"/>
      <c r="V299" s="113"/>
    </row>
    <row r="300" customFormat="false" ht="15" hidden="false" customHeight="true" outlineLevel="0" collapsed="false">
      <c r="H300" s="113"/>
      <c r="I300" s="113"/>
      <c r="J300" s="113"/>
      <c r="L300" s="113"/>
      <c r="M300" s="113"/>
      <c r="N300" s="113"/>
      <c r="P300" s="113"/>
      <c r="Q300" s="113"/>
      <c r="R300" s="113"/>
      <c r="T300" s="113"/>
      <c r="U300" s="113"/>
      <c r="V300" s="113"/>
    </row>
    <row r="301" customFormat="false" ht="15" hidden="false" customHeight="true" outlineLevel="0" collapsed="false">
      <c r="H301" s="113"/>
      <c r="I301" s="113"/>
      <c r="J301" s="113"/>
      <c r="L301" s="113"/>
      <c r="M301" s="113"/>
      <c r="N301" s="113"/>
      <c r="P301" s="113"/>
      <c r="Q301" s="113"/>
      <c r="R301" s="113"/>
      <c r="T301" s="113"/>
      <c r="U301" s="113"/>
      <c r="V301" s="113"/>
    </row>
    <row r="302" customFormat="false" ht="15" hidden="false" customHeight="true" outlineLevel="0" collapsed="false">
      <c r="H302" s="113"/>
      <c r="I302" s="113"/>
      <c r="J302" s="113"/>
      <c r="L302" s="113"/>
      <c r="M302" s="113"/>
      <c r="N302" s="113"/>
      <c r="P302" s="113"/>
      <c r="Q302" s="113"/>
      <c r="R302" s="113"/>
      <c r="T302" s="113"/>
      <c r="U302" s="113"/>
      <c r="V302" s="113"/>
    </row>
    <row r="303" customFormat="false" ht="15" hidden="false" customHeight="true" outlineLevel="0" collapsed="false">
      <c r="H303" s="113"/>
      <c r="I303" s="113"/>
      <c r="J303" s="113"/>
      <c r="L303" s="113"/>
      <c r="M303" s="113"/>
      <c r="N303" s="113"/>
      <c r="P303" s="113"/>
      <c r="Q303" s="113"/>
      <c r="R303" s="113"/>
      <c r="T303" s="113"/>
      <c r="U303" s="113"/>
      <c r="V303" s="113"/>
    </row>
    <row r="304" customFormat="false" ht="15" hidden="false" customHeight="true" outlineLevel="0" collapsed="false">
      <c r="H304" s="113"/>
      <c r="I304" s="113"/>
      <c r="J304" s="113"/>
      <c r="L304" s="113"/>
      <c r="M304" s="113"/>
      <c r="N304" s="113"/>
      <c r="P304" s="113"/>
      <c r="Q304" s="113"/>
      <c r="R304" s="113"/>
      <c r="T304" s="113"/>
      <c r="U304" s="113"/>
      <c r="V304" s="113"/>
    </row>
    <row r="305" customFormat="false" ht="15" hidden="false" customHeight="true" outlineLevel="0" collapsed="false">
      <c r="H305" s="113"/>
      <c r="I305" s="113"/>
      <c r="J305" s="113"/>
      <c r="L305" s="113"/>
      <c r="M305" s="113"/>
      <c r="N305" s="113"/>
      <c r="P305" s="113"/>
      <c r="Q305" s="113"/>
      <c r="R305" s="113"/>
      <c r="T305" s="113"/>
      <c r="U305" s="113"/>
      <c r="V305" s="113"/>
    </row>
    <row r="306" customFormat="false" ht="15" hidden="false" customHeight="true" outlineLevel="0" collapsed="false">
      <c r="H306" s="113"/>
      <c r="I306" s="113"/>
      <c r="J306" s="113"/>
      <c r="L306" s="113"/>
      <c r="M306" s="113"/>
      <c r="N306" s="113"/>
      <c r="P306" s="113"/>
      <c r="Q306" s="113"/>
      <c r="R306" s="113"/>
      <c r="T306" s="113"/>
      <c r="U306" s="113"/>
      <c r="V306" s="113"/>
    </row>
    <row r="307" customFormat="false" ht="15" hidden="false" customHeight="true" outlineLevel="0" collapsed="false">
      <c r="H307" s="113"/>
      <c r="I307" s="113"/>
      <c r="J307" s="113"/>
      <c r="L307" s="113"/>
      <c r="M307" s="113"/>
      <c r="N307" s="113"/>
      <c r="P307" s="113"/>
      <c r="Q307" s="113"/>
      <c r="R307" s="113"/>
      <c r="T307" s="113"/>
      <c r="U307" s="113"/>
      <c r="V307" s="113"/>
    </row>
    <row r="308" customFormat="false" ht="15" hidden="false" customHeight="true" outlineLevel="0" collapsed="false">
      <c r="H308" s="113"/>
      <c r="I308" s="113"/>
      <c r="J308" s="113"/>
      <c r="L308" s="113"/>
      <c r="M308" s="113"/>
      <c r="N308" s="113"/>
      <c r="P308" s="113"/>
      <c r="Q308" s="113"/>
      <c r="R308" s="113"/>
      <c r="T308" s="113"/>
      <c r="U308" s="113"/>
      <c r="V308" s="113"/>
    </row>
    <row r="309" customFormat="false" ht="15" hidden="false" customHeight="true" outlineLevel="0" collapsed="false">
      <c r="H309" s="113"/>
      <c r="I309" s="113"/>
      <c r="J309" s="113"/>
      <c r="L309" s="113"/>
      <c r="M309" s="113"/>
      <c r="N309" s="113"/>
      <c r="P309" s="113"/>
      <c r="Q309" s="113"/>
      <c r="R309" s="113"/>
      <c r="T309" s="113"/>
      <c r="U309" s="113"/>
      <c r="V309" s="113"/>
    </row>
    <row r="310" customFormat="false" ht="15" hidden="false" customHeight="true" outlineLevel="0" collapsed="false">
      <c r="H310" s="113"/>
      <c r="I310" s="113"/>
      <c r="J310" s="113"/>
      <c r="L310" s="113"/>
      <c r="M310" s="113"/>
      <c r="N310" s="113"/>
      <c r="P310" s="113"/>
      <c r="Q310" s="113"/>
      <c r="R310" s="113"/>
      <c r="T310" s="113"/>
      <c r="U310" s="113"/>
      <c r="V310" s="113"/>
    </row>
    <row r="311" customFormat="false" ht="15" hidden="false" customHeight="true" outlineLevel="0" collapsed="false">
      <c r="H311" s="113"/>
      <c r="I311" s="113"/>
      <c r="J311" s="113"/>
      <c r="L311" s="113"/>
      <c r="M311" s="113"/>
      <c r="N311" s="113"/>
      <c r="P311" s="113"/>
      <c r="Q311" s="113"/>
      <c r="R311" s="113"/>
      <c r="T311" s="113"/>
      <c r="U311" s="113"/>
      <c r="V311" s="113"/>
    </row>
    <row r="312" customFormat="false" ht="15" hidden="false" customHeight="true" outlineLevel="0" collapsed="false">
      <c r="H312" s="113"/>
      <c r="I312" s="113"/>
      <c r="J312" s="113"/>
      <c r="L312" s="113"/>
      <c r="M312" s="113"/>
      <c r="N312" s="113"/>
      <c r="P312" s="113"/>
      <c r="Q312" s="113"/>
      <c r="R312" s="113"/>
      <c r="T312" s="113"/>
      <c r="U312" s="113"/>
      <c r="V312" s="113"/>
    </row>
    <row r="313" customFormat="false" ht="15" hidden="false" customHeight="true" outlineLevel="0" collapsed="false">
      <c r="H313" s="113"/>
      <c r="I313" s="113"/>
      <c r="J313" s="113"/>
      <c r="L313" s="113"/>
      <c r="M313" s="113"/>
      <c r="N313" s="113"/>
      <c r="P313" s="113"/>
      <c r="Q313" s="113"/>
      <c r="R313" s="113"/>
      <c r="T313" s="113"/>
      <c r="U313" s="113"/>
      <c r="V313" s="113"/>
    </row>
    <row r="314" customFormat="false" ht="15" hidden="false" customHeight="true" outlineLevel="0" collapsed="false">
      <c r="H314" s="113"/>
      <c r="I314" s="113"/>
      <c r="J314" s="113"/>
      <c r="L314" s="113"/>
      <c r="M314" s="113"/>
      <c r="N314" s="113"/>
      <c r="P314" s="113"/>
      <c r="Q314" s="113"/>
      <c r="R314" s="113"/>
      <c r="T314" s="113"/>
      <c r="U314" s="113"/>
      <c r="V314" s="113"/>
    </row>
    <row r="315" customFormat="false" ht="15" hidden="false" customHeight="true" outlineLevel="0" collapsed="false">
      <c r="H315" s="113"/>
      <c r="I315" s="113"/>
      <c r="J315" s="113"/>
      <c r="L315" s="113"/>
      <c r="M315" s="113"/>
      <c r="N315" s="113"/>
      <c r="P315" s="113"/>
      <c r="Q315" s="113"/>
      <c r="R315" s="113"/>
      <c r="T315" s="113"/>
      <c r="U315" s="113"/>
      <c r="V315" s="113"/>
    </row>
    <row r="316" customFormat="false" ht="15" hidden="false" customHeight="true" outlineLevel="0" collapsed="false">
      <c r="H316" s="113"/>
      <c r="I316" s="113"/>
      <c r="J316" s="113"/>
      <c r="L316" s="113"/>
      <c r="M316" s="113"/>
      <c r="N316" s="113"/>
      <c r="P316" s="113"/>
      <c r="Q316" s="113"/>
      <c r="R316" s="113"/>
      <c r="T316" s="113"/>
      <c r="U316" s="113"/>
      <c r="V316" s="113"/>
    </row>
    <row r="317" customFormat="false" ht="15" hidden="false" customHeight="true" outlineLevel="0" collapsed="false">
      <c r="H317" s="113"/>
      <c r="I317" s="113"/>
      <c r="J317" s="113"/>
      <c r="L317" s="113"/>
      <c r="M317" s="113"/>
      <c r="N317" s="113"/>
      <c r="P317" s="113"/>
      <c r="Q317" s="113"/>
      <c r="R317" s="113"/>
      <c r="T317" s="113"/>
      <c r="U317" s="113"/>
      <c r="V317" s="113"/>
    </row>
    <row r="318" customFormat="false" ht="15" hidden="false" customHeight="true" outlineLevel="0" collapsed="false">
      <c r="H318" s="113"/>
      <c r="I318" s="113"/>
      <c r="J318" s="113"/>
      <c r="L318" s="113"/>
      <c r="M318" s="113"/>
      <c r="N318" s="113"/>
      <c r="P318" s="113"/>
      <c r="Q318" s="113"/>
      <c r="R318" s="113"/>
      <c r="T318" s="113"/>
      <c r="U318" s="113"/>
      <c r="V318" s="113"/>
    </row>
    <row r="319" customFormat="false" ht="15" hidden="false" customHeight="true" outlineLevel="0" collapsed="false">
      <c r="H319" s="113"/>
      <c r="I319" s="113"/>
      <c r="J319" s="113"/>
      <c r="L319" s="113"/>
      <c r="M319" s="113"/>
      <c r="N319" s="113"/>
      <c r="P319" s="113"/>
      <c r="Q319" s="113"/>
      <c r="R319" s="113"/>
      <c r="T319" s="113"/>
      <c r="U319" s="113"/>
      <c r="V319" s="113"/>
    </row>
    <row r="320" customFormat="false" ht="15" hidden="false" customHeight="true" outlineLevel="0" collapsed="false">
      <c r="H320" s="113"/>
      <c r="I320" s="113"/>
      <c r="J320" s="113"/>
      <c r="L320" s="113"/>
      <c r="M320" s="113"/>
      <c r="N320" s="113"/>
      <c r="P320" s="113"/>
      <c r="Q320" s="113"/>
      <c r="R320" s="113"/>
      <c r="T320" s="113"/>
      <c r="U320" s="113"/>
      <c r="V320" s="113"/>
    </row>
    <row r="321" customFormat="false" ht="15" hidden="false" customHeight="true" outlineLevel="0" collapsed="false">
      <c r="H321" s="113"/>
      <c r="I321" s="113"/>
      <c r="J321" s="113"/>
      <c r="L321" s="113"/>
      <c r="M321" s="113"/>
      <c r="N321" s="113"/>
      <c r="P321" s="113"/>
      <c r="Q321" s="113"/>
      <c r="R321" s="113"/>
      <c r="T321" s="113"/>
      <c r="U321" s="113"/>
      <c r="V321" s="113"/>
    </row>
    <row r="322" customFormat="false" ht="15" hidden="false" customHeight="true" outlineLevel="0" collapsed="false">
      <c r="H322" s="113"/>
      <c r="I322" s="113"/>
      <c r="J322" s="113"/>
      <c r="L322" s="113"/>
      <c r="M322" s="113"/>
      <c r="N322" s="113"/>
      <c r="P322" s="113"/>
      <c r="Q322" s="113"/>
      <c r="R322" s="113"/>
      <c r="T322" s="113"/>
      <c r="U322" s="113"/>
      <c r="V322" s="113"/>
    </row>
    <row r="323" customFormat="false" ht="15" hidden="false" customHeight="true" outlineLevel="0" collapsed="false">
      <c r="H323" s="113"/>
      <c r="I323" s="113"/>
      <c r="J323" s="113"/>
      <c r="L323" s="113"/>
      <c r="M323" s="113"/>
      <c r="N323" s="113"/>
      <c r="P323" s="113"/>
      <c r="Q323" s="113"/>
      <c r="R323" s="113"/>
      <c r="T323" s="113"/>
      <c r="U323" s="113"/>
      <c r="V323" s="113"/>
    </row>
    <row r="324" customFormat="false" ht="15" hidden="false" customHeight="true" outlineLevel="0" collapsed="false">
      <c r="H324" s="113"/>
      <c r="I324" s="113"/>
      <c r="J324" s="113"/>
      <c r="L324" s="113"/>
      <c r="M324" s="113"/>
      <c r="N324" s="113"/>
      <c r="P324" s="113"/>
      <c r="Q324" s="113"/>
      <c r="R324" s="113"/>
      <c r="T324" s="113"/>
      <c r="U324" s="113"/>
      <c r="V324" s="113"/>
    </row>
    <row r="325" customFormat="false" ht="15" hidden="false" customHeight="true" outlineLevel="0" collapsed="false">
      <c r="H325" s="113"/>
      <c r="I325" s="113"/>
      <c r="J325" s="113"/>
      <c r="L325" s="113"/>
      <c r="M325" s="113"/>
      <c r="N325" s="113"/>
      <c r="P325" s="113"/>
      <c r="Q325" s="113"/>
      <c r="R325" s="113"/>
      <c r="T325" s="113"/>
      <c r="U325" s="113"/>
      <c r="V325" s="113"/>
    </row>
    <row r="326" customFormat="false" ht="15" hidden="false" customHeight="true" outlineLevel="0" collapsed="false">
      <c r="H326" s="113"/>
      <c r="I326" s="113"/>
      <c r="J326" s="113"/>
      <c r="L326" s="113"/>
      <c r="M326" s="113"/>
      <c r="N326" s="113"/>
      <c r="P326" s="113"/>
      <c r="Q326" s="113"/>
      <c r="R326" s="113"/>
      <c r="T326" s="113"/>
      <c r="U326" s="113"/>
      <c r="V326" s="113"/>
    </row>
    <row r="327" customFormat="false" ht="15" hidden="false" customHeight="true" outlineLevel="0" collapsed="false">
      <c r="H327" s="113"/>
      <c r="I327" s="113"/>
      <c r="J327" s="113"/>
      <c r="L327" s="113"/>
      <c r="M327" s="113"/>
      <c r="N327" s="113"/>
      <c r="P327" s="113"/>
      <c r="Q327" s="113"/>
      <c r="R327" s="113"/>
      <c r="T327" s="113"/>
      <c r="U327" s="113"/>
      <c r="V327" s="113"/>
    </row>
    <row r="328" customFormat="false" ht="15" hidden="false" customHeight="true" outlineLevel="0" collapsed="false">
      <c r="H328" s="113"/>
      <c r="I328" s="113"/>
      <c r="J328" s="113"/>
      <c r="L328" s="113"/>
      <c r="M328" s="113"/>
      <c r="N328" s="113"/>
      <c r="P328" s="113"/>
      <c r="Q328" s="113"/>
      <c r="R328" s="113"/>
      <c r="T328" s="113"/>
      <c r="U328" s="113"/>
      <c r="V328" s="113"/>
    </row>
    <row r="329" customFormat="false" ht="15" hidden="false" customHeight="true" outlineLevel="0" collapsed="false">
      <c r="H329" s="113"/>
      <c r="I329" s="113"/>
      <c r="J329" s="113"/>
      <c r="L329" s="113"/>
      <c r="M329" s="113"/>
      <c r="N329" s="113"/>
      <c r="P329" s="113"/>
      <c r="Q329" s="113"/>
      <c r="R329" s="113"/>
      <c r="T329" s="113"/>
      <c r="U329" s="113"/>
      <c r="V329" s="113"/>
    </row>
    <row r="330" customFormat="false" ht="15" hidden="false" customHeight="true" outlineLevel="0" collapsed="false">
      <c r="H330" s="113"/>
      <c r="I330" s="113"/>
      <c r="J330" s="113"/>
      <c r="L330" s="113"/>
      <c r="M330" s="113"/>
      <c r="N330" s="113"/>
      <c r="P330" s="113"/>
      <c r="Q330" s="113"/>
      <c r="R330" s="113"/>
      <c r="T330" s="113"/>
      <c r="U330" s="113"/>
      <c r="V330" s="113"/>
    </row>
    <row r="331" customFormat="false" ht="15" hidden="false" customHeight="true" outlineLevel="0" collapsed="false">
      <c r="H331" s="113"/>
      <c r="I331" s="113"/>
      <c r="J331" s="113"/>
      <c r="L331" s="113"/>
      <c r="M331" s="113"/>
      <c r="N331" s="113"/>
      <c r="P331" s="113"/>
      <c r="Q331" s="113"/>
      <c r="R331" s="113"/>
      <c r="T331" s="113"/>
      <c r="U331" s="113"/>
      <c r="V331" s="113"/>
    </row>
    <row r="332" customFormat="false" ht="15" hidden="false" customHeight="true" outlineLevel="0" collapsed="false">
      <c r="H332" s="113"/>
      <c r="I332" s="113"/>
      <c r="J332" s="113"/>
      <c r="L332" s="113"/>
      <c r="M332" s="113"/>
      <c r="N332" s="113"/>
      <c r="P332" s="113"/>
      <c r="Q332" s="113"/>
      <c r="R332" s="113"/>
      <c r="T332" s="113"/>
      <c r="U332" s="113"/>
      <c r="V332" s="113"/>
    </row>
    <row r="333" customFormat="false" ht="15" hidden="false" customHeight="true" outlineLevel="0" collapsed="false">
      <c r="H333" s="113"/>
      <c r="I333" s="113"/>
      <c r="J333" s="113"/>
      <c r="L333" s="113"/>
      <c r="M333" s="113"/>
      <c r="N333" s="113"/>
      <c r="P333" s="113"/>
      <c r="Q333" s="113"/>
      <c r="R333" s="113"/>
      <c r="T333" s="113"/>
      <c r="U333" s="113"/>
      <c r="V333" s="113"/>
    </row>
    <row r="334" customFormat="false" ht="15" hidden="false" customHeight="true" outlineLevel="0" collapsed="false">
      <c r="H334" s="113"/>
      <c r="I334" s="113"/>
      <c r="J334" s="113"/>
      <c r="L334" s="113"/>
      <c r="M334" s="113"/>
      <c r="N334" s="113"/>
      <c r="P334" s="113"/>
      <c r="Q334" s="113"/>
      <c r="R334" s="113"/>
      <c r="T334" s="113"/>
      <c r="U334" s="113"/>
      <c r="V334" s="113"/>
    </row>
    <row r="335" customFormat="false" ht="15" hidden="false" customHeight="true" outlineLevel="0" collapsed="false">
      <c r="H335" s="113"/>
      <c r="I335" s="113"/>
      <c r="J335" s="113"/>
      <c r="L335" s="113"/>
      <c r="M335" s="113"/>
      <c r="N335" s="113"/>
      <c r="P335" s="113"/>
      <c r="Q335" s="113"/>
      <c r="R335" s="113"/>
      <c r="T335" s="113"/>
      <c r="U335" s="113"/>
      <c r="V335" s="113"/>
    </row>
    <row r="336" customFormat="false" ht="15" hidden="false" customHeight="true" outlineLevel="0" collapsed="false">
      <c r="H336" s="113"/>
      <c r="I336" s="113"/>
      <c r="J336" s="113"/>
      <c r="L336" s="113"/>
      <c r="M336" s="113"/>
      <c r="N336" s="113"/>
      <c r="P336" s="113"/>
      <c r="Q336" s="113"/>
      <c r="R336" s="113"/>
      <c r="T336" s="113"/>
      <c r="U336" s="113"/>
      <c r="V336" s="113"/>
    </row>
    <row r="337" customFormat="false" ht="15" hidden="false" customHeight="true" outlineLevel="0" collapsed="false">
      <c r="H337" s="113"/>
      <c r="I337" s="113"/>
      <c r="J337" s="113"/>
      <c r="L337" s="113"/>
      <c r="M337" s="113"/>
      <c r="N337" s="113"/>
      <c r="P337" s="113"/>
      <c r="Q337" s="113"/>
      <c r="R337" s="113"/>
      <c r="T337" s="113"/>
      <c r="U337" s="113"/>
      <c r="V337" s="113"/>
    </row>
    <row r="338" customFormat="false" ht="15" hidden="false" customHeight="true" outlineLevel="0" collapsed="false">
      <c r="H338" s="113"/>
      <c r="I338" s="113"/>
      <c r="J338" s="113"/>
      <c r="L338" s="113"/>
      <c r="M338" s="113"/>
      <c r="N338" s="113"/>
      <c r="P338" s="113"/>
      <c r="Q338" s="113"/>
      <c r="R338" s="113"/>
      <c r="T338" s="113"/>
      <c r="U338" s="113"/>
      <c r="V338" s="113"/>
    </row>
    <row r="339" customFormat="false" ht="15" hidden="false" customHeight="true" outlineLevel="0" collapsed="false">
      <c r="H339" s="113"/>
      <c r="I339" s="113"/>
      <c r="J339" s="113"/>
      <c r="L339" s="113"/>
      <c r="M339" s="113"/>
      <c r="N339" s="113"/>
      <c r="P339" s="113"/>
      <c r="Q339" s="113"/>
      <c r="R339" s="113"/>
      <c r="T339" s="113"/>
      <c r="U339" s="113"/>
      <c r="V339" s="113"/>
    </row>
    <row r="340" customFormat="false" ht="15" hidden="false" customHeight="true" outlineLevel="0" collapsed="false">
      <c r="H340" s="113"/>
      <c r="I340" s="113"/>
      <c r="J340" s="113"/>
      <c r="L340" s="113"/>
      <c r="M340" s="113"/>
      <c r="N340" s="113"/>
      <c r="P340" s="113"/>
      <c r="Q340" s="113"/>
      <c r="R340" s="113"/>
      <c r="T340" s="113"/>
      <c r="U340" s="113"/>
      <c r="V340" s="113"/>
    </row>
    <row r="341" customFormat="false" ht="15" hidden="false" customHeight="true" outlineLevel="0" collapsed="false">
      <c r="H341" s="113"/>
      <c r="I341" s="113"/>
      <c r="J341" s="113"/>
      <c r="L341" s="113"/>
      <c r="M341" s="113"/>
      <c r="N341" s="113"/>
      <c r="P341" s="113"/>
      <c r="Q341" s="113"/>
      <c r="R341" s="113"/>
      <c r="T341" s="113"/>
      <c r="U341" s="113"/>
      <c r="V341" s="113"/>
    </row>
    <row r="342" customFormat="false" ht="15" hidden="false" customHeight="true" outlineLevel="0" collapsed="false">
      <c r="H342" s="113"/>
      <c r="I342" s="113"/>
      <c r="J342" s="113"/>
      <c r="L342" s="113"/>
      <c r="M342" s="113"/>
      <c r="N342" s="113"/>
      <c r="P342" s="113"/>
      <c r="Q342" s="113"/>
      <c r="R342" s="113"/>
      <c r="T342" s="113"/>
      <c r="U342" s="113"/>
      <c r="V342" s="113"/>
    </row>
    <row r="343" customFormat="false" ht="15" hidden="false" customHeight="true" outlineLevel="0" collapsed="false">
      <c r="H343" s="113"/>
      <c r="I343" s="113"/>
      <c r="J343" s="113"/>
      <c r="L343" s="113"/>
      <c r="M343" s="113"/>
      <c r="N343" s="113"/>
      <c r="P343" s="113"/>
      <c r="Q343" s="113"/>
      <c r="R343" s="113"/>
      <c r="T343" s="113"/>
      <c r="U343" s="113"/>
      <c r="V343" s="113"/>
    </row>
    <row r="344" customFormat="false" ht="15" hidden="false" customHeight="true" outlineLevel="0" collapsed="false">
      <c r="H344" s="113"/>
      <c r="I344" s="113"/>
      <c r="J344" s="113"/>
      <c r="L344" s="113"/>
      <c r="M344" s="113"/>
      <c r="N344" s="113"/>
      <c r="P344" s="113"/>
      <c r="Q344" s="113"/>
      <c r="R344" s="113"/>
      <c r="T344" s="113"/>
      <c r="U344" s="113"/>
      <c r="V344" s="113"/>
    </row>
    <row r="345" customFormat="false" ht="15" hidden="false" customHeight="true" outlineLevel="0" collapsed="false">
      <c r="H345" s="113"/>
      <c r="I345" s="113"/>
      <c r="J345" s="113"/>
      <c r="L345" s="113"/>
      <c r="M345" s="113"/>
      <c r="N345" s="113"/>
      <c r="P345" s="113"/>
      <c r="Q345" s="113"/>
      <c r="R345" s="113"/>
      <c r="T345" s="113"/>
      <c r="U345" s="113"/>
      <c r="V345" s="113"/>
    </row>
    <row r="346" customFormat="false" ht="15" hidden="false" customHeight="true" outlineLevel="0" collapsed="false">
      <c r="H346" s="113"/>
      <c r="I346" s="113"/>
      <c r="J346" s="113"/>
      <c r="L346" s="113"/>
      <c r="M346" s="113"/>
      <c r="N346" s="113"/>
      <c r="P346" s="113"/>
      <c r="Q346" s="113"/>
      <c r="R346" s="113"/>
      <c r="T346" s="113"/>
      <c r="U346" s="113"/>
      <c r="V346" s="113"/>
    </row>
    <row r="347" customFormat="false" ht="15" hidden="false" customHeight="true" outlineLevel="0" collapsed="false">
      <c r="H347" s="113"/>
      <c r="I347" s="113"/>
      <c r="J347" s="113"/>
      <c r="L347" s="113"/>
      <c r="M347" s="113"/>
      <c r="N347" s="113"/>
      <c r="P347" s="113"/>
      <c r="Q347" s="113"/>
      <c r="R347" s="113"/>
      <c r="T347" s="113"/>
      <c r="U347" s="113"/>
      <c r="V347" s="113"/>
    </row>
    <row r="348" customFormat="false" ht="15" hidden="false" customHeight="true" outlineLevel="0" collapsed="false">
      <c r="H348" s="113"/>
      <c r="I348" s="113"/>
      <c r="J348" s="113"/>
      <c r="L348" s="113"/>
      <c r="M348" s="113"/>
      <c r="N348" s="113"/>
      <c r="P348" s="113"/>
      <c r="Q348" s="113"/>
      <c r="R348" s="113"/>
      <c r="T348" s="113"/>
      <c r="U348" s="113"/>
      <c r="V348" s="113"/>
    </row>
    <row r="349" customFormat="false" ht="15" hidden="false" customHeight="true" outlineLevel="0" collapsed="false">
      <c r="H349" s="113"/>
      <c r="I349" s="113"/>
      <c r="J349" s="113"/>
      <c r="L349" s="113"/>
      <c r="M349" s="113"/>
      <c r="N349" s="113"/>
      <c r="P349" s="113"/>
      <c r="Q349" s="113"/>
      <c r="R349" s="113"/>
      <c r="T349" s="113"/>
      <c r="U349" s="113"/>
      <c r="V349" s="113"/>
    </row>
    <row r="350" customFormat="false" ht="15" hidden="false" customHeight="true" outlineLevel="0" collapsed="false">
      <c r="H350" s="113"/>
      <c r="I350" s="113"/>
      <c r="J350" s="113"/>
      <c r="L350" s="113"/>
      <c r="M350" s="113"/>
      <c r="N350" s="113"/>
      <c r="P350" s="113"/>
      <c r="Q350" s="113"/>
      <c r="R350" s="113"/>
      <c r="T350" s="113"/>
      <c r="U350" s="113"/>
      <c r="V350" s="113"/>
    </row>
    <row r="351" customFormat="false" ht="15" hidden="false" customHeight="true" outlineLevel="0" collapsed="false">
      <c r="H351" s="113"/>
      <c r="I351" s="113"/>
      <c r="J351" s="113"/>
      <c r="L351" s="113"/>
      <c r="M351" s="113"/>
      <c r="N351" s="113"/>
      <c r="P351" s="113"/>
      <c r="Q351" s="113"/>
      <c r="R351" s="113"/>
      <c r="T351" s="113"/>
      <c r="U351" s="113"/>
      <c r="V351" s="113"/>
    </row>
    <row r="352" customFormat="false" ht="15" hidden="false" customHeight="true" outlineLevel="0" collapsed="false">
      <c r="H352" s="113"/>
      <c r="I352" s="113"/>
      <c r="J352" s="113"/>
      <c r="L352" s="113"/>
      <c r="M352" s="113"/>
      <c r="N352" s="113"/>
      <c r="P352" s="113"/>
      <c r="Q352" s="113"/>
      <c r="R352" s="113"/>
      <c r="T352" s="113"/>
      <c r="U352" s="113"/>
      <c r="V352" s="113"/>
    </row>
    <row r="353" customFormat="false" ht="15" hidden="false" customHeight="true" outlineLevel="0" collapsed="false">
      <c r="H353" s="113"/>
      <c r="I353" s="113"/>
      <c r="J353" s="113"/>
      <c r="L353" s="113"/>
      <c r="M353" s="113"/>
      <c r="N353" s="113"/>
      <c r="P353" s="113"/>
      <c r="Q353" s="113"/>
      <c r="R353" s="113"/>
      <c r="T353" s="113"/>
      <c r="U353" s="113"/>
      <c r="V353" s="113"/>
    </row>
    <row r="354" customFormat="false" ht="15" hidden="false" customHeight="true" outlineLevel="0" collapsed="false">
      <c r="H354" s="113"/>
      <c r="I354" s="113"/>
      <c r="J354" s="113"/>
      <c r="L354" s="113"/>
      <c r="M354" s="113"/>
      <c r="N354" s="113"/>
      <c r="P354" s="113"/>
      <c r="Q354" s="113"/>
      <c r="R354" s="113"/>
      <c r="T354" s="113"/>
      <c r="U354" s="113"/>
      <c r="V354" s="113"/>
    </row>
    <row r="355" customFormat="false" ht="15" hidden="false" customHeight="true" outlineLevel="0" collapsed="false">
      <c r="H355" s="113"/>
      <c r="I355" s="113"/>
      <c r="J355" s="113"/>
      <c r="L355" s="113"/>
      <c r="M355" s="113"/>
      <c r="N355" s="113"/>
      <c r="P355" s="113"/>
      <c r="Q355" s="113"/>
      <c r="R355" s="113"/>
      <c r="T355" s="113"/>
      <c r="U355" s="113"/>
      <c r="V355" s="113"/>
    </row>
    <row r="356" customFormat="false" ht="15" hidden="false" customHeight="true" outlineLevel="0" collapsed="false">
      <c r="H356" s="113"/>
      <c r="I356" s="113"/>
      <c r="J356" s="113"/>
      <c r="L356" s="113"/>
      <c r="M356" s="113"/>
      <c r="N356" s="113"/>
      <c r="P356" s="113"/>
      <c r="Q356" s="113"/>
      <c r="R356" s="113"/>
      <c r="T356" s="113"/>
      <c r="U356" s="113"/>
      <c r="V356" s="113"/>
    </row>
    <row r="357" customFormat="false" ht="15" hidden="false" customHeight="true" outlineLevel="0" collapsed="false">
      <c r="H357" s="113"/>
      <c r="I357" s="113"/>
      <c r="J357" s="113"/>
      <c r="L357" s="113"/>
      <c r="M357" s="113"/>
      <c r="N357" s="113"/>
      <c r="P357" s="113"/>
      <c r="Q357" s="113"/>
      <c r="R357" s="113"/>
      <c r="T357" s="113"/>
      <c r="U357" s="113"/>
      <c r="V357" s="113"/>
    </row>
    <row r="358" customFormat="false" ht="15" hidden="false" customHeight="true" outlineLevel="0" collapsed="false">
      <c r="H358" s="113"/>
      <c r="I358" s="113"/>
      <c r="J358" s="113"/>
      <c r="L358" s="113"/>
      <c r="M358" s="113"/>
      <c r="N358" s="113"/>
      <c r="P358" s="113"/>
      <c r="Q358" s="113"/>
      <c r="R358" s="113"/>
      <c r="T358" s="113"/>
      <c r="U358" s="113"/>
      <c r="V358" s="113"/>
    </row>
    <row r="359" customFormat="false" ht="15" hidden="false" customHeight="true" outlineLevel="0" collapsed="false">
      <c r="H359" s="113"/>
      <c r="I359" s="113"/>
      <c r="J359" s="113"/>
      <c r="L359" s="113"/>
      <c r="M359" s="113"/>
      <c r="N359" s="113"/>
      <c r="P359" s="113"/>
      <c r="Q359" s="113"/>
      <c r="R359" s="113"/>
      <c r="T359" s="113"/>
      <c r="U359" s="113"/>
      <c r="V359" s="113"/>
    </row>
    <row r="360" customFormat="false" ht="15" hidden="false" customHeight="true" outlineLevel="0" collapsed="false">
      <c r="H360" s="113"/>
      <c r="I360" s="113"/>
      <c r="J360" s="113"/>
      <c r="L360" s="113"/>
      <c r="M360" s="113"/>
      <c r="N360" s="113"/>
      <c r="P360" s="113"/>
      <c r="Q360" s="113"/>
      <c r="R360" s="113"/>
      <c r="T360" s="113"/>
      <c r="U360" s="113"/>
      <c r="V360" s="113"/>
    </row>
    <row r="361" customFormat="false" ht="15" hidden="false" customHeight="true" outlineLevel="0" collapsed="false">
      <c r="H361" s="113"/>
      <c r="I361" s="113"/>
      <c r="J361" s="113"/>
      <c r="L361" s="113"/>
      <c r="M361" s="113"/>
      <c r="N361" s="113"/>
      <c r="P361" s="113"/>
      <c r="Q361" s="113"/>
      <c r="R361" s="113"/>
      <c r="T361" s="113"/>
      <c r="U361" s="113"/>
      <c r="V361" s="113"/>
    </row>
    <row r="362" customFormat="false" ht="15" hidden="false" customHeight="true" outlineLevel="0" collapsed="false">
      <c r="H362" s="113"/>
      <c r="I362" s="113"/>
      <c r="J362" s="113"/>
      <c r="L362" s="113"/>
      <c r="M362" s="113"/>
      <c r="N362" s="113"/>
      <c r="P362" s="113"/>
      <c r="Q362" s="113"/>
      <c r="R362" s="113"/>
      <c r="T362" s="113"/>
      <c r="U362" s="113"/>
      <c r="V362" s="113"/>
    </row>
    <row r="363" customFormat="false" ht="15" hidden="false" customHeight="true" outlineLevel="0" collapsed="false">
      <c r="H363" s="113"/>
      <c r="I363" s="113"/>
      <c r="J363" s="113"/>
      <c r="L363" s="113"/>
      <c r="M363" s="113"/>
      <c r="N363" s="113"/>
      <c r="P363" s="113"/>
      <c r="Q363" s="113"/>
      <c r="R363" s="113"/>
      <c r="T363" s="113"/>
      <c r="U363" s="113"/>
      <c r="V363" s="113"/>
    </row>
    <row r="364" customFormat="false" ht="15" hidden="false" customHeight="true" outlineLevel="0" collapsed="false">
      <c r="H364" s="113"/>
      <c r="I364" s="113"/>
      <c r="J364" s="113"/>
      <c r="L364" s="113"/>
      <c r="M364" s="113"/>
      <c r="N364" s="113"/>
      <c r="P364" s="113"/>
      <c r="Q364" s="113"/>
      <c r="R364" s="113"/>
      <c r="T364" s="113"/>
      <c r="U364" s="113"/>
      <c r="V364" s="113"/>
    </row>
    <row r="365" customFormat="false" ht="15" hidden="false" customHeight="true" outlineLevel="0" collapsed="false">
      <c r="H365" s="113"/>
      <c r="I365" s="113"/>
      <c r="J365" s="113"/>
      <c r="L365" s="113"/>
      <c r="M365" s="113"/>
      <c r="N365" s="113"/>
      <c r="P365" s="113"/>
      <c r="Q365" s="113"/>
      <c r="R365" s="113"/>
      <c r="T365" s="113"/>
      <c r="U365" s="113"/>
      <c r="V365" s="113"/>
    </row>
    <row r="366" customFormat="false" ht="15" hidden="false" customHeight="true" outlineLevel="0" collapsed="false">
      <c r="H366" s="113"/>
      <c r="I366" s="113"/>
      <c r="J366" s="113"/>
      <c r="L366" s="113"/>
      <c r="M366" s="113"/>
      <c r="N366" s="113"/>
      <c r="P366" s="113"/>
      <c r="Q366" s="113"/>
      <c r="R366" s="113"/>
      <c r="T366" s="113"/>
      <c r="U366" s="113"/>
      <c r="V366" s="113"/>
    </row>
    <row r="367" customFormat="false" ht="15" hidden="false" customHeight="true" outlineLevel="0" collapsed="false">
      <c r="H367" s="113"/>
      <c r="I367" s="113"/>
      <c r="J367" s="113"/>
      <c r="L367" s="113"/>
      <c r="M367" s="113"/>
      <c r="N367" s="113"/>
      <c r="P367" s="113"/>
      <c r="Q367" s="113"/>
      <c r="R367" s="113"/>
      <c r="T367" s="113"/>
      <c r="U367" s="113"/>
      <c r="V367" s="113"/>
    </row>
    <row r="368" customFormat="false" ht="15" hidden="false" customHeight="true" outlineLevel="0" collapsed="false">
      <c r="H368" s="113"/>
      <c r="I368" s="113"/>
      <c r="J368" s="113"/>
      <c r="L368" s="113"/>
      <c r="M368" s="113"/>
      <c r="N368" s="113"/>
      <c r="P368" s="113"/>
      <c r="Q368" s="113"/>
      <c r="R368" s="113"/>
      <c r="T368" s="113"/>
      <c r="U368" s="113"/>
      <c r="V368" s="113"/>
    </row>
    <row r="369" customFormat="false" ht="15" hidden="false" customHeight="true" outlineLevel="0" collapsed="false">
      <c r="H369" s="113"/>
      <c r="I369" s="113"/>
      <c r="J369" s="113"/>
      <c r="L369" s="113"/>
      <c r="M369" s="113"/>
      <c r="N369" s="113"/>
      <c r="P369" s="113"/>
      <c r="Q369" s="113"/>
      <c r="R369" s="113"/>
      <c r="T369" s="113"/>
      <c r="U369" s="113"/>
      <c r="V369" s="113"/>
    </row>
    <row r="370" customFormat="false" ht="15" hidden="false" customHeight="true" outlineLevel="0" collapsed="false">
      <c r="H370" s="113"/>
      <c r="I370" s="113"/>
      <c r="J370" s="113"/>
      <c r="L370" s="113"/>
      <c r="M370" s="113"/>
      <c r="N370" s="113"/>
      <c r="P370" s="113"/>
      <c r="Q370" s="113"/>
      <c r="R370" s="113"/>
      <c r="T370" s="113"/>
      <c r="U370" s="113"/>
      <c r="V370" s="113"/>
    </row>
    <row r="371" customFormat="false" ht="15" hidden="false" customHeight="true" outlineLevel="0" collapsed="false">
      <c r="H371" s="113"/>
      <c r="I371" s="113"/>
      <c r="J371" s="113"/>
      <c r="L371" s="113"/>
      <c r="M371" s="113"/>
      <c r="N371" s="113"/>
      <c r="P371" s="113"/>
      <c r="Q371" s="113"/>
      <c r="R371" s="113"/>
      <c r="T371" s="113"/>
      <c r="U371" s="113"/>
      <c r="V371" s="113"/>
    </row>
    <row r="372" customFormat="false" ht="15" hidden="false" customHeight="true" outlineLevel="0" collapsed="false">
      <c r="H372" s="113"/>
      <c r="I372" s="113"/>
      <c r="J372" s="113"/>
      <c r="L372" s="113"/>
      <c r="M372" s="113"/>
      <c r="N372" s="113"/>
      <c r="P372" s="113"/>
      <c r="Q372" s="113"/>
      <c r="R372" s="113"/>
      <c r="T372" s="113"/>
      <c r="U372" s="113"/>
      <c r="V372" s="113"/>
    </row>
    <row r="373" customFormat="false" ht="15" hidden="false" customHeight="true" outlineLevel="0" collapsed="false">
      <c r="H373" s="113"/>
      <c r="I373" s="113"/>
      <c r="J373" s="113"/>
      <c r="L373" s="113"/>
      <c r="M373" s="113"/>
      <c r="N373" s="113"/>
      <c r="P373" s="113"/>
      <c r="Q373" s="113"/>
      <c r="R373" s="113"/>
      <c r="T373" s="113"/>
      <c r="U373" s="113"/>
      <c r="V373" s="113"/>
    </row>
    <row r="374" customFormat="false" ht="15" hidden="false" customHeight="true" outlineLevel="0" collapsed="false">
      <c r="H374" s="113"/>
      <c r="I374" s="113"/>
      <c r="J374" s="113"/>
      <c r="L374" s="113"/>
      <c r="M374" s="113"/>
      <c r="N374" s="113"/>
      <c r="P374" s="113"/>
      <c r="Q374" s="113"/>
      <c r="R374" s="113"/>
      <c r="T374" s="113"/>
      <c r="U374" s="113"/>
      <c r="V374" s="113"/>
    </row>
    <row r="375" customFormat="false" ht="15" hidden="false" customHeight="true" outlineLevel="0" collapsed="false">
      <c r="H375" s="113"/>
      <c r="I375" s="113"/>
      <c r="J375" s="113"/>
      <c r="L375" s="113"/>
      <c r="M375" s="113"/>
      <c r="N375" s="113"/>
      <c r="P375" s="113"/>
      <c r="Q375" s="113"/>
      <c r="R375" s="113"/>
      <c r="T375" s="113"/>
      <c r="U375" s="113"/>
      <c r="V375" s="113"/>
    </row>
    <row r="376" customFormat="false" ht="15" hidden="false" customHeight="true" outlineLevel="0" collapsed="false">
      <c r="H376" s="113"/>
      <c r="I376" s="113"/>
      <c r="J376" s="113"/>
      <c r="L376" s="113"/>
      <c r="M376" s="113"/>
      <c r="N376" s="113"/>
      <c r="P376" s="113"/>
      <c r="Q376" s="113"/>
      <c r="R376" s="113"/>
      <c r="T376" s="113"/>
      <c r="U376" s="113"/>
      <c r="V376" s="113"/>
    </row>
    <row r="377" customFormat="false" ht="15" hidden="false" customHeight="true" outlineLevel="0" collapsed="false">
      <c r="H377" s="113"/>
      <c r="I377" s="113"/>
      <c r="J377" s="113"/>
      <c r="L377" s="113"/>
      <c r="M377" s="113"/>
      <c r="N377" s="113"/>
      <c r="P377" s="113"/>
      <c r="Q377" s="113"/>
      <c r="R377" s="113"/>
      <c r="T377" s="113"/>
      <c r="U377" s="113"/>
      <c r="V377" s="113"/>
    </row>
    <row r="378" customFormat="false" ht="15" hidden="false" customHeight="true" outlineLevel="0" collapsed="false">
      <c r="H378" s="113"/>
      <c r="I378" s="113"/>
      <c r="J378" s="113"/>
      <c r="L378" s="113"/>
      <c r="M378" s="113"/>
      <c r="N378" s="113"/>
      <c r="P378" s="113"/>
      <c r="Q378" s="113"/>
      <c r="R378" s="113"/>
      <c r="T378" s="113"/>
      <c r="U378" s="113"/>
      <c r="V378" s="113"/>
    </row>
    <row r="379" customFormat="false" ht="15" hidden="false" customHeight="true" outlineLevel="0" collapsed="false">
      <c r="H379" s="113"/>
      <c r="I379" s="113"/>
      <c r="J379" s="113"/>
      <c r="L379" s="113"/>
      <c r="M379" s="113"/>
      <c r="N379" s="113"/>
      <c r="P379" s="113"/>
      <c r="Q379" s="113"/>
      <c r="R379" s="113"/>
      <c r="T379" s="113"/>
      <c r="U379" s="113"/>
      <c r="V379" s="113"/>
    </row>
    <row r="380" customFormat="false" ht="15" hidden="false" customHeight="true" outlineLevel="0" collapsed="false">
      <c r="H380" s="113"/>
      <c r="I380" s="113"/>
      <c r="J380" s="113"/>
      <c r="L380" s="113"/>
      <c r="M380" s="113"/>
      <c r="N380" s="113"/>
      <c r="P380" s="113"/>
      <c r="Q380" s="113"/>
      <c r="R380" s="113"/>
      <c r="T380" s="113"/>
      <c r="U380" s="113"/>
      <c r="V380" s="113"/>
    </row>
    <row r="381" customFormat="false" ht="15" hidden="false" customHeight="true" outlineLevel="0" collapsed="false">
      <c r="H381" s="113"/>
      <c r="I381" s="113"/>
      <c r="J381" s="113"/>
      <c r="L381" s="113"/>
      <c r="M381" s="113"/>
      <c r="N381" s="113"/>
      <c r="P381" s="113"/>
      <c r="Q381" s="113"/>
      <c r="R381" s="113"/>
      <c r="T381" s="113"/>
      <c r="U381" s="113"/>
      <c r="V381" s="113"/>
    </row>
    <row r="382" customFormat="false" ht="15" hidden="false" customHeight="true" outlineLevel="0" collapsed="false">
      <c r="H382" s="113"/>
      <c r="I382" s="113"/>
      <c r="J382" s="113"/>
      <c r="L382" s="113"/>
      <c r="M382" s="113"/>
      <c r="N382" s="113"/>
      <c r="P382" s="113"/>
      <c r="Q382" s="113"/>
      <c r="R382" s="113"/>
      <c r="T382" s="113"/>
      <c r="U382" s="113"/>
      <c r="V382" s="113"/>
    </row>
    <row r="383" customFormat="false" ht="15" hidden="false" customHeight="true" outlineLevel="0" collapsed="false">
      <c r="H383" s="113"/>
      <c r="I383" s="113"/>
      <c r="J383" s="113"/>
      <c r="L383" s="113"/>
      <c r="M383" s="113"/>
      <c r="N383" s="113"/>
      <c r="P383" s="113"/>
      <c r="Q383" s="113"/>
      <c r="R383" s="113"/>
      <c r="T383" s="113"/>
      <c r="U383" s="113"/>
      <c r="V383" s="113"/>
    </row>
    <row r="384" customFormat="false" ht="15" hidden="false" customHeight="true" outlineLevel="0" collapsed="false">
      <c r="H384" s="113"/>
      <c r="I384" s="113"/>
      <c r="J384" s="113"/>
      <c r="L384" s="113"/>
      <c r="M384" s="113"/>
      <c r="N384" s="113"/>
      <c r="P384" s="113"/>
      <c r="Q384" s="113"/>
      <c r="R384" s="113"/>
      <c r="T384" s="113"/>
      <c r="U384" s="113"/>
      <c r="V384" s="113"/>
    </row>
    <row r="385" customFormat="false" ht="15" hidden="false" customHeight="true" outlineLevel="0" collapsed="false">
      <c r="H385" s="113"/>
      <c r="I385" s="113"/>
      <c r="J385" s="113"/>
      <c r="L385" s="113"/>
      <c r="M385" s="113"/>
      <c r="N385" s="113"/>
      <c r="P385" s="113"/>
      <c r="Q385" s="113"/>
      <c r="R385" s="113"/>
      <c r="T385" s="113"/>
      <c r="U385" s="113"/>
      <c r="V385" s="113"/>
    </row>
    <row r="386" customFormat="false" ht="15" hidden="false" customHeight="true" outlineLevel="0" collapsed="false">
      <c r="H386" s="113"/>
      <c r="I386" s="113"/>
      <c r="J386" s="113"/>
      <c r="L386" s="113"/>
      <c r="M386" s="113"/>
      <c r="N386" s="113"/>
      <c r="P386" s="113"/>
      <c r="Q386" s="113"/>
      <c r="R386" s="113"/>
      <c r="T386" s="113"/>
      <c r="U386" s="113"/>
      <c r="V386" s="113"/>
    </row>
    <row r="387" customFormat="false" ht="15" hidden="false" customHeight="true" outlineLevel="0" collapsed="false">
      <c r="H387" s="113"/>
      <c r="I387" s="113"/>
      <c r="J387" s="113"/>
      <c r="L387" s="113"/>
      <c r="M387" s="113"/>
      <c r="N387" s="113"/>
      <c r="P387" s="113"/>
      <c r="Q387" s="113"/>
      <c r="R387" s="113"/>
      <c r="T387" s="113"/>
      <c r="U387" s="113"/>
      <c r="V387" s="113"/>
    </row>
    <row r="388" customFormat="false" ht="15" hidden="false" customHeight="true" outlineLevel="0" collapsed="false">
      <c r="H388" s="113"/>
      <c r="I388" s="113"/>
      <c r="J388" s="113"/>
      <c r="L388" s="113"/>
      <c r="M388" s="113"/>
      <c r="N388" s="113"/>
      <c r="P388" s="113"/>
      <c r="Q388" s="113"/>
      <c r="R388" s="113"/>
      <c r="T388" s="113"/>
      <c r="U388" s="113"/>
      <c r="V388" s="113"/>
    </row>
    <row r="389" customFormat="false" ht="15" hidden="false" customHeight="true" outlineLevel="0" collapsed="false">
      <c r="H389" s="113"/>
      <c r="I389" s="113"/>
      <c r="J389" s="113"/>
      <c r="L389" s="113"/>
      <c r="M389" s="113"/>
      <c r="N389" s="113"/>
      <c r="P389" s="113"/>
      <c r="Q389" s="113"/>
      <c r="R389" s="113"/>
      <c r="T389" s="113"/>
      <c r="U389" s="113"/>
      <c r="V389" s="113"/>
    </row>
    <row r="390" customFormat="false" ht="15" hidden="false" customHeight="true" outlineLevel="0" collapsed="false">
      <c r="H390" s="113"/>
      <c r="I390" s="113"/>
      <c r="J390" s="113"/>
      <c r="L390" s="113"/>
      <c r="M390" s="113"/>
      <c r="N390" s="113"/>
      <c r="P390" s="113"/>
      <c r="Q390" s="113"/>
      <c r="R390" s="113"/>
      <c r="T390" s="113"/>
      <c r="U390" s="113"/>
      <c r="V390" s="113"/>
    </row>
    <row r="391" customFormat="false" ht="15" hidden="false" customHeight="true" outlineLevel="0" collapsed="false">
      <c r="H391" s="113"/>
      <c r="I391" s="113"/>
      <c r="J391" s="113"/>
      <c r="L391" s="113"/>
      <c r="M391" s="113"/>
      <c r="N391" s="113"/>
      <c r="P391" s="113"/>
      <c r="Q391" s="113"/>
      <c r="R391" s="113"/>
      <c r="T391" s="113"/>
      <c r="U391" s="113"/>
      <c r="V391" s="113"/>
    </row>
    <row r="392" customFormat="false" ht="15" hidden="false" customHeight="true" outlineLevel="0" collapsed="false">
      <c r="H392" s="113"/>
      <c r="I392" s="113"/>
      <c r="J392" s="113"/>
      <c r="L392" s="113"/>
      <c r="M392" s="113"/>
      <c r="N392" s="113"/>
      <c r="P392" s="113"/>
      <c r="Q392" s="113"/>
      <c r="R392" s="113"/>
      <c r="T392" s="113"/>
      <c r="U392" s="113"/>
      <c r="V392" s="113"/>
    </row>
    <row r="393" customFormat="false" ht="15" hidden="false" customHeight="true" outlineLevel="0" collapsed="false">
      <c r="H393" s="113"/>
      <c r="I393" s="113"/>
      <c r="J393" s="113"/>
      <c r="L393" s="113"/>
      <c r="M393" s="113"/>
      <c r="N393" s="113"/>
      <c r="P393" s="113"/>
      <c r="Q393" s="113"/>
      <c r="R393" s="113"/>
      <c r="T393" s="113"/>
      <c r="U393" s="113"/>
      <c r="V393" s="113"/>
    </row>
    <row r="394" customFormat="false" ht="15" hidden="false" customHeight="true" outlineLevel="0" collapsed="false">
      <c r="H394" s="113"/>
      <c r="I394" s="113"/>
      <c r="J394" s="113"/>
      <c r="L394" s="113"/>
      <c r="M394" s="113"/>
      <c r="N394" s="113"/>
      <c r="P394" s="113"/>
      <c r="Q394" s="113"/>
      <c r="R394" s="113"/>
      <c r="T394" s="113"/>
      <c r="U394" s="113"/>
      <c r="V394" s="113"/>
    </row>
    <row r="395" customFormat="false" ht="15" hidden="false" customHeight="true" outlineLevel="0" collapsed="false">
      <c r="H395" s="113"/>
      <c r="I395" s="113"/>
      <c r="J395" s="113"/>
      <c r="L395" s="113"/>
      <c r="M395" s="113"/>
      <c r="N395" s="113"/>
      <c r="P395" s="113"/>
      <c r="Q395" s="113"/>
      <c r="R395" s="113"/>
      <c r="T395" s="113"/>
      <c r="U395" s="113"/>
      <c r="V395" s="113"/>
    </row>
    <row r="396" customFormat="false" ht="15" hidden="false" customHeight="true" outlineLevel="0" collapsed="false">
      <c r="H396" s="113"/>
      <c r="I396" s="113"/>
      <c r="J396" s="113"/>
      <c r="L396" s="113"/>
      <c r="M396" s="113"/>
      <c r="N396" s="113"/>
      <c r="P396" s="113"/>
      <c r="Q396" s="113"/>
      <c r="R396" s="113"/>
      <c r="T396" s="113"/>
      <c r="U396" s="113"/>
      <c r="V396" s="113"/>
    </row>
    <row r="397" customFormat="false" ht="15" hidden="false" customHeight="true" outlineLevel="0" collapsed="false">
      <c r="H397" s="113"/>
      <c r="I397" s="113"/>
      <c r="J397" s="113"/>
      <c r="L397" s="113"/>
      <c r="M397" s="113"/>
      <c r="N397" s="113"/>
      <c r="P397" s="113"/>
      <c r="Q397" s="113"/>
      <c r="R397" s="113"/>
      <c r="T397" s="113"/>
      <c r="U397" s="113"/>
      <c r="V397" s="113"/>
    </row>
    <row r="398" customFormat="false" ht="15" hidden="false" customHeight="true" outlineLevel="0" collapsed="false">
      <c r="H398" s="113"/>
      <c r="I398" s="113"/>
      <c r="J398" s="113"/>
      <c r="L398" s="113"/>
      <c r="M398" s="113"/>
      <c r="N398" s="113"/>
      <c r="P398" s="113"/>
      <c r="Q398" s="113"/>
      <c r="R398" s="113"/>
      <c r="T398" s="113"/>
      <c r="U398" s="113"/>
      <c r="V398" s="113"/>
    </row>
    <row r="399" customFormat="false" ht="15" hidden="false" customHeight="true" outlineLevel="0" collapsed="false">
      <c r="H399" s="113"/>
      <c r="I399" s="113"/>
      <c r="J399" s="113"/>
      <c r="L399" s="113"/>
      <c r="M399" s="113"/>
      <c r="N399" s="113"/>
      <c r="P399" s="113"/>
      <c r="Q399" s="113"/>
      <c r="R399" s="113"/>
      <c r="T399" s="113"/>
      <c r="U399" s="113"/>
      <c r="V399" s="113"/>
    </row>
    <row r="400" customFormat="false" ht="15" hidden="false" customHeight="true" outlineLevel="0" collapsed="false">
      <c r="H400" s="113"/>
      <c r="I400" s="113"/>
      <c r="J400" s="113"/>
      <c r="L400" s="113"/>
      <c r="M400" s="113"/>
      <c r="N400" s="113"/>
      <c r="P400" s="113"/>
      <c r="Q400" s="113"/>
      <c r="R400" s="113"/>
      <c r="T400" s="113"/>
      <c r="U400" s="113"/>
      <c r="V400" s="113"/>
    </row>
    <row r="401" customFormat="false" ht="15" hidden="false" customHeight="true" outlineLevel="0" collapsed="false">
      <c r="H401" s="113"/>
      <c r="I401" s="113"/>
      <c r="J401" s="113"/>
      <c r="L401" s="113"/>
      <c r="M401" s="113"/>
      <c r="N401" s="113"/>
      <c r="P401" s="113"/>
      <c r="Q401" s="113"/>
      <c r="R401" s="113"/>
      <c r="T401" s="113"/>
      <c r="U401" s="113"/>
      <c r="V401" s="113"/>
    </row>
    <row r="402" customFormat="false" ht="15" hidden="false" customHeight="true" outlineLevel="0" collapsed="false">
      <c r="H402" s="113"/>
      <c r="I402" s="113"/>
      <c r="J402" s="113"/>
      <c r="L402" s="113"/>
      <c r="M402" s="113"/>
      <c r="N402" s="113"/>
      <c r="P402" s="113"/>
      <c r="Q402" s="113"/>
      <c r="R402" s="113"/>
      <c r="T402" s="113"/>
      <c r="U402" s="113"/>
      <c r="V402" s="113"/>
    </row>
    <row r="403" customFormat="false" ht="15" hidden="false" customHeight="true" outlineLevel="0" collapsed="false">
      <c r="H403" s="113"/>
      <c r="I403" s="113"/>
      <c r="J403" s="113"/>
      <c r="L403" s="113"/>
      <c r="M403" s="113"/>
      <c r="N403" s="113"/>
      <c r="P403" s="113"/>
      <c r="Q403" s="113"/>
      <c r="R403" s="113"/>
      <c r="T403" s="113"/>
      <c r="U403" s="113"/>
      <c r="V403" s="113"/>
    </row>
    <row r="404" customFormat="false" ht="15" hidden="false" customHeight="true" outlineLevel="0" collapsed="false">
      <c r="H404" s="113"/>
      <c r="I404" s="113"/>
      <c r="J404" s="113"/>
      <c r="L404" s="113"/>
      <c r="M404" s="113"/>
      <c r="N404" s="113"/>
      <c r="P404" s="113"/>
      <c r="Q404" s="113"/>
      <c r="R404" s="113"/>
      <c r="T404" s="113"/>
      <c r="U404" s="113"/>
      <c r="V404" s="113"/>
    </row>
    <row r="405" customFormat="false" ht="15" hidden="false" customHeight="true" outlineLevel="0" collapsed="false">
      <c r="H405" s="113"/>
      <c r="I405" s="113"/>
      <c r="J405" s="113"/>
      <c r="L405" s="113"/>
      <c r="M405" s="113"/>
      <c r="N405" s="113"/>
      <c r="P405" s="113"/>
      <c r="Q405" s="113"/>
      <c r="R405" s="113"/>
      <c r="T405" s="113"/>
      <c r="U405" s="113"/>
      <c r="V405" s="113"/>
    </row>
    <row r="406" customFormat="false" ht="15" hidden="false" customHeight="true" outlineLevel="0" collapsed="false">
      <c r="H406" s="113"/>
      <c r="I406" s="113"/>
      <c r="J406" s="113"/>
      <c r="L406" s="113"/>
      <c r="M406" s="113"/>
      <c r="N406" s="113"/>
      <c r="P406" s="113"/>
      <c r="Q406" s="113"/>
      <c r="R406" s="113"/>
      <c r="T406" s="113"/>
      <c r="U406" s="113"/>
      <c r="V406" s="113"/>
    </row>
    <row r="407" customFormat="false" ht="15" hidden="false" customHeight="true" outlineLevel="0" collapsed="false">
      <c r="H407" s="113"/>
      <c r="I407" s="113"/>
      <c r="J407" s="113"/>
      <c r="L407" s="113"/>
      <c r="M407" s="113"/>
      <c r="N407" s="113"/>
      <c r="P407" s="113"/>
      <c r="Q407" s="113"/>
      <c r="R407" s="113"/>
      <c r="T407" s="113"/>
      <c r="U407" s="113"/>
      <c r="V407" s="113"/>
    </row>
    <row r="408" customFormat="false" ht="15" hidden="false" customHeight="true" outlineLevel="0" collapsed="false">
      <c r="H408" s="113"/>
      <c r="I408" s="113"/>
      <c r="J408" s="113"/>
      <c r="L408" s="113"/>
      <c r="M408" s="113"/>
      <c r="N408" s="113"/>
      <c r="P408" s="113"/>
      <c r="Q408" s="113"/>
      <c r="R408" s="113"/>
      <c r="T408" s="113"/>
      <c r="U408" s="113"/>
      <c r="V408" s="113"/>
    </row>
    <row r="409" customFormat="false" ht="15" hidden="false" customHeight="true" outlineLevel="0" collapsed="false">
      <c r="H409" s="113"/>
      <c r="I409" s="113"/>
      <c r="J409" s="113"/>
      <c r="L409" s="113"/>
      <c r="M409" s="113"/>
      <c r="N409" s="113"/>
      <c r="P409" s="113"/>
      <c r="Q409" s="113"/>
      <c r="R409" s="113"/>
      <c r="T409" s="113"/>
      <c r="U409" s="113"/>
      <c r="V409" s="113"/>
    </row>
    <row r="410" customFormat="false" ht="15" hidden="false" customHeight="true" outlineLevel="0" collapsed="false">
      <c r="H410" s="113"/>
      <c r="I410" s="113"/>
      <c r="J410" s="113"/>
      <c r="L410" s="113"/>
      <c r="M410" s="113"/>
      <c r="N410" s="113"/>
      <c r="P410" s="113"/>
      <c r="Q410" s="113"/>
      <c r="R410" s="113"/>
      <c r="T410" s="113"/>
      <c r="U410" s="113"/>
      <c r="V410" s="113"/>
    </row>
    <row r="411" customFormat="false" ht="15" hidden="false" customHeight="true" outlineLevel="0" collapsed="false">
      <c r="H411" s="113"/>
      <c r="I411" s="113"/>
      <c r="J411" s="113"/>
      <c r="L411" s="113"/>
      <c r="M411" s="113"/>
      <c r="N411" s="113"/>
      <c r="P411" s="113"/>
      <c r="Q411" s="113"/>
      <c r="R411" s="113"/>
      <c r="T411" s="113"/>
      <c r="U411" s="113"/>
      <c r="V411" s="113"/>
    </row>
    <row r="412" customFormat="false" ht="15" hidden="false" customHeight="true" outlineLevel="0" collapsed="false">
      <c r="H412" s="113"/>
      <c r="I412" s="113"/>
      <c r="J412" s="113"/>
      <c r="L412" s="113"/>
      <c r="M412" s="113"/>
      <c r="N412" s="113"/>
      <c r="P412" s="113"/>
      <c r="Q412" s="113"/>
      <c r="R412" s="113"/>
      <c r="T412" s="113"/>
      <c r="U412" s="113"/>
      <c r="V412" s="113"/>
    </row>
    <row r="413" customFormat="false" ht="15" hidden="false" customHeight="true" outlineLevel="0" collapsed="false">
      <c r="H413" s="113"/>
      <c r="I413" s="113"/>
      <c r="J413" s="113"/>
      <c r="L413" s="113"/>
      <c r="M413" s="113"/>
      <c r="N413" s="113"/>
      <c r="P413" s="113"/>
      <c r="Q413" s="113"/>
      <c r="R413" s="113"/>
      <c r="T413" s="113"/>
      <c r="U413" s="113"/>
      <c r="V413" s="113"/>
    </row>
    <row r="414" customFormat="false" ht="15" hidden="false" customHeight="true" outlineLevel="0" collapsed="false">
      <c r="H414" s="113"/>
      <c r="I414" s="113"/>
      <c r="J414" s="113"/>
      <c r="L414" s="113"/>
      <c r="M414" s="113"/>
      <c r="N414" s="113"/>
      <c r="P414" s="113"/>
      <c r="Q414" s="113"/>
      <c r="R414" s="113"/>
      <c r="T414" s="113"/>
      <c r="U414" s="113"/>
      <c r="V414" s="113"/>
    </row>
    <row r="415" customFormat="false" ht="15" hidden="false" customHeight="true" outlineLevel="0" collapsed="false">
      <c r="H415" s="113"/>
      <c r="I415" s="113"/>
      <c r="J415" s="113"/>
      <c r="L415" s="113"/>
      <c r="M415" s="113"/>
      <c r="N415" s="113"/>
      <c r="P415" s="113"/>
      <c r="Q415" s="113"/>
      <c r="R415" s="113"/>
      <c r="T415" s="113"/>
      <c r="U415" s="113"/>
      <c r="V415" s="113"/>
    </row>
    <row r="416" customFormat="false" ht="15" hidden="false" customHeight="true" outlineLevel="0" collapsed="false">
      <c r="H416" s="113"/>
      <c r="I416" s="113"/>
      <c r="J416" s="113"/>
      <c r="L416" s="113"/>
      <c r="M416" s="113"/>
      <c r="N416" s="113"/>
      <c r="P416" s="113"/>
      <c r="Q416" s="113"/>
      <c r="R416" s="113"/>
      <c r="T416" s="113"/>
      <c r="U416" s="113"/>
      <c r="V416" s="113"/>
    </row>
    <row r="417" customFormat="false" ht="15" hidden="false" customHeight="true" outlineLevel="0" collapsed="false">
      <c r="H417" s="113"/>
      <c r="I417" s="113"/>
      <c r="J417" s="113"/>
      <c r="L417" s="113"/>
      <c r="M417" s="113"/>
      <c r="N417" s="113"/>
      <c r="P417" s="113"/>
      <c r="Q417" s="113"/>
      <c r="R417" s="113"/>
      <c r="T417" s="113"/>
      <c r="U417" s="113"/>
      <c r="V417" s="113"/>
    </row>
    <row r="418" customFormat="false" ht="15" hidden="false" customHeight="true" outlineLevel="0" collapsed="false">
      <c r="H418" s="113"/>
      <c r="I418" s="113"/>
      <c r="J418" s="113"/>
      <c r="L418" s="113"/>
      <c r="M418" s="113"/>
      <c r="N418" s="113"/>
      <c r="P418" s="113"/>
      <c r="Q418" s="113"/>
      <c r="R418" s="113"/>
      <c r="T418" s="113"/>
      <c r="U418" s="113"/>
      <c r="V418" s="113"/>
    </row>
    <row r="419" customFormat="false" ht="15" hidden="false" customHeight="true" outlineLevel="0" collapsed="false">
      <c r="H419" s="113"/>
      <c r="I419" s="113"/>
      <c r="J419" s="113"/>
      <c r="L419" s="113"/>
      <c r="M419" s="113"/>
      <c r="N419" s="113"/>
      <c r="P419" s="113"/>
      <c r="Q419" s="113"/>
      <c r="R419" s="113"/>
      <c r="T419" s="113"/>
      <c r="U419" s="113"/>
      <c r="V419" s="113"/>
    </row>
    <row r="420" customFormat="false" ht="15" hidden="false" customHeight="true" outlineLevel="0" collapsed="false">
      <c r="H420" s="113"/>
      <c r="I420" s="113"/>
      <c r="J420" s="113"/>
      <c r="L420" s="113"/>
      <c r="M420" s="113"/>
      <c r="N420" s="113"/>
      <c r="P420" s="113"/>
      <c r="Q420" s="113"/>
      <c r="R420" s="113"/>
      <c r="T420" s="113"/>
      <c r="U420" s="113"/>
      <c r="V420" s="113"/>
    </row>
    <row r="421" customFormat="false" ht="15" hidden="false" customHeight="true" outlineLevel="0" collapsed="false">
      <c r="H421" s="113"/>
      <c r="I421" s="113"/>
      <c r="J421" s="113"/>
      <c r="L421" s="113"/>
      <c r="M421" s="113"/>
      <c r="N421" s="113"/>
      <c r="P421" s="113"/>
      <c r="Q421" s="113"/>
      <c r="R421" s="113"/>
      <c r="T421" s="113"/>
      <c r="U421" s="113"/>
      <c r="V421" s="113"/>
    </row>
    <row r="422" customFormat="false" ht="15" hidden="false" customHeight="true" outlineLevel="0" collapsed="false">
      <c r="H422" s="113"/>
      <c r="I422" s="113"/>
      <c r="J422" s="113"/>
      <c r="L422" s="113"/>
      <c r="M422" s="113"/>
      <c r="N422" s="113"/>
      <c r="P422" s="113"/>
      <c r="Q422" s="113"/>
      <c r="R422" s="113"/>
      <c r="T422" s="113"/>
      <c r="U422" s="113"/>
      <c r="V422" s="113"/>
    </row>
    <row r="423" customFormat="false" ht="15" hidden="false" customHeight="true" outlineLevel="0" collapsed="false">
      <c r="H423" s="113"/>
      <c r="I423" s="113"/>
      <c r="J423" s="113"/>
      <c r="L423" s="113"/>
      <c r="M423" s="113"/>
      <c r="N423" s="113"/>
      <c r="P423" s="113"/>
      <c r="Q423" s="113"/>
      <c r="R423" s="113"/>
      <c r="T423" s="113"/>
      <c r="U423" s="113"/>
      <c r="V423" s="113"/>
    </row>
    <row r="424" customFormat="false" ht="15" hidden="false" customHeight="true" outlineLevel="0" collapsed="false">
      <c r="H424" s="113"/>
      <c r="I424" s="113"/>
      <c r="J424" s="113"/>
      <c r="L424" s="113"/>
      <c r="M424" s="113"/>
      <c r="N424" s="113"/>
      <c r="P424" s="113"/>
      <c r="Q424" s="113"/>
      <c r="R424" s="113"/>
      <c r="T424" s="113"/>
      <c r="U424" s="113"/>
      <c r="V424" s="113"/>
    </row>
    <row r="425" customFormat="false" ht="15" hidden="false" customHeight="true" outlineLevel="0" collapsed="false">
      <c r="H425" s="113"/>
      <c r="I425" s="113"/>
      <c r="J425" s="113"/>
      <c r="L425" s="113"/>
      <c r="M425" s="113"/>
      <c r="N425" s="113"/>
      <c r="P425" s="113"/>
      <c r="Q425" s="113"/>
      <c r="R425" s="113"/>
      <c r="T425" s="113"/>
      <c r="U425" s="113"/>
      <c r="V425" s="113"/>
    </row>
    <row r="426" customFormat="false" ht="15" hidden="false" customHeight="true" outlineLevel="0" collapsed="false">
      <c r="H426" s="113"/>
      <c r="I426" s="113"/>
      <c r="J426" s="113"/>
      <c r="L426" s="113"/>
      <c r="M426" s="113"/>
      <c r="N426" s="113"/>
      <c r="P426" s="113"/>
      <c r="Q426" s="113"/>
      <c r="R426" s="113"/>
      <c r="T426" s="113"/>
      <c r="U426" s="113"/>
      <c r="V426" s="113"/>
    </row>
    <row r="427" customFormat="false" ht="15" hidden="false" customHeight="true" outlineLevel="0" collapsed="false">
      <c r="H427" s="113"/>
      <c r="I427" s="113"/>
      <c r="J427" s="113"/>
      <c r="L427" s="113"/>
      <c r="M427" s="113"/>
      <c r="N427" s="113"/>
      <c r="P427" s="113"/>
      <c r="Q427" s="113"/>
      <c r="R427" s="113"/>
      <c r="T427" s="113"/>
      <c r="U427" s="113"/>
      <c r="V427" s="113"/>
    </row>
    <row r="428" customFormat="false" ht="15" hidden="false" customHeight="true" outlineLevel="0" collapsed="false">
      <c r="H428" s="113"/>
      <c r="I428" s="113"/>
      <c r="J428" s="113"/>
      <c r="L428" s="113"/>
      <c r="M428" s="113"/>
      <c r="N428" s="113"/>
      <c r="P428" s="113"/>
      <c r="Q428" s="113"/>
      <c r="R428" s="113"/>
      <c r="T428" s="113"/>
      <c r="U428" s="113"/>
      <c r="V428" s="113"/>
    </row>
    <row r="429" customFormat="false" ht="15" hidden="false" customHeight="true" outlineLevel="0" collapsed="false">
      <c r="H429" s="113"/>
      <c r="I429" s="113"/>
      <c r="J429" s="113"/>
      <c r="L429" s="113"/>
      <c r="M429" s="113"/>
      <c r="N429" s="113"/>
      <c r="P429" s="113"/>
      <c r="Q429" s="113"/>
      <c r="R429" s="113"/>
      <c r="T429" s="113"/>
      <c r="U429" s="113"/>
      <c r="V429" s="113"/>
    </row>
    <row r="430" customFormat="false" ht="15" hidden="false" customHeight="true" outlineLevel="0" collapsed="false">
      <c r="H430" s="113"/>
      <c r="I430" s="113"/>
      <c r="J430" s="113"/>
      <c r="L430" s="113"/>
      <c r="M430" s="113"/>
      <c r="N430" s="113"/>
      <c r="P430" s="113"/>
      <c r="Q430" s="113"/>
      <c r="R430" s="113"/>
      <c r="T430" s="113"/>
      <c r="U430" s="113"/>
      <c r="V430" s="113"/>
    </row>
    <row r="431" customFormat="false" ht="15" hidden="false" customHeight="true" outlineLevel="0" collapsed="false">
      <c r="H431" s="113"/>
      <c r="I431" s="113"/>
      <c r="J431" s="113"/>
      <c r="L431" s="113"/>
      <c r="M431" s="113"/>
      <c r="N431" s="113"/>
      <c r="P431" s="113"/>
      <c r="Q431" s="113"/>
      <c r="R431" s="113"/>
      <c r="T431" s="113"/>
      <c r="U431" s="113"/>
      <c r="V431" s="113"/>
    </row>
    <row r="432" customFormat="false" ht="15" hidden="false" customHeight="true" outlineLevel="0" collapsed="false">
      <c r="H432" s="113"/>
      <c r="I432" s="113"/>
      <c r="J432" s="113"/>
      <c r="L432" s="113"/>
      <c r="M432" s="113"/>
      <c r="N432" s="113"/>
      <c r="P432" s="113"/>
      <c r="Q432" s="113"/>
      <c r="R432" s="113"/>
      <c r="T432" s="113"/>
      <c r="U432" s="113"/>
      <c r="V432" s="113"/>
    </row>
    <row r="433" customFormat="false" ht="15" hidden="false" customHeight="true" outlineLevel="0" collapsed="false">
      <c r="H433" s="113"/>
      <c r="I433" s="113"/>
      <c r="J433" s="113"/>
      <c r="L433" s="113"/>
      <c r="M433" s="113"/>
      <c r="N433" s="113"/>
      <c r="P433" s="113"/>
      <c r="Q433" s="113"/>
      <c r="R433" s="113"/>
      <c r="T433" s="113"/>
      <c r="U433" s="113"/>
      <c r="V433" s="113"/>
    </row>
    <row r="434" customFormat="false" ht="15" hidden="false" customHeight="true" outlineLevel="0" collapsed="false">
      <c r="H434" s="113"/>
      <c r="I434" s="113"/>
      <c r="J434" s="113"/>
      <c r="L434" s="113"/>
      <c r="M434" s="113"/>
      <c r="N434" s="113"/>
      <c r="P434" s="113"/>
      <c r="Q434" s="113"/>
      <c r="R434" s="113"/>
      <c r="T434" s="113"/>
      <c r="U434" s="113"/>
      <c r="V434" s="113"/>
    </row>
    <row r="435" customFormat="false" ht="15" hidden="false" customHeight="true" outlineLevel="0" collapsed="false">
      <c r="H435" s="113"/>
      <c r="I435" s="113"/>
      <c r="J435" s="113"/>
      <c r="L435" s="113"/>
      <c r="M435" s="113"/>
      <c r="N435" s="113"/>
      <c r="P435" s="113"/>
      <c r="Q435" s="113"/>
      <c r="R435" s="113"/>
      <c r="T435" s="113"/>
      <c r="U435" s="113"/>
      <c r="V435" s="113"/>
    </row>
    <row r="436" customFormat="false" ht="15" hidden="false" customHeight="true" outlineLevel="0" collapsed="false">
      <c r="H436" s="113"/>
      <c r="I436" s="113"/>
      <c r="J436" s="113"/>
      <c r="L436" s="113"/>
      <c r="M436" s="113"/>
      <c r="N436" s="113"/>
      <c r="P436" s="113"/>
      <c r="Q436" s="113"/>
      <c r="R436" s="113"/>
      <c r="T436" s="113"/>
      <c r="U436" s="113"/>
      <c r="V436" s="113"/>
    </row>
    <row r="437" customFormat="false" ht="15" hidden="false" customHeight="true" outlineLevel="0" collapsed="false">
      <c r="H437" s="113"/>
      <c r="I437" s="113"/>
      <c r="J437" s="113"/>
      <c r="L437" s="113"/>
      <c r="M437" s="113"/>
      <c r="N437" s="113"/>
      <c r="P437" s="113"/>
      <c r="Q437" s="113"/>
      <c r="R437" s="113"/>
      <c r="T437" s="113"/>
      <c r="U437" s="113"/>
      <c r="V437" s="113"/>
    </row>
    <row r="438" customFormat="false" ht="15" hidden="false" customHeight="true" outlineLevel="0" collapsed="false">
      <c r="H438" s="113"/>
      <c r="I438" s="113"/>
      <c r="J438" s="113"/>
      <c r="L438" s="113"/>
      <c r="M438" s="113"/>
      <c r="N438" s="113"/>
      <c r="P438" s="113"/>
      <c r="Q438" s="113"/>
      <c r="R438" s="113"/>
      <c r="T438" s="113"/>
      <c r="U438" s="113"/>
      <c r="V438" s="113"/>
    </row>
    <row r="439" customFormat="false" ht="15" hidden="false" customHeight="true" outlineLevel="0" collapsed="false">
      <c r="H439" s="113"/>
      <c r="I439" s="113"/>
      <c r="J439" s="113"/>
      <c r="L439" s="113"/>
      <c r="M439" s="113"/>
      <c r="N439" s="113"/>
      <c r="P439" s="113"/>
      <c r="Q439" s="113"/>
      <c r="R439" s="113"/>
      <c r="T439" s="113"/>
      <c r="U439" s="113"/>
      <c r="V439" s="113"/>
    </row>
    <row r="440" customFormat="false" ht="15" hidden="false" customHeight="true" outlineLevel="0" collapsed="false">
      <c r="H440" s="113"/>
      <c r="I440" s="113"/>
      <c r="J440" s="113"/>
      <c r="L440" s="113"/>
      <c r="M440" s="113"/>
      <c r="N440" s="113"/>
      <c r="P440" s="113"/>
      <c r="Q440" s="113"/>
      <c r="R440" s="113"/>
      <c r="T440" s="113"/>
      <c r="U440" s="113"/>
      <c r="V440" s="113"/>
    </row>
    <row r="441" customFormat="false" ht="15" hidden="false" customHeight="true" outlineLevel="0" collapsed="false">
      <c r="H441" s="113"/>
      <c r="I441" s="113"/>
      <c r="J441" s="113"/>
      <c r="L441" s="113"/>
      <c r="M441" s="113"/>
      <c r="N441" s="113"/>
      <c r="P441" s="113"/>
      <c r="Q441" s="113"/>
      <c r="R441" s="113"/>
      <c r="T441" s="113"/>
      <c r="U441" s="113"/>
      <c r="V441" s="113"/>
    </row>
    <row r="442" customFormat="false" ht="15" hidden="false" customHeight="true" outlineLevel="0" collapsed="false">
      <c r="H442" s="113"/>
      <c r="I442" s="113"/>
      <c r="J442" s="113"/>
      <c r="L442" s="113"/>
      <c r="M442" s="113"/>
      <c r="N442" s="113"/>
      <c r="P442" s="113"/>
      <c r="Q442" s="113"/>
      <c r="R442" s="113"/>
      <c r="T442" s="113"/>
      <c r="U442" s="113"/>
      <c r="V442" s="113"/>
    </row>
    <row r="443" customFormat="false" ht="15" hidden="false" customHeight="true" outlineLevel="0" collapsed="false">
      <c r="H443" s="113"/>
      <c r="I443" s="113"/>
      <c r="J443" s="113"/>
      <c r="L443" s="113"/>
      <c r="M443" s="113"/>
      <c r="N443" s="113"/>
      <c r="P443" s="113"/>
      <c r="Q443" s="113"/>
      <c r="R443" s="113"/>
      <c r="T443" s="113"/>
      <c r="U443" s="113"/>
      <c r="V443" s="113"/>
    </row>
    <row r="444" customFormat="false" ht="15" hidden="false" customHeight="true" outlineLevel="0" collapsed="false">
      <c r="H444" s="113"/>
      <c r="I444" s="113"/>
      <c r="J444" s="113"/>
      <c r="L444" s="113"/>
      <c r="M444" s="113"/>
      <c r="N444" s="113"/>
      <c r="P444" s="113"/>
      <c r="Q444" s="113"/>
      <c r="R444" s="113"/>
      <c r="T444" s="113"/>
      <c r="U444" s="113"/>
      <c r="V444" s="113"/>
    </row>
    <row r="445" customFormat="false" ht="15" hidden="false" customHeight="true" outlineLevel="0" collapsed="false">
      <c r="H445" s="113"/>
      <c r="I445" s="113"/>
      <c r="J445" s="113"/>
      <c r="L445" s="113"/>
      <c r="M445" s="113"/>
      <c r="N445" s="113"/>
      <c r="P445" s="113"/>
      <c r="Q445" s="113"/>
      <c r="R445" s="113"/>
      <c r="T445" s="113"/>
      <c r="U445" s="113"/>
      <c r="V445" s="113"/>
    </row>
    <row r="446" customFormat="false" ht="15" hidden="false" customHeight="true" outlineLevel="0" collapsed="false">
      <c r="H446" s="113"/>
      <c r="I446" s="113"/>
      <c r="J446" s="113"/>
      <c r="L446" s="113"/>
      <c r="M446" s="113"/>
      <c r="N446" s="113"/>
      <c r="P446" s="113"/>
      <c r="Q446" s="113"/>
      <c r="R446" s="113"/>
      <c r="T446" s="113"/>
      <c r="U446" s="113"/>
      <c r="V446" s="113"/>
    </row>
    <row r="447" customFormat="false" ht="15" hidden="false" customHeight="true" outlineLevel="0" collapsed="false">
      <c r="H447" s="113"/>
      <c r="I447" s="113"/>
      <c r="J447" s="113"/>
      <c r="L447" s="113"/>
      <c r="M447" s="113"/>
      <c r="N447" s="113"/>
      <c r="P447" s="113"/>
      <c r="Q447" s="113"/>
      <c r="R447" s="113"/>
      <c r="T447" s="113"/>
      <c r="U447" s="113"/>
      <c r="V447" s="113"/>
    </row>
    <row r="448" customFormat="false" ht="15" hidden="false" customHeight="true" outlineLevel="0" collapsed="false">
      <c r="H448" s="113"/>
      <c r="I448" s="113"/>
      <c r="J448" s="113"/>
      <c r="L448" s="113"/>
      <c r="M448" s="113"/>
      <c r="N448" s="113"/>
      <c r="P448" s="113"/>
      <c r="Q448" s="113"/>
      <c r="R448" s="113"/>
      <c r="T448" s="113"/>
      <c r="U448" s="113"/>
      <c r="V448" s="113"/>
    </row>
    <row r="449" customFormat="false" ht="15" hidden="false" customHeight="true" outlineLevel="0" collapsed="false">
      <c r="H449" s="113"/>
      <c r="I449" s="113"/>
      <c r="J449" s="113"/>
      <c r="L449" s="113"/>
      <c r="M449" s="113"/>
      <c r="N449" s="113"/>
      <c r="P449" s="113"/>
      <c r="Q449" s="113"/>
      <c r="R449" s="113"/>
      <c r="T449" s="113"/>
      <c r="U449" s="113"/>
      <c r="V449" s="113"/>
    </row>
    <row r="450" customFormat="false" ht="15" hidden="false" customHeight="true" outlineLevel="0" collapsed="false">
      <c r="H450" s="113"/>
      <c r="I450" s="113"/>
      <c r="J450" s="113"/>
      <c r="L450" s="113"/>
      <c r="M450" s="113"/>
      <c r="N450" s="113"/>
      <c r="P450" s="113"/>
      <c r="Q450" s="113"/>
      <c r="R450" s="113"/>
      <c r="T450" s="113"/>
      <c r="U450" s="113"/>
      <c r="V450" s="113"/>
    </row>
    <row r="451" customFormat="false" ht="15" hidden="false" customHeight="true" outlineLevel="0" collapsed="false">
      <c r="H451" s="113"/>
      <c r="I451" s="113"/>
      <c r="J451" s="113"/>
      <c r="L451" s="113"/>
      <c r="M451" s="113"/>
      <c r="N451" s="113"/>
      <c r="P451" s="113"/>
      <c r="Q451" s="113"/>
      <c r="R451" s="113"/>
      <c r="T451" s="113"/>
      <c r="U451" s="113"/>
      <c r="V451" s="113"/>
    </row>
    <row r="452" customFormat="false" ht="15" hidden="false" customHeight="true" outlineLevel="0" collapsed="false">
      <c r="H452" s="113"/>
      <c r="I452" s="113"/>
      <c r="J452" s="113"/>
      <c r="L452" s="113"/>
      <c r="M452" s="113"/>
      <c r="N452" s="113"/>
      <c r="P452" s="113"/>
      <c r="Q452" s="113"/>
      <c r="R452" s="113"/>
      <c r="T452" s="113"/>
      <c r="U452" s="113"/>
      <c r="V452" s="113"/>
    </row>
    <row r="453" customFormat="false" ht="15" hidden="false" customHeight="true" outlineLevel="0" collapsed="false">
      <c r="H453" s="113"/>
      <c r="I453" s="113"/>
      <c r="J453" s="113"/>
      <c r="L453" s="113"/>
      <c r="M453" s="113"/>
      <c r="N453" s="113"/>
      <c r="P453" s="113"/>
      <c r="Q453" s="113"/>
      <c r="R453" s="113"/>
      <c r="T453" s="113"/>
      <c r="U453" s="113"/>
      <c r="V453" s="113"/>
    </row>
    <row r="454" customFormat="false" ht="15" hidden="false" customHeight="true" outlineLevel="0" collapsed="false">
      <c r="H454" s="113"/>
      <c r="I454" s="113"/>
      <c r="J454" s="113"/>
      <c r="L454" s="113"/>
      <c r="M454" s="113"/>
      <c r="N454" s="113"/>
      <c r="P454" s="113"/>
      <c r="Q454" s="113"/>
      <c r="R454" s="113"/>
      <c r="T454" s="113"/>
      <c r="U454" s="113"/>
      <c r="V454" s="113"/>
    </row>
    <row r="455" customFormat="false" ht="15" hidden="false" customHeight="true" outlineLevel="0" collapsed="false">
      <c r="H455" s="113"/>
      <c r="I455" s="113"/>
      <c r="J455" s="113"/>
      <c r="L455" s="113"/>
      <c r="M455" s="113"/>
      <c r="N455" s="113"/>
      <c r="P455" s="113"/>
      <c r="Q455" s="113"/>
      <c r="R455" s="113"/>
      <c r="T455" s="113"/>
      <c r="U455" s="113"/>
      <c r="V455" s="113"/>
    </row>
    <row r="456" customFormat="false" ht="15" hidden="false" customHeight="true" outlineLevel="0" collapsed="false">
      <c r="H456" s="113"/>
      <c r="I456" s="113"/>
      <c r="J456" s="113"/>
      <c r="L456" s="113"/>
      <c r="M456" s="113"/>
      <c r="N456" s="113"/>
      <c r="P456" s="113"/>
      <c r="Q456" s="113"/>
      <c r="R456" s="113"/>
      <c r="T456" s="113"/>
      <c r="U456" s="113"/>
      <c r="V456" s="113"/>
    </row>
    <row r="457" customFormat="false" ht="15" hidden="false" customHeight="true" outlineLevel="0" collapsed="false">
      <c r="H457" s="113"/>
      <c r="I457" s="113"/>
      <c r="J457" s="113"/>
      <c r="L457" s="113"/>
      <c r="M457" s="113"/>
      <c r="N457" s="113"/>
      <c r="P457" s="113"/>
      <c r="Q457" s="113"/>
      <c r="R457" s="113"/>
      <c r="T457" s="113"/>
      <c r="U457" s="113"/>
      <c r="V457" s="113"/>
    </row>
    <row r="458" customFormat="false" ht="15" hidden="false" customHeight="true" outlineLevel="0" collapsed="false">
      <c r="H458" s="113"/>
      <c r="I458" s="113"/>
      <c r="J458" s="113"/>
      <c r="L458" s="113"/>
      <c r="M458" s="113"/>
      <c r="N458" s="113"/>
      <c r="P458" s="113"/>
      <c r="Q458" s="113"/>
      <c r="R458" s="113"/>
      <c r="T458" s="113"/>
      <c r="U458" s="113"/>
      <c r="V458" s="113"/>
    </row>
    <row r="459" customFormat="false" ht="15" hidden="false" customHeight="true" outlineLevel="0" collapsed="false">
      <c r="H459" s="113"/>
      <c r="I459" s="113"/>
      <c r="J459" s="113"/>
      <c r="L459" s="113"/>
      <c r="M459" s="113"/>
      <c r="N459" s="113"/>
      <c r="P459" s="113"/>
      <c r="Q459" s="113"/>
      <c r="R459" s="113"/>
      <c r="T459" s="113"/>
      <c r="U459" s="113"/>
      <c r="V459" s="113"/>
    </row>
    <row r="460" customFormat="false" ht="15" hidden="false" customHeight="true" outlineLevel="0" collapsed="false">
      <c r="H460" s="113"/>
      <c r="I460" s="113"/>
      <c r="J460" s="113"/>
      <c r="L460" s="113"/>
      <c r="M460" s="113"/>
      <c r="N460" s="113"/>
      <c r="P460" s="113"/>
      <c r="Q460" s="113"/>
      <c r="R460" s="113"/>
      <c r="T460" s="113"/>
      <c r="U460" s="113"/>
      <c r="V460" s="113"/>
    </row>
    <row r="461" customFormat="false" ht="15" hidden="false" customHeight="true" outlineLevel="0" collapsed="false">
      <c r="H461" s="113"/>
      <c r="I461" s="113"/>
      <c r="J461" s="113"/>
      <c r="L461" s="113"/>
      <c r="M461" s="113"/>
      <c r="N461" s="113"/>
      <c r="P461" s="113"/>
      <c r="Q461" s="113"/>
      <c r="R461" s="113"/>
      <c r="T461" s="113"/>
      <c r="U461" s="113"/>
      <c r="V461" s="113"/>
    </row>
    <row r="462" customFormat="false" ht="15" hidden="false" customHeight="true" outlineLevel="0" collapsed="false">
      <c r="H462" s="113"/>
      <c r="I462" s="113"/>
      <c r="J462" s="113"/>
      <c r="L462" s="113"/>
      <c r="M462" s="113"/>
      <c r="N462" s="113"/>
      <c r="P462" s="113"/>
      <c r="Q462" s="113"/>
      <c r="R462" s="113"/>
      <c r="T462" s="113"/>
      <c r="U462" s="113"/>
      <c r="V462" s="113"/>
    </row>
    <row r="463" customFormat="false" ht="15" hidden="false" customHeight="true" outlineLevel="0" collapsed="false">
      <c r="H463" s="113"/>
      <c r="I463" s="113"/>
      <c r="J463" s="113"/>
      <c r="L463" s="113"/>
      <c r="M463" s="113"/>
      <c r="N463" s="113"/>
      <c r="P463" s="113"/>
      <c r="Q463" s="113"/>
      <c r="R463" s="113"/>
      <c r="T463" s="113"/>
      <c r="U463" s="113"/>
      <c r="V463" s="113"/>
    </row>
    <row r="464" customFormat="false" ht="15" hidden="false" customHeight="true" outlineLevel="0" collapsed="false">
      <c r="H464" s="113"/>
      <c r="I464" s="113"/>
      <c r="J464" s="113"/>
      <c r="L464" s="113"/>
      <c r="M464" s="113"/>
      <c r="N464" s="113"/>
      <c r="P464" s="113"/>
      <c r="Q464" s="113"/>
      <c r="R464" s="113"/>
      <c r="T464" s="113"/>
      <c r="U464" s="113"/>
      <c r="V464" s="113"/>
    </row>
    <row r="465" customFormat="false" ht="15" hidden="false" customHeight="true" outlineLevel="0" collapsed="false">
      <c r="H465" s="113"/>
      <c r="I465" s="113"/>
      <c r="J465" s="113"/>
      <c r="L465" s="113"/>
      <c r="M465" s="113"/>
      <c r="N465" s="113"/>
      <c r="P465" s="113"/>
      <c r="Q465" s="113"/>
      <c r="R465" s="113"/>
      <c r="T465" s="113"/>
      <c r="U465" s="113"/>
      <c r="V465" s="113"/>
    </row>
    <row r="466" customFormat="false" ht="15" hidden="false" customHeight="true" outlineLevel="0" collapsed="false">
      <c r="H466" s="113"/>
      <c r="I466" s="113"/>
      <c r="J466" s="113"/>
      <c r="L466" s="113"/>
      <c r="M466" s="113"/>
      <c r="N466" s="113"/>
      <c r="P466" s="113"/>
      <c r="Q466" s="113"/>
      <c r="R466" s="113"/>
      <c r="T466" s="113"/>
      <c r="U466" s="113"/>
      <c r="V466" s="113"/>
    </row>
    <row r="467" customFormat="false" ht="15" hidden="false" customHeight="true" outlineLevel="0" collapsed="false">
      <c r="H467" s="113"/>
      <c r="I467" s="113"/>
      <c r="J467" s="113"/>
      <c r="L467" s="113"/>
      <c r="M467" s="113"/>
      <c r="N467" s="113"/>
      <c r="P467" s="113"/>
      <c r="Q467" s="113"/>
      <c r="R467" s="113"/>
      <c r="T467" s="113"/>
      <c r="U467" s="113"/>
      <c r="V467" s="113"/>
    </row>
    <row r="468" customFormat="false" ht="15" hidden="false" customHeight="true" outlineLevel="0" collapsed="false">
      <c r="H468" s="113"/>
      <c r="I468" s="113"/>
      <c r="J468" s="113"/>
      <c r="L468" s="113"/>
      <c r="M468" s="113"/>
      <c r="N468" s="113"/>
      <c r="P468" s="113"/>
      <c r="Q468" s="113"/>
      <c r="R468" s="113"/>
      <c r="T468" s="113"/>
      <c r="U468" s="113"/>
      <c r="V468" s="113"/>
    </row>
    <row r="469" customFormat="false" ht="15" hidden="false" customHeight="true" outlineLevel="0" collapsed="false">
      <c r="H469" s="113"/>
      <c r="I469" s="113"/>
      <c r="J469" s="113"/>
      <c r="L469" s="113"/>
      <c r="M469" s="113"/>
      <c r="N469" s="113"/>
      <c r="P469" s="113"/>
      <c r="Q469" s="113"/>
      <c r="R469" s="113"/>
      <c r="T469" s="113"/>
      <c r="U469" s="113"/>
      <c r="V469" s="113"/>
    </row>
    <row r="470" customFormat="false" ht="15" hidden="false" customHeight="true" outlineLevel="0" collapsed="false">
      <c r="H470" s="113"/>
      <c r="I470" s="113"/>
      <c r="J470" s="113"/>
      <c r="L470" s="113"/>
      <c r="M470" s="113"/>
      <c r="N470" s="113"/>
      <c r="P470" s="113"/>
      <c r="Q470" s="113"/>
      <c r="R470" s="113"/>
      <c r="T470" s="113"/>
      <c r="U470" s="113"/>
      <c r="V470" s="113"/>
    </row>
    <row r="471" customFormat="false" ht="15" hidden="false" customHeight="true" outlineLevel="0" collapsed="false">
      <c r="H471" s="113"/>
      <c r="I471" s="113"/>
      <c r="J471" s="113"/>
      <c r="L471" s="113"/>
      <c r="M471" s="113"/>
      <c r="N471" s="113"/>
      <c r="P471" s="113"/>
      <c r="Q471" s="113"/>
      <c r="R471" s="113"/>
      <c r="T471" s="113"/>
      <c r="U471" s="113"/>
      <c r="V471" s="113"/>
    </row>
    <row r="472" customFormat="false" ht="15" hidden="false" customHeight="true" outlineLevel="0" collapsed="false">
      <c r="H472" s="113"/>
      <c r="I472" s="113"/>
      <c r="J472" s="113"/>
      <c r="L472" s="113"/>
      <c r="M472" s="113"/>
      <c r="N472" s="113"/>
      <c r="P472" s="113"/>
      <c r="Q472" s="113"/>
      <c r="R472" s="113"/>
      <c r="T472" s="113"/>
      <c r="U472" s="113"/>
      <c r="V472" s="113"/>
    </row>
    <row r="473" customFormat="false" ht="15" hidden="false" customHeight="true" outlineLevel="0" collapsed="false">
      <c r="H473" s="113"/>
      <c r="I473" s="113"/>
      <c r="J473" s="113"/>
      <c r="L473" s="113"/>
      <c r="M473" s="113"/>
      <c r="N473" s="113"/>
      <c r="P473" s="113"/>
      <c r="Q473" s="113"/>
      <c r="R473" s="113"/>
      <c r="T473" s="113"/>
      <c r="U473" s="113"/>
      <c r="V473" s="113"/>
    </row>
    <row r="474" customFormat="false" ht="15" hidden="false" customHeight="true" outlineLevel="0" collapsed="false">
      <c r="H474" s="113"/>
      <c r="I474" s="113"/>
      <c r="J474" s="113"/>
      <c r="L474" s="113"/>
      <c r="M474" s="113"/>
      <c r="N474" s="113"/>
      <c r="P474" s="113"/>
      <c r="Q474" s="113"/>
      <c r="R474" s="113"/>
      <c r="T474" s="113"/>
      <c r="U474" s="113"/>
      <c r="V474" s="113"/>
    </row>
    <row r="475" customFormat="false" ht="15" hidden="false" customHeight="true" outlineLevel="0" collapsed="false">
      <c r="H475" s="113"/>
      <c r="I475" s="113"/>
      <c r="J475" s="113"/>
      <c r="L475" s="113"/>
      <c r="M475" s="113"/>
      <c r="N475" s="113"/>
      <c r="P475" s="113"/>
      <c r="Q475" s="113"/>
      <c r="R475" s="113"/>
      <c r="T475" s="113"/>
      <c r="U475" s="113"/>
      <c r="V475" s="113"/>
    </row>
    <row r="476" customFormat="false" ht="15" hidden="false" customHeight="true" outlineLevel="0" collapsed="false">
      <c r="H476" s="113"/>
      <c r="I476" s="113"/>
      <c r="J476" s="113"/>
      <c r="L476" s="113"/>
      <c r="M476" s="113"/>
      <c r="N476" s="113"/>
      <c r="P476" s="113"/>
      <c r="Q476" s="113"/>
      <c r="R476" s="113"/>
      <c r="T476" s="113"/>
      <c r="U476" s="113"/>
      <c r="V476" s="113"/>
    </row>
    <row r="477" customFormat="false" ht="15" hidden="false" customHeight="true" outlineLevel="0" collapsed="false">
      <c r="H477" s="113"/>
      <c r="I477" s="113"/>
      <c r="J477" s="113"/>
      <c r="L477" s="113"/>
      <c r="M477" s="113"/>
      <c r="N477" s="113"/>
      <c r="P477" s="113"/>
      <c r="Q477" s="113"/>
      <c r="R477" s="113"/>
      <c r="T477" s="113"/>
      <c r="U477" s="113"/>
      <c r="V477" s="113"/>
    </row>
    <row r="478" customFormat="false" ht="15" hidden="false" customHeight="true" outlineLevel="0" collapsed="false">
      <c r="H478" s="113"/>
      <c r="I478" s="113"/>
      <c r="J478" s="113"/>
      <c r="L478" s="113"/>
      <c r="M478" s="113"/>
      <c r="N478" s="113"/>
      <c r="P478" s="113"/>
      <c r="Q478" s="113"/>
      <c r="R478" s="113"/>
      <c r="T478" s="113"/>
      <c r="U478" s="113"/>
      <c r="V478" s="113"/>
    </row>
    <row r="479" customFormat="false" ht="15" hidden="false" customHeight="true" outlineLevel="0" collapsed="false">
      <c r="H479" s="113"/>
      <c r="I479" s="113"/>
      <c r="J479" s="113"/>
      <c r="L479" s="113"/>
      <c r="M479" s="113"/>
      <c r="N479" s="113"/>
      <c r="P479" s="113"/>
      <c r="Q479" s="113"/>
      <c r="R479" s="113"/>
      <c r="T479" s="113"/>
      <c r="U479" s="113"/>
      <c r="V479" s="113"/>
    </row>
    <row r="480" customFormat="false" ht="15" hidden="false" customHeight="true" outlineLevel="0" collapsed="false">
      <c r="H480" s="113"/>
      <c r="I480" s="113"/>
      <c r="J480" s="113"/>
      <c r="L480" s="113"/>
      <c r="M480" s="113"/>
      <c r="N480" s="113"/>
      <c r="P480" s="113"/>
      <c r="Q480" s="113"/>
      <c r="R480" s="113"/>
      <c r="T480" s="113"/>
      <c r="U480" s="113"/>
      <c r="V480" s="113"/>
    </row>
    <row r="481" customFormat="false" ht="15" hidden="false" customHeight="true" outlineLevel="0" collapsed="false">
      <c r="H481" s="113"/>
      <c r="I481" s="113"/>
      <c r="J481" s="113"/>
      <c r="L481" s="113"/>
      <c r="M481" s="113"/>
      <c r="N481" s="113"/>
      <c r="P481" s="113"/>
      <c r="Q481" s="113"/>
      <c r="R481" s="113"/>
      <c r="T481" s="113"/>
      <c r="U481" s="113"/>
      <c r="V481" s="113"/>
    </row>
    <row r="482" customFormat="false" ht="15" hidden="false" customHeight="true" outlineLevel="0" collapsed="false">
      <c r="H482" s="113"/>
      <c r="I482" s="113"/>
      <c r="J482" s="113"/>
      <c r="L482" s="113"/>
      <c r="M482" s="113"/>
      <c r="N482" s="113"/>
      <c r="P482" s="113"/>
      <c r="Q482" s="113"/>
      <c r="R482" s="113"/>
      <c r="T482" s="113"/>
      <c r="U482" s="113"/>
      <c r="V482" s="113"/>
    </row>
    <row r="483" customFormat="false" ht="15" hidden="false" customHeight="true" outlineLevel="0" collapsed="false">
      <c r="H483" s="113"/>
      <c r="I483" s="113"/>
      <c r="J483" s="113"/>
      <c r="L483" s="113"/>
      <c r="M483" s="113"/>
      <c r="N483" s="113"/>
      <c r="P483" s="113"/>
      <c r="Q483" s="113"/>
      <c r="R483" s="113"/>
      <c r="T483" s="113"/>
      <c r="U483" s="113"/>
      <c r="V483" s="113"/>
    </row>
    <row r="484" customFormat="false" ht="15" hidden="false" customHeight="true" outlineLevel="0" collapsed="false">
      <c r="H484" s="113"/>
      <c r="I484" s="113"/>
      <c r="J484" s="113"/>
      <c r="L484" s="113"/>
      <c r="M484" s="113"/>
      <c r="N484" s="113"/>
      <c r="P484" s="113"/>
      <c r="Q484" s="113"/>
      <c r="R484" s="113"/>
      <c r="T484" s="113"/>
      <c r="U484" s="113"/>
      <c r="V484" s="113"/>
    </row>
    <row r="485" customFormat="false" ht="15" hidden="false" customHeight="true" outlineLevel="0" collapsed="false">
      <c r="H485" s="113"/>
      <c r="I485" s="113"/>
      <c r="J485" s="113"/>
      <c r="L485" s="113"/>
      <c r="M485" s="113"/>
      <c r="N485" s="113"/>
      <c r="P485" s="113"/>
      <c r="Q485" s="113"/>
      <c r="R485" s="113"/>
      <c r="T485" s="113"/>
      <c r="U485" s="113"/>
      <c r="V485" s="113"/>
    </row>
    <row r="486" customFormat="false" ht="15" hidden="false" customHeight="true" outlineLevel="0" collapsed="false">
      <c r="H486" s="113"/>
      <c r="I486" s="113"/>
      <c r="J486" s="113"/>
      <c r="L486" s="113"/>
      <c r="M486" s="113"/>
      <c r="N486" s="113"/>
      <c r="P486" s="113"/>
      <c r="Q486" s="113"/>
      <c r="R486" s="113"/>
      <c r="T486" s="113"/>
      <c r="U486" s="113"/>
      <c r="V486" s="113"/>
    </row>
    <row r="487" customFormat="false" ht="15" hidden="false" customHeight="true" outlineLevel="0" collapsed="false">
      <c r="H487" s="113"/>
      <c r="I487" s="113"/>
      <c r="J487" s="113"/>
      <c r="L487" s="113"/>
      <c r="M487" s="113"/>
      <c r="N487" s="113"/>
      <c r="P487" s="113"/>
      <c r="Q487" s="113"/>
      <c r="R487" s="113"/>
      <c r="T487" s="113"/>
      <c r="U487" s="113"/>
      <c r="V487" s="113"/>
    </row>
    <row r="488" customFormat="false" ht="15" hidden="false" customHeight="true" outlineLevel="0" collapsed="false">
      <c r="H488" s="113"/>
      <c r="I488" s="113"/>
      <c r="J488" s="113"/>
      <c r="L488" s="113"/>
      <c r="M488" s="113"/>
      <c r="N488" s="113"/>
      <c r="P488" s="113"/>
      <c r="Q488" s="113"/>
      <c r="R488" s="113"/>
      <c r="T488" s="113"/>
      <c r="U488" s="113"/>
      <c r="V488" s="113"/>
    </row>
    <row r="489" customFormat="false" ht="15" hidden="false" customHeight="true" outlineLevel="0" collapsed="false">
      <c r="H489" s="113"/>
      <c r="I489" s="113"/>
      <c r="J489" s="113"/>
      <c r="L489" s="113"/>
      <c r="M489" s="113"/>
      <c r="N489" s="113"/>
      <c r="P489" s="113"/>
      <c r="Q489" s="113"/>
      <c r="R489" s="113"/>
      <c r="T489" s="113"/>
      <c r="U489" s="113"/>
      <c r="V489" s="113"/>
    </row>
    <row r="490" customFormat="false" ht="15" hidden="false" customHeight="true" outlineLevel="0" collapsed="false">
      <c r="H490" s="113"/>
      <c r="I490" s="113"/>
      <c r="J490" s="113"/>
      <c r="L490" s="113"/>
      <c r="M490" s="113"/>
      <c r="N490" s="113"/>
      <c r="P490" s="113"/>
      <c r="Q490" s="113"/>
      <c r="R490" s="113"/>
      <c r="T490" s="113"/>
      <c r="U490" s="113"/>
      <c r="V490" s="113"/>
    </row>
    <row r="491" customFormat="false" ht="15" hidden="false" customHeight="true" outlineLevel="0" collapsed="false">
      <c r="H491" s="113"/>
      <c r="I491" s="113"/>
      <c r="J491" s="113"/>
      <c r="L491" s="113"/>
      <c r="M491" s="113"/>
      <c r="N491" s="113"/>
      <c r="P491" s="113"/>
      <c r="Q491" s="113"/>
      <c r="R491" s="113"/>
      <c r="T491" s="113"/>
      <c r="U491" s="113"/>
      <c r="V491" s="113"/>
    </row>
    <row r="492" customFormat="false" ht="15" hidden="false" customHeight="true" outlineLevel="0" collapsed="false">
      <c r="H492" s="113"/>
      <c r="I492" s="113"/>
      <c r="J492" s="113"/>
      <c r="L492" s="113"/>
      <c r="M492" s="113"/>
      <c r="N492" s="113"/>
      <c r="P492" s="113"/>
      <c r="Q492" s="113"/>
      <c r="R492" s="113"/>
      <c r="T492" s="113"/>
      <c r="U492" s="113"/>
      <c r="V492" s="113"/>
    </row>
    <row r="493" customFormat="false" ht="15" hidden="false" customHeight="true" outlineLevel="0" collapsed="false">
      <c r="H493" s="113"/>
      <c r="I493" s="113"/>
      <c r="J493" s="113"/>
      <c r="L493" s="113"/>
      <c r="M493" s="113"/>
      <c r="N493" s="113"/>
      <c r="P493" s="113"/>
      <c r="Q493" s="113"/>
      <c r="R493" s="113"/>
      <c r="T493" s="113"/>
      <c r="U493" s="113"/>
      <c r="V493" s="113"/>
    </row>
    <row r="494" customFormat="false" ht="15" hidden="false" customHeight="true" outlineLevel="0" collapsed="false">
      <c r="H494" s="113"/>
      <c r="I494" s="113"/>
      <c r="J494" s="113"/>
      <c r="L494" s="113"/>
      <c r="M494" s="113"/>
      <c r="N494" s="113"/>
      <c r="P494" s="113"/>
      <c r="Q494" s="113"/>
      <c r="R494" s="113"/>
      <c r="T494" s="113"/>
      <c r="U494" s="113"/>
      <c r="V494" s="113"/>
    </row>
    <row r="495" customFormat="false" ht="15" hidden="false" customHeight="true" outlineLevel="0" collapsed="false">
      <c r="H495" s="113"/>
      <c r="I495" s="113"/>
      <c r="J495" s="113"/>
      <c r="L495" s="113"/>
      <c r="M495" s="113"/>
      <c r="N495" s="113"/>
      <c r="P495" s="113"/>
      <c r="Q495" s="113"/>
      <c r="R495" s="113"/>
      <c r="T495" s="113"/>
      <c r="U495" s="113"/>
      <c r="V495" s="113"/>
    </row>
    <row r="496" customFormat="false" ht="15" hidden="false" customHeight="true" outlineLevel="0" collapsed="false">
      <c r="H496" s="113"/>
      <c r="I496" s="113"/>
      <c r="J496" s="113"/>
      <c r="L496" s="113"/>
      <c r="M496" s="113"/>
      <c r="N496" s="113"/>
      <c r="P496" s="113"/>
      <c r="Q496" s="113"/>
      <c r="R496" s="113"/>
      <c r="T496" s="113"/>
      <c r="U496" s="113"/>
      <c r="V496" s="113"/>
    </row>
    <row r="497" customFormat="false" ht="15" hidden="false" customHeight="true" outlineLevel="0" collapsed="false">
      <c r="H497" s="113"/>
      <c r="I497" s="113"/>
      <c r="J497" s="113"/>
      <c r="L497" s="113"/>
      <c r="M497" s="113"/>
      <c r="N497" s="113"/>
      <c r="P497" s="113"/>
      <c r="Q497" s="113"/>
      <c r="R497" s="113"/>
      <c r="T497" s="113"/>
      <c r="U497" s="113"/>
      <c r="V497" s="113"/>
    </row>
    <row r="498" customFormat="false" ht="15" hidden="false" customHeight="true" outlineLevel="0" collapsed="false">
      <c r="H498" s="113"/>
      <c r="I498" s="113"/>
      <c r="J498" s="113"/>
      <c r="L498" s="113"/>
      <c r="M498" s="113"/>
      <c r="N498" s="113"/>
      <c r="P498" s="113"/>
      <c r="Q498" s="113"/>
      <c r="R498" s="113"/>
      <c r="T498" s="113"/>
      <c r="U498" s="113"/>
      <c r="V498" s="113"/>
    </row>
    <row r="499" customFormat="false" ht="15" hidden="false" customHeight="true" outlineLevel="0" collapsed="false">
      <c r="H499" s="113"/>
      <c r="I499" s="113"/>
      <c r="J499" s="113"/>
      <c r="L499" s="113"/>
      <c r="M499" s="113"/>
      <c r="N499" s="113"/>
      <c r="P499" s="113"/>
      <c r="Q499" s="113"/>
      <c r="R499" s="113"/>
      <c r="T499" s="113"/>
      <c r="U499" s="113"/>
      <c r="V499" s="113"/>
    </row>
    <row r="500" customFormat="false" ht="15" hidden="false" customHeight="true" outlineLevel="0" collapsed="false">
      <c r="H500" s="113"/>
      <c r="I500" s="113"/>
      <c r="J500" s="113"/>
      <c r="L500" s="113"/>
      <c r="M500" s="113"/>
      <c r="N500" s="113"/>
      <c r="P500" s="113"/>
      <c r="Q500" s="113"/>
      <c r="R500" s="113"/>
      <c r="T500" s="113"/>
      <c r="U500" s="113"/>
      <c r="V500" s="113"/>
    </row>
    <row r="501" customFormat="false" ht="15" hidden="false" customHeight="true" outlineLevel="0" collapsed="false">
      <c r="H501" s="113"/>
      <c r="I501" s="113"/>
      <c r="J501" s="113"/>
      <c r="L501" s="113"/>
      <c r="M501" s="113"/>
      <c r="N501" s="113"/>
      <c r="P501" s="113"/>
      <c r="Q501" s="113"/>
      <c r="R501" s="113"/>
      <c r="T501" s="113"/>
      <c r="U501" s="113"/>
      <c r="V501" s="113"/>
    </row>
    <row r="502" customFormat="false" ht="15" hidden="false" customHeight="true" outlineLevel="0" collapsed="false">
      <c r="H502" s="113"/>
      <c r="I502" s="113"/>
      <c r="J502" s="113"/>
      <c r="L502" s="113"/>
      <c r="M502" s="113"/>
      <c r="N502" s="113"/>
      <c r="P502" s="113"/>
      <c r="Q502" s="113"/>
      <c r="R502" s="113"/>
      <c r="T502" s="113"/>
      <c r="U502" s="113"/>
      <c r="V502" s="113"/>
    </row>
    <row r="503" customFormat="false" ht="15" hidden="false" customHeight="true" outlineLevel="0" collapsed="false">
      <c r="H503" s="113"/>
      <c r="I503" s="113"/>
      <c r="J503" s="113"/>
      <c r="L503" s="113"/>
      <c r="M503" s="113"/>
      <c r="N503" s="113"/>
      <c r="P503" s="113"/>
      <c r="Q503" s="113"/>
      <c r="R503" s="113"/>
      <c r="T503" s="113"/>
      <c r="U503" s="113"/>
      <c r="V503" s="113"/>
    </row>
    <row r="504" customFormat="false" ht="15" hidden="false" customHeight="true" outlineLevel="0" collapsed="false">
      <c r="H504" s="113"/>
      <c r="I504" s="113"/>
      <c r="J504" s="113"/>
      <c r="L504" s="113"/>
      <c r="M504" s="113"/>
      <c r="N504" s="113"/>
      <c r="P504" s="113"/>
      <c r="Q504" s="113"/>
      <c r="R504" s="113"/>
      <c r="T504" s="113"/>
      <c r="U504" s="113"/>
      <c r="V504" s="113"/>
    </row>
    <row r="505" customFormat="false" ht="15" hidden="false" customHeight="true" outlineLevel="0" collapsed="false">
      <c r="H505" s="113"/>
      <c r="I505" s="113"/>
      <c r="J505" s="113"/>
      <c r="L505" s="113"/>
      <c r="M505" s="113"/>
      <c r="N505" s="113"/>
      <c r="P505" s="113"/>
      <c r="Q505" s="113"/>
      <c r="R505" s="113"/>
      <c r="T505" s="113"/>
      <c r="U505" s="113"/>
      <c r="V505" s="113"/>
    </row>
    <row r="506" customFormat="false" ht="15" hidden="false" customHeight="true" outlineLevel="0" collapsed="false">
      <c r="H506" s="113"/>
      <c r="I506" s="113"/>
      <c r="J506" s="113"/>
      <c r="L506" s="113"/>
      <c r="M506" s="113"/>
      <c r="N506" s="113"/>
      <c r="P506" s="113"/>
      <c r="Q506" s="113"/>
      <c r="R506" s="113"/>
      <c r="T506" s="113"/>
      <c r="U506" s="113"/>
      <c r="V506" s="113"/>
    </row>
    <row r="507" customFormat="false" ht="15" hidden="false" customHeight="true" outlineLevel="0" collapsed="false">
      <c r="H507" s="113"/>
      <c r="I507" s="113"/>
      <c r="J507" s="113"/>
      <c r="L507" s="113"/>
      <c r="M507" s="113"/>
      <c r="N507" s="113"/>
      <c r="P507" s="113"/>
      <c r="Q507" s="113"/>
      <c r="R507" s="113"/>
      <c r="T507" s="113"/>
      <c r="U507" s="113"/>
      <c r="V507" s="113"/>
    </row>
    <row r="508" customFormat="false" ht="15" hidden="false" customHeight="true" outlineLevel="0" collapsed="false">
      <c r="H508" s="113"/>
      <c r="I508" s="113"/>
      <c r="J508" s="113"/>
      <c r="L508" s="113"/>
      <c r="M508" s="113"/>
      <c r="N508" s="113"/>
      <c r="P508" s="113"/>
      <c r="Q508" s="113"/>
      <c r="R508" s="113"/>
      <c r="T508" s="113"/>
      <c r="U508" s="113"/>
      <c r="V508" s="113"/>
    </row>
    <row r="509" customFormat="false" ht="15" hidden="false" customHeight="true" outlineLevel="0" collapsed="false">
      <c r="H509" s="113"/>
      <c r="I509" s="113"/>
      <c r="J509" s="113"/>
      <c r="L509" s="113"/>
      <c r="M509" s="113"/>
      <c r="N509" s="113"/>
      <c r="P509" s="113"/>
      <c r="Q509" s="113"/>
      <c r="R509" s="113"/>
      <c r="T509" s="113"/>
      <c r="U509" s="113"/>
      <c r="V509" s="113"/>
    </row>
    <row r="510" customFormat="false" ht="15" hidden="false" customHeight="true" outlineLevel="0" collapsed="false">
      <c r="H510" s="113"/>
      <c r="I510" s="113"/>
      <c r="J510" s="113"/>
      <c r="L510" s="113"/>
      <c r="M510" s="113"/>
      <c r="N510" s="113"/>
      <c r="P510" s="113"/>
      <c r="Q510" s="113"/>
      <c r="R510" s="113"/>
      <c r="T510" s="113"/>
      <c r="U510" s="113"/>
      <c r="V510" s="113"/>
    </row>
    <row r="511" customFormat="false" ht="15" hidden="false" customHeight="true" outlineLevel="0" collapsed="false">
      <c r="H511" s="113"/>
      <c r="I511" s="113"/>
      <c r="J511" s="113"/>
      <c r="L511" s="113"/>
      <c r="M511" s="113"/>
      <c r="N511" s="113"/>
      <c r="P511" s="113"/>
      <c r="Q511" s="113"/>
      <c r="R511" s="113"/>
      <c r="T511" s="113"/>
      <c r="U511" s="113"/>
      <c r="V511" s="113"/>
    </row>
    <row r="512" customFormat="false" ht="15" hidden="false" customHeight="true" outlineLevel="0" collapsed="false">
      <c r="H512" s="113"/>
      <c r="I512" s="113"/>
      <c r="J512" s="113"/>
      <c r="L512" s="113"/>
      <c r="M512" s="113"/>
      <c r="N512" s="113"/>
      <c r="P512" s="113"/>
      <c r="Q512" s="113"/>
      <c r="R512" s="113"/>
      <c r="T512" s="113"/>
      <c r="U512" s="113"/>
      <c r="V512" s="113"/>
    </row>
    <row r="513" customFormat="false" ht="15" hidden="false" customHeight="true" outlineLevel="0" collapsed="false">
      <c r="H513" s="113"/>
      <c r="I513" s="113"/>
      <c r="J513" s="113"/>
      <c r="L513" s="113"/>
      <c r="M513" s="113"/>
      <c r="N513" s="113"/>
      <c r="P513" s="113"/>
      <c r="Q513" s="113"/>
      <c r="R513" s="113"/>
      <c r="T513" s="113"/>
      <c r="U513" s="113"/>
      <c r="V513" s="113"/>
    </row>
    <row r="514" customFormat="false" ht="15" hidden="false" customHeight="true" outlineLevel="0" collapsed="false">
      <c r="H514" s="113"/>
      <c r="I514" s="113"/>
      <c r="J514" s="113"/>
      <c r="L514" s="113"/>
      <c r="M514" s="113"/>
      <c r="N514" s="113"/>
      <c r="P514" s="113"/>
      <c r="Q514" s="113"/>
      <c r="R514" s="113"/>
      <c r="T514" s="113"/>
      <c r="U514" s="113"/>
      <c r="V514" s="113"/>
    </row>
    <row r="515" customFormat="false" ht="15" hidden="false" customHeight="true" outlineLevel="0" collapsed="false">
      <c r="H515" s="113"/>
      <c r="I515" s="113"/>
      <c r="J515" s="113"/>
      <c r="L515" s="113"/>
      <c r="M515" s="113"/>
      <c r="N515" s="113"/>
      <c r="P515" s="113"/>
      <c r="Q515" s="113"/>
      <c r="R515" s="113"/>
      <c r="T515" s="113"/>
      <c r="U515" s="113"/>
      <c r="V515" s="113"/>
    </row>
    <row r="516" customFormat="false" ht="15" hidden="false" customHeight="true" outlineLevel="0" collapsed="false">
      <c r="H516" s="113"/>
      <c r="I516" s="113"/>
      <c r="J516" s="113"/>
      <c r="L516" s="113"/>
      <c r="M516" s="113"/>
      <c r="N516" s="113"/>
      <c r="P516" s="113"/>
      <c r="Q516" s="113"/>
      <c r="R516" s="113"/>
      <c r="T516" s="113"/>
      <c r="U516" s="113"/>
      <c r="V516" s="113"/>
    </row>
    <row r="517" customFormat="false" ht="15" hidden="false" customHeight="true" outlineLevel="0" collapsed="false">
      <c r="H517" s="113"/>
      <c r="I517" s="113"/>
      <c r="J517" s="113"/>
      <c r="L517" s="113"/>
      <c r="M517" s="113"/>
      <c r="N517" s="113"/>
      <c r="P517" s="113"/>
      <c r="Q517" s="113"/>
      <c r="R517" s="113"/>
      <c r="T517" s="113"/>
      <c r="U517" s="113"/>
      <c r="V517" s="113"/>
    </row>
    <row r="518" customFormat="false" ht="15" hidden="false" customHeight="true" outlineLevel="0" collapsed="false">
      <c r="H518" s="113"/>
      <c r="I518" s="113"/>
      <c r="J518" s="113"/>
      <c r="L518" s="113"/>
      <c r="M518" s="113"/>
      <c r="N518" s="113"/>
      <c r="P518" s="113"/>
      <c r="Q518" s="113"/>
      <c r="R518" s="113"/>
      <c r="T518" s="113"/>
      <c r="U518" s="113"/>
      <c r="V518" s="113"/>
    </row>
    <row r="519" customFormat="false" ht="15" hidden="false" customHeight="true" outlineLevel="0" collapsed="false">
      <c r="H519" s="113"/>
      <c r="I519" s="113"/>
      <c r="J519" s="113"/>
      <c r="L519" s="113"/>
      <c r="M519" s="113"/>
      <c r="N519" s="113"/>
      <c r="P519" s="113"/>
      <c r="Q519" s="113"/>
      <c r="R519" s="113"/>
      <c r="T519" s="113"/>
      <c r="U519" s="113"/>
      <c r="V519" s="113"/>
    </row>
    <row r="520" customFormat="false" ht="15" hidden="false" customHeight="true" outlineLevel="0" collapsed="false">
      <c r="H520" s="113"/>
      <c r="I520" s="113"/>
      <c r="J520" s="113"/>
      <c r="L520" s="113"/>
      <c r="M520" s="113"/>
      <c r="N520" s="113"/>
      <c r="P520" s="113"/>
      <c r="Q520" s="113"/>
      <c r="R520" s="113"/>
      <c r="T520" s="113"/>
      <c r="U520" s="113"/>
      <c r="V520" s="113"/>
    </row>
    <row r="521" customFormat="false" ht="15" hidden="false" customHeight="true" outlineLevel="0" collapsed="false">
      <c r="H521" s="113"/>
      <c r="I521" s="113"/>
      <c r="J521" s="113"/>
      <c r="L521" s="113"/>
      <c r="M521" s="113"/>
      <c r="N521" s="113"/>
      <c r="P521" s="113"/>
      <c r="Q521" s="113"/>
      <c r="R521" s="113"/>
      <c r="T521" s="113"/>
      <c r="U521" s="113"/>
      <c r="V521" s="113"/>
    </row>
    <row r="522" customFormat="false" ht="15" hidden="false" customHeight="true" outlineLevel="0" collapsed="false">
      <c r="H522" s="113"/>
      <c r="I522" s="113"/>
      <c r="J522" s="113"/>
      <c r="L522" s="113"/>
      <c r="M522" s="113"/>
      <c r="N522" s="113"/>
      <c r="P522" s="113"/>
      <c r="Q522" s="113"/>
      <c r="R522" s="113"/>
      <c r="T522" s="113"/>
      <c r="U522" s="113"/>
      <c r="V522" s="113"/>
    </row>
    <row r="523" customFormat="false" ht="15" hidden="false" customHeight="true" outlineLevel="0" collapsed="false">
      <c r="H523" s="113"/>
      <c r="I523" s="113"/>
      <c r="J523" s="113"/>
      <c r="L523" s="113"/>
      <c r="M523" s="113"/>
      <c r="N523" s="113"/>
      <c r="P523" s="113"/>
      <c r="Q523" s="113"/>
      <c r="R523" s="113"/>
      <c r="T523" s="113"/>
      <c r="U523" s="113"/>
      <c r="V523" s="113"/>
    </row>
    <row r="524" customFormat="false" ht="15" hidden="false" customHeight="true" outlineLevel="0" collapsed="false">
      <c r="H524" s="113"/>
      <c r="I524" s="113"/>
      <c r="J524" s="113"/>
      <c r="L524" s="113"/>
      <c r="M524" s="113"/>
      <c r="N524" s="113"/>
      <c r="P524" s="113"/>
      <c r="Q524" s="113"/>
      <c r="R524" s="113"/>
      <c r="T524" s="113"/>
      <c r="U524" s="113"/>
      <c r="V524" s="113"/>
    </row>
    <row r="525" customFormat="false" ht="15" hidden="false" customHeight="true" outlineLevel="0" collapsed="false">
      <c r="H525" s="113"/>
      <c r="I525" s="113"/>
      <c r="J525" s="113"/>
      <c r="L525" s="113"/>
      <c r="M525" s="113"/>
      <c r="N525" s="113"/>
      <c r="P525" s="113"/>
      <c r="Q525" s="113"/>
      <c r="R525" s="113"/>
      <c r="T525" s="113"/>
      <c r="U525" s="113"/>
      <c r="V525" s="113"/>
    </row>
    <row r="526" customFormat="false" ht="15" hidden="false" customHeight="true" outlineLevel="0" collapsed="false">
      <c r="H526" s="113"/>
      <c r="I526" s="113"/>
      <c r="J526" s="113"/>
      <c r="L526" s="113"/>
      <c r="M526" s="113"/>
      <c r="N526" s="113"/>
      <c r="P526" s="113"/>
      <c r="Q526" s="113"/>
      <c r="R526" s="113"/>
      <c r="T526" s="113"/>
      <c r="U526" s="113"/>
      <c r="V526" s="113"/>
    </row>
    <row r="527" customFormat="false" ht="15" hidden="false" customHeight="true" outlineLevel="0" collapsed="false">
      <c r="H527" s="113"/>
      <c r="I527" s="113"/>
      <c r="J527" s="113"/>
      <c r="L527" s="113"/>
      <c r="M527" s="113"/>
      <c r="N527" s="113"/>
      <c r="P527" s="113"/>
      <c r="Q527" s="113"/>
      <c r="R527" s="113"/>
      <c r="T527" s="113"/>
      <c r="U527" s="113"/>
      <c r="V527" s="113"/>
    </row>
    <row r="528" customFormat="false" ht="15" hidden="false" customHeight="true" outlineLevel="0" collapsed="false">
      <c r="H528" s="113"/>
      <c r="I528" s="113"/>
      <c r="J528" s="113"/>
      <c r="L528" s="113"/>
      <c r="M528" s="113"/>
      <c r="N528" s="113"/>
      <c r="P528" s="113"/>
      <c r="Q528" s="113"/>
      <c r="R528" s="113"/>
      <c r="T528" s="113"/>
      <c r="U528" s="113"/>
      <c r="V528" s="113"/>
    </row>
    <row r="529" customFormat="false" ht="15" hidden="false" customHeight="true" outlineLevel="0" collapsed="false">
      <c r="H529" s="113"/>
      <c r="I529" s="113"/>
      <c r="J529" s="113"/>
      <c r="L529" s="113"/>
      <c r="M529" s="113"/>
      <c r="N529" s="113"/>
      <c r="P529" s="113"/>
      <c r="Q529" s="113"/>
      <c r="R529" s="113"/>
      <c r="T529" s="113"/>
      <c r="U529" s="113"/>
      <c r="V529" s="113"/>
    </row>
    <row r="530" customFormat="false" ht="15" hidden="false" customHeight="true" outlineLevel="0" collapsed="false">
      <c r="H530" s="113"/>
      <c r="I530" s="113"/>
      <c r="J530" s="113"/>
      <c r="L530" s="113"/>
      <c r="M530" s="113"/>
      <c r="N530" s="113"/>
      <c r="P530" s="113"/>
      <c r="Q530" s="113"/>
      <c r="R530" s="113"/>
      <c r="T530" s="113"/>
      <c r="U530" s="113"/>
      <c r="V530" s="113"/>
    </row>
    <row r="531" customFormat="false" ht="15" hidden="false" customHeight="true" outlineLevel="0" collapsed="false">
      <c r="H531" s="113"/>
      <c r="I531" s="113"/>
      <c r="J531" s="113"/>
      <c r="L531" s="113"/>
      <c r="M531" s="113"/>
      <c r="N531" s="113"/>
      <c r="P531" s="113"/>
      <c r="Q531" s="113"/>
      <c r="R531" s="113"/>
      <c r="T531" s="113"/>
      <c r="U531" s="113"/>
      <c r="V531" s="113"/>
    </row>
    <row r="532" customFormat="false" ht="15" hidden="false" customHeight="true" outlineLevel="0" collapsed="false">
      <c r="H532" s="113"/>
      <c r="I532" s="113"/>
      <c r="J532" s="113"/>
      <c r="L532" s="113"/>
      <c r="M532" s="113"/>
      <c r="N532" s="113"/>
      <c r="P532" s="113"/>
      <c r="Q532" s="113"/>
      <c r="R532" s="113"/>
      <c r="T532" s="113"/>
      <c r="U532" s="113"/>
      <c r="V532" s="113"/>
    </row>
    <row r="533" customFormat="false" ht="15" hidden="false" customHeight="true" outlineLevel="0" collapsed="false">
      <c r="H533" s="113"/>
      <c r="I533" s="113"/>
      <c r="J533" s="113"/>
      <c r="L533" s="113"/>
      <c r="M533" s="113"/>
      <c r="N533" s="113"/>
      <c r="P533" s="113"/>
      <c r="Q533" s="113"/>
      <c r="R533" s="113"/>
      <c r="T533" s="113"/>
      <c r="U533" s="113"/>
      <c r="V533" s="113"/>
    </row>
    <row r="534" customFormat="false" ht="15" hidden="false" customHeight="true" outlineLevel="0" collapsed="false">
      <c r="H534" s="113"/>
      <c r="I534" s="113"/>
      <c r="J534" s="113"/>
      <c r="L534" s="113"/>
      <c r="M534" s="113"/>
      <c r="N534" s="113"/>
      <c r="P534" s="113"/>
      <c r="Q534" s="113"/>
      <c r="R534" s="113"/>
      <c r="T534" s="113"/>
      <c r="U534" s="113"/>
      <c r="V534" s="113"/>
    </row>
    <row r="535" customFormat="false" ht="15" hidden="false" customHeight="true" outlineLevel="0" collapsed="false">
      <c r="H535" s="113"/>
      <c r="I535" s="113"/>
      <c r="J535" s="113"/>
      <c r="L535" s="113"/>
      <c r="M535" s="113"/>
      <c r="N535" s="113"/>
      <c r="P535" s="113"/>
      <c r="Q535" s="113"/>
      <c r="R535" s="113"/>
      <c r="T535" s="113"/>
      <c r="U535" s="113"/>
      <c r="V535" s="113"/>
    </row>
    <row r="536" customFormat="false" ht="15" hidden="false" customHeight="true" outlineLevel="0" collapsed="false">
      <c r="H536" s="113"/>
      <c r="I536" s="113"/>
      <c r="J536" s="113"/>
      <c r="L536" s="113"/>
      <c r="M536" s="113"/>
      <c r="N536" s="113"/>
      <c r="P536" s="113"/>
      <c r="Q536" s="113"/>
      <c r="R536" s="113"/>
      <c r="T536" s="113"/>
      <c r="U536" s="113"/>
      <c r="V536" s="113"/>
    </row>
    <row r="537" customFormat="false" ht="15" hidden="false" customHeight="true" outlineLevel="0" collapsed="false">
      <c r="H537" s="113"/>
      <c r="I537" s="113"/>
      <c r="J537" s="113"/>
      <c r="L537" s="113"/>
      <c r="M537" s="113"/>
      <c r="N537" s="113"/>
      <c r="P537" s="113"/>
      <c r="Q537" s="113"/>
      <c r="R537" s="113"/>
      <c r="T537" s="113"/>
      <c r="U537" s="113"/>
      <c r="V537" s="113"/>
    </row>
    <row r="538" customFormat="false" ht="15" hidden="false" customHeight="true" outlineLevel="0" collapsed="false">
      <c r="H538" s="113"/>
      <c r="I538" s="113"/>
      <c r="J538" s="113"/>
      <c r="L538" s="113"/>
      <c r="M538" s="113"/>
      <c r="N538" s="113"/>
      <c r="P538" s="113"/>
      <c r="Q538" s="113"/>
      <c r="R538" s="113"/>
      <c r="T538" s="113"/>
      <c r="U538" s="113"/>
      <c r="V538" s="113"/>
    </row>
    <row r="539" customFormat="false" ht="15" hidden="false" customHeight="true" outlineLevel="0" collapsed="false">
      <c r="H539" s="113"/>
      <c r="I539" s="113"/>
      <c r="J539" s="113"/>
      <c r="L539" s="113"/>
      <c r="M539" s="113"/>
      <c r="N539" s="113"/>
      <c r="P539" s="113"/>
      <c r="Q539" s="113"/>
      <c r="R539" s="113"/>
      <c r="T539" s="113"/>
      <c r="U539" s="113"/>
      <c r="V539" s="113"/>
    </row>
    <row r="540" customFormat="false" ht="15" hidden="false" customHeight="true" outlineLevel="0" collapsed="false">
      <c r="H540" s="113"/>
      <c r="I540" s="113"/>
      <c r="J540" s="113"/>
      <c r="L540" s="113"/>
      <c r="M540" s="113"/>
      <c r="N540" s="113"/>
      <c r="P540" s="113"/>
      <c r="Q540" s="113"/>
      <c r="R540" s="113"/>
      <c r="T540" s="113"/>
      <c r="U540" s="113"/>
      <c r="V540" s="113"/>
    </row>
    <row r="541" customFormat="false" ht="15" hidden="false" customHeight="true" outlineLevel="0" collapsed="false">
      <c r="H541" s="113"/>
      <c r="I541" s="113"/>
      <c r="J541" s="113"/>
      <c r="L541" s="113"/>
      <c r="M541" s="113"/>
      <c r="N541" s="113"/>
      <c r="P541" s="113"/>
      <c r="Q541" s="113"/>
      <c r="R541" s="113"/>
      <c r="T541" s="113"/>
      <c r="U541" s="113"/>
      <c r="V541" s="113"/>
    </row>
    <row r="542" customFormat="false" ht="15" hidden="false" customHeight="true" outlineLevel="0" collapsed="false">
      <c r="H542" s="113"/>
      <c r="I542" s="113"/>
      <c r="J542" s="113"/>
      <c r="L542" s="113"/>
      <c r="M542" s="113"/>
      <c r="N542" s="113"/>
      <c r="P542" s="113"/>
      <c r="Q542" s="113"/>
      <c r="R542" s="113"/>
      <c r="T542" s="113"/>
      <c r="U542" s="113"/>
      <c r="V542" s="113"/>
    </row>
    <row r="543" customFormat="false" ht="15" hidden="false" customHeight="true" outlineLevel="0" collapsed="false">
      <c r="H543" s="113"/>
      <c r="I543" s="113"/>
      <c r="J543" s="113"/>
      <c r="L543" s="113"/>
      <c r="M543" s="113"/>
      <c r="N543" s="113"/>
      <c r="P543" s="113"/>
      <c r="Q543" s="113"/>
      <c r="R543" s="113"/>
      <c r="T543" s="113"/>
      <c r="U543" s="113"/>
      <c r="V543" s="113"/>
    </row>
    <row r="544" customFormat="false" ht="15" hidden="false" customHeight="true" outlineLevel="0" collapsed="false">
      <c r="H544" s="113"/>
      <c r="I544" s="113"/>
      <c r="J544" s="113"/>
      <c r="L544" s="113"/>
      <c r="M544" s="113"/>
      <c r="N544" s="113"/>
      <c r="P544" s="113"/>
      <c r="Q544" s="113"/>
      <c r="R544" s="113"/>
      <c r="T544" s="113"/>
      <c r="U544" s="113"/>
      <c r="V544" s="113"/>
    </row>
    <row r="545" customFormat="false" ht="15" hidden="false" customHeight="true" outlineLevel="0" collapsed="false">
      <c r="H545" s="113"/>
      <c r="I545" s="113"/>
      <c r="J545" s="113"/>
      <c r="L545" s="113"/>
      <c r="M545" s="113"/>
      <c r="N545" s="113"/>
      <c r="P545" s="113"/>
      <c r="Q545" s="113"/>
      <c r="R545" s="113"/>
      <c r="T545" s="113"/>
      <c r="U545" s="113"/>
      <c r="V545" s="113"/>
    </row>
    <row r="546" customFormat="false" ht="15" hidden="false" customHeight="true" outlineLevel="0" collapsed="false">
      <c r="H546" s="113"/>
      <c r="I546" s="113"/>
      <c r="J546" s="113"/>
      <c r="L546" s="113"/>
      <c r="M546" s="113"/>
      <c r="N546" s="113"/>
      <c r="P546" s="113"/>
      <c r="Q546" s="113"/>
      <c r="R546" s="113"/>
      <c r="T546" s="113"/>
      <c r="U546" s="113"/>
      <c r="V546" s="113"/>
    </row>
    <row r="547" customFormat="false" ht="15" hidden="false" customHeight="true" outlineLevel="0" collapsed="false">
      <c r="H547" s="113"/>
      <c r="I547" s="113"/>
      <c r="J547" s="113"/>
      <c r="L547" s="113"/>
      <c r="M547" s="113"/>
      <c r="N547" s="113"/>
      <c r="P547" s="113"/>
      <c r="Q547" s="113"/>
      <c r="R547" s="113"/>
      <c r="T547" s="113"/>
      <c r="U547" s="113"/>
      <c r="V547" s="113"/>
    </row>
    <row r="548" customFormat="false" ht="15" hidden="false" customHeight="true" outlineLevel="0" collapsed="false">
      <c r="H548" s="113"/>
      <c r="I548" s="113"/>
      <c r="J548" s="113"/>
      <c r="L548" s="113"/>
      <c r="M548" s="113"/>
      <c r="N548" s="113"/>
      <c r="P548" s="113"/>
      <c r="Q548" s="113"/>
      <c r="R548" s="113"/>
      <c r="T548" s="113"/>
      <c r="U548" s="113"/>
      <c r="V548" s="113"/>
    </row>
    <row r="549" customFormat="false" ht="15" hidden="false" customHeight="true" outlineLevel="0" collapsed="false">
      <c r="H549" s="113"/>
      <c r="I549" s="113"/>
      <c r="J549" s="113"/>
      <c r="L549" s="113"/>
      <c r="M549" s="113"/>
      <c r="N549" s="113"/>
      <c r="P549" s="113"/>
      <c r="Q549" s="113"/>
      <c r="R549" s="113"/>
      <c r="T549" s="113"/>
      <c r="U549" s="113"/>
      <c r="V549" s="113"/>
    </row>
    <row r="550" customFormat="false" ht="15" hidden="false" customHeight="true" outlineLevel="0" collapsed="false">
      <c r="H550" s="113"/>
      <c r="I550" s="113"/>
      <c r="J550" s="113"/>
      <c r="L550" s="113"/>
      <c r="M550" s="113"/>
      <c r="N550" s="113"/>
      <c r="P550" s="113"/>
      <c r="Q550" s="113"/>
      <c r="R550" s="113"/>
      <c r="T550" s="113"/>
      <c r="U550" s="113"/>
      <c r="V550" s="113"/>
    </row>
    <row r="551" customFormat="false" ht="15" hidden="false" customHeight="true" outlineLevel="0" collapsed="false">
      <c r="H551" s="113"/>
      <c r="I551" s="113"/>
      <c r="J551" s="113"/>
      <c r="L551" s="113"/>
      <c r="M551" s="113"/>
      <c r="N551" s="113"/>
      <c r="P551" s="113"/>
      <c r="Q551" s="113"/>
      <c r="R551" s="113"/>
      <c r="T551" s="113"/>
      <c r="U551" s="113"/>
      <c r="V551" s="113"/>
    </row>
    <row r="552" customFormat="false" ht="15" hidden="false" customHeight="true" outlineLevel="0" collapsed="false">
      <c r="H552" s="113"/>
      <c r="I552" s="113"/>
      <c r="J552" s="113"/>
      <c r="L552" s="113"/>
      <c r="M552" s="113"/>
      <c r="N552" s="113"/>
      <c r="P552" s="113"/>
      <c r="Q552" s="113"/>
      <c r="R552" s="113"/>
      <c r="T552" s="113"/>
      <c r="U552" s="113"/>
      <c r="V552" s="113"/>
    </row>
    <row r="553" customFormat="false" ht="15" hidden="false" customHeight="true" outlineLevel="0" collapsed="false">
      <c r="H553" s="113"/>
      <c r="I553" s="113"/>
      <c r="J553" s="113"/>
      <c r="L553" s="113"/>
      <c r="M553" s="113"/>
      <c r="N553" s="113"/>
      <c r="P553" s="113"/>
      <c r="Q553" s="113"/>
      <c r="R553" s="113"/>
      <c r="T553" s="113"/>
      <c r="U553" s="113"/>
      <c r="V553" s="113"/>
    </row>
    <row r="554" customFormat="false" ht="15" hidden="false" customHeight="true" outlineLevel="0" collapsed="false">
      <c r="H554" s="113"/>
      <c r="I554" s="113"/>
      <c r="J554" s="113"/>
      <c r="L554" s="113"/>
      <c r="M554" s="113"/>
      <c r="N554" s="113"/>
      <c r="P554" s="113"/>
      <c r="Q554" s="113"/>
      <c r="R554" s="113"/>
      <c r="T554" s="113"/>
      <c r="U554" s="113"/>
      <c r="V554" s="113"/>
    </row>
    <row r="555" customFormat="false" ht="15" hidden="false" customHeight="true" outlineLevel="0" collapsed="false">
      <c r="H555" s="113"/>
      <c r="I555" s="113"/>
      <c r="J555" s="113"/>
      <c r="L555" s="113"/>
      <c r="M555" s="113"/>
      <c r="N555" s="113"/>
      <c r="P555" s="113"/>
      <c r="Q555" s="113"/>
      <c r="R555" s="113"/>
      <c r="T555" s="113"/>
      <c r="U555" s="113"/>
      <c r="V555" s="113"/>
    </row>
    <row r="556" customFormat="false" ht="15" hidden="false" customHeight="true" outlineLevel="0" collapsed="false">
      <c r="H556" s="113"/>
      <c r="I556" s="113"/>
      <c r="J556" s="113"/>
      <c r="L556" s="113"/>
      <c r="M556" s="113"/>
      <c r="N556" s="113"/>
      <c r="P556" s="113"/>
      <c r="Q556" s="113"/>
      <c r="R556" s="113"/>
      <c r="T556" s="113"/>
      <c r="U556" s="113"/>
      <c r="V556" s="113"/>
    </row>
    <row r="557" customFormat="false" ht="15" hidden="false" customHeight="true" outlineLevel="0" collapsed="false">
      <c r="H557" s="113"/>
      <c r="I557" s="113"/>
      <c r="J557" s="113"/>
      <c r="L557" s="113"/>
      <c r="M557" s="113"/>
      <c r="N557" s="113"/>
      <c r="P557" s="113"/>
      <c r="Q557" s="113"/>
      <c r="R557" s="113"/>
      <c r="T557" s="113"/>
      <c r="U557" s="113"/>
      <c r="V557" s="113"/>
    </row>
    <row r="558" customFormat="false" ht="15" hidden="false" customHeight="true" outlineLevel="0" collapsed="false">
      <c r="H558" s="113"/>
      <c r="I558" s="113"/>
      <c r="J558" s="113"/>
      <c r="L558" s="113"/>
      <c r="M558" s="113"/>
      <c r="N558" s="113"/>
      <c r="P558" s="113"/>
      <c r="Q558" s="113"/>
      <c r="R558" s="113"/>
      <c r="T558" s="113"/>
      <c r="U558" s="113"/>
      <c r="V558" s="113"/>
    </row>
    <row r="559" customFormat="false" ht="15" hidden="false" customHeight="true" outlineLevel="0" collapsed="false">
      <c r="H559" s="113"/>
      <c r="I559" s="113"/>
      <c r="J559" s="113"/>
      <c r="L559" s="113"/>
      <c r="M559" s="113"/>
      <c r="N559" s="113"/>
      <c r="P559" s="113"/>
      <c r="Q559" s="113"/>
      <c r="R559" s="113"/>
      <c r="T559" s="113"/>
      <c r="U559" s="113"/>
      <c r="V559" s="113"/>
    </row>
    <row r="560" customFormat="false" ht="15" hidden="false" customHeight="true" outlineLevel="0" collapsed="false">
      <c r="H560" s="113"/>
      <c r="I560" s="113"/>
      <c r="J560" s="113"/>
      <c r="L560" s="113"/>
      <c r="M560" s="113"/>
      <c r="N560" s="113"/>
      <c r="P560" s="113"/>
      <c r="Q560" s="113"/>
      <c r="R560" s="113"/>
      <c r="T560" s="113"/>
      <c r="U560" s="113"/>
      <c r="V560" s="113"/>
    </row>
    <row r="561" customFormat="false" ht="15" hidden="false" customHeight="true" outlineLevel="0" collapsed="false">
      <c r="H561" s="113"/>
      <c r="I561" s="113"/>
      <c r="J561" s="113"/>
      <c r="L561" s="113"/>
      <c r="M561" s="113"/>
      <c r="N561" s="113"/>
      <c r="P561" s="113"/>
      <c r="Q561" s="113"/>
      <c r="R561" s="113"/>
      <c r="T561" s="113"/>
      <c r="U561" s="113"/>
      <c r="V561" s="113"/>
    </row>
    <row r="562" customFormat="false" ht="15" hidden="false" customHeight="true" outlineLevel="0" collapsed="false">
      <c r="H562" s="113"/>
      <c r="I562" s="113"/>
      <c r="J562" s="113"/>
      <c r="L562" s="113"/>
      <c r="M562" s="113"/>
      <c r="N562" s="113"/>
      <c r="P562" s="113"/>
      <c r="Q562" s="113"/>
      <c r="R562" s="113"/>
      <c r="T562" s="113"/>
      <c r="U562" s="113"/>
      <c r="V562" s="113"/>
    </row>
    <row r="563" customFormat="false" ht="15" hidden="false" customHeight="true" outlineLevel="0" collapsed="false">
      <c r="H563" s="113"/>
      <c r="I563" s="113"/>
      <c r="J563" s="113"/>
      <c r="L563" s="113"/>
      <c r="M563" s="113"/>
      <c r="N563" s="113"/>
      <c r="P563" s="113"/>
      <c r="Q563" s="113"/>
      <c r="R563" s="113"/>
      <c r="T563" s="113"/>
      <c r="U563" s="113"/>
      <c r="V563" s="113"/>
    </row>
    <row r="564" customFormat="false" ht="15" hidden="false" customHeight="true" outlineLevel="0" collapsed="false">
      <c r="H564" s="113"/>
      <c r="I564" s="113"/>
      <c r="J564" s="113"/>
      <c r="L564" s="113"/>
      <c r="M564" s="113"/>
      <c r="N564" s="113"/>
      <c r="P564" s="113"/>
      <c r="Q564" s="113"/>
      <c r="R564" s="113"/>
      <c r="T564" s="113"/>
      <c r="U564" s="113"/>
      <c r="V564" s="113"/>
    </row>
    <row r="565" customFormat="false" ht="15" hidden="false" customHeight="true" outlineLevel="0" collapsed="false">
      <c r="H565" s="113"/>
      <c r="I565" s="113"/>
      <c r="J565" s="113"/>
      <c r="L565" s="113"/>
      <c r="M565" s="113"/>
      <c r="N565" s="113"/>
      <c r="P565" s="113"/>
      <c r="Q565" s="113"/>
      <c r="R565" s="113"/>
      <c r="T565" s="113"/>
      <c r="U565" s="113"/>
      <c r="V565" s="113"/>
    </row>
    <row r="566" customFormat="false" ht="15" hidden="false" customHeight="true" outlineLevel="0" collapsed="false">
      <c r="H566" s="113"/>
      <c r="I566" s="113"/>
      <c r="J566" s="113"/>
      <c r="L566" s="113"/>
      <c r="M566" s="113"/>
      <c r="N566" s="113"/>
      <c r="P566" s="113"/>
      <c r="Q566" s="113"/>
      <c r="R566" s="113"/>
      <c r="T566" s="113"/>
      <c r="U566" s="113"/>
      <c r="V566" s="113"/>
    </row>
    <row r="567" customFormat="false" ht="15" hidden="false" customHeight="true" outlineLevel="0" collapsed="false">
      <c r="H567" s="113"/>
      <c r="I567" s="113"/>
      <c r="J567" s="113"/>
      <c r="L567" s="113"/>
      <c r="M567" s="113"/>
      <c r="N567" s="113"/>
      <c r="P567" s="113"/>
      <c r="Q567" s="113"/>
      <c r="R567" s="113"/>
      <c r="T567" s="113"/>
      <c r="U567" s="113"/>
      <c r="V567" s="113"/>
    </row>
    <row r="568" customFormat="false" ht="15" hidden="false" customHeight="true" outlineLevel="0" collapsed="false">
      <c r="H568" s="113"/>
      <c r="I568" s="113"/>
      <c r="J568" s="113"/>
      <c r="L568" s="113"/>
      <c r="M568" s="113"/>
      <c r="N568" s="113"/>
      <c r="P568" s="113"/>
      <c r="Q568" s="113"/>
      <c r="R568" s="113"/>
      <c r="T568" s="113"/>
      <c r="U568" s="113"/>
      <c r="V568" s="113"/>
    </row>
    <row r="569" customFormat="false" ht="15" hidden="false" customHeight="true" outlineLevel="0" collapsed="false">
      <c r="H569" s="113"/>
      <c r="I569" s="113"/>
      <c r="J569" s="113"/>
      <c r="L569" s="113"/>
      <c r="M569" s="113"/>
      <c r="N569" s="113"/>
      <c r="P569" s="113"/>
      <c r="Q569" s="113"/>
      <c r="R569" s="113"/>
      <c r="T569" s="113"/>
      <c r="U569" s="113"/>
      <c r="V569" s="113"/>
    </row>
    <row r="570" customFormat="false" ht="15" hidden="false" customHeight="true" outlineLevel="0" collapsed="false">
      <c r="H570" s="113"/>
      <c r="I570" s="113"/>
      <c r="J570" s="113"/>
      <c r="L570" s="113"/>
      <c r="M570" s="113"/>
      <c r="N570" s="113"/>
      <c r="P570" s="113"/>
      <c r="Q570" s="113"/>
      <c r="R570" s="113"/>
      <c r="T570" s="113"/>
      <c r="U570" s="113"/>
      <c r="V570" s="113"/>
    </row>
    <row r="571" customFormat="false" ht="15" hidden="false" customHeight="true" outlineLevel="0" collapsed="false">
      <c r="H571" s="113"/>
      <c r="I571" s="113"/>
      <c r="J571" s="113"/>
      <c r="L571" s="113"/>
      <c r="M571" s="113"/>
      <c r="N571" s="113"/>
      <c r="P571" s="113"/>
      <c r="Q571" s="113"/>
      <c r="R571" s="113"/>
      <c r="T571" s="113"/>
      <c r="U571" s="113"/>
      <c r="V571" s="113"/>
    </row>
    <row r="572" customFormat="false" ht="15" hidden="false" customHeight="true" outlineLevel="0" collapsed="false">
      <c r="H572" s="113"/>
      <c r="I572" s="113"/>
      <c r="J572" s="113"/>
      <c r="L572" s="113"/>
      <c r="M572" s="113"/>
      <c r="N572" s="113"/>
      <c r="P572" s="113"/>
      <c r="Q572" s="113"/>
      <c r="R572" s="113"/>
      <c r="T572" s="113"/>
      <c r="U572" s="113"/>
      <c r="V572" s="113"/>
    </row>
    <row r="573" customFormat="false" ht="15" hidden="false" customHeight="true" outlineLevel="0" collapsed="false">
      <c r="H573" s="113"/>
      <c r="I573" s="113"/>
      <c r="J573" s="113"/>
      <c r="L573" s="113"/>
      <c r="M573" s="113"/>
      <c r="N573" s="113"/>
      <c r="P573" s="113"/>
      <c r="Q573" s="113"/>
      <c r="R573" s="113"/>
      <c r="T573" s="113"/>
      <c r="U573" s="113"/>
      <c r="V573" s="113"/>
    </row>
    <row r="574" customFormat="false" ht="15" hidden="false" customHeight="true" outlineLevel="0" collapsed="false">
      <c r="H574" s="113"/>
      <c r="I574" s="113"/>
      <c r="J574" s="113"/>
      <c r="L574" s="113"/>
      <c r="M574" s="113"/>
      <c r="N574" s="113"/>
      <c r="P574" s="113"/>
      <c r="Q574" s="113"/>
      <c r="R574" s="113"/>
      <c r="T574" s="113"/>
      <c r="U574" s="113"/>
      <c r="V574" s="113"/>
    </row>
    <row r="575" customFormat="false" ht="15" hidden="false" customHeight="true" outlineLevel="0" collapsed="false">
      <c r="H575" s="113"/>
      <c r="I575" s="113"/>
      <c r="J575" s="113"/>
      <c r="L575" s="113"/>
      <c r="M575" s="113"/>
      <c r="N575" s="113"/>
      <c r="P575" s="113"/>
      <c r="Q575" s="113"/>
      <c r="R575" s="113"/>
      <c r="T575" s="113"/>
      <c r="U575" s="113"/>
      <c r="V575" s="113"/>
    </row>
    <row r="576" customFormat="false" ht="15" hidden="false" customHeight="true" outlineLevel="0" collapsed="false">
      <c r="H576" s="113"/>
      <c r="I576" s="113"/>
      <c r="J576" s="113"/>
      <c r="L576" s="113"/>
      <c r="M576" s="113"/>
      <c r="N576" s="113"/>
      <c r="P576" s="113"/>
      <c r="Q576" s="113"/>
      <c r="R576" s="113"/>
      <c r="T576" s="113"/>
      <c r="U576" s="113"/>
      <c r="V576" s="113"/>
    </row>
    <row r="577" customFormat="false" ht="15" hidden="false" customHeight="true" outlineLevel="0" collapsed="false">
      <c r="H577" s="113"/>
      <c r="I577" s="113"/>
      <c r="J577" s="113"/>
      <c r="L577" s="113"/>
      <c r="M577" s="113"/>
      <c r="N577" s="113"/>
      <c r="P577" s="113"/>
      <c r="Q577" s="113"/>
      <c r="R577" s="113"/>
      <c r="T577" s="113"/>
      <c r="U577" s="113"/>
      <c r="V577" s="113"/>
    </row>
    <row r="578" customFormat="false" ht="15" hidden="false" customHeight="true" outlineLevel="0" collapsed="false">
      <c r="H578" s="113"/>
      <c r="I578" s="113"/>
      <c r="J578" s="113"/>
      <c r="L578" s="113"/>
      <c r="M578" s="113"/>
      <c r="N578" s="113"/>
      <c r="P578" s="113"/>
      <c r="Q578" s="113"/>
      <c r="R578" s="113"/>
      <c r="T578" s="113"/>
      <c r="U578" s="113"/>
      <c r="V578" s="113"/>
    </row>
    <row r="579" customFormat="false" ht="15" hidden="false" customHeight="true" outlineLevel="0" collapsed="false">
      <c r="H579" s="113"/>
      <c r="I579" s="113"/>
      <c r="J579" s="113"/>
      <c r="L579" s="113"/>
      <c r="M579" s="113"/>
      <c r="N579" s="113"/>
      <c r="P579" s="113"/>
      <c r="Q579" s="113"/>
      <c r="R579" s="113"/>
      <c r="T579" s="113"/>
      <c r="U579" s="113"/>
      <c r="V579" s="113"/>
    </row>
    <row r="580" customFormat="false" ht="15" hidden="false" customHeight="true" outlineLevel="0" collapsed="false">
      <c r="H580" s="113"/>
      <c r="I580" s="113"/>
      <c r="J580" s="113"/>
      <c r="L580" s="113"/>
      <c r="M580" s="113"/>
      <c r="N580" s="113"/>
      <c r="P580" s="113"/>
      <c r="Q580" s="113"/>
      <c r="R580" s="113"/>
      <c r="T580" s="113"/>
      <c r="U580" s="113"/>
      <c r="V580" s="113"/>
    </row>
    <row r="581" customFormat="false" ht="15" hidden="false" customHeight="true" outlineLevel="0" collapsed="false">
      <c r="H581" s="113"/>
      <c r="I581" s="113"/>
      <c r="J581" s="113"/>
      <c r="L581" s="113"/>
      <c r="M581" s="113"/>
      <c r="N581" s="113"/>
      <c r="P581" s="113"/>
      <c r="Q581" s="113"/>
      <c r="R581" s="113"/>
      <c r="T581" s="113"/>
      <c r="U581" s="113"/>
      <c r="V581" s="113"/>
    </row>
    <row r="582" customFormat="false" ht="15" hidden="false" customHeight="true" outlineLevel="0" collapsed="false">
      <c r="H582" s="113"/>
      <c r="I582" s="113"/>
      <c r="J582" s="113"/>
      <c r="L582" s="113"/>
      <c r="M582" s="113"/>
      <c r="N582" s="113"/>
      <c r="P582" s="113"/>
      <c r="Q582" s="113"/>
      <c r="R582" s="113"/>
      <c r="T582" s="113"/>
      <c r="U582" s="113"/>
      <c r="V582" s="113"/>
    </row>
    <row r="583" customFormat="false" ht="15" hidden="false" customHeight="true" outlineLevel="0" collapsed="false">
      <c r="H583" s="113"/>
      <c r="I583" s="113"/>
      <c r="J583" s="113"/>
      <c r="L583" s="113"/>
      <c r="M583" s="113"/>
      <c r="N583" s="113"/>
      <c r="P583" s="113"/>
      <c r="Q583" s="113"/>
      <c r="R583" s="113"/>
      <c r="T583" s="113"/>
      <c r="U583" s="113"/>
      <c r="V583" s="113"/>
    </row>
    <row r="584" customFormat="false" ht="15" hidden="false" customHeight="true" outlineLevel="0" collapsed="false">
      <c r="H584" s="113"/>
      <c r="I584" s="113"/>
      <c r="J584" s="113"/>
      <c r="L584" s="113"/>
      <c r="M584" s="113"/>
      <c r="N584" s="113"/>
      <c r="P584" s="113"/>
      <c r="Q584" s="113"/>
      <c r="R584" s="113"/>
      <c r="T584" s="113"/>
      <c r="U584" s="113"/>
      <c r="V584" s="113"/>
    </row>
    <row r="585" customFormat="false" ht="15" hidden="false" customHeight="true" outlineLevel="0" collapsed="false">
      <c r="H585" s="113"/>
      <c r="I585" s="113"/>
      <c r="J585" s="113"/>
      <c r="L585" s="113"/>
      <c r="M585" s="113"/>
      <c r="N585" s="113"/>
      <c r="P585" s="113"/>
      <c r="Q585" s="113"/>
      <c r="R585" s="113"/>
      <c r="T585" s="113"/>
      <c r="U585" s="113"/>
      <c r="V585" s="113"/>
    </row>
    <row r="586" customFormat="false" ht="15" hidden="false" customHeight="true" outlineLevel="0" collapsed="false">
      <c r="H586" s="113"/>
      <c r="I586" s="113"/>
      <c r="J586" s="113"/>
      <c r="L586" s="113"/>
      <c r="M586" s="113"/>
      <c r="N586" s="113"/>
      <c r="P586" s="113"/>
      <c r="Q586" s="113"/>
      <c r="R586" s="113"/>
      <c r="T586" s="113"/>
      <c r="U586" s="113"/>
      <c r="V586" s="113"/>
    </row>
    <row r="587" customFormat="false" ht="15" hidden="false" customHeight="true" outlineLevel="0" collapsed="false">
      <c r="H587" s="113"/>
      <c r="I587" s="113"/>
      <c r="J587" s="113"/>
      <c r="L587" s="113"/>
      <c r="M587" s="113"/>
      <c r="N587" s="113"/>
      <c r="P587" s="113"/>
      <c r="Q587" s="113"/>
      <c r="R587" s="113"/>
      <c r="T587" s="113"/>
      <c r="U587" s="113"/>
      <c r="V587" s="113"/>
    </row>
    <row r="588" customFormat="false" ht="15" hidden="false" customHeight="true" outlineLevel="0" collapsed="false">
      <c r="H588" s="113"/>
      <c r="I588" s="113"/>
      <c r="J588" s="113"/>
      <c r="L588" s="113"/>
      <c r="M588" s="113"/>
      <c r="N588" s="113"/>
      <c r="P588" s="113"/>
      <c r="Q588" s="113"/>
      <c r="R588" s="113"/>
      <c r="T588" s="113"/>
      <c r="U588" s="113"/>
      <c r="V588" s="113"/>
    </row>
    <row r="589" customFormat="false" ht="15" hidden="false" customHeight="true" outlineLevel="0" collapsed="false">
      <c r="H589" s="113"/>
      <c r="I589" s="113"/>
      <c r="J589" s="113"/>
      <c r="L589" s="113"/>
      <c r="M589" s="113"/>
      <c r="N589" s="113"/>
      <c r="P589" s="113"/>
      <c r="Q589" s="113"/>
      <c r="R589" s="113"/>
      <c r="T589" s="113"/>
      <c r="U589" s="113"/>
      <c r="V589" s="113"/>
    </row>
    <row r="590" customFormat="false" ht="15" hidden="false" customHeight="true" outlineLevel="0" collapsed="false">
      <c r="H590" s="113"/>
      <c r="I590" s="113"/>
      <c r="J590" s="113"/>
      <c r="L590" s="113"/>
      <c r="M590" s="113"/>
      <c r="N590" s="113"/>
      <c r="P590" s="113"/>
      <c r="Q590" s="113"/>
      <c r="R590" s="113"/>
      <c r="T590" s="113"/>
      <c r="U590" s="113"/>
      <c r="V590" s="113"/>
    </row>
    <row r="591" customFormat="false" ht="15" hidden="false" customHeight="true" outlineLevel="0" collapsed="false">
      <c r="H591" s="113"/>
      <c r="I591" s="113"/>
      <c r="J591" s="113"/>
      <c r="L591" s="113"/>
      <c r="M591" s="113"/>
      <c r="N591" s="113"/>
      <c r="P591" s="113"/>
      <c r="Q591" s="113"/>
      <c r="R591" s="113"/>
      <c r="T591" s="113"/>
      <c r="U591" s="113"/>
      <c r="V591" s="113"/>
    </row>
    <row r="592" customFormat="false" ht="15" hidden="false" customHeight="true" outlineLevel="0" collapsed="false">
      <c r="H592" s="113"/>
      <c r="I592" s="113"/>
      <c r="J592" s="113"/>
      <c r="L592" s="113"/>
      <c r="M592" s="113"/>
      <c r="N592" s="113"/>
      <c r="P592" s="113"/>
      <c r="Q592" s="113"/>
      <c r="R592" s="113"/>
      <c r="T592" s="113"/>
      <c r="U592" s="113"/>
      <c r="V592" s="113"/>
    </row>
    <row r="593" customFormat="false" ht="15" hidden="false" customHeight="true" outlineLevel="0" collapsed="false">
      <c r="H593" s="113"/>
      <c r="I593" s="113"/>
      <c r="J593" s="113"/>
      <c r="L593" s="113"/>
      <c r="M593" s="113"/>
      <c r="N593" s="113"/>
      <c r="P593" s="113"/>
      <c r="Q593" s="113"/>
      <c r="R593" s="113"/>
      <c r="T593" s="113"/>
      <c r="U593" s="113"/>
      <c r="V593" s="113"/>
    </row>
    <row r="594" customFormat="false" ht="15" hidden="false" customHeight="true" outlineLevel="0" collapsed="false">
      <c r="H594" s="113"/>
      <c r="I594" s="113"/>
      <c r="J594" s="113"/>
      <c r="L594" s="113"/>
      <c r="M594" s="113"/>
      <c r="N594" s="113"/>
      <c r="P594" s="113"/>
      <c r="Q594" s="113"/>
      <c r="R594" s="113"/>
      <c r="T594" s="113"/>
      <c r="U594" s="113"/>
      <c r="V594" s="113"/>
    </row>
    <row r="595" customFormat="false" ht="15" hidden="false" customHeight="true" outlineLevel="0" collapsed="false">
      <c r="H595" s="113"/>
      <c r="I595" s="113"/>
      <c r="J595" s="113"/>
      <c r="L595" s="113"/>
      <c r="M595" s="113"/>
      <c r="N595" s="113"/>
      <c r="P595" s="113"/>
      <c r="Q595" s="113"/>
      <c r="R595" s="113"/>
      <c r="T595" s="113"/>
      <c r="U595" s="113"/>
      <c r="V595" s="113"/>
    </row>
    <row r="596" customFormat="false" ht="15" hidden="false" customHeight="true" outlineLevel="0" collapsed="false">
      <c r="H596" s="113"/>
      <c r="I596" s="113"/>
      <c r="J596" s="113"/>
      <c r="L596" s="113"/>
      <c r="M596" s="113"/>
      <c r="N596" s="113"/>
      <c r="P596" s="113"/>
      <c r="Q596" s="113"/>
      <c r="R596" s="113"/>
      <c r="T596" s="113"/>
      <c r="U596" s="113"/>
      <c r="V596" s="113"/>
    </row>
    <row r="597" customFormat="false" ht="15" hidden="false" customHeight="true" outlineLevel="0" collapsed="false">
      <c r="H597" s="113"/>
      <c r="I597" s="113"/>
      <c r="J597" s="113"/>
      <c r="L597" s="113"/>
      <c r="M597" s="113"/>
      <c r="N597" s="113"/>
      <c r="P597" s="113"/>
      <c r="Q597" s="113"/>
      <c r="R597" s="113"/>
      <c r="T597" s="113"/>
      <c r="U597" s="113"/>
      <c r="V597" s="113"/>
    </row>
    <row r="598" customFormat="false" ht="15" hidden="false" customHeight="true" outlineLevel="0" collapsed="false">
      <c r="H598" s="113"/>
      <c r="I598" s="113"/>
      <c r="J598" s="113"/>
      <c r="L598" s="113"/>
      <c r="M598" s="113"/>
      <c r="N598" s="113"/>
      <c r="P598" s="113"/>
      <c r="Q598" s="113"/>
      <c r="R598" s="113"/>
      <c r="T598" s="113"/>
      <c r="U598" s="113"/>
      <c r="V598" s="113"/>
    </row>
    <row r="599" customFormat="false" ht="15" hidden="false" customHeight="true" outlineLevel="0" collapsed="false">
      <c r="H599" s="113"/>
      <c r="I599" s="113"/>
      <c r="J599" s="113"/>
      <c r="L599" s="113"/>
      <c r="M599" s="113"/>
      <c r="N599" s="113"/>
      <c r="P599" s="113"/>
      <c r="Q599" s="113"/>
      <c r="R599" s="113"/>
      <c r="T599" s="113"/>
      <c r="U599" s="113"/>
      <c r="V599" s="113"/>
    </row>
    <row r="600" customFormat="false" ht="15" hidden="false" customHeight="true" outlineLevel="0" collapsed="false">
      <c r="H600" s="113"/>
      <c r="I600" s="113"/>
      <c r="J600" s="113"/>
      <c r="L600" s="113"/>
      <c r="M600" s="113"/>
      <c r="N600" s="113"/>
      <c r="P600" s="113"/>
      <c r="Q600" s="113"/>
      <c r="R600" s="113"/>
      <c r="T600" s="113"/>
      <c r="U600" s="113"/>
      <c r="V600" s="113"/>
    </row>
    <row r="601" customFormat="false" ht="15" hidden="false" customHeight="true" outlineLevel="0" collapsed="false">
      <c r="H601" s="113"/>
      <c r="I601" s="113"/>
      <c r="J601" s="113"/>
      <c r="L601" s="113"/>
      <c r="M601" s="113"/>
      <c r="N601" s="113"/>
      <c r="P601" s="113"/>
      <c r="Q601" s="113"/>
      <c r="R601" s="113"/>
      <c r="T601" s="113"/>
      <c r="U601" s="113"/>
      <c r="V601" s="113"/>
    </row>
    <row r="602" customFormat="false" ht="15" hidden="false" customHeight="true" outlineLevel="0" collapsed="false">
      <c r="H602" s="113"/>
      <c r="I602" s="113"/>
      <c r="J602" s="113"/>
      <c r="L602" s="113"/>
      <c r="M602" s="113"/>
      <c r="N602" s="113"/>
      <c r="P602" s="113"/>
      <c r="Q602" s="113"/>
      <c r="R602" s="113"/>
      <c r="T602" s="113"/>
      <c r="U602" s="113"/>
      <c r="V602" s="113"/>
    </row>
    <row r="603" customFormat="false" ht="15" hidden="false" customHeight="true" outlineLevel="0" collapsed="false">
      <c r="H603" s="113"/>
      <c r="I603" s="113"/>
      <c r="J603" s="113"/>
      <c r="L603" s="113"/>
      <c r="M603" s="113"/>
      <c r="N603" s="113"/>
      <c r="P603" s="113"/>
      <c r="Q603" s="113"/>
      <c r="R603" s="113"/>
      <c r="T603" s="113"/>
      <c r="U603" s="113"/>
      <c r="V603" s="113"/>
    </row>
    <row r="604" customFormat="false" ht="15" hidden="false" customHeight="true" outlineLevel="0" collapsed="false">
      <c r="H604" s="113"/>
      <c r="I604" s="113"/>
      <c r="J604" s="113"/>
      <c r="L604" s="113"/>
      <c r="M604" s="113"/>
      <c r="N604" s="113"/>
      <c r="P604" s="113"/>
      <c r="Q604" s="113"/>
      <c r="R604" s="113"/>
      <c r="T604" s="113"/>
      <c r="U604" s="113"/>
      <c r="V604" s="113"/>
    </row>
    <row r="605" customFormat="false" ht="15" hidden="false" customHeight="true" outlineLevel="0" collapsed="false">
      <c r="H605" s="113"/>
      <c r="I605" s="113"/>
      <c r="J605" s="113"/>
      <c r="L605" s="113"/>
      <c r="M605" s="113"/>
      <c r="N605" s="113"/>
      <c r="P605" s="113"/>
      <c r="Q605" s="113"/>
      <c r="R605" s="113"/>
      <c r="T605" s="113"/>
      <c r="U605" s="113"/>
      <c r="V605" s="113"/>
    </row>
    <row r="606" customFormat="false" ht="15" hidden="false" customHeight="true" outlineLevel="0" collapsed="false">
      <c r="H606" s="113"/>
      <c r="I606" s="113"/>
      <c r="J606" s="113"/>
      <c r="L606" s="113"/>
      <c r="M606" s="113"/>
      <c r="N606" s="113"/>
      <c r="P606" s="113"/>
      <c r="Q606" s="113"/>
      <c r="R606" s="113"/>
      <c r="T606" s="113"/>
      <c r="U606" s="113"/>
      <c r="V606" s="113"/>
    </row>
    <row r="607" customFormat="false" ht="15" hidden="false" customHeight="true" outlineLevel="0" collapsed="false">
      <c r="H607" s="113"/>
      <c r="I607" s="113"/>
      <c r="J607" s="113"/>
      <c r="L607" s="113"/>
      <c r="M607" s="113"/>
      <c r="N607" s="113"/>
      <c r="P607" s="113"/>
      <c r="Q607" s="113"/>
      <c r="R607" s="113"/>
      <c r="T607" s="113"/>
      <c r="U607" s="113"/>
      <c r="V607" s="113"/>
    </row>
    <row r="608" customFormat="false" ht="15" hidden="false" customHeight="true" outlineLevel="0" collapsed="false">
      <c r="H608" s="113"/>
      <c r="I608" s="113"/>
      <c r="J608" s="113"/>
      <c r="L608" s="113"/>
      <c r="M608" s="113"/>
      <c r="N608" s="113"/>
      <c r="P608" s="113"/>
      <c r="Q608" s="113"/>
      <c r="R608" s="113"/>
      <c r="T608" s="113"/>
      <c r="U608" s="113"/>
      <c r="V608" s="113"/>
    </row>
    <row r="609" customFormat="false" ht="15" hidden="false" customHeight="true" outlineLevel="0" collapsed="false">
      <c r="H609" s="113"/>
      <c r="I609" s="113"/>
      <c r="J609" s="113"/>
      <c r="L609" s="113"/>
      <c r="M609" s="113"/>
      <c r="N609" s="113"/>
      <c r="P609" s="113"/>
      <c r="Q609" s="113"/>
      <c r="R609" s="113"/>
      <c r="T609" s="113"/>
      <c r="U609" s="113"/>
      <c r="V609" s="113"/>
    </row>
    <row r="610" customFormat="false" ht="15" hidden="false" customHeight="true" outlineLevel="0" collapsed="false">
      <c r="H610" s="113"/>
      <c r="I610" s="113"/>
      <c r="J610" s="113"/>
      <c r="L610" s="113"/>
      <c r="M610" s="113"/>
      <c r="N610" s="113"/>
      <c r="P610" s="113"/>
      <c r="Q610" s="113"/>
      <c r="R610" s="113"/>
      <c r="T610" s="113"/>
      <c r="U610" s="113"/>
      <c r="V610" s="113"/>
    </row>
    <row r="611" customFormat="false" ht="15" hidden="false" customHeight="true" outlineLevel="0" collapsed="false">
      <c r="H611" s="113"/>
      <c r="I611" s="113"/>
      <c r="J611" s="113"/>
      <c r="L611" s="113"/>
      <c r="M611" s="113"/>
      <c r="N611" s="113"/>
      <c r="P611" s="113"/>
      <c r="Q611" s="113"/>
      <c r="R611" s="113"/>
      <c r="T611" s="113"/>
      <c r="U611" s="113"/>
      <c r="V611" s="113"/>
    </row>
    <row r="612" customFormat="false" ht="15" hidden="false" customHeight="true" outlineLevel="0" collapsed="false">
      <c r="H612" s="113"/>
      <c r="I612" s="113"/>
      <c r="J612" s="113"/>
      <c r="L612" s="113"/>
      <c r="M612" s="113"/>
      <c r="N612" s="113"/>
      <c r="P612" s="113"/>
      <c r="Q612" s="113"/>
      <c r="R612" s="113"/>
      <c r="T612" s="113"/>
      <c r="U612" s="113"/>
      <c r="V612" s="113"/>
    </row>
    <row r="613" customFormat="false" ht="15" hidden="false" customHeight="true" outlineLevel="0" collapsed="false">
      <c r="H613" s="113"/>
      <c r="I613" s="113"/>
      <c r="J613" s="113"/>
      <c r="L613" s="113"/>
      <c r="M613" s="113"/>
      <c r="N613" s="113"/>
      <c r="P613" s="113"/>
      <c r="Q613" s="113"/>
      <c r="R613" s="113"/>
      <c r="T613" s="113"/>
      <c r="U613" s="113"/>
      <c r="V613" s="113"/>
    </row>
    <row r="614" customFormat="false" ht="15" hidden="false" customHeight="true" outlineLevel="0" collapsed="false">
      <c r="H614" s="113"/>
      <c r="I614" s="113"/>
      <c r="J614" s="113"/>
      <c r="L614" s="113"/>
      <c r="M614" s="113"/>
      <c r="N614" s="113"/>
      <c r="P614" s="113"/>
      <c r="Q614" s="113"/>
      <c r="R614" s="113"/>
      <c r="T614" s="113"/>
      <c r="U614" s="113"/>
      <c r="V614" s="113"/>
    </row>
    <row r="615" customFormat="false" ht="15" hidden="false" customHeight="true" outlineLevel="0" collapsed="false">
      <c r="H615" s="113"/>
      <c r="I615" s="113"/>
      <c r="J615" s="113"/>
      <c r="L615" s="113"/>
      <c r="M615" s="113"/>
      <c r="N615" s="113"/>
      <c r="P615" s="113"/>
      <c r="Q615" s="113"/>
      <c r="R615" s="113"/>
      <c r="T615" s="113"/>
      <c r="U615" s="113"/>
      <c r="V615" s="113"/>
    </row>
    <row r="616" customFormat="false" ht="15" hidden="false" customHeight="true" outlineLevel="0" collapsed="false">
      <c r="H616" s="113"/>
      <c r="I616" s="113"/>
      <c r="J616" s="113"/>
      <c r="L616" s="113"/>
      <c r="M616" s="113"/>
      <c r="N616" s="113"/>
      <c r="P616" s="113"/>
      <c r="Q616" s="113"/>
      <c r="R616" s="113"/>
      <c r="T616" s="113"/>
      <c r="U616" s="113"/>
      <c r="V616" s="113"/>
    </row>
    <row r="617" customFormat="false" ht="15" hidden="false" customHeight="true" outlineLevel="0" collapsed="false">
      <c r="H617" s="113"/>
      <c r="I617" s="113"/>
      <c r="J617" s="113"/>
      <c r="L617" s="113"/>
      <c r="M617" s="113"/>
      <c r="N617" s="113"/>
      <c r="P617" s="113"/>
      <c r="Q617" s="113"/>
      <c r="R617" s="113"/>
      <c r="T617" s="113"/>
      <c r="U617" s="113"/>
      <c r="V617" s="113"/>
    </row>
    <row r="618" customFormat="false" ht="15" hidden="false" customHeight="true" outlineLevel="0" collapsed="false">
      <c r="H618" s="113"/>
      <c r="I618" s="113"/>
      <c r="J618" s="113"/>
      <c r="L618" s="113"/>
      <c r="M618" s="113"/>
      <c r="N618" s="113"/>
      <c r="P618" s="113"/>
      <c r="Q618" s="113"/>
      <c r="R618" s="113"/>
      <c r="T618" s="113"/>
      <c r="U618" s="113"/>
      <c r="V618" s="113"/>
    </row>
    <row r="619" customFormat="false" ht="15" hidden="false" customHeight="true" outlineLevel="0" collapsed="false">
      <c r="H619" s="113"/>
      <c r="I619" s="113"/>
      <c r="J619" s="113"/>
      <c r="L619" s="113"/>
      <c r="M619" s="113"/>
      <c r="N619" s="113"/>
      <c r="P619" s="113"/>
      <c r="Q619" s="113"/>
      <c r="R619" s="113"/>
      <c r="T619" s="113"/>
      <c r="U619" s="113"/>
      <c r="V619" s="113"/>
    </row>
    <row r="620" customFormat="false" ht="15" hidden="false" customHeight="true" outlineLevel="0" collapsed="false">
      <c r="H620" s="113"/>
      <c r="I620" s="113"/>
      <c r="J620" s="113"/>
      <c r="L620" s="113"/>
      <c r="M620" s="113"/>
      <c r="N620" s="113"/>
      <c r="P620" s="113"/>
      <c r="Q620" s="113"/>
      <c r="R620" s="113"/>
      <c r="T620" s="113"/>
      <c r="U620" s="113"/>
      <c r="V620" s="113"/>
    </row>
    <row r="621" customFormat="false" ht="15" hidden="false" customHeight="true" outlineLevel="0" collapsed="false">
      <c r="H621" s="113"/>
      <c r="I621" s="113"/>
      <c r="J621" s="113"/>
      <c r="L621" s="113"/>
      <c r="M621" s="113"/>
      <c r="N621" s="113"/>
      <c r="P621" s="113"/>
      <c r="Q621" s="113"/>
      <c r="R621" s="113"/>
      <c r="T621" s="113"/>
      <c r="U621" s="113"/>
      <c r="V621" s="113"/>
    </row>
    <row r="622" customFormat="false" ht="15" hidden="false" customHeight="true" outlineLevel="0" collapsed="false">
      <c r="H622" s="113"/>
      <c r="I622" s="113"/>
      <c r="J622" s="113"/>
      <c r="L622" s="113"/>
      <c r="M622" s="113"/>
      <c r="N622" s="113"/>
      <c r="P622" s="113"/>
      <c r="Q622" s="113"/>
      <c r="R622" s="113"/>
      <c r="T622" s="113"/>
      <c r="U622" s="113"/>
      <c r="V622" s="113"/>
    </row>
    <row r="623" customFormat="false" ht="15" hidden="false" customHeight="true" outlineLevel="0" collapsed="false">
      <c r="H623" s="113"/>
      <c r="I623" s="113"/>
      <c r="J623" s="113"/>
      <c r="L623" s="113"/>
      <c r="M623" s="113"/>
      <c r="N623" s="113"/>
      <c r="P623" s="113"/>
      <c r="Q623" s="113"/>
      <c r="R623" s="113"/>
      <c r="T623" s="113"/>
      <c r="U623" s="113"/>
      <c r="V623" s="113"/>
    </row>
    <row r="624" customFormat="false" ht="15" hidden="false" customHeight="true" outlineLevel="0" collapsed="false">
      <c r="H624" s="113"/>
      <c r="I624" s="113"/>
      <c r="J624" s="113"/>
      <c r="L624" s="113"/>
      <c r="M624" s="113"/>
      <c r="N624" s="113"/>
      <c r="P624" s="113"/>
      <c r="Q624" s="113"/>
      <c r="R624" s="113"/>
      <c r="T624" s="113"/>
      <c r="U624" s="113"/>
      <c r="V624" s="113"/>
    </row>
    <row r="625" customFormat="false" ht="15" hidden="false" customHeight="true" outlineLevel="0" collapsed="false">
      <c r="H625" s="113"/>
      <c r="I625" s="113"/>
      <c r="J625" s="113"/>
      <c r="L625" s="113"/>
      <c r="M625" s="113"/>
      <c r="N625" s="113"/>
      <c r="P625" s="113"/>
      <c r="Q625" s="113"/>
      <c r="R625" s="113"/>
      <c r="T625" s="113"/>
      <c r="U625" s="113"/>
      <c r="V625" s="113"/>
    </row>
    <row r="626" customFormat="false" ht="15" hidden="false" customHeight="true" outlineLevel="0" collapsed="false">
      <c r="H626" s="113"/>
      <c r="I626" s="113"/>
      <c r="J626" s="113"/>
      <c r="L626" s="113"/>
      <c r="M626" s="113"/>
      <c r="N626" s="113"/>
      <c r="P626" s="113"/>
      <c r="Q626" s="113"/>
      <c r="R626" s="113"/>
      <c r="T626" s="113"/>
      <c r="U626" s="113"/>
      <c r="V626" s="113"/>
    </row>
    <row r="627" customFormat="false" ht="15" hidden="false" customHeight="true" outlineLevel="0" collapsed="false">
      <c r="H627" s="113"/>
      <c r="I627" s="113"/>
      <c r="J627" s="113"/>
      <c r="L627" s="113"/>
      <c r="M627" s="113"/>
      <c r="N627" s="113"/>
      <c r="P627" s="113"/>
      <c r="Q627" s="113"/>
      <c r="R627" s="113"/>
      <c r="T627" s="113"/>
      <c r="U627" s="113"/>
      <c r="V627" s="113"/>
    </row>
    <row r="628" customFormat="false" ht="15" hidden="false" customHeight="true" outlineLevel="0" collapsed="false">
      <c r="H628" s="113"/>
      <c r="I628" s="113"/>
      <c r="J628" s="113"/>
      <c r="L628" s="113"/>
      <c r="M628" s="113"/>
      <c r="N628" s="113"/>
      <c r="P628" s="113"/>
      <c r="Q628" s="113"/>
      <c r="R628" s="113"/>
      <c r="T628" s="113"/>
      <c r="U628" s="113"/>
      <c r="V628" s="113"/>
    </row>
    <row r="629" customFormat="false" ht="15" hidden="false" customHeight="true" outlineLevel="0" collapsed="false">
      <c r="H629" s="113"/>
      <c r="I629" s="113"/>
      <c r="J629" s="113"/>
      <c r="L629" s="113"/>
      <c r="M629" s="113"/>
      <c r="N629" s="113"/>
      <c r="P629" s="113"/>
      <c r="Q629" s="113"/>
      <c r="R629" s="113"/>
      <c r="T629" s="113"/>
      <c r="U629" s="113"/>
      <c r="V629" s="113"/>
    </row>
    <row r="630" customFormat="false" ht="15" hidden="false" customHeight="true" outlineLevel="0" collapsed="false">
      <c r="H630" s="113"/>
      <c r="I630" s="113"/>
      <c r="J630" s="113"/>
      <c r="L630" s="113"/>
      <c r="M630" s="113"/>
      <c r="N630" s="113"/>
      <c r="P630" s="113"/>
      <c r="Q630" s="113"/>
      <c r="R630" s="113"/>
      <c r="T630" s="113"/>
      <c r="U630" s="113"/>
      <c r="V630" s="113"/>
    </row>
    <row r="631" customFormat="false" ht="15" hidden="false" customHeight="true" outlineLevel="0" collapsed="false">
      <c r="H631" s="113"/>
      <c r="I631" s="113"/>
      <c r="J631" s="113"/>
      <c r="L631" s="113"/>
      <c r="M631" s="113"/>
      <c r="N631" s="113"/>
      <c r="P631" s="113"/>
      <c r="Q631" s="113"/>
      <c r="R631" s="113"/>
      <c r="T631" s="113"/>
      <c r="U631" s="113"/>
      <c r="V631" s="113"/>
    </row>
    <row r="632" customFormat="false" ht="15" hidden="false" customHeight="true" outlineLevel="0" collapsed="false">
      <c r="H632" s="113"/>
      <c r="I632" s="113"/>
      <c r="J632" s="113"/>
      <c r="L632" s="113"/>
      <c r="M632" s="113"/>
      <c r="N632" s="113"/>
      <c r="P632" s="113"/>
      <c r="Q632" s="113"/>
      <c r="R632" s="113"/>
      <c r="T632" s="113"/>
      <c r="U632" s="113"/>
      <c r="V632" s="113"/>
    </row>
    <row r="633" customFormat="false" ht="15" hidden="false" customHeight="true" outlineLevel="0" collapsed="false">
      <c r="H633" s="113"/>
      <c r="I633" s="113"/>
      <c r="J633" s="113"/>
      <c r="L633" s="113"/>
      <c r="M633" s="113"/>
      <c r="N633" s="113"/>
      <c r="P633" s="113"/>
      <c r="Q633" s="113"/>
      <c r="R633" s="113"/>
      <c r="T633" s="113"/>
      <c r="U633" s="113"/>
      <c r="V633" s="113"/>
    </row>
    <row r="634" customFormat="false" ht="15" hidden="false" customHeight="true" outlineLevel="0" collapsed="false">
      <c r="H634" s="113"/>
      <c r="I634" s="113"/>
      <c r="J634" s="113"/>
      <c r="L634" s="113"/>
      <c r="M634" s="113"/>
      <c r="N634" s="113"/>
      <c r="P634" s="113"/>
      <c r="Q634" s="113"/>
      <c r="R634" s="113"/>
      <c r="T634" s="113"/>
      <c r="U634" s="113"/>
      <c r="V634" s="113"/>
    </row>
    <row r="635" customFormat="false" ht="15" hidden="false" customHeight="true" outlineLevel="0" collapsed="false">
      <c r="H635" s="113"/>
      <c r="I635" s="113"/>
      <c r="J635" s="113"/>
      <c r="L635" s="113"/>
      <c r="M635" s="113"/>
      <c r="N635" s="113"/>
      <c r="P635" s="113"/>
      <c r="Q635" s="113"/>
      <c r="R635" s="113"/>
      <c r="T635" s="113"/>
      <c r="U635" s="113"/>
      <c r="V635" s="113"/>
    </row>
    <row r="636" customFormat="false" ht="15" hidden="false" customHeight="true" outlineLevel="0" collapsed="false">
      <c r="H636" s="113"/>
      <c r="I636" s="113"/>
      <c r="J636" s="113"/>
      <c r="L636" s="113"/>
      <c r="M636" s="113"/>
      <c r="N636" s="113"/>
      <c r="P636" s="113"/>
      <c r="Q636" s="113"/>
      <c r="R636" s="113"/>
      <c r="T636" s="113"/>
      <c r="U636" s="113"/>
      <c r="V636" s="113"/>
    </row>
    <row r="637" customFormat="false" ht="15" hidden="false" customHeight="true" outlineLevel="0" collapsed="false">
      <c r="H637" s="113"/>
      <c r="I637" s="113"/>
      <c r="J637" s="113"/>
      <c r="L637" s="113"/>
      <c r="M637" s="113"/>
      <c r="N637" s="113"/>
      <c r="P637" s="113"/>
      <c r="Q637" s="113"/>
      <c r="R637" s="113"/>
      <c r="T637" s="113"/>
      <c r="U637" s="113"/>
      <c r="V637" s="113"/>
    </row>
    <row r="638" customFormat="false" ht="15" hidden="false" customHeight="true" outlineLevel="0" collapsed="false">
      <c r="H638" s="113"/>
      <c r="I638" s="113"/>
      <c r="J638" s="113"/>
      <c r="L638" s="113"/>
      <c r="M638" s="113"/>
      <c r="N638" s="113"/>
      <c r="P638" s="113"/>
      <c r="Q638" s="113"/>
      <c r="R638" s="113"/>
      <c r="T638" s="113"/>
      <c r="U638" s="113"/>
      <c r="V638" s="113"/>
    </row>
    <row r="639" customFormat="false" ht="15" hidden="false" customHeight="true" outlineLevel="0" collapsed="false">
      <c r="H639" s="113"/>
      <c r="I639" s="113"/>
      <c r="J639" s="113"/>
      <c r="L639" s="113"/>
      <c r="M639" s="113"/>
      <c r="N639" s="113"/>
      <c r="P639" s="113"/>
      <c r="Q639" s="113"/>
      <c r="R639" s="113"/>
      <c r="T639" s="113"/>
      <c r="U639" s="113"/>
      <c r="V639" s="113"/>
    </row>
    <row r="640" customFormat="false" ht="15" hidden="false" customHeight="true" outlineLevel="0" collapsed="false">
      <c r="H640" s="113"/>
      <c r="I640" s="113"/>
      <c r="J640" s="113"/>
      <c r="L640" s="113"/>
      <c r="M640" s="113"/>
      <c r="N640" s="113"/>
      <c r="P640" s="113"/>
      <c r="Q640" s="113"/>
      <c r="R640" s="113"/>
      <c r="T640" s="113"/>
      <c r="U640" s="113"/>
      <c r="V640" s="113"/>
    </row>
    <row r="641" customFormat="false" ht="15" hidden="false" customHeight="true" outlineLevel="0" collapsed="false">
      <c r="H641" s="113"/>
      <c r="I641" s="113"/>
      <c r="J641" s="113"/>
      <c r="L641" s="113"/>
      <c r="M641" s="113"/>
      <c r="N641" s="113"/>
      <c r="P641" s="113"/>
      <c r="Q641" s="113"/>
      <c r="R641" s="113"/>
      <c r="T641" s="113"/>
      <c r="U641" s="113"/>
      <c r="V641" s="113"/>
    </row>
    <row r="642" customFormat="false" ht="15" hidden="false" customHeight="true" outlineLevel="0" collapsed="false">
      <c r="H642" s="113"/>
      <c r="I642" s="113"/>
      <c r="J642" s="113"/>
      <c r="L642" s="113"/>
      <c r="M642" s="113"/>
      <c r="N642" s="113"/>
      <c r="P642" s="113"/>
      <c r="Q642" s="113"/>
      <c r="R642" s="113"/>
      <c r="T642" s="113"/>
      <c r="U642" s="113"/>
      <c r="V642" s="113"/>
    </row>
    <row r="643" customFormat="false" ht="15" hidden="false" customHeight="true" outlineLevel="0" collapsed="false">
      <c r="H643" s="113"/>
      <c r="I643" s="113"/>
      <c r="J643" s="113"/>
      <c r="L643" s="113"/>
      <c r="M643" s="113"/>
      <c r="N643" s="113"/>
      <c r="P643" s="113"/>
      <c r="Q643" s="113"/>
      <c r="R643" s="113"/>
      <c r="T643" s="113"/>
      <c r="U643" s="113"/>
      <c r="V643" s="113"/>
    </row>
    <row r="644" customFormat="false" ht="15" hidden="false" customHeight="true" outlineLevel="0" collapsed="false">
      <c r="H644" s="113"/>
      <c r="I644" s="113"/>
      <c r="J644" s="113"/>
      <c r="L644" s="113"/>
      <c r="M644" s="113"/>
      <c r="N644" s="113"/>
      <c r="P644" s="113"/>
      <c r="Q644" s="113"/>
      <c r="R644" s="113"/>
      <c r="T644" s="113"/>
      <c r="U644" s="113"/>
      <c r="V644" s="113"/>
    </row>
    <row r="645" customFormat="false" ht="15" hidden="false" customHeight="true" outlineLevel="0" collapsed="false">
      <c r="H645" s="113"/>
      <c r="I645" s="113"/>
      <c r="J645" s="113"/>
      <c r="L645" s="113"/>
      <c r="M645" s="113"/>
      <c r="N645" s="113"/>
      <c r="P645" s="113"/>
      <c r="Q645" s="113"/>
      <c r="R645" s="113"/>
      <c r="T645" s="113"/>
      <c r="U645" s="113"/>
      <c r="V645" s="113"/>
    </row>
    <row r="646" customFormat="false" ht="15" hidden="false" customHeight="true" outlineLevel="0" collapsed="false">
      <c r="H646" s="113"/>
      <c r="I646" s="113"/>
      <c r="J646" s="113"/>
      <c r="L646" s="113"/>
      <c r="M646" s="113"/>
      <c r="N646" s="113"/>
      <c r="P646" s="113"/>
      <c r="Q646" s="113"/>
      <c r="R646" s="113"/>
      <c r="T646" s="113"/>
      <c r="U646" s="113"/>
      <c r="V646" s="113"/>
    </row>
    <row r="647" customFormat="false" ht="15" hidden="false" customHeight="true" outlineLevel="0" collapsed="false">
      <c r="H647" s="113"/>
      <c r="I647" s="113"/>
      <c r="J647" s="113"/>
      <c r="L647" s="113"/>
      <c r="M647" s="113"/>
      <c r="N647" s="113"/>
      <c r="P647" s="113"/>
      <c r="Q647" s="113"/>
      <c r="R647" s="113"/>
      <c r="T647" s="113"/>
      <c r="U647" s="113"/>
      <c r="V647" s="113"/>
    </row>
    <row r="648" customFormat="false" ht="15" hidden="false" customHeight="true" outlineLevel="0" collapsed="false">
      <c r="H648" s="113"/>
      <c r="I648" s="113"/>
      <c r="J648" s="113"/>
      <c r="L648" s="113"/>
      <c r="M648" s="113"/>
      <c r="N648" s="113"/>
      <c r="P648" s="113"/>
      <c r="Q648" s="113"/>
      <c r="R648" s="113"/>
      <c r="T648" s="113"/>
      <c r="U648" s="113"/>
      <c r="V648" s="113"/>
    </row>
    <row r="649" customFormat="false" ht="15" hidden="false" customHeight="true" outlineLevel="0" collapsed="false">
      <c r="H649" s="113"/>
      <c r="I649" s="113"/>
      <c r="J649" s="113"/>
      <c r="L649" s="113"/>
      <c r="M649" s="113"/>
      <c r="N649" s="113"/>
      <c r="P649" s="113"/>
      <c r="Q649" s="113"/>
      <c r="R649" s="113"/>
      <c r="T649" s="113"/>
      <c r="U649" s="113"/>
      <c r="V649" s="113"/>
    </row>
    <row r="650" customFormat="false" ht="15" hidden="false" customHeight="true" outlineLevel="0" collapsed="false">
      <c r="H650" s="113"/>
      <c r="I650" s="113"/>
      <c r="J650" s="113"/>
      <c r="L650" s="113"/>
      <c r="M650" s="113"/>
      <c r="N650" s="113"/>
      <c r="P650" s="113"/>
      <c r="Q650" s="113"/>
      <c r="R650" s="113"/>
      <c r="T650" s="113"/>
      <c r="U650" s="113"/>
      <c r="V650" s="113"/>
    </row>
    <row r="651" customFormat="false" ht="15" hidden="false" customHeight="true" outlineLevel="0" collapsed="false">
      <c r="H651" s="113"/>
      <c r="I651" s="113"/>
      <c r="J651" s="113"/>
      <c r="L651" s="113"/>
      <c r="M651" s="113"/>
      <c r="N651" s="113"/>
      <c r="P651" s="113"/>
      <c r="Q651" s="113"/>
      <c r="R651" s="113"/>
      <c r="T651" s="113"/>
      <c r="U651" s="113"/>
      <c r="V651" s="113"/>
    </row>
    <row r="652" customFormat="false" ht="15" hidden="false" customHeight="true" outlineLevel="0" collapsed="false">
      <c r="H652" s="113"/>
      <c r="I652" s="113"/>
      <c r="J652" s="113"/>
      <c r="L652" s="113"/>
      <c r="M652" s="113"/>
      <c r="N652" s="113"/>
      <c r="P652" s="113"/>
      <c r="Q652" s="113"/>
      <c r="R652" s="113"/>
      <c r="T652" s="113"/>
      <c r="U652" s="113"/>
      <c r="V652" s="113"/>
    </row>
    <row r="653" customFormat="false" ht="15" hidden="false" customHeight="true" outlineLevel="0" collapsed="false">
      <c r="H653" s="113"/>
      <c r="I653" s="113"/>
      <c r="J653" s="113"/>
      <c r="L653" s="113"/>
      <c r="M653" s="113"/>
      <c r="N653" s="113"/>
      <c r="P653" s="113"/>
      <c r="Q653" s="113"/>
      <c r="R653" s="113"/>
      <c r="T653" s="113"/>
      <c r="U653" s="113"/>
      <c r="V653" s="113"/>
    </row>
    <row r="654" customFormat="false" ht="15" hidden="false" customHeight="true" outlineLevel="0" collapsed="false">
      <c r="H654" s="113"/>
      <c r="I654" s="113"/>
      <c r="J654" s="113"/>
      <c r="L654" s="113"/>
      <c r="M654" s="113"/>
      <c r="N654" s="113"/>
      <c r="P654" s="113"/>
      <c r="Q654" s="113"/>
      <c r="R654" s="113"/>
      <c r="T654" s="113"/>
      <c r="U654" s="113"/>
      <c r="V654" s="113"/>
    </row>
    <row r="655" customFormat="false" ht="15" hidden="false" customHeight="true" outlineLevel="0" collapsed="false">
      <c r="H655" s="113"/>
      <c r="I655" s="113"/>
      <c r="J655" s="113"/>
      <c r="L655" s="113"/>
      <c r="M655" s="113"/>
      <c r="N655" s="113"/>
      <c r="P655" s="113"/>
      <c r="Q655" s="113"/>
      <c r="R655" s="113"/>
      <c r="T655" s="113"/>
      <c r="U655" s="113"/>
      <c r="V655" s="113"/>
    </row>
    <row r="656" customFormat="false" ht="15" hidden="false" customHeight="true" outlineLevel="0" collapsed="false">
      <c r="H656" s="113"/>
      <c r="I656" s="113"/>
      <c r="J656" s="113"/>
      <c r="L656" s="113"/>
      <c r="M656" s="113"/>
      <c r="N656" s="113"/>
      <c r="P656" s="113"/>
      <c r="Q656" s="113"/>
      <c r="R656" s="113"/>
      <c r="T656" s="113"/>
      <c r="U656" s="113"/>
      <c r="V656" s="113"/>
    </row>
    <row r="657" customFormat="false" ht="15" hidden="false" customHeight="true" outlineLevel="0" collapsed="false">
      <c r="H657" s="113"/>
      <c r="I657" s="113"/>
      <c r="J657" s="113"/>
      <c r="L657" s="113"/>
      <c r="M657" s="113"/>
      <c r="N657" s="113"/>
      <c r="P657" s="113"/>
      <c r="Q657" s="113"/>
      <c r="R657" s="113"/>
      <c r="T657" s="113"/>
      <c r="U657" s="113"/>
      <c r="V657" s="113"/>
    </row>
    <row r="658" customFormat="false" ht="15" hidden="false" customHeight="true" outlineLevel="0" collapsed="false">
      <c r="H658" s="113"/>
      <c r="I658" s="113"/>
      <c r="J658" s="113"/>
      <c r="L658" s="113"/>
      <c r="M658" s="113"/>
      <c r="N658" s="113"/>
      <c r="P658" s="113"/>
      <c r="Q658" s="113"/>
      <c r="R658" s="113"/>
      <c r="T658" s="113"/>
      <c r="U658" s="113"/>
      <c r="V658" s="113"/>
    </row>
    <row r="659" customFormat="false" ht="15" hidden="false" customHeight="true" outlineLevel="0" collapsed="false">
      <c r="H659" s="113"/>
      <c r="I659" s="113"/>
      <c r="J659" s="113"/>
      <c r="L659" s="113"/>
      <c r="M659" s="113"/>
      <c r="N659" s="113"/>
      <c r="P659" s="113"/>
      <c r="Q659" s="113"/>
      <c r="R659" s="113"/>
      <c r="T659" s="113"/>
      <c r="U659" s="113"/>
      <c r="V659" s="113"/>
    </row>
    <row r="660" customFormat="false" ht="15" hidden="false" customHeight="true" outlineLevel="0" collapsed="false">
      <c r="H660" s="113"/>
      <c r="I660" s="113"/>
      <c r="J660" s="113"/>
      <c r="L660" s="113"/>
      <c r="M660" s="113"/>
      <c r="N660" s="113"/>
      <c r="P660" s="113"/>
      <c r="Q660" s="113"/>
      <c r="R660" s="113"/>
      <c r="T660" s="113"/>
      <c r="U660" s="113"/>
      <c r="V660" s="113"/>
    </row>
    <row r="661" customFormat="false" ht="15" hidden="false" customHeight="true" outlineLevel="0" collapsed="false">
      <c r="H661" s="113"/>
      <c r="I661" s="113"/>
      <c r="J661" s="113"/>
      <c r="L661" s="113"/>
      <c r="M661" s="113"/>
      <c r="N661" s="113"/>
      <c r="P661" s="113"/>
      <c r="Q661" s="113"/>
      <c r="R661" s="113"/>
      <c r="T661" s="113"/>
      <c r="U661" s="113"/>
      <c r="V661" s="113"/>
    </row>
    <row r="662" customFormat="false" ht="15" hidden="false" customHeight="true" outlineLevel="0" collapsed="false">
      <c r="H662" s="113"/>
      <c r="I662" s="113"/>
      <c r="J662" s="113"/>
      <c r="L662" s="113"/>
      <c r="M662" s="113"/>
      <c r="N662" s="113"/>
      <c r="P662" s="113"/>
      <c r="Q662" s="113"/>
      <c r="R662" s="113"/>
      <c r="T662" s="113"/>
      <c r="U662" s="113"/>
      <c r="V662" s="113"/>
    </row>
    <row r="663" customFormat="false" ht="15" hidden="false" customHeight="true" outlineLevel="0" collapsed="false">
      <c r="H663" s="113"/>
      <c r="I663" s="113"/>
      <c r="J663" s="113"/>
      <c r="L663" s="113"/>
      <c r="M663" s="113"/>
      <c r="N663" s="113"/>
      <c r="P663" s="113"/>
      <c r="Q663" s="113"/>
      <c r="R663" s="113"/>
      <c r="T663" s="113"/>
      <c r="U663" s="113"/>
      <c r="V663" s="113"/>
    </row>
    <row r="664" customFormat="false" ht="15" hidden="false" customHeight="true" outlineLevel="0" collapsed="false">
      <c r="H664" s="113"/>
      <c r="I664" s="113"/>
      <c r="J664" s="113"/>
      <c r="L664" s="113"/>
      <c r="M664" s="113"/>
      <c r="N664" s="113"/>
      <c r="P664" s="113"/>
      <c r="Q664" s="113"/>
      <c r="R664" s="113"/>
      <c r="T664" s="113"/>
      <c r="U664" s="113"/>
      <c r="V664" s="113"/>
    </row>
    <row r="665" customFormat="false" ht="15" hidden="false" customHeight="true" outlineLevel="0" collapsed="false">
      <c r="H665" s="113"/>
      <c r="I665" s="113"/>
      <c r="J665" s="113"/>
      <c r="L665" s="113"/>
      <c r="M665" s="113"/>
      <c r="N665" s="113"/>
      <c r="P665" s="113"/>
      <c r="Q665" s="113"/>
      <c r="R665" s="113"/>
      <c r="T665" s="113"/>
      <c r="U665" s="113"/>
      <c r="V665" s="113"/>
    </row>
    <row r="666" customFormat="false" ht="15" hidden="false" customHeight="true" outlineLevel="0" collapsed="false">
      <c r="H666" s="113"/>
      <c r="I666" s="113"/>
      <c r="J666" s="113"/>
      <c r="L666" s="113"/>
      <c r="M666" s="113"/>
      <c r="N666" s="113"/>
      <c r="P666" s="113"/>
      <c r="Q666" s="113"/>
      <c r="R666" s="113"/>
      <c r="T666" s="113"/>
      <c r="U666" s="113"/>
      <c r="V666" s="113"/>
    </row>
    <row r="667" customFormat="false" ht="15" hidden="false" customHeight="true" outlineLevel="0" collapsed="false">
      <c r="H667" s="113"/>
      <c r="I667" s="113"/>
      <c r="J667" s="113"/>
      <c r="L667" s="113"/>
      <c r="M667" s="113"/>
      <c r="N667" s="113"/>
      <c r="P667" s="113"/>
      <c r="Q667" s="113"/>
      <c r="R667" s="113"/>
      <c r="T667" s="113"/>
      <c r="U667" s="113"/>
      <c r="V667" s="113"/>
    </row>
    <row r="668" customFormat="false" ht="15" hidden="false" customHeight="true" outlineLevel="0" collapsed="false">
      <c r="H668" s="113"/>
      <c r="I668" s="113"/>
      <c r="J668" s="113"/>
      <c r="L668" s="113"/>
      <c r="M668" s="113"/>
      <c r="N668" s="113"/>
      <c r="P668" s="113"/>
      <c r="Q668" s="113"/>
      <c r="R668" s="113"/>
      <c r="T668" s="113"/>
      <c r="U668" s="113"/>
      <c r="V668" s="113"/>
    </row>
    <row r="669" customFormat="false" ht="15" hidden="false" customHeight="true" outlineLevel="0" collapsed="false">
      <c r="H669" s="113"/>
      <c r="I669" s="113"/>
      <c r="J669" s="113"/>
      <c r="L669" s="113"/>
      <c r="M669" s="113"/>
      <c r="N669" s="113"/>
      <c r="P669" s="113"/>
      <c r="Q669" s="113"/>
      <c r="R669" s="113"/>
      <c r="T669" s="113"/>
      <c r="U669" s="113"/>
      <c r="V669" s="113"/>
    </row>
    <row r="670" customFormat="false" ht="15" hidden="false" customHeight="true" outlineLevel="0" collapsed="false">
      <c r="H670" s="113"/>
      <c r="I670" s="113"/>
      <c r="J670" s="113"/>
      <c r="L670" s="113"/>
      <c r="M670" s="113"/>
      <c r="N670" s="113"/>
      <c r="P670" s="113"/>
      <c r="Q670" s="113"/>
      <c r="R670" s="113"/>
      <c r="T670" s="113"/>
      <c r="U670" s="113"/>
      <c r="V670" s="113"/>
    </row>
    <row r="671" customFormat="false" ht="15" hidden="false" customHeight="true" outlineLevel="0" collapsed="false">
      <c r="H671" s="113"/>
      <c r="I671" s="113"/>
      <c r="J671" s="113"/>
      <c r="L671" s="113"/>
      <c r="M671" s="113"/>
      <c r="N671" s="113"/>
      <c r="P671" s="113"/>
      <c r="Q671" s="113"/>
      <c r="R671" s="113"/>
      <c r="T671" s="113"/>
      <c r="U671" s="113"/>
      <c r="V671" s="113"/>
    </row>
    <row r="672" customFormat="false" ht="15" hidden="false" customHeight="true" outlineLevel="0" collapsed="false">
      <c r="H672" s="113"/>
      <c r="I672" s="113"/>
      <c r="J672" s="113"/>
      <c r="L672" s="113"/>
      <c r="M672" s="113"/>
      <c r="N672" s="113"/>
      <c r="P672" s="113"/>
      <c r="Q672" s="113"/>
      <c r="R672" s="113"/>
      <c r="T672" s="113"/>
      <c r="U672" s="113"/>
      <c r="V672" s="113"/>
    </row>
    <row r="673" customFormat="false" ht="15" hidden="false" customHeight="true" outlineLevel="0" collapsed="false">
      <c r="H673" s="113"/>
      <c r="I673" s="113"/>
      <c r="J673" s="113"/>
      <c r="L673" s="113"/>
      <c r="M673" s="113"/>
      <c r="N673" s="113"/>
      <c r="P673" s="113"/>
      <c r="Q673" s="113"/>
      <c r="R673" s="113"/>
      <c r="T673" s="113"/>
      <c r="U673" s="113"/>
      <c r="V673" s="113"/>
    </row>
    <row r="674" customFormat="false" ht="15" hidden="false" customHeight="true" outlineLevel="0" collapsed="false">
      <c r="H674" s="113"/>
      <c r="I674" s="113"/>
      <c r="J674" s="113"/>
      <c r="L674" s="113"/>
      <c r="M674" s="113"/>
      <c r="N674" s="113"/>
      <c r="P674" s="113"/>
      <c r="Q674" s="113"/>
      <c r="R674" s="113"/>
      <c r="T674" s="113"/>
      <c r="U674" s="113"/>
      <c r="V674" s="113"/>
    </row>
    <row r="675" customFormat="false" ht="15" hidden="false" customHeight="true" outlineLevel="0" collapsed="false">
      <c r="H675" s="113"/>
      <c r="I675" s="113"/>
      <c r="J675" s="113"/>
      <c r="L675" s="113"/>
      <c r="M675" s="113"/>
      <c r="N675" s="113"/>
      <c r="P675" s="113"/>
      <c r="Q675" s="113"/>
      <c r="R675" s="113"/>
      <c r="T675" s="113"/>
      <c r="U675" s="113"/>
      <c r="V675" s="113"/>
    </row>
    <row r="676" customFormat="false" ht="15" hidden="false" customHeight="true" outlineLevel="0" collapsed="false">
      <c r="H676" s="113"/>
      <c r="I676" s="113"/>
      <c r="J676" s="113"/>
      <c r="L676" s="113"/>
      <c r="M676" s="113"/>
      <c r="N676" s="113"/>
      <c r="P676" s="113"/>
      <c r="Q676" s="113"/>
      <c r="R676" s="113"/>
      <c r="T676" s="113"/>
      <c r="U676" s="113"/>
      <c r="V676" s="113"/>
    </row>
    <row r="677" customFormat="false" ht="15" hidden="false" customHeight="true" outlineLevel="0" collapsed="false">
      <c r="H677" s="113"/>
      <c r="I677" s="113"/>
      <c r="J677" s="113"/>
      <c r="L677" s="113"/>
      <c r="M677" s="113"/>
      <c r="N677" s="113"/>
      <c r="P677" s="113"/>
      <c r="Q677" s="113"/>
      <c r="R677" s="113"/>
      <c r="T677" s="113"/>
      <c r="U677" s="113"/>
      <c r="V677" s="113"/>
    </row>
    <row r="678" customFormat="false" ht="15" hidden="false" customHeight="true" outlineLevel="0" collapsed="false">
      <c r="H678" s="113"/>
      <c r="I678" s="113"/>
      <c r="J678" s="113"/>
      <c r="L678" s="113"/>
      <c r="M678" s="113"/>
      <c r="N678" s="113"/>
      <c r="P678" s="113"/>
      <c r="Q678" s="113"/>
      <c r="R678" s="113"/>
      <c r="T678" s="113"/>
      <c r="U678" s="113"/>
      <c r="V678" s="113"/>
    </row>
    <row r="679" customFormat="false" ht="15" hidden="false" customHeight="true" outlineLevel="0" collapsed="false">
      <c r="H679" s="113"/>
      <c r="I679" s="113"/>
      <c r="J679" s="113"/>
      <c r="L679" s="113"/>
      <c r="M679" s="113"/>
      <c r="N679" s="113"/>
      <c r="P679" s="113"/>
      <c r="Q679" s="113"/>
      <c r="R679" s="113"/>
      <c r="T679" s="113"/>
      <c r="U679" s="113"/>
      <c r="V679" s="113"/>
    </row>
    <row r="680" customFormat="false" ht="15" hidden="false" customHeight="true" outlineLevel="0" collapsed="false">
      <c r="H680" s="113"/>
      <c r="I680" s="113"/>
      <c r="J680" s="113"/>
      <c r="L680" s="113"/>
      <c r="M680" s="113"/>
      <c r="N680" s="113"/>
      <c r="P680" s="113"/>
      <c r="Q680" s="113"/>
      <c r="R680" s="113"/>
      <c r="T680" s="113"/>
      <c r="U680" s="113"/>
      <c r="V680" s="113"/>
    </row>
    <row r="681" customFormat="false" ht="15" hidden="false" customHeight="true" outlineLevel="0" collapsed="false">
      <c r="H681" s="113"/>
      <c r="I681" s="113"/>
      <c r="J681" s="113"/>
      <c r="L681" s="113"/>
      <c r="M681" s="113"/>
      <c r="N681" s="113"/>
      <c r="P681" s="113"/>
      <c r="Q681" s="113"/>
      <c r="R681" s="113"/>
      <c r="T681" s="113"/>
      <c r="U681" s="113"/>
      <c r="V681" s="113"/>
    </row>
    <row r="682" customFormat="false" ht="15" hidden="false" customHeight="true" outlineLevel="0" collapsed="false">
      <c r="H682" s="113"/>
      <c r="I682" s="113"/>
      <c r="J682" s="113"/>
      <c r="L682" s="113"/>
      <c r="M682" s="113"/>
      <c r="N682" s="113"/>
      <c r="P682" s="113"/>
      <c r="Q682" s="113"/>
      <c r="R682" s="113"/>
      <c r="T682" s="113"/>
      <c r="U682" s="113"/>
      <c r="V682" s="113"/>
    </row>
    <row r="683" customFormat="false" ht="15" hidden="false" customHeight="true" outlineLevel="0" collapsed="false">
      <c r="H683" s="113"/>
      <c r="I683" s="113"/>
      <c r="J683" s="113"/>
      <c r="L683" s="113"/>
      <c r="M683" s="113"/>
      <c r="N683" s="113"/>
      <c r="P683" s="113"/>
      <c r="Q683" s="113"/>
      <c r="R683" s="113"/>
      <c r="T683" s="113"/>
      <c r="U683" s="113"/>
      <c r="V683" s="113"/>
    </row>
    <row r="684" customFormat="false" ht="15" hidden="false" customHeight="true" outlineLevel="0" collapsed="false">
      <c r="H684" s="113"/>
      <c r="I684" s="113"/>
      <c r="J684" s="113"/>
      <c r="L684" s="113"/>
      <c r="M684" s="113"/>
      <c r="N684" s="113"/>
      <c r="P684" s="113"/>
      <c r="Q684" s="113"/>
      <c r="R684" s="113"/>
      <c r="T684" s="113"/>
      <c r="U684" s="113"/>
      <c r="V684" s="113"/>
    </row>
    <row r="685" customFormat="false" ht="15" hidden="false" customHeight="true" outlineLevel="0" collapsed="false">
      <c r="H685" s="113"/>
      <c r="I685" s="113"/>
      <c r="J685" s="113"/>
      <c r="L685" s="113"/>
      <c r="M685" s="113"/>
      <c r="N685" s="113"/>
      <c r="P685" s="113"/>
      <c r="Q685" s="113"/>
      <c r="R685" s="113"/>
      <c r="T685" s="113"/>
      <c r="U685" s="113"/>
      <c r="V685" s="113"/>
    </row>
    <row r="686" customFormat="false" ht="15" hidden="false" customHeight="true" outlineLevel="0" collapsed="false">
      <c r="H686" s="113"/>
      <c r="I686" s="113"/>
      <c r="J686" s="113"/>
      <c r="L686" s="113"/>
      <c r="M686" s="113"/>
      <c r="N686" s="113"/>
      <c r="P686" s="113"/>
      <c r="Q686" s="113"/>
      <c r="R686" s="113"/>
      <c r="T686" s="113"/>
      <c r="U686" s="113"/>
      <c r="V686" s="113"/>
    </row>
    <row r="687" customFormat="false" ht="15" hidden="false" customHeight="true" outlineLevel="0" collapsed="false">
      <c r="H687" s="113"/>
      <c r="I687" s="113"/>
      <c r="J687" s="113"/>
      <c r="L687" s="113"/>
      <c r="M687" s="113"/>
      <c r="N687" s="113"/>
      <c r="P687" s="113"/>
      <c r="Q687" s="113"/>
      <c r="R687" s="113"/>
      <c r="T687" s="113"/>
      <c r="U687" s="113"/>
      <c r="V687" s="113"/>
    </row>
    <row r="688" customFormat="false" ht="15" hidden="false" customHeight="true" outlineLevel="0" collapsed="false">
      <c r="H688" s="113"/>
      <c r="I688" s="113"/>
      <c r="J688" s="113"/>
      <c r="L688" s="113"/>
      <c r="M688" s="113"/>
      <c r="N688" s="113"/>
      <c r="P688" s="113"/>
      <c r="Q688" s="113"/>
      <c r="R688" s="113"/>
      <c r="T688" s="113"/>
      <c r="U688" s="113"/>
      <c r="V688" s="113"/>
    </row>
    <row r="689" customFormat="false" ht="15" hidden="false" customHeight="true" outlineLevel="0" collapsed="false">
      <c r="H689" s="113"/>
      <c r="I689" s="113"/>
      <c r="J689" s="113"/>
      <c r="L689" s="113"/>
      <c r="M689" s="113"/>
      <c r="N689" s="113"/>
      <c r="P689" s="113"/>
      <c r="Q689" s="113"/>
      <c r="R689" s="113"/>
      <c r="T689" s="113"/>
      <c r="U689" s="113"/>
      <c r="V689" s="113"/>
    </row>
    <row r="690" customFormat="false" ht="15" hidden="false" customHeight="true" outlineLevel="0" collapsed="false">
      <c r="H690" s="113"/>
      <c r="I690" s="113"/>
      <c r="J690" s="113"/>
      <c r="L690" s="113"/>
      <c r="M690" s="113"/>
      <c r="N690" s="113"/>
      <c r="P690" s="113"/>
      <c r="Q690" s="113"/>
      <c r="R690" s="113"/>
      <c r="T690" s="113"/>
      <c r="U690" s="113"/>
      <c r="V690" s="113"/>
    </row>
    <row r="691" customFormat="false" ht="15" hidden="false" customHeight="true" outlineLevel="0" collapsed="false">
      <c r="H691" s="113"/>
      <c r="I691" s="113"/>
      <c r="J691" s="113"/>
      <c r="L691" s="113"/>
      <c r="M691" s="113"/>
      <c r="N691" s="113"/>
      <c r="P691" s="113"/>
      <c r="Q691" s="113"/>
      <c r="R691" s="113"/>
      <c r="T691" s="113"/>
      <c r="U691" s="113"/>
      <c r="V691" s="113"/>
    </row>
    <row r="692" customFormat="false" ht="15" hidden="false" customHeight="true" outlineLevel="0" collapsed="false">
      <c r="H692" s="113"/>
      <c r="I692" s="113"/>
      <c r="J692" s="113"/>
      <c r="L692" s="113"/>
      <c r="M692" s="113"/>
      <c r="N692" s="113"/>
      <c r="P692" s="113"/>
      <c r="Q692" s="113"/>
      <c r="R692" s="113"/>
      <c r="T692" s="113"/>
      <c r="U692" s="113"/>
      <c r="V692" s="113"/>
    </row>
    <row r="693" customFormat="false" ht="15" hidden="false" customHeight="true" outlineLevel="0" collapsed="false">
      <c r="H693" s="113"/>
      <c r="I693" s="113"/>
      <c r="J693" s="113"/>
      <c r="L693" s="113"/>
      <c r="M693" s="113"/>
      <c r="N693" s="113"/>
      <c r="P693" s="113"/>
      <c r="Q693" s="113"/>
      <c r="R693" s="113"/>
      <c r="T693" s="113"/>
      <c r="U693" s="113"/>
      <c r="V693" s="113"/>
    </row>
    <row r="694" customFormat="false" ht="15" hidden="false" customHeight="true" outlineLevel="0" collapsed="false">
      <c r="H694" s="113"/>
      <c r="I694" s="113"/>
      <c r="J694" s="113"/>
      <c r="L694" s="113"/>
      <c r="M694" s="113"/>
      <c r="N694" s="113"/>
      <c r="P694" s="113"/>
      <c r="Q694" s="113"/>
      <c r="R694" s="113"/>
      <c r="T694" s="113"/>
      <c r="U694" s="113"/>
      <c r="V694" s="113"/>
    </row>
    <row r="695" customFormat="false" ht="15" hidden="false" customHeight="true" outlineLevel="0" collapsed="false">
      <c r="H695" s="113"/>
      <c r="I695" s="113"/>
      <c r="J695" s="113"/>
      <c r="L695" s="113"/>
      <c r="M695" s="113"/>
      <c r="N695" s="113"/>
      <c r="P695" s="113"/>
      <c r="Q695" s="113"/>
      <c r="R695" s="113"/>
      <c r="T695" s="113"/>
      <c r="U695" s="113"/>
      <c r="V695" s="113"/>
    </row>
    <row r="696" customFormat="false" ht="15" hidden="false" customHeight="true" outlineLevel="0" collapsed="false">
      <c r="H696" s="113"/>
      <c r="I696" s="113"/>
      <c r="J696" s="113"/>
      <c r="L696" s="113"/>
      <c r="M696" s="113"/>
      <c r="N696" s="113"/>
      <c r="P696" s="113"/>
      <c r="Q696" s="113"/>
      <c r="R696" s="113"/>
      <c r="T696" s="113"/>
      <c r="U696" s="113"/>
      <c r="V696" s="113"/>
    </row>
    <row r="697" customFormat="false" ht="15" hidden="false" customHeight="true" outlineLevel="0" collapsed="false">
      <c r="H697" s="113"/>
      <c r="I697" s="113"/>
      <c r="J697" s="113"/>
      <c r="L697" s="113"/>
      <c r="M697" s="113"/>
      <c r="N697" s="113"/>
      <c r="P697" s="113"/>
      <c r="Q697" s="113"/>
      <c r="R697" s="113"/>
      <c r="T697" s="113"/>
      <c r="U697" s="113"/>
      <c r="V697" s="113"/>
    </row>
    <row r="698" customFormat="false" ht="15" hidden="false" customHeight="true" outlineLevel="0" collapsed="false">
      <c r="H698" s="113"/>
      <c r="I698" s="113"/>
      <c r="J698" s="113"/>
      <c r="L698" s="113"/>
      <c r="M698" s="113"/>
      <c r="N698" s="113"/>
      <c r="P698" s="113"/>
      <c r="Q698" s="113"/>
      <c r="R698" s="113"/>
      <c r="T698" s="113"/>
      <c r="U698" s="113"/>
      <c r="V698" s="113"/>
    </row>
    <row r="699" customFormat="false" ht="15" hidden="false" customHeight="true" outlineLevel="0" collapsed="false">
      <c r="H699" s="113"/>
      <c r="I699" s="113"/>
      <c r="J699" s="113"/>
      <c r="L699" s="113"/>
      <c r="M699" s="113"/>
      <c r="N699" s="113"/>
      <c r="P699" s="113"/>
      <c r="Q699" s="113"/>
      <c r="R699" s="113"/>
      <c r="T699" s="113"/>
      <c r="U699" s="113"/>
      <c r="V699" s="113"/>
    </row>
    <row r="700" customFormat="false" ht="15" hidden="false" customHeight="true" outlineLevel="0" collapsed="false">
      <c r="H700" s="113"/>
      <c r="I700" s="113"/>
      <c r="J700" s="113"/>
      <c r="L700" s="113"/>
      <c r="M700" s="113"/>
      <c r="N700" s="113"/>
      <c r="P700" s="113"/>
      <c r="Q700" s="113"/>
      <c r="R700" s="113"/>
      <c r="T700" s="113"/>
      <c r="U700" s="113"/>
      <c r="V700" s="113"/>
    </row>
    <row r="701" customFormat="false" ht="15" hidden="false" customHeight="true" outlineLevel="0" collapsed="false">
      <c r="H701" s="113"/>
      <c r="I701" s="113"/>
      <c r="J701" s="113"/>
      <c r="L701" s="113"/>
      <c r="M701" s="113"/>
      <c r="N701" s="113"/>
      <c r="P701" s="113"/>
      <c r="Q701" s="113"/>
      <c r="R701" s="113"/>
      <c r="T701" s="113"/>
      <c r="U701" s="113"/>
      <c r="V701" s="113"/>
    </row>
    <row r="702" customFormat="false" ht="15" hidden="false" customHeight="true" outlineLevel="0" collapsed="false">
      <c r="H702" s="113"/>
      <c r="I702" s="113"/>
      <c r="J702" s="113"/>
      <c r="L702" s="113"/>
      <c r="M702" s="113"/>
      <c r="N702" s="113"/>
      <c r="P702" s="113"/>
      <c r="Q702" s="113"/>
      <c r="R702" s="113"/>
      <c r="T702" s="113"/>
      <c r="U702" s="113"/>
      <c r="V702" s="113"/>
    </row>
    <row r="703" customFormat="false" ht="15" hidden="false" customHeight="true" outlineLevel="0" collapsed="false">
      <c r="H703" s="113"/>
      <c r="I703" s="113"/>
      <c r="J703" s="113"/>
      <c r="L703" s="113"/>
      <c r="M703" s="113"/>
      <c r="N703" s="113"/>
      <c r="P703" s="113"/>
      <c r="Q703" s="113"/>
      <c r="R703" s="113"/>
      <c r="T703" s="113"/>
      <c r="U703" s="113"/>
      <c r="V703" s="113"/>
    </row>
    <row r="704" customFormat="false" ht="15" hidden="false" customHeight="true" outlineLevel="0" collapsed="false">
      <c r="H704" s="113"/>
      <c r="I704" s="113"/>
      <c r="J704" s="113"/>
      <c r="L704" s="113"/>
      <c r="M704" s="113"/>
      <c r="N704" s="113"/>
      <c r="P704" s="113"/>
      <c r="Q704" s="113"/>
      <c r="R704" s="113"/>
      <c r="T704" s="113"/>
      <c r="U704" s="113"/>
      <c r="V704" s="113"/>
    </row>
    <row r="705" customFormat="false" ht="15" hidden="false" customHeight="true" outlineLevel="0" collapsed="false"/>
  </sheetData>
  <mergeCells count="62">
    <mergeCell ref="A7:Y7"/>
    <mergeCell ref="B9:I9"/>
    <mergeCell ref="K9:R9"/>
    <mergeCell ref="B10:C10"/>
    <mergeCell ref="D10:E10"/>
    <mergeCell ref="F10:G10"/>
    <mergeCell ref="H10:I10"/>
    <mergeCell ref="K10:L10"/>
    <mergeCell ref="M10:N10"/>
    <mergeCell ref="O10:P10"/>
    <mergeCell ref="Q10:R10"/>
    <mergeCell ref="B11:C11"/>
    <mergeCell ref="D11:E11"/>
    <mergeCell ref="F11:G11"/>
    <mergeCell ref="H11:I11"/>
    <mergeCell ref="K11:L11"/>
    <mergeCell ref="M11:N11"/>
    <mergeCell ref="O11:P11"/>
    <mergeCell ref="Q11:R11"/>
    <mergeCell ref="B12:C13"/>
    <mergeCell ref="D12:E13"/>
    <mergeCell ref="F12:G13"/>
    <mergeCell ref="H12:I13"/>
    <mergeCell ref="K12:L13"/>
    <mergeCell ref="M12:N13"/>
    <mergeCell ref="O12:P13"/>
    <mergeCell ref="Q12:R13"/>
    <mergeCell ref="B14:C14"/>
    <mergeCell ref="D14:E14"/>
    <mergeCell ref="F14:G14"/>
    <mergeCell ref="H14:I14"/>
    <mergeCell ref="K14:L14"/>
    <mergeCell ref="M14:N14"/>
    <mergeCell ref="O14:P14"/>
    <mergeCell ref="Q14:R14"/>
    <mergeCell ref="B16:R16"/>
    <mergeCell ref="B17:D17"/>
    <mergeCell ref="E17:G17"/>
    <mergeCell ref="I17:K17"/>
    <mergeCell ref="M17:O17"/>
    <mergeCell ref="Q17:S17"/>
    <mergeCell ref="B18:D18"/>
    <mergeCell ref="E18:G18"/>
    <mergeCell ref="I18:K18"/>
    <mergeCell ref="M18:O18"/>
    <mergeCell ref="Q18:S18"/>
    <mergeCell ref="B19:D20"/>
    <mergeCell ref="E19:G20"/>
    <mergeCell ref="I19:K20"/>
    <mergeCell ref="M19:O20"/>
    <mergeCell ref="Q19:S20"/>
    <mergeCell ref="B21:D21"/>
    <mergeCell ref="E21:G21"/>
    <mergeCell ref="I21:K21"/>
    <mergeCell ref="M21:O21"/>
    <mergeCell ref="Q21:S21"/>
    <mergeCell ref="B22:D22"/>
    <mergeCell ref="E22:G22"/>
    <mergeCell ref="I22:K22"/>
    <mergeCell ref="M22:O22"/>
    <mergeCell ref="Q22:S22"/>
    <mergeCell ref="B23:S23"/>
  </mergeCells>
  <conditionalFormatting sqref="X36:X111">
    <cfRule type="expression" priority="2" aboveAverage="0" equalAverage="0" bottom="0" percent="0" rank="0" text="" dxfId="0">
      <formula>$Y36="✓ On Target"</formula>
    </cfRule>
    <cfRule type="expression" priority="3" aboveAverage="0" equalAverage="0" bottom="0" percent="0" rank="0" text="" dxfId="1">
      <formula>$Y36="✗ Off Target"</formula>
    </cfRule>
    <cfRule type="expression" priority="4" aboveAverage="0" equalAverage="0" bottom="0" percent="0" rank="0" text="" dxfId="2">
      <formula>$Y36="— No Data"</formula>
    </cfRule>
  </conditionalFormatting>
  <conditionalFormatting sqref="Y36:Y111">
    <cfRule type="expression" priority="5" aboveAverage="0" equalAverage="0" bottom="0" percent="0" rank="0" text="" dxfId="0">
      <formula>Y36="✓ On Target"</formula>
    </cfRule>
    <cfRule type="expression" priority="6" aboveAverage="0" equalAverage="0" bottom="0" percent="0" rank="0" text="" dxfId="1">
      <formula>Y36="✗ Off Target"</formula>
    </cfRule>
    <cfRule type="expression" priority="7" aboveAverage="0" equalAverage="0" bottom="0" percent="0" rank="0" text="" dxfId="2">
      <formula>Y36="— No Data"</formula>
    </cfRule>
  </conditionalFormatting>
  <conditionalFormatting sqref="H36:W111">
    <cfRule type="expression" priority="8" aboveAverage="0" equalAverage="0" bottom="0" percent="0" rank="0" text="" dxfId="0">
      <formula>AND(ISNUMBER(H36),ISNUMBER($G36),OR(AND($D36="P",H36&gt;=$G36),AND($D36="N",H36&lt;=$G36)))</formula>
    </cfRule>
    <cfRule type="expression" priority="9" aboveAverage="0" equalAverage="0" bottom="0" percent="0" rank="0" text="" dxfId="1">
      <formula>AND(ISNUMBER(H36),ISNUMBER($G36),OR(AND($D36="P",H36&lt;$G36),AND($D36="N",H36&gt;$G36)))</formula>
    </cfRule>
  </conditionalFormatting>
  <conditionalFormatting sqref="Y36:Y110">
    <cfRule type="expression" priority="10" aboveAverage="0" equalAverage="0" bottom="0" percent="0" rank="0" text="" dxfId="3">
      <formula>Y36="⊘ Non Target"</formula>
    </cfRule>
  </conditionalFormatting>
  <conditionalFormatting sqref="X36:X110">
    <cfRule type="expression" priority="11" aboveAverage="0" equalAverage="0" bottom="0" percent="0" rank="0" text="" dxfId="3">
      <formula>$Y36="⊘ Non Target"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03"/>
  <sheetViews>
    <sheetView showFormulas="false" showGridLines="false" showRowColHeaders="true" showZeros="true" rightToLeft="false" tabSelected="false" showOutlineSymbols="true" defaultGridColor="true" view="normal" topLeftCell="A41" colorId="64" zoomScale="100" zoomScaleNormal="100" zoomScalePageLayoutView="100" workbookViewId="0">
      <selection pane="topLeft" activeCell="J62" activeCellId="0" sqref="J6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8"/>
    <col collapsed="false" customWidth="true" hidden="false" outlineLevel="0" max="3" min="3" style="1" width="13"/>
    <col collapsed="false" customWidth="true" hidden="true" outlineLevel="0" max="4" min="4" style="1" width="3"/>
    <col collapsed="false" customWidth="true" hidden="false" outlineLevel="0" max="5" min="5" style="1" width="9"/>
    <col collapsed="false" customWidth="true" hidden="false" outlineLevel="0" max="7" min="6" style="1" width="10"/>
    <col collapsed="false" customWidth="true" hidden="false" outlineLevel="0" max="10" min="8" style="1" width="7"/>
    <col collapsed="false" customWidth="true" hidden="false" outlineLevel="0" max="11" min="11" style="1" width="8"/>
    <col collapsed="false" customWidth="true" hidden="false" outlineLevel="0" max="14" min="12" style="1" width="7"/>
    <col collapsed="false" customWidth="true" hidden="false" outlineLevel="0" max="15" min="15" style="1" width="8"/>
    <col collapsed="false" customWidth="true" hidden="false" outlineLevel="0" max="18" min="16" style="1" width="7"/>
    <col collapsed="false" customWidth="true" hidden="false" outlineLevel="0" max="19" min="19" style="1" width="8"/>
    <col collapsed="false" customWidth="true" hidden="false" outlineLevel="0" max="22" min="20" style="1" width="7"/>
    <col collapsed="false" customWidth="true" hidden="false" outlineLevel="0" max="23" min="23" style="1" width="8"/>
    <col collapsed="false" customWidth="true" hidden="false" outlineLevel="0" max="24" min="24" style="1" width="10"/>
    <col collapsed="false" customWidth="true" hidden="false" outlineLevel="0" max="25" min="25" style="1" width="14"/>
    <col collapsed="false" customWidth="true" hidden="false" outlineLevel="0" max="26" min="26" style="1" width="16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30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30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30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2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21.75" hidden="false" customHeight="true" outlineLevel="0" collapsed="false">
      <c r="A7" s="3" t="s">
        <v>513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9" customFormat="false" ht="24" hidden="false" customHeight="true" outlineLevel="0" collapsed="false">
      <c r="B9" s="159" t="s">
        <v>486</v>
      </c>
      <c r="C9" s="159"/>
      <c r="D9" s="159"/>
      <c r="E9" s="159"/>
      <c r="F9" s="159"/>
      <c r="G9" s="159"/>
      <c r="H9" s="159"/>
      <c r="I9" s="159"/>
      <c r="K9" s="159" t="s">
        <v>487</v>
      </c>
      <c r="L9" s="159"/>
      <c r="M9" s="159"/>
      <c r="N9" s="159"/>
      <c r="O9" s="159"/>
      <c r="P9" s="159"/>
      <c r="Q9" s="159"/>
      <c r="R9" s="159"/>
    </row>
    <row r="10" customFormat="false" ht="6" hidden="false" customHeight="true" outlineLevel="0" collapsed="false">
      <c r="B10" s="4"/>
      <c r="C10" s="4"/>
      <c r="D10" s="5"/>
      <c r="E10" s="5"/>
      <c r="F10" s="6"/>
      <c r="G10" s="6"/>
      <c r="H10" s="7"/>
      <c r="I10" s="7"/>
      <c r="K10" s="4"/>
      <c r="L10" s="4"/>
      <c r="M10" s="5"/>
      <c r="N10" s="5"/>
      <c r="O10" s="6"/>
      <c r="P10" s="6"/>
      <c r="Q10" s="7"/>
      <c r="R10" s="7"/>
    </row>
    <row r="11" customFormat="false" ht="19.5" hidden="false" customHeight="true" outlineLevel="0" collapsed="false">
      <c r="B11" s="9" t="s">
        <v>488</v>
      </c>
      <c r="C11" s="9"/>
      <c r="D11" s="9" t="s">
        <v>489</v>
      </c>
      <c r="E11" s="9"/>
      <c r="F11" s="9" t="s">
        <v>490</v>
      </c>
      <c r="G11" s="9"/>
      <c r="H11" s="9" t="s">
        <v>248</v>
      </c>
      <c r="I11" s="9"/>
      <c r="K11" s="9" t="s">
        <v>488</v>
      </c>
      <c r="L11" s="9"/>
      <c r="M11" s="9" t="s">
        <v>489</v>
      </c>
      <c r="N11" s="9"/>
      <c r="O11" s="9" t="s">
        <v>490</v>
      </c>
      <c r="P11" s="9"/>
      <c r="Q11" s="9" t="s">
        <v>248</v>
      </c>
      <c r="R11" s="9"/>
    </row>
    <row r="12" customFormat="false" ht="24" hidden="false" customHeight="true" outlineLevel="0" collapsed="false">
      <c r="B12" s="160" t="n">
        <v>28</v>
      </c>
      <c r="C12" s="160"/>
      <c r="D12" s="161" t="n">
        <v>15</v>
      </c>
      <c r="E12" s="161"/>
      <c r="F12" s="162" t="n">
        <v>7</v>
      </c>
      <c r="G12" s="162"/>
      <c r="H12" s="163" t="n">
        <v>1</v>
      </c>
      <c r="I12" s="163"/>
      <c r="K12" s="160" t="n">
        <v>43</v>
      </c>
      <c r="L12" s="160"/>
      <c r="M12" s="161" t="n">
        <v>24</v>
      </c>
      <c r="N12" s="161"/>
      <c r="O12" s="162" t="n">
        <v>10</v>
      </c>
      <c r="P12" s="162"/>
      <c r="Q12" s="163" t="n">
        <v>6</v>
      </c>
      <c r="R12" s="163"/>
    </row>
    <row r="13" customFormat="false" ht="24" hidden="false" customHeight="true" outlineLevel="0" collapsed="false">
      <c r="B13" s="160"/>
      <c r="C13" s="160"/>
      <c r="D13" s="161"/>
      <c r="E13" s="161"/>
      <c r="F13" s="162"/>
      <c r="G13" s="162"/>
      <c r="H13" s="163"/>
      <c r="I13" s="163"/>
      <c r="K13" s="160"/>
      <c r="L13" s="160"/>
      <c r="M13" s="161"/>
      <c r="N13" s="161"/>
      <c r="O13" s="162"/>
      <c r="P13" s="162"/>
      <c r="Q13" s="163"/>
      <c r="R13" s="163"/>
    </row>
    <row r="14" customFormat="false" ht="3.75" hidden="false" customHeight="true" outlineLevel="0" collapsed="false">
      <c r="B14" s="18"/>
      <c r="C14" s="18"/>
      <c r="D14" s="18"/>
      <c r="E14" s="18"/>
      <c r="F14" s="18"/>
      <c r="G14" s="18"/>
      <c r="H14" s="18"/>
      <c r="I14" s="18"/>
      <c r="K14" s="18"/>
      <c r="L14" s="18"/>
      <c r="M14" s="18"/>
      <c r="N14" s="18"/>
      <c r="O14" s="18"/>
      <c r="P14" s="18"/>
      <c r="Q14" s="18"/>
      <c r="R14" s="18"/>
    </row>
    <row r="16" customFormat="false" ht="25.5" hidden="false" customHeight="true" outlineLevel="0" collapsed="false">
      <c r="B16" s="164" t="s">
        <v>514</v>
      </c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</row>
    <row r="17" customFormat="false" ht="6" hidden="false" customHeight="true" outlineLevel="0" collapsed="false">
      <c r="B17" s="165"/>
      <c r="C17" s="165"/>
      <c r="D17" s="165"/>
      <c r="E17" s="5"/>
      <c r="F17" s="5"/>
      <c r="G17" s="5"/>
      <c r="I17" s="6"/>
      <c r="J17" s="6"/>
      <c r="K17" s="6"/>
      <c r="M17" s="7"/>
      <c r="N17" s="7"/>
      <c r="O17" s="7"/>
      <c r="Q17" s="8"/>
      <c r="R17" s="8"/>
      <c r="S17" s="8"/>
    </row>
    <row r="18" customFormat="false" ht="21.75" hidden="false" customHeight="true" outlineLevel="0" collapsed="false">
      <c r="B18" s="9" t="s">
        <v>492</v>
      </c>
      <c r="C18" s="9"/>
      <c r="D18" s="9"/>
      <c r="E18" s="9" t="s">
        <v>489</v>
      </c>
      <c r="F18" s="9"/>
      <c r="G18" s="9"/>
      <c r="I18" s="9" t="s">
        <v>490</v>
      </c>
      <c r="J18" s="9"/>
      <c r="K18" s="9"/>
      <c r="M18" s="9" t="s">
        <v>248</v>
      </c>
      <c r="N18" s="9"/>
      <c r="O18" s="9"/>
      <c r="Q18" s="166" t="s">
        <v>5</v>
      </c>
      <c r="R18" s="166"/>
      <c r="S18" s="166"/>
    </row>
    <row r="19" customFormat="false" ht="27.75" hidden="false" customHeight="true" outlineLevel="0" collapsed="false">
      <c r="B19" s="167" t="n">
        <v>72</v>
      </c>
      <c r="C19" s="167"/>
      <c r="D19" s="167"/>
      <c r="E19" s="168" t="n">
        <v>39</v>
      </c>
      <c r="F19" s="168"/>
      <c r="G19" s="168"/>
      <c r="I19" s="169" t="n">
        <v>17</v>
      </c>
      <c r="J19" s="169"/>
      <c r="K19" s="169"/>
      <c r="M19" s="170" t="n">
        <v>8</v>
      </c>
      <c r="N19" s="170"/>
      <c r="O19" s="170"/>
      <c r="Q19" s="171" t="n">
        <v>31</v>
      </c>
      <c r="R19" s="171"/>
      <c r="S19" s="171"/>
    </row>
    <row r="20" customFormat="false" ht="27.75" hidden="false" customHeight="true" outlineLevel="0" collapsed="false">
      <c r="B20" s="167"/>
      <c r="C20" s="167"/>
      <c r="D20" s="167"/>
      <c r="E20" s="168"/>
      <c r="F20" s="168"/>
      <c r="G20" s="168"/>
      <c r="I20" s="169"/>
      <c r="J20" s="169"/>
      <c r="K20" s="169"/>
      <c r="M20" s="170"/>
      <c r="N20" s="170"/>
      <c r="O20" s="170"/>
      <c r="Q20" s="171"/>
      <c r="R20" s="171"/>
      <c r="S20" s="171"/>
    </row>
    <row r="21" customFormat="false" ht="21.75" hidden="false" customHeight="true" outlineLevel="0" collapsed="false">
      <c r="B21" s="15" t="s">
        <v>493</v>
      </c>
      <c r="C21" s="15"/>
      <c r="D21" s="15"/>
      <c r="E21" s="15" t="s">
        <v>515</v>
      </c>
      <c r="F21" s="15"/>
      <c r="G21" s="15"/>
      <c r="I21" s="15" t="s">
        <v>516</v>
      </c>
      <c r="J21" s="15"/>
      <c r="K21" s="15"/>
      <c r="M21" s="15" t="s">
        <v>517</v>
      </c>
      <c r="N21" s="15"/>
      <c r="O21" s="15"/>
      <c r="Q21" s="172" t="s">
        <v>249</v>
      </c>
      <c r="R21" s="172"/>
      <c r="S21" s="172"/>
    </row>
    <row r="22" customFormat="false" ht="3.75" hidden="false" customHeight="true" outlineLevel="0" collapsed="false">
      <c r="B22" s="18"/>
      <c r="C22" s="18"/>
      <c r="D22" s="18"/>
      <c r="E22" s="18"/>
      <c r="F22" s="18"/>
      <c r="G22" s="18"/>
      <c r="I22" s="18"/>
      <c r="J22" s="18"/>
      <c r="K22" s="18"/>
      <c r="M22" s="18"/>
      <c r="N22" s="18"/>
      <c r="O22" s="18"/>
      <c r="Q22" s="18"/>
      <c r="R22" s="18"/>
      <c r="S22" s="18"/>
    </row>
    <row r="23" customFormat="false" ht="24" hidden="false" customHeight="true" outlineLevel="0" collapsed="false">
      <c r="B23" s="47" t="s">
        <v>518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</row>
    <row r="24" customFormat="false" ht="24" hidden="false" customHeight="true" outlineLevel="0" collapsed="false">
      <c r="B24" s="48" t="s">
        <v>23</v>
      </c>
      <c r="C24" s="48" t="s">
        <v>29</v>
      </c>
      <c r="D24" s="48" t="s">
        <v>65</v>
      </c>
      <c r="E24" s="48" t="s">
        <v>66</v>
      </c>
      <c r="F24" s="48" t="s">
        <v>67</v>
      </c>
      <c r="G24" s="48" t="s">
        <v>30</v>
      </c>
    </row>
    <row r="25" customFormat="false" ht="21.75" hidden="false" customHeight="true" outlineLevel="0" collapsed="false">
      <c r="B25" s="55" t="s">
        <v>35</v>
      </c>
      <c r="C25" s="65" t="n">
        <v>17</v>
      </c>
      <c r="D25" s="57" t="n">
        <v>4</v>
      </c>
      <c r="E25" s="58" t="n">
        <v>6</v>
      </c>
      <c r="F25" s="59" t="n">
        <v>2</v>
      </c>
      <c r="G25" s="60" t="n">
        <v>0.4</v>
      </c>
    </row>
    <row r="26" customFormat="false" ht="21.75" hidden="false" customHeight="true" outlineLevel="0" collapsed="false">
      <c r="B26" s="49" t="s">
        <v>34</v>
      </c>
      <c r="C26" s="66" t="n">
        <v>24</v>
      </c>
      <c r="D26" s="51" t="n">
        <v>18</v>
      </c>
      <c r="E26" s="52" t="n">
        <v>5</v>
      </c>
      <c r="F26" s="53" t="n">
        <v>1</v>
      </c>
      <c r="G26" s="54" t="n">
        <v>0.782608695652174</v>
      </c>
    </row>
    <row r="27" customFormat="false" ht="21.75" hidden="false" customHeight="true" outlineLevel="0" collapsed="false">
      <c r="B27" s="55" t="s">
        <v>36</v>
      </c>
      <c r="C27" s="65" t="n">
        <v>26</v>
      </c>
      <c r="D27" s="57" t="n">
        <v>15</v>
      </c>
      <c r="E27" s="58" t="n">
        <v>6</v>
      </c>
      <c r="F27" s="59" t="n">
        <v>4</v>
      </c>
      <c r="G27" s="60" t="n">
        <v>0.714285714285714</v>
      </c>
    </row>
    <row r="28" customFormat="false" ht="21.75" hidden="false" customHeight="true" outlineLevel="0" collapsed="false">
      <c r="B28" s="49" t="s">
        <v>39</v>
      </c>
      <c r="C28" s="66" t="n">
        <v>0</v>
      </c>
      <c r="D28" s="51" t="n">
        <v>0</v>
      </c>
      <c r="E28" s="52" t="n">
        <v>0</v>
      </c>
      <c r="F28" s="53" t="n">
        <v>0</v>
      </c>
      <c r="G28" s="54" t="s">
        <v>32</v>
      </c>
    </row>
    <row r="29" customFormat="false" ht="21.75" hidden="false" customHeight="true" outlineLevel="0" collapsed="false">
      <c r="B29" s="55" t="s">
        <v>37</v>
      </c>
      <c r="C29" s="65" t="n">
        <v>4</v>
      </c>
      <c r="D29" s="57" t="n">
        <v>2</v>
      </c>
      <c r="E29" s="58" t="n">
        <v>0</v>
      </c>
      <c r="F29" s="59" t="n">
        <v>1</v>
      </c>
      <c r="G29" s="60" t="n">
        <v>1</v>
      </c>
    </row>
    <row r="30" customFormat="false" ht="25.5" hidden="false" customHeight="true" outlineLevel="0" collapsed="false">
      <c r="B30" s="61" t="s">
        <v>53</v>
      </c>
      <c r="C30" s="63" t="n">
        <v>72</v>
      </c>
      <c r="D30" s="63" t="n">
        <v>39</v>
      </c>
      <c r="E30" s="63" t="n">
        <v>17</v>
      </c>
      <c r="F30" s="63" t="n">
        <v>8</v>
      </c>
      <c r="G30" s="64" t="n">
        <v>0.696428571428571</v>
      </c>
    </row>
    <row r="31" customFormat="false" ht="15.75" hidden="false" customHeight="true" outlineLevel="0" collapsed="false"/>
    <row r="32" customFormat="false" ht="15.75" hidden="false" customHeight="true" outlineLevel="0" collapsed="false"/>
    <row r="35" customFormat="false" ht="25.5" hidden="false" customHeight="true" outlineLevel="0" collapsed="false">
      <c r="A35" s="67" t="s">
        <v>69</v>
      </c>
      <c r="B35" s="67" t="s">
        <v>70</v>
      </c>
      <c r="C35" s="67" t="s">
        <v>71</v>
      </c>
      <c r="D35" s="67" t="s">
        <v>72</v>
      </c>
      <c r="E35" s="67" t="s">
        <v>499</v>
      </c>
      <c r="F35" s="67" t="s">
        <v>500</v>
      </c>
      <c r="G35" s="67" t="s">
        <v>74</v>
      </c>
      <c r="H35" s="67" t="s">
        <v>75</v>
      </c>
      <c r="I35" s="67" t="s">
        <v>76</v>
      </c>
      <c r="J35" s="67" t="s">
        <v>77</v>
      </c>
      <c r="K35" s="173" t="s">
        <v>78</v>
      </c>
      <c r="L35" s="67" t="s">
        <v>79</v>
      </c>
      <c r="M35" s="67" t="s">
        <v>80</v>
      </c>
      <c r="N35" s="67" t="s">
        <v>81</v>
      </c>
      <c r="O35" s="173" t="s">
        <v>82</v>
      </c>
      <c r="P35" s="67" t="s">
        <v>83</v>
      </c>
      <c r="Q35" s="67" t="s">
        <v>84</v>
      </c>
      <c r="R35" s="67" t="s">
        <v>85</v>
      </c>
      <c r="S35" s="173" t="s">
        <v>86</v>
      </c>
      <c r="T35" s="67" t="s">
        <v>87</v>
      </c>
      <c r="U35" s="67" t="s">
        <v>88</v>
      </c>
      <c r="V35" s="67" t="s">
        <v>89</v>
      </c>
      <c r="W35" s="173" t="s">
        <v>90</v>
      </c>
      <c r="X35" s="67" t="s">
        <v>91</v>
      </c>
      <c r="Y35" s="67" t="s">
        <v>92</v>
      </c>
      <c r="Z35" s="68" t="s">
        <v>93</v>
      </c>
    </row>
    <row r="36" customFormat="false" ht="25.5" hidden="false" customHeight="true" outlineLevel="0" collapsed="false">
      <c r="A36" s="69" t="s">
        <v>111</v>
      </c>
      <c r="B36" s="70" t="s">
        <v>112</v>
      </c>
      <c r="C36" s="71" t="s">
        <v>35</v>
      </c>
      <c r="D36" s="71" t="s">
        <v>97</v>
      </c>
      <c r="E36" s="69" t="s">
        <v>501</v>
      </c>
      <c r="F36" s="87" t="n">
        <v>0.017</v>
      </c>
      <c r="G36" s="88" t="n">
        <v>0.0145</v>
      </c>
      <c r="H36" s="89" t="n">
        <v>0.071320182094082</v>
      </c>
      <c r="I36" s="89" t="n">
        <v>0.123434704830054</v>
      </c>
      <c r="J36" s="89" t="n">
        <v>0.083743842364532</v>
      </c>
      <c r="K36" s="174" t="n">
        <f aca="false">IF(COUNT(H36:J36)=0,"",AVERAGE(H36:J36))</f>
        <v>0.0928329097628893</v>
      </c>
      <c r="L36" s="90" t="n">
        <v>0.0818897637795276</v>
      </c>
      <c r="M36" s="90" t="n">
        <v>0.032590051457976</v>
      </c>
      <c r="N36" s="90" t="n">
        <v>0.0309090909090909</v>
      </c>
      <c r="O36" s="174" t="n">
        <f aca="false">IF(COUNT(L36:N36)=0,"",AVERAGE(L36:N36))</f>
        <v>0.0484629687155315</v>
      </c>
      <c r="P36" s="90" t="n">
        <v>0.0274193548387097</v>
      </c>
      <c r="Q36" s="90"/>
      <c r="R36" s="90"/>
      <c r="S36" s="174" t="n">
        <f aca="false">IF(COUNT(P36:R36)=0,"",AVERAGE(P36:R36))</f>
        <v>0.0274193548387097</v>
      </c>
      <c r="T36" s="90"/>
      <c r="U36" s="90"/>
      <c r="V36" s="90"/>
      <c r="W36" s="174" t="str">
        <f aca="false">IF(COUNT(T36:V36)=0,"",AVERAGE(T36:V36))</f>
        <v/>
      </c>
      <c r="X36" s="92" t="n">
        <v>0.0873613367712085</v>
      </c>
      <c r="Y36" s="114" t="s">
        <v>113</v>
      </c>
      <c r="Z36" s="78" t="s">
        <v>100</v>
      </c>
    </row>
    <row r="37" customFormat="false" ht="25.5" hidden="false" customHeight="true" outlineLevel="0" collapsed="false">
      <c r="A37" s="69" t="s">
        <v>116</v>
      </c>
      <c r="B37" s="70" t="s">
        <v>117</v>
      </c>
      <c r="C37" s="71" t="s">
        <v>35</v>
      </c>
      <c r="D37" s="71" t="s">
        <v>97</v>
      </c>
      <c r="E37" s="69" t="s">
        <v>501</v>
      </c>
      <c r="F37" s="94" t="n">
        <v>0.0054</v>
      </c>
      <c r="G37" s="88" t="n">
        <v>0.0046</v>
      </c>
      <c r="H37" s="89" t="n">
        <v>0</v>
      </c>
      <c r="I37" s="89" t="n">
        <v>0</v>
      </c>
      <c r="J37" s="89" t="n">
        <v>0</v>
      </c>
      <c r="K37" s="174" t="n">
        <f aca="false">IF(COUNT(H37:J37)=0,"",AVERAGE(H37:J37))</f>
        <v>0</v>
      </c>
      <c r="L37" s="90" t="n">
        <v>0</v>
      </c>
      <c r="M37" s="90" t="n">
        <v>0</v>
      </c>
      <c r="N37" s="90" t="n">
        <v>0</v>
      </c>
      <c r="O37" s="175" t="n">
        <f aca="false">IF(COUNT(L37:N37)=0,"",AVERAGE(L37:N37))</f>
        <v>0</v>
      </c>
      <c r="P37" s="124" t="n">
        <v>0.00268817204301075</v>
      </c>
      <c r="Q37" s="124"/>
      <c r="R37" s="124"/>
      <c r="S37" s="175" t="n">
        <f aca="false">IF(COUNT(P37:R37)=0,"",AVERAGE(P37:R37))</f>
        <v>0.00268817204301075</v>
      </c>
      <c r="T37" s="124"/>
      <c r="U37" s="124"/>
      <c r="V37" s="124"/>
      <c r="W37" s="175" t="str">
        <f aca="false">IF(COUNT(T37:V37)=0,"",AVERAGE(T37:V37))</f>
        <v/>
      </c>
      <c r="X37" s="125" t="n">
        <v>0</v>
      </c>
      <c r="Y37" s="114" t="s">
        <v>104</v>
      </c>
      <c r="Z37" s="78" t="s">
        <v>100</v>
      </c>
    </row>
    <row r="38" customFormat="false" ht="25.5" hidden="false" customHeight="true" outlineLevel="0" collapsed="false">
      <c r="A38" s="69" t="s">
        <v>118</v>
      </c>
      <c r="B38" s="70" t="s">
        <v>119</v>
      </c>
      <c r="C38" s="71" t="s">
        <v>35</v>
      </c>
      <c r="D38" s="71" t="s">
        <v>97</v>
      </c>
      <c r="E38" s="69" t="s">
        <v>501</v>
      </c>
      <c r="F38" s="87" t="s">
        <v>32</v>
      </c>
      <c r="G38" s="91" t="s">
        <v>32</v>
      </c>
      <c r="H38" s="89" t="n">
        <v>0.0626968431846481</v>
      </c>
      <c r="I38" s="89" t="n">
        <v>0.0557280118255728</v>
      </c>
      <c r="J38" s="89" t="n">
        <v>0.0681837998081786</v>
      </c>
      <c r="K38" s="174" t="n">
        <f aca="false">IF(COUNT(H38:J38)=0,"",AVERAGE(H38:J38))</f>
        <v>0.0622028849394665</v>
      </c>
      <c r="L38" s="90" t="n">
        <v>0.0515018562267972</v>
      </c>
      <c r="M38" s="90" t="n">
        <v>0.059154463473153</v>
      </c>
      <c r="N38" s="90" t="n">
        <v>0.0576652601969058</v>
      </c>
      <c r="O38" s="174" t="n">
        <f aca="false">IF(COUNT(L38:N38)=0,"",AVERAGE(L38:N38))</f>
        <v>0.056107193298952</v>
      </c>
      <c r="P38" s="90" t="n">
        <v>0.0541286351093186</v>
      </c>
      <c r="Q38" s="90"/>
      <c r="R38" s="90"/>
      <c r="S38" s="174" t="n">
        <f aca="false">IF(COUNT(P38:R38)=0,"",AVERAGE(P38:R38))</f>
        <v>0.0541286351093186</v>
      </c>
      <c r="T38" s="90"/>
      <c r="U38" s="90"/>
      <c r="V38" s="90"/>
      <c r="W38" s="174" t="str">
        <f aca="false">IF(COUNT(T38:V38)=0,"",AVERAGE(T38:V38))</f>
        <v/>
      </c>
      <c r="X38" s="92" t="n">
        <v>0.0568523705831319</v>
      </c>
      <c r="Y38" s="114" t="s">
        <v>120</v>
      </c>
      <c r="Z38" s="78" t="s">
        <v>100</v>
      </c>
    </row>
    <row r="39" customFormat="false" ht="25.5" hidden="false" customHeight="true" outlineLevel="0" collapsed="false">
      <c r="A39" s="69" t="s">
        <v>127</v>
      </c>
      <c r="B39" s="70" t="s">
        <v>128</v>
      </c>
      <c r="C39" s="71" t="s">
        <v>35</v>
      </c>
      <c r="D39" s="71" t="s">
        <v>110</v>
      </c>
      <c r="E39" s="69" t="s">
        <v>501</v>
      </c>
      <c r="F39" s="102" t="s">
        <v>32</v>
      </c>
      <c r="G39" s="75" t="s">
        <v>32</v>
      </c>
      <c r="H39" s="81" t="n">
        <v>0.00196629213483146</v>
      </c>
      <c r="I39" s="81" t="n">
        <v>0.0034330554193232</v>
      </c>
      <c r="J39" s="81" t="n">
        <v>0.00459217144106713</v>
      </c>
      <c r="K39" s="176" t="n">
        <f aca="false">IF(COUNT(H39:J39)=0,"",AVERAGE(H39:J39))</f>
        <v>0.0033305063317406</v>
      </c>
      <c r="L39" s="103" t="n">
        <v>0.00279366768657709</v>
      </c>
      <c r="M39" s="103" t="n">
        <v>0.00388816885761896</v>
      </c>
      <c r="N39" s="103" t="n">
        <v>0.00388816885761896</v>
      </c>
      <c r="O39" s="176" t="n">
        <f aca="false">IF(COUNT(L39:N39)=0,"",AVERAGE(L39:N39))</f>
        <v>0.00352333513393834</v>
      </c>
      <c r="P39" s="103" t="n">
        <v>0.00284514293456171</v>
      </c>
      <c r="Q39" s="103"/>
      <c r="R39" s="103"/>
      <c r="S39" s="176" t="n">
        <f aca="false">IF(COUNT(P39:R39)=0,"",AVERAGE(P39:R39))</f>
        <v>0.00284514293456171</v>
      </c>
      <c r="T39" s="103"/>
      <c r="U39" s="103"/>
      <c r="V39" s="103"/>
      <c r="W39" s="176" t="str">
        <f aca="false">IF(COUNT(T39:V39)=0,"",AVERAGE(T39:V39))</f>
        <v/>
      </c>
      <c r="X39" s="104" t="n">
        <v>0.00306208700915884</v>
      </c>
      <c r="Y39" s="114" t="s">
        <v>120</v>
      </c>
      <c r="Z39" s="78" t="s">
        <v>100</v>
      </c>
    </row>
    <row r="40" customFormat="false" ht="25.5" hidden="false" customHeight="true" outlineLevel="0" collapsed="false">
      <c r="A40" s="69" t="s">
        <v>129</v>
      </c>
      <c r="B40" s="70" t="s">
        <v>130</v>
      </c>
      <c r="C40" s="71" t="s">
        <v>35</v>
      </c>
      <c r="D40" s="71" t="s">
        <v>110</v>
      </c>
      <c r="E40" s="69" t="s">
        <v>501</v>
      </c>
      <c r="F40" s="102" t="s">
        <v>32</v>
      </c>
      <c r="G40" s="75" t="s">
        <v>32</v>
      </c>
      <c r="H40" s="81" t="n">
        <v>0.00628184546660152</v>
      </c>
      <c r="I40" s="81" t="n">
        <v>0.00630075609073089</v>
      </c>
      <c r="J40" s="81" t="n">
        <v>0.00734633907436128</v>
      </c>
      <c r="K40" s="176" t="n">
        <f aca="false">IF(COUNT(H40:J40)=0,"",AVERAGE(H40:J40))</f>
        <v>0.00664298021056456</v>
      </c>
      <c r="L40" s="103" t="n">
        <v>0.0057773783540891</v>
      </c>
      <c r="M40" s="103" t="n">
        <v>0.00703015153882206</v>
      </c>
      <c r="N40" s="103" t="n">
        <v>0.00703015153882206</v>
      </c>
      <c r="O40" s="176" t="n">
        <f aca="false">IF(COUNT(L40:N40)=0,"",AVERAGE(L40:N40))</f>
        <v>0.00661256047724441</v>
      </c>
      <c r="P40" s="103" t="n">
        <v>0.00570546382064707</v>
      </c>
      <c r="Q40" s="103"/>
      <c r="R40" s="103"/>
      <c r="S40" s="176" t="n">
        <f aca="false">IF(COUNT(P40:R40)=0,"",AVERAGE(P40:R40))</f>
        <v>0.00570546382064707</v>
      </c>
      <c r="T40" s="103"/>
      <c r="U40" s="103"/>
      <c r="V40" s="103"/>
      <c r="W40" s="176" t="str">
        <f aca="false">IF(COUNT(T40:V40)=0,"",AVERAGE(T40:V40))</f>
        <v/>
      </c>
      <c r="X40" s="104" t="n">
        <v>0.00621017928232683</v>
      </c>
      <c r="Y40" s="114" t="s">
        <v>120</v>
      </c>
      <c r="Z40" s="78" t="s">
        <v>100</v>
      </c>
    </row>
    <row r="41" customFormat="false" ht="25.5" hidden="false" customHeight="true" outlineLevel="0" collapsed="false">
      <c r="A41" s="69" t="s">
        <v>139</v>
      </c>
      <c r="B41" s="70" t="s">
        <v>140</v>
      </c>
      <c r="C41" s="71" t="s">
        <v>35</v>
      </c>
      <c r="D41" s="71" t="s">
        <v>97</v>
      </c>
      <c r="E41" s="69" t="s">
        <v>501</v>
      </c>
      <c r="F41" s="87" t="n">
        <v>0.646</v>
      </c>
      <c r="G41" s="88" t="s">
        <v>141</v>
      </c>
      <c r="H41" s="89" t="n">
        <v>0.807960762120355</v>
      </c>
      <c r="I41" s="89" t="n">
        <v>0.739348370927318</v>
      </c>
      <c r="J41" s="89" t="n">
        <v>0.681451612903226</v>
      </c>
      <c r="K41" s="174" t="n">
        <f aca="false">IF(COUNT(H41:J41)=0,"",AVERAGE(H41:J41))</f>
        <v>0.7429202486503</v>
      </c>
      <c r="L41" s="90" t="n">
        <v>0.847368421052632</v>
      </c>
      <c r="M41" s="90" t="n">
        <v>0.776952461799661</v>
      </c>
      <c r="N41" s="90" t="n">
        <v>0.674122807017544</v>
      </c>
      <c r="O41" s="174" t="n">
        <f aca="false">IF(COUNT(L41:N41)=0,"",AVERAGE(L41:N41))</f>
        <v>0.766147896623279</v>
      </c>
      <c r="P41" s="90" t="n">
        <v>0.692062818336163</v>
      </c>
      <c r="Q41" s="90"/>
      <c r="R41" s="90"/>
      <c r="S41" s="174" t="n">
        <f aca="false">IF(COUNT(P41:R41)=0,"",AVERAGE(P41:R41))</f>
        <v>0.692062818336163</v>
      </c>
      <c r="T41" s="90"/>
      <c r="U41" s="90"/>
      <c r="V41" s="90"/>
      <c r="W41" s="174" t="str">
        <f aca="false">IF(COUNT(T41:V41)=0,"",AVERAGE(T41:V41))</f>
        <v/>
      </c>
      <c r="X41" s="92" t="n">
        <v>0.795144334851466</v>
      </c>
      <c r="Y41" s="114" t="s">
        <v>113</v>
      </c>
      <c r="Z41" s="78" t="s">
        <v>100</v>
      </c>
    </row>
    <row r="42" customFormat="false" ht="25.5" hidden="false" customHeight="true" outlineLevel="0" collapsed="false">
      <c r="A42" s="69" t="s">
        <v>142</v>
      </c>
      <c r="B42" s="70" t="s">
        <v>143</v>
      </c>
      <c r="C42" s="71" t="s">
        <v>35</v>
      </c>
      <c r="D42" s="71" t="s">
        <v>97</v>
      </c>
      <c r="E42" s="69" t="s">
        <v>501</v>
      </c>
      <c r="F42" s="96" t="n">
        <v>3.9</v>
      </c>
      <c r="G42" s="97" t="n">
        <v>3.77</v>
      </c>
      <c r="H42" s="120" t="n">
        <v>4.18384401114206</v>
      </c>
      <c r="I42" s="120" t="n">
        <v>3.96815286624204</v>
      </c>
      <c r="J42" s="120" t="n">
        <v>3.88707280832095</v>
      </c>
      <c r="K42" s="180" t="n">
        <f aca="false">IF(COUNT(H42:J42)=0,"",AVERAGE(H42:J42))</f>
        <v>4.01302322856835</v>
      </c>
      <c r="L42" s="98" t="n">
        <v>5.57273918741809</v>
      </c>
      <c r="M42" s="98" t="n">
        <v>5.33521126760563</v>
      </c>
      <c r="N42" s="98" t="n">
        <v>4.57532281205165</v>
      </c>
      <c r="O42" s="180" t="n">
        <f aca="false">IF(COUNT(L42:N42)=0,"",AVERAGE(L42:N42))</f>
        <v>5.16109108902512</v>
      </c>
      <c r="P42" s="98" t="n">
        <v>4.50461133069829</v>
      </c>
      <c r="Q42" s="98"/>
      <c r="R42" s="98"/>
      <c r="S42" s="180" t="n">
        <f aca="false">IF(COUNT(P42:R42)=0,"",AVERAGE(P42:R42))</f>
        <v>4.50461133069829</v>
      </c>
      <c r="T42" s="98"/>
      <c r="U42" s="98"/>
      <c r="V42" s="98"/>
      <c r="W42" s="180" t="str">
        <f aca="false">IF(COUNT(T42:V42)=0,"",AVERAGE(T42:V42))</f>
        <v/>
      </c>
      <c r="X42" s="100" t="n">
        <v>4.79288120799322</v>
      </c>
      <c r="Y42" s="114" t="s">
        <v>113</v>
      </c>
      <c r="Z42" s="78" t="s">
        <v>100</v>
      </c>
    </row>
    <row r="43" customFormat="false" ht="25.5" hidden="false" customHeight="true" outlineLevel="0" collapsed="false">
      <c r="A43" s="69" t="s">
        <v>154</v>
      </c>
      <c r="B43" s="70" t="s">
        <v>155</v>
      </c>
      <c r="C43" s="71" t="s">
        <v>34</v>
      </c>
      <c r="D43" s="71" t="s">
        <v>97</v>
      </c>
      <c r="E43" s="69" t="s">
        <v>501</v>
      </c>
      <c r="F43" s="102" t="n">
        <v>0.18</v>
      </c>
      <c r="G43" s="82" t="n">
        <v>0</v>
      </c>
      <c r="H43" s="81" t="n">
        <v>1</v>
      </c>
      <c r="I43" s="81" t="n">
        <v>1</v>
      </c>
      <c r="J43" s="81" t="n">
        <v>0</v>
      </c>
      <c r="K43" s="176" t="n">
        <f aca="false">IF(COUNT(H43:J43)=0,"",SUM(H43:J43))</f>
        <v>2</v>
      </c>
      <c r="L43" s="74" t="n">
        <v>0</v>
      </c>
      <c r="M43" s="103" t="n">
        <v>0</v>
      </c>
      <c r="N43" s="103" t="n">
        <v>0</v>
      </c>
      <c r="O43" s="176" t="n">
        <f aca="false">IF(COUNT(L43:N43)=0,"",SUM(L43:N43))</f>
        <v>0</v>
      </c>
      <c r="P43" s="103" t="n">
        <v>0</v>
      </c>
      <c r="Q43" s="103"/>
      <c r="R43" s="103"/>
      <c r="S43" s="176" t="n">
        <v>0</v>
      </c>
      <c r="T43" s="103"/>
      <c r="U43" s="103"/>
      <c r="V43" s="103"/>
      <c r="W43" s="176" t="n">
        <v>0</v>
      </c>
      <c r="X43" s="104" t="n">
        <v>0</v>
      </c>
      <c r="Y43" s="114" t="s">
        <v>104</v>
      </c>
      <c r="Z43" s="78" t="s">
        <v>100</v>
      </c>
    </row>
    <row r="44" customFormat="false" ht="25.5" hidden="false" customHeight="true" outlineLevel="0" collapsed="false">
      <c r="A44" s="69" t="s">
        <v>156</v>
      </c>
      <c r="B44" s="70" t="s">
        <v>157</v>
      </c>
      <c r="C44" s="71" t="s">
        <v>34</v>
      </c>
      <c r="D44" s="71" t="s">
        <v>110</v>
      </c>
      <c r="E44" s="69" t="s">
        <v>501</v>
      </c>
      <c r="F44" s="87" t="n">
        <v>0.974</v>
      </c>
      <c r="G44" s="88" t="n">
        <v>0.98</v>
      </c>
      <c r="H44" s="89" t="n">
        <v>0.998762376237624</v>
      </c>
      <c r="I44" s="89" t="n">
        <v>0.995515695067265</v>
      </c>
      <c r="J44" s="89" t="n">
        <v>0.997931034482759</v>
      </c>
      <c r="K44" s="174" t="n">
        <f aca="false">IF(COUNT(H44:J44)=0,"",AVERAGE(H44:J44))</f>
        <v>0.997403035262549</v>
      </c>
      <c r="L44" s="90" t="n">
        <v>0.997157475838545</v>
      </c>
      <c r="M44" s="90" t="n">
        <v>0.995987963891675</v>
      </c>
      <c r="N44" s="90" t="n">
        <v>0.99566265060241</v>
      </c>
      <c r="O44" s="174" t="n">
        <f aca="false">IF(COUNT(L44:N44)=0,"",AVERAGE(L44:N44))</f>
        <v>0.99626936344421</v>
      </c>
      <c r="P44" s="90" t="n">
        <v>0.99645390070922</v>
      </c>
      <c r="Q44" s="90"/>
      <c r="R44" s="90"/>
      <c r="S44" s="174" t="n">
        <f aca="false">IF(COUNT(P44:R44)=0,"",AVERAGE(P44:R44))</f>
        <v>0.99645390070922</v>
      </c>
      <c r="T44" s="90"/>
      <c r="U44" s="90"/>
      <c r="V44" s="90"/>
      <c r="W44" s="174" t="str">
        <f aca="false">IF(COUNT(T44:V44)=0,"",AVERAGE(T44:V44))</f>
        <v/>
      </c>
      <c r="X44" s="92" t="n">
        <v>0.997280255550547</v>
      </c>
      <c r="Y44" s="114" t="s">
        <v>104</v>
      </c>
      <c r="Z44" s="78" t="s">
        <v>100</v>
      </c>
    </row>
    <row r="45" customFormat="false" ht="25.5" hidden="false" customHeight="true" outlineLevel="0" collapsed="false">
      <c r="A45" s="69" t="s">
        <v>160</v>
      </c>
      <c r="B45" s="70" t="s">
        <v>161</v>
      </c>
      <c r="C45" s="71" t="s">
        <v>34</v>
      </c>
      <c r="D45" s="71" t="s">
        <v>110</v>
      </c>
      <c r="E45" s="69" t="s">
        <v>501</v>
      </c>
      <c r="F45" s="87" t="n">
        <v>1</v>
      </c>
      <c r="G45" s="88" t="n">
        <v>1</v>
      </c>
      <c r="H45" s="89" t="n">
        <v>1</v>
      </c>
      <c r="I45" s="89" t="n">
        <v>1</v>
      </c>
      <c r="J45" s="89" t="n">
        <v>1</v>
      </c>
      <c r="K45" s="174" t="n">
        <f aca="false">IF(COUNT(H45:J45)=0,"",AVERAGE(H45:J45))</f>
        <v>1</v>
      </c>
      <c r="L45" s="90" t="n">
        <v>1</v>
      </c>
      <c r="M45" s="90" t="n">
        <v>1</v>
      </c>
      <c r="N45" s="90" t="n">
        <v>1</v>
      </c>
      <c r="O45" s="174" t="n">
        <f aca="false">IF(COUNT(L45:N45)=0,"",AVERAGE(L45:N45))</f>
        <v>1</v>
      </c>
      <c r="P45" s="90" t="n">
        <v>1</v>
      </c>
      <c r="Q45" s="90"/>
      <c r="R45" s="90"/>
      <c r="S45" s="174" t="n">
        <f aca="false">IF(COUNT(P45:R45)=0,"",AVERAGE(P45:R45))</f>
        <v>1</v>
      </c>
      <c r="T45" s="90"/>
      <c r="U45" s="90"/>
      <c r="V45" s="90"/>
      <c r="W45" s="174" t="str">
        <f aca="false">IF(COUNT(T45:V45)=0,"",AVERAGE(T45:V45))</f>
        <v/>
      </c>
      <c r="X45" s="92" t="n">
        <v>1</v>
      </c>
      <c r="Y45" s="114" t="s">
        <v>104</v>
      </c>
      <c r="Z45" s="78" t="s">
        <v>100</v>
      </c>
    </row>
    <row r="46" customFormat="false" ht="25.5" hidden="false" customHeight="true" outlineLevel="0" collapsed="false">
      <c r="A46" s="69" t="s">
        <v>162</v>
      </c>
      <c r="B46" s="70" t="s">
        <v>163</v>
      </c>
      <c r="C46" s="71" t="s">
        <v>34</v>
      </c>
      <c r="D46" s="71" t="s">
        <v>97</v>
      </c>
      <c r="E46" s="69" t="s">
        <v>501</v>
      </c>
      <c r="F46" s="87" t="n">
        <v>0.01</v>
      </c>
      <c r="G46" s="88" t="n">
        <v>0.012</v>
      </c>
      <c r="H46" s="89" t="n">
        <v>0.000149566257852229</v>
      </c>
      <c r="I46" s="89" t="n">
        <v>0.000299132515704457</v>
      </c>
      <c r="J46" s="89" t="n">
        <v>0.000290023201856149</v>
      </c>
      <c r="K46" s="174" t="n">
        <f aca="false">IF(COUNT(H46:J46)=0,"",AVERAGE(H46:J46))</f>
        <v>0.000246240658470945</v>
      </c>
      <c r="L46" s="90" t="n">
        <v>0.00287750068511921</v>
      </c>
      <c r="M46" s="90" t="n">
        <v>0.00658091534549806</v>
      </c>
      <c r="N46" s="90" t="n">
        <v>0.000221287895552113</v>
      </c>
      <c r="O46" s="174" t="n">
        <f aca="false">IF(COUNT(L46:N46)=0,"",AVERAGE(L46:N46))</f>
        <v>0.00322656797538979</v>
      </c>
      <c r="P46" s="90" t="n">
        <v>0.0122959080830478</v>
      </c>
      <c r="Q46" s="90"/>
      <c r="R46" s="90"/>
      <c r="S46" s="174" t="n">
        <f aca="false">IF(COUNT(P46:R46)=0,"",AVERAGE(P46:R46))</f>
        <v>0.0122959080830478</v>
      </c>
      <c r="T46" s="90"/>
      <c r="U46" s="90"/>
      <c r="V46" s="90"/>
      <c r="W46" s="174" t="str">
        <f aca="false">IF(COUNT(T46:V46)=0,"",AVERAGE(T46:V46))</f>
        <v/>
      </c>
      <c r="X46" s="92" t="n">
        <v>0.00156187067179508</v>
      </c>
      <c r="Y46" s="114" t="s">
        <v>104</v>
      </c>
      <c r="Z46" s="78" t="s">
        <v>100</v>
      </c>
    </row>
    <row r="47" customFormat="false" ht="25.5" hidden="false" customHeight="true" outlineLevel="0" collapsed="false">
      <c r="A47" s="69" t="s">
        <v>164</v>
      </c>
      <c r="B47" s="70" t="s">
        <v>165</v>
      </c>
      <c r="C47" s="71" t="s">
        <v>166</v>
      </c>
      <c r="D47" s="71" t="s">
        <v>110</v>
      </c>
      <c r="E47" s="69" t="s">
        <v>501</v>
      </c>
      <c r="F47" s="87" t="n">
        <v>0.788</v>
      </c>
      <c r="G47" s="88" t="n">
        <v>0.9</v>
      </c>
      <c r="H47" s="89" t="n">
        <v>0.8159</v>
      </c>
      <c r="I47" s="90" t="n">
        <v>0.888268156424581</v>
      </c>
      <c r="J47" s="90" t="n">
        <v>0.8654</v>
      </c>
      <c r="K47" s="174" t="n">
        <f aca="false">IF(COUNT(H47:J47)=0,"",AVERAGE(H47:J47))</f>
        <v>0.856522718808194</v>
      </c>
      <c r="L47" s="90" t="n">
        <v>0.6596</v>
      </c>
      <c r="M47" s="90" t="n">
        <v>0.8239</v>
      </c>
      <c r="N47" s="90" t="n">
        <v>0.9063</v>
      </c>
      <c r="O47" s="174" t="n">
        <f aca="false">IF(COUNT(L47:N47)=0,"",AVERAGE(L47:N47))</f>
        <v>0.7966</v>
      </c>
      <c r="P47" s="90" t="n">
        <v>0.97</v>
      </c>
      <c r="Q47" s="90"/>
      <c r="R47" s="90"/>
      <c r="S47" s="174" t="n">
        <f aca="false">IF(COUNT(P47:R47)=0,"",AVERAGE(P47:R47))</f>
        <v>0.97</v>
      </c>
      <c r="T47" s="90"/>
      <c r="U47" s="90"/>
      <c r="V47" s="90"/>
      <c r="W47" s="174" t="str">
        <f aca="false">IF(COUNT(T47:V47)=0,"",AVERAGE(T47:V47))</f>
        <v/>
      </c>
      <c r="X47" s="92" t="n">
        <v>0.8159</v>
      </c>
      <c r="Y47" s="114" t="s">
        <v>113</v>
      </c>
      <c r="Z47" s="78" t="s">
        <v>105</v>
      </c>
    </row>
    <row r="48" customFormat="false" ht="25.5" hidden="false" customHeight="true" outlineLevel="0" collapsed="false">
      <c r="A48" s="69" t="s">
        <v>167</v>
      </c>
      <c r="B48" s="70" t="s">
        <v>168</v>
      </c>
      <c r="C48" s="71" t="s">
        <v>166</v>
      </c>
      <c r="D48" s="71" t="s">
        <v>110</v>
      </c>
      <c r="E48" s="69" t="s">
        <v>501</v>
      </c>
      <c r="F48" s="87" t="n">
        <v>0.988</v>
      </c>
      <c r="G48" s="88" t="n">
        <v>0.99</v>
      </c>
      <c r="H48" s="89" t="n">
        <v>1</v>
      </c>
      <c r="I48" s="89" t="n">
        <v>1</v>
      </c>
      <c r="J48" s="89" t="n">
        <v>1</v>
      </c>
      <c r="K48" s="174" t="n">
        <f aca="false">IF(COUNT(H48:J48)=0,"",AVERAGE(H48:J48))</f>
        <v>1</v>
      </c>
      <c r="L48" s="174" t="n">
        <f aca="false">IF(COUNT(I48:K48)=0,"",AVERAGE(I48:K48))</f>
        <v>1</v>
      </c>
      <c r="M48" s="174" t="n">
        <f aca="false">IF(COUNT(J48:L48)=0,"",AVERAGE(J48:L48))</f>
        <v>1</v>
      </c>
      <c r="N48" s="90"/>
      <c r="O48" s="174" t="n">
        <f aca="false">IF(COUNT(L48:N48)=0,"",AVERAGE(L48:N48))</f>
        <v>1</v>
      </c>
      <c r="P48" s="90"/>
      <c r="Q48" s="90"/>
      <c r="R48" s="90"/>
      <c r="S48" s="174" t="str">
        <f aca="false">IF(COUNT(P48:R48)=0,"",AVERAGE(P48:R48))</f>
        <v/>
      </c>
      <c r="T48" s="90"/>
      <c r="U48" s="90"/>
      <c r="V48" s="90"/>
      <c r="W48" s="174" t="str">
        <f aca="false">IF(COUNT(T48:V48)=0,"",AVERAGE(T48:V48))</f>
        <v/>
      </c>
      <c r="X48" s="92" t="n">
        <v>1</v>
      </c>
      <c r="Y48" s="114" t="s">
        <v>104</v>
      </c>
      <c r="Z48" s="78" t="s">
        <v>100</v>
      </c>
    </row>
    <row r="49" customFormat="false" ht="25.5" hidden="false" customHeight="true" outlineLevel="0" collapsed="false">
      <c r="A49" s="69" t="s">
        <v>169</v>
      </c>
      <c r="B49" s="70" t="s">
        <v>170</v>
      </c>
      <c r="C49" s="71" t="s">
        <v>166</v>
      </c>
      <c r="D49" s="71" t="s">
        <v>110</v>
      </c>
      <c r="E49" s="69" t="s">
        <v>501</v>
      </c>
      <c r="F49" s="87" t="n">
        <v>0.92</v>
      </c>
      <c r="G49" s="88" t="n">
        <v>0.93</v>
      </c>
      <c r="H49" s="89" t="n">
        <v>0.887392391002499</v>
      </c>
      <c r="I49" s="89" t="n">
        <v>0.949521322889469</v>
      </c>
      <c r="J49" s="89" t="n">
        <v>0.923143851508121</v>
      </c>
      <c r="K49" s="174" t="n">
        <f aca="false">IF(COUNT(H49:J49)=0,"",AVERAGE(H49:J49))</f>
        <v>0.920019188466696</v>
      </c>
      <c r="L49" s="90" t="n">
        <v>0.957248561249657</v>
      </c>
      <c r="M49" s="90" t="n">
        <v>0.9647</v>
      </c>
      <c r="N49" s="90" t="n">
        <v>0.98875539125077</v>
      </c>
      <c r="O49" s="174" t="n">
        <f aca="false">IF(COUNT(L49:N49)=0,"",AVERAGE(L49:N49))</f>
        <v>0.970234650833476</v>
      </c>
      <c r="P49" s="90" t="n">
        <v>0.9716</v>
      </c>
      <c r="Q49" s="90"/>
      <c r="R49" s="90"/>
      <c r="S49" s="174" t="n">
        <f aca="false">IF(COUNT(P49:R49)=0,"",AVERAGE(P49:R49))</f>
        <v>0.9716</v>
      </c>
      <c r="T49" s="90"/>
      <c r="U49" s="90"/>
      <c r="V49" s="90"/>
      <c r="W49" s="174" t="str">
        <f aca="false">IF(COUNT(T49:V49)=0,"",AVERAGE(T49:V49))</f>
        <v/>
      </c>
      <c r="X49" s="92" t="n">
        <v>0.938394669344341</v>
      </c>
      <c r="Y49" s="114" t="s">
        <v>113</v>
      </c>
      <c r="Z49" s="78" t="s">
        <v>100</v>
      </c>
    </row>
    <row r="50" customFormat="false" ht="25.5" hidden="false" customHeight="true" outlineLevel="0" collapsed="false">
      <c r="A50" s="69" t="s">
        <v>171</v>
      </c>
      <c r="B50" s="70" t="s">
        <v>172</v>
      </c>
      <c r="C50" s="71" t="s">
        <v>166</v>
      </c>
      <c r="D50" s="71" t="s">
        <v>97</v>
      </c>
      <c r="E50" s="69" t="s">
        <v>501</v>
      </c>
      <c r="F50" s="72" t="n">
        <v>0.55</v>
      </c>
      <c r="G50" s="73" t="s">
        <v>32</v>
      </c>
      <c r="H50" s="106" t="n">
        <v>0</v>
      </c>
      <c r="I50" s="106" t="n">
        <v>0</v>
      </c>
      <c r="J50" s="106" t="n">
        <v>0</v>
      </c>
      <c r="K50" s="182" t="n">
        <f aca="false">IF(COUNT(H50:J50)=0,"",SUM(H50:J50))</f>
        <v>0</v>
      </c>
      <c r="L50" s="74" t="n">
        <v>0</v>
      </c>
      <c r="M50" s="74" t="n">
        <v>0</v>
      </c>
      <c r="N50" s="74" t="n">
        <v>0</v>
      </c>
      <c r="O50" s="182" t="n">
        <f aca="false">IF(COUNT(L50:N50)=0,"",SUM(L50:N50))</f>
        <v>0</v>
      </c>
      <c r="P50" s="74" t="n">
        <v>0</v>
      </c>
      <c r="Q50" s="74"/>
      <c r="R50" s="74"/>
      <c r="S50" s="182" t="n">
        <v>0</v>
      </c>
      <c r="T50" s="74"/>
      <c r="U50" s="74"/>
      <c r="V50" s="74"/>
      <c r="W50" s="182" t="n">
        <v>0</v>
      </c>
      <c r="X50" s="76" t="n">
        <v>0</v>
      </c>
      <c r="Y50" s="114" t="s">
        <v>120</v>
      </c>
      <c r="Z50" s="78" t="s">
        <v>100</v>
      </c>
    </row>
    <row r="51" customFormat="false" ht="25.5" hidden="false" customHeight="true" outlineLevel="0" collapsed="false">
      <c r="A51" s="69" t="s">
        <v>174</v>
      </c>
      <c r="B51" s="70" t="s">
        <v>175</v>
      </c>
      <c r="C51" s="71" t="s">
        <v>166</v>
      </c>
      <c r="D51" s="71" t="s">
        <v>110</v>
      </c>
      <c r="E51" s="69" t="s">
        <v>501</v>
      </c>
      <c r="F51" s="87" t="n">
        <v>0.828</v>
      </c>
      <c r="G51" s="88" t="n">
        <v>0.8538</v>
      </c>
      <c r="H51" s="89" t="n">
        <v>0.93</v>
      </c>
      <c r="I51" s="89" t="n">
        <v>0.952</v>
      </c>
      <c r="J51" s="89" t="n">
        <v>0.820512820512821</v>
      </c>
      <c r="K51" s="174" t="n">
        <f aca="false">IF(COUNT(H51:J51)=0,"",AVERAGE(H51:J51))</f>
        <v>0.900837606837607</v>
      </c>
      <c r="L51" s="90" t="n">
        <v>0.954166666666667</v>
      </c>
      <c r="M51" s="90" t="n">
        <v>0.85</v>
      </c>
      <c r="N51" s="90" t="n">
        <v>0.855</v>
      </c>
      <c r="O51" s="174" t="n">
        <f aca="false">IF(COUNT(L51:N51)=0,"",AVERAGE(L51:N51))</f>
        <v>0.886388888888889</v>
      </c>
      <c r="P51" s="90" t="n">
        <v>0.9771</v>
      </c>
      <c r="Q51" s="90"/>
      <c r="R51" s="90"/>
      <c r="S51" s="174" t="n">
        <f aca="false">IF(COUNT(P51:R51)=0,"",AVERAGE(P51:R51))</f>
        <v>0.9771</v>
      </c>
      <c r="T51" s="90"/>
      <c r="U51" s="90"/>
      <c r="V51" s="90"/>
      <c r="W51" s="174" t="str">
        <f aca="false">IF(COUNT(T51:V51)=0,"",AVERAGE(T51:V51))</f>
        <v/>
      </c>
      <c r="X51" s="92" t="n">
        <v>0.927502136752137</v>
      </c>
      <c r="Y51" s="114" t="s">
        <v>104</v>
      </c>
      <c r="Z51" s="78" t="s">
        <v>100</v>
      </c>
    </row>
    <row r="52" customFormat="false" ht="25.5" hidden="false" customHeight="true" outlineLevel="0" collapsed="false">
      <c r="A52" s="69" t="s">
        <v>176</v>
      </c>
      <c r="B52" s="70" t="s">
        <v>177</v>
      </c>
      <c r="C52" s="71" t="s">
        <v>166</v>
      </c>
      <c r="D52" s="71" t="s">
        <v>97</v>
      </c>
      <c r="E52" s="69" t="s">
        <v>501</v>
      </c>
      <c r="F52" s="87" t="n">
        <v>0.017</v>
      </c>
      <c r="G52" s="88" t="n">
        <v>0.0145</v>
      </c>
      <c r="H52" s="89" t="n">
        <v>0</v>
      </c>
      <c r="I52" s="89" t="n">
        <v>0.005</v>
      </c>
      <c r="J52" s="89" t="n">
        <v>0.014</v>
      </c>
      <c r="K52" s="174" t="n">
        <f aca="false">IF(COUNT(H52:J52)=0,"",AVERAGE(H52:J52))</f>
        <v>0.00633333333333333</v>
      </c>
      <c r="L52" s="90" t="n">
        <v>0</v>
      </c>
      <c r="M52" s="90" t="n">
        <v>0</v>
      </c>
      <c r="N52" s="90" t="n">
        <v>0.00203665987780041</v>
      </c>
      <c r="O52" s="174" t="n">
        <f aca="false">IF(COUNT(L52:N52)=0,"",AVERAGE(L52:N52))</f>
        <v>0.00067888662593347</v>
      </c>
      <c r="P52" s="90" t="n">
        <v>0.0097</v>
      </c>
      <c r="Q52" s="90"/>
      <c r="R52" s="90"/>
      <c r="S52" s="174" t="n">
        <f aca="false">IF(COUNT(P52:R52)=0,"",AVERAGE(P52:R52))</f>
        <v>0.0097</v>
      </c>
      <c r="T52" s="90"/>
      <c r="U52" s="90"/>
      <c r="V52" s="90"/>
      <c r="W52" s="174" t="str">
        <f aca="false">IF(COUNT(T52:V52)=0,"",AVERAGE(T52:V52))</f>
        <v/>
      </c>
      <c r="X52" s="92" t="n">
        <v>0.00316666666666667</v>
      </c>
      <c r="Y52" s="114" t="s">
        <v>104</v>
      </c>
      <c r="Z52" s="78" t="s">
        <v>100</v>
      </c>
    </row>
    <row r="53" customFormat="false" ht="25.5" hidden="false" customHeight="true" outlineLevel="0" collapsed="false">
      <c r="A53" s="69" t="s">
        <v>178</v>
      </c>
      <c r="B53" s="70" t="s">
        <v>179</v>
      </c>
      <c r="C53" s="71" t="s">
        <v>166</v>
      </c>
      <c r="D53" s="71" t="s">
        <v>97</v>
      </c>
      <c r="E53" s="69" t="s">
        <v>501</v>
      </c>
      <c r="F53" s="87" t="n">
        <v>0.019</v>
      </c>
      <c r="G53" s="88" t="n">
        <v>0.0162</v>
      </c>
      <c r="H53" s="89" t="n">
        <v>0.02</v>
      </c>
      <c r="I53" s="89" t="n">
        <v>0.0211778357992457</v>
      </c>
      <c r="J53" s="89" t="n">
        <v>0.0268271461716937</v>
      </c>
      <c r="K53" s="174" t="n">
        <f aca="false">IF(COUNT(H53:J53)=0,"",AVERAGE(H53:J53))</f>
        <v>0.0226683273236465</v>
      </c>
      <c r="L53" s="90" t="n">
        <v>0.0168539325842697</v>
      </c>
      <c r="M53" s="90" t="n">
        <v>0.0305</v>
      </c>
      <c r="N53" s="90" t="n">
        <v>0.0223351817621688</v>
      </c>
      <c r="O53" s="174" t="n">
        <f aca="false">IF(COUNT(L53:N53)=0,"",AVERAGE(L53:N53))</f>
        <v>0.0232297047821462</v>
      </c>
      <c r="P53" s="90" t="n">
        <v>0.0274</v>
      </c>
      <c r="Q53" s="90"/>
      <c r="R53" s="90"/>
      <c r="S53" s="174" t="n">
        <f aca="false">IF(COUNT(P53:R53)=0,"",AVERAGE(P53:R53))</f>
        <v>0.0274</v>
      </c>
      <c r="T53" s="90"/>
      <c r="U53" s="90"/>
      <c r="V53" s="90"/>
      <c r="W53" s="174" t="str">
        <f aca="false">IF(COUNT(T53:V53)=0,"",AVERAGE(T53:V53))</f>
        <v/>
      </c>
      <c r="X53" s="92" t="n">
        <v>0.0197611299539581</v>
      </c>
      <c r="Y53" s="114" t="s">
        <v>113</v>
      </c>
      <c r="Z53" s="78" t="s">
        <v>100</v>
      </c>
    </row>
    <row r="54" customFormat="false" ht="25.5" hidden="false" customHeight="true" outlineLevel="0" collapsed="false">
      <c r="A54" s="69" t="s">
        <v>180</v>
      </c>
      <c r="B54" s="70" t="s">
        <v>181</v>
      </c>
      <c r="C54" s="71" t="s">
        <v>166</v>
      </c>
      <c r="D54" s="71" t="s">
        <v>97</v>
      </c>
      <c r="E54" s="69" t="s">
        <v>501</v>
      </c>
      <c r="F54" s="102" t="n">
        <v>0.01</v>
      </c>
      <c r="G54" s="82" t="n">
        <v>0.0085</v>
      </c>
      <c r="H54" s="81" t="n">
        <v>0</v>
      </c>
      <c r="I54" s="81" t="n">
        <v>0</v>
      </c>
      <c r="J54" s="81" t="n">
        <v>0</v>
      </c>
      <c r="K54" s="176" t="n">
        <f aca="false">IF(COUNT(H54:J54)=0,"",AVERAGE(H54:J54))</f>
        <v>0</v>
      </c>
      <c r="L54" s="103" t="n">
        <v>0</v>
      </c>
      <c r="M54" s="103" t="n">
        <v>0</v>
      </c>
      <c r="N54" s="103" t="n">
        <v>0</v>
      </c>
      <c r="O54" s="176" t="n">
        <f aca="false">IF(COUNT(L54:N54)=0,"",AVERAGE(L54:N54))</f>
        <v>0</v>
      </c>
      <c r="P54" s="103"/>
      <c r="Q54" s="103"/>
      <c r="R54" s="103"/>
      <c r="S54" s="176" t="str">
        <f aca="false">IF(COUNT(P54:R54)=0,"",AVERAGE(P54:R54))</f>
        <v/>
      </c>
      <c r="T54" s="103"/>
      <c r="U54" s="103"/>
      <c r="V54" s="103"/>
      <c r="W54" s="176" t="str">
        <f aca="false">IF(COUNT(T54:V54)=0,"",AVERAGE(T54:V54))</f>
        <v/>
      </c>
      <c r="X54" s="104" t="n">
        <v>0</v>
      </c>
      <c r="Y54" s="114" t="s">
        <v>104</v>
      </c>
      <c r="Z54" s="78" t="s">
        <v>100</v>
      </c>
    </row>
    <row r="55" customFormat="false" ht="25.5" hidden="false" customHeight="true" outlineLevel="0" collapsed="false">
      <c r="A55" s="69" t="s">
        <v>182</v>
      </c>
      <c r="B55" s="70" t="s">
        <v>183</v>
      </c>
      <c r="C55" s="71" t="s">
        <v>166</v>
      </c>
      <c r="D55" s="71" t="s">
        <v>97</v>
      </c>
      <c r="E55" s="69" t="s">
        <v>501</v>
      </c>
      <c r="F55" s="87" t="n">
        <v>0.072</v>
      </c>
      <c r="G55" s="88" t="n">
        <v>0.0612</v>
      </c>
      <c r="H55" s="89" t="n">
        <v>0</v>
      </c>
      <c r="I55" s="89" t="n">
        <v>0</v>
      </c>
      <c r="J55" s="89" t="n">
        <v>0</v>
      </c>
      <c r="K55" s="174" t="n">
        <f aca="false">IF(COUNT(H55:J55)=0,"",AVERAGE(H55:J55))</f>
        <v>0</v>
      </c>
      <c r="L55" s="90" t="n">
        <v>0</v>
      </c>
      <c r="M55" s="90" t="n">
        <v>0.0952380952380952</v>
      </c>
      <c r="N55" s="90"/>
      <c r="O55" s="174" t="n">
        <f aca="false">IF(COUNT(L55:N55)=0,"",AVERAGE(L55:N55))</f>
        <v>0.0476190476190476</v>
      </c>
      <c r="P55" s="90" t="n">
        <v>0.0190476190476191</v>
      </c>
      <c r="Q55" s="90"/>
      <c r="R55" s="90"/>
      <c r="S55" s="174" t="n">
        <f aca="false">IF(COUNT(P55:R55)=0,"",AVERAGE(P55:R55))</f>
        <v>0.0190476190476191</v>
      </c>
      <c r="T55" s="90"/>
      <c r="U55" s="90"/>
      <c r="V55" s="90"/>
      <c r="W55" s="174" t="str">
        <f aca="false">IF(COUNT(T55:V55)=0,"",AVERAGE(T55:V55))</f>
        <v/>
      </c>
      <c r="X55" s="92" t="n">
        <v>0</v>
      </c>
      <c r="Y55" s="114" t="s">
        <v>104</v>
      </c>
      <c r="Z55" s="78" t="s">
        <v>100</v>
      </c>
    </row>
    <row r="56" customFormat="false" ht="25.5" hidden="false" customHeight="true" outlineLevel="0" collapsed="false">
      <c r="A56" s="69" t="s">
        <v>184</v>
      </c>
      <c r="B56" s="70" t="s">
        <v>185</v>
      </c>
      <c r="C56" s="71" t="s">
        <v>166</v>
      </c>
      <c r="D56" s="71" t="s">
        <v>110</v>
      </c>
      <c r="E56" s="69" t="s">
        <v>501</v>
      </c>
      <c r="F56" s="87" t="n">
        <v>1</v>
      </c>
      <c r="G56" s="88" t="n">
        <v>1</v>
      </c>
      <c r="H56" s="89" t="n">
        <v>1</v>
      </c>
      <c r="I56" s="89" t="n">
        <v>1</v>
      </c>
      <c r="J56" s="89" t="n">
        <v>1</v>
      </c>
      <c r="K56" s="174" t="n">
        <f aca="false">IF(COUNT(H56:J56)=0,"",AVERAGE(H56:J56))</f>
        <v>1</v>
      </c>
      <c r="L56" s="90" t="n">
        <v>1</v>
      </c>
      <c r="M56" s="90" t="n">
        <v>1</v>
      </c>
      <c r="N56" s="90" t="n">
        <v>1</v>
      </c>
      <c r="O56" s="174" t="n">
        <f aca="false">IF(COUNT(L56:N56)=0,"",AVERAGE(L56:N56))</f>
        <v>1</v>
      </c>
      <c r="P56" s="90" t="n">
        <v>1</v>
      </c>
      <c r="Q56" s="90"/>
      <c r="R56" s="90"/>
      <c r="S56" s="174" t="n">
        <f aca="false">IF(COUNT(P56:R56)=0,"",AVERAGE(P56:R56))</f>
        <v>1</v>
      </c>
      <c r="T56" s="90"/>
      <c r="U56" s="90"/>
      <c r="V56" s="90"/>
      <c r="W56" s="174" t="str">
        <f aca="false">IF(COUNT(T56:V56)=0,"",AVERAGE(T56:V56))</f>
        <v/>
      </c>
      <c r="X56" s="92" t="n">
        <v>1</v>
      </c>
      <c r="Y56" s="114" t="s">
        <v>104</v>
      </c>
      <c r="Z56" s="78" t="s">
        <v>100</v>
      </c>
    </row>
    <row r="57" customFormat="false" ht="25.5" hidden="false" customHeight="true" outlineLevel="0" collapsed="false">
      <c r="A57" s="69" t="s">
        <v>186</v>
      </c>
      <c r="B57" s="70" t="s">
        <v>187</v>
      </c>
      <c r="C57" s="71" t="s">
        <v>166</v>
      </c>
      <c r="D57" s="71" t="s">
        <v>97</v>
      </c>
      <c r="E57" s="69" t="s">
        <v>501</v>
      </c>
      <c r="F57" s="102" t="n">
        <v>0.027</v>
      </c>
      <c r="G57" s="82" t="n">
        <v>0.0135</v>
      </c>
      <c r="H57" s="81" t="n">
        <v>0.0153203342618384</v>
      </c>
      <c r="I57" s="81" t="n">
        <v>0.0124777183600713</v>
      </c>
      <c r="J57" s="81" t="n">
        <v>0.00829187396351576</v>
      </c>
      <c r="K57" s="176" t="n">
        <f aca="false">IF(COUNT(H57:J57)=0,"",AVERAGE(H57:J57))</f>
        <v>0.0120299755284752</v>
      </c>
      <c r="L57" s="103" t="n">
        <v>0.010989010989011</v>
      </c>
      <c r="M57" s="103" t="n">
        <v>0.0137693631669535</v>
      </c>
      <c r="N57" s="103" t="n">
        <v>0.0141843971631206</v>
      </c>
      <c r="O57" s="176" t="n">
        <f aca="false">IF(COUNT(L57:N57)=0,"",AVERAGE(L57:N57))</f>
        <v>0.0129809237730284</v>
      </c>
      <c r="P57" s="103" t="n">
        <v>0.017741935483871</v>
      </c>
      <c r="Q57" s="103"/>
      <c r="R57" s="103"/>
      <c r="S57" s="176" t="n">
        <f aca="false">IF(COUNT(P57:R57)=0,"",AVERAGE(P57:R57))</f>
        <v>0.017741935483871</v>
      </c>
      <c r="T57" s="103"/>
      <c r="U57" s="103"/>
      <c r="V57" s="103"/>
      <c r="W57" s="176" t="str">
        <f aca="false">IF(COUNT(T57:V57)=0,"",AVERAGE(T57:V57))</f>
        <v/>
      </c>
      <c r="X57" s="104" t="n">
        <v>0.0115094932587431</v>
      </c>
      <c r="Y57" s="114" t="s">
        <v>104</v>
      </c>
      <c r="Z57" s="78" t="s">
        <v>100</v>
      </c>
    </row>
    <row r="58" customFormat="false" ht="25.5" hidden="false" customHeight="true" outlineLevel="0" collapsed="false">
      <c r="A58" s="69" t="s">
        <v>191</v>
      </c>
      <c r="B58" s="70" t="s">
        <v>192</v>
      </c>
      <c r="C58" s="71" t="s">
        <v>166</v>
      </c>
      <c r="D58" s="71" t="s">
        <v>110</v>
      </c>
      <c r="E58" s="69" t="s">
        <v>501</v>
      </c>
      <c r="F58" s="87" t="n">
        <v>0.8863</v>
      </c>
      <c r="G58" s="88" t="n">
        <v>0.8938</v>
      </c>
      <c r="H58" s="89" t="n">
        <v>0.8023</v>
      </c>
      <c r="I58" s="89" t="n">
        <v>0.9789</v>
      </c>
      <c r="J58" s="89" t="n">
        <v>0.8696</v>
      </c>
      <c r="K58" s="174" t="n">
        <f aca="false">IF(COUNT(H58:J58)=0,"",AVERAGE(H58:J58))</f>
        <v>0.8836</v>
      </c>
      <c r="L58" s="90" t="n">
        <v>0.9222</v>
      </c>
      <c r="M58" s="90" t="n">
        <v>0.9235</v>
      </c>
      <c r="N58" s="90" t="n">
        <v>0.8896</v>
      </c>
      <c r="O58" s="174" t="n">
        <f aca="false">IF(COUNT(L58:N58)=0,"",AVERAGE(L58:N58))</f>
        <v>0.911766666666667</v>
      </c>
      <c r="P58" s="90" t="n">
        <v>0.9117</v>
      </c>
      <c r="Q58" s="90"/>
      <c r="R58" s="90"/>
      <c r="S58" s="174" t="n">
        <f aca="false">IF(COUNT(P58:R58)=0,"",AVERAGE(P58:R58))</f>
        <v>0.9117</v>
      </c>
      <c r="T58" s="90"/>
      <c r="U58" s="90"/>
      <c r="V58" s="90"/>
      <c r="W58" s="174" t="str">
        <f aca="false">IF(COUNT(T58:V58)=0,"",AVERAGE(T58:V58))</f>
        <v/>
      </c>
      <c r="X58" s="92" t="n">
        <v>0.9222</v>
      </c>
      <c r="Y58" s="114" t="s">
        <v>104</v>
      </c>
      <c r="Z58" s="78" t="s">
        <v>100</v>
      </c>
    </row>
    <row r="59" customFormat="false" ht="25.5" hidden="false" customHeight="true" outlineLevel="0" collapsed="false">
      <c r="A59" s="69" t="s">
        <v>193</v>
      </c>
      <c r="B59" s="70" t="s">
        <v>194</v>
      </c>
      <c r="C59" s="71" t="s">
        <v>166</v>
      </c>
      <c r="D59" s="71" t="s">
        <v>110</v>
      </c>
      <c r="E59" s="69" t="s">
        <v>501</v>
      </c>
      <c r="F59" s="87" t="n">
        <v>0.9024</v>
      </c>
      <c r="G59" s="88" t="n">
        <v>0.8658</v>
      </c>
      <c r="H59" s="89" t="n">
        <v>0.9429</v>
      </c>
      <c r="I59" s="90"/>
      <c r="J59" s="90"/>
      <c r="K59" s="174" t="n">
        <f aca="false">IF(COUNT(H59:J59)=0,"",AVERAGE(H59:J59))</f>
        <v>0.9429</v>
      </c>
      <c r="L59" s="90"/>
      <c r="M59" s="90" t="n">
        <v>0.8162</v>
      </c>
      <c r="N59" s="90" t="s">
        <v>195</v>
      </c>
      <c r="O59" s="174" t="n">
        <f aca="false">IF(COUNT(L59:N59)=0,"",AVERAGE(L59:N59))</f>
        <v>0.8162</v>
      </c>
      <c r="P59" s="90"/>
      <c r="Q59" s="90"/>
      <c r="R59" s="90"/>
      <c r="S59" s="174" t="str">
        <f aca="false">IF(COUNT(P59:R59)=0,"",AVERAGE(P59:R59))</f>
        <v/>
      </c>
      <c r="T59" s="90"/>
      <c r="U59" s="90"/>
      <c r="V59" s="90"/>
      <c r="W59" s="174" t="str">
        <f aca="false">IF(COUNT(T59:V59)=0,"",AVERAGE(T59:V59))</f>
        <v/>
      </c>
      <c r="X59" s="92" t="n">
        <v>0.9429</v>
      </c>
      <c r="Y59" s="114" t="s">
        <v>104</v>
      </c>
      <c r="Z59" s="78" t="s">
        <v>100</v>
      </c>
    </row>
    <row r="60" customFormat="false" ht="25.5" hidden="false" customHeight="true" outlineLevel="0" collapsed="false">
      <c r="A60" s="69" t="s">
        <v>196</v>
      </c>
      <c r="B60" s="70" t="s">
        <v>197</v>
      </c>
      <c r="C60" s="71" t="s">
        <v>166</v>
      </c>
      <c r="D60" s="71" t="s">
        <v>110</v>
      </c>
      <c r="E60" s="69" t="s">
        <v>501</v>
      </c>
      <c r="F60" s="87" t="n">
        <v>0.782</v>
      </c>
      <c r="G60" s="88" t="n">
        <v>0.807</v>
      </c>
      <c r="H60" s="89" t="n">
        <v>0.7</v>
      </c>
      <c r="I60" s="89" t="n">
        <v>0.7789</v>
      </c>
      <c r="J60" s="89" t="n">
        <v>0.8712</v>
      </c>
      <c r="K60" s="174" t="n">
        <f aca="false">IF(COUNT(H60:J60)=0,"",AVERAGE(H60:J60))</f>
        <v>0.783366666666667</v>
      </c>
      <c r="L60" s="90" t="n">
        <v>0.7253</v>
      </c>
      <c r="M60" s="90" t="n">
        <v>0.7273</v>
      </c>
      <c r="N60" s="90" t="n">
        <v>0.6854</v>
      </c>
      <c r="O60" s="174" t="n">
        <f aca="false">IF(COUNT(L60:N60)=0,"",AVERAGE(L60:N60))</f>
        <v>0.712666666666667</v>
      </c>
      <c r="P60" s="90" t="n">
        <v>0.8829</v>
      </c>
      <c r="Q60" s="90"/>
      <c r="R60" s="90"/>
      <c r="S60" s="174" t="n">
        <f aca="false">IF(COUNT(P60:R60)=0,"",AVERAGE(P60:R60))</f>
        <v>0.8829</v>
      </c>
      <c r="T60" s="90"/>
      <c r="U60" s="90"/>
      <c r="V60" s="90"/>
      <c r="W60" s="174" t="str">
        <f aca="false">IF(COUNT(T60:V60)=0,"",AVERAGE(T60:V60))</f>
        <v/>
      </c>
      <c r="X60" s="92" t="n">
        <v>0.7253</v>
      </c>
      <c r="Y60" s="114" t="s">
        <v>113</v>
      </c>
      <c r="Z60" s="78" t="s">
        <v>100</v>
      </c>
    </row>
    <row r="61" customFormat="false" ht="25.5" hidden="false" customHeight="true" outlineLevel="0" collapsed="false">
      <c r="A61" s="69" t="s">
        <v>198</v>
      </c>
      <c r="B61" s="70" t="s">
        <v>199</v>
      </c>
      <c r="C61" s="71" t="s">
        <v>166</v>
      </c>
      <c r="D61" s="71" t="s">
        <v>110</v>
      </c>
      <c r="E61" s="69" t="s">
        <v>501</v>
      </c>
      <c r="F61" s="87" t="n">
        <v>0.821</v>
      </c>
      <c r="G61" s="88" t="n">
        <v>0.848</v>
      </c>
      <c r="H61" s="89" t="n">
        <v>0.9</v>
      </c>
      <c r="I61" s="89" t="n">
        <v>0.9762</v>
      </c>
      <c r="J61" s="90" t="n">
        <v>0.9412</v>
      </c>
      <c r="K61" s="174" t="n">
        <f aca="false">IF(COUNT(H61:J61)=0,"",AVERAGE(H61:J61))</f>
        <v>0.939133333333333</v>
      </c>
      <c r="L61" s="90" t="n">
        <v>0.9597</v>
      </c>
      <c r="M61" s="90" t="n">
        <v>0.9324</v>
      </c>
      <c r="N61" s="90" t="n">
        <v>0.9252</v>
      </c>
      <c r="O61" s="174" t="n">
        <f aca="false">IF(COUNT(L61:N61)=0,"",AVERAGE(L61:N61))</f>
        <v>0.9391</v>
      </c>
      <c r="P61" s="90" t="n">
        <v>0.9537</v>
      </c>
      <c r="Q61" s="90"/>
      <c r="R61" s="90"/>
      <c r="S61" s="174" t="n">
        <f aca="false">IF(COUNT(P61:R61)=0,"",AVERAGE(P61:R61))</f>
        <v>0.9537</v>
      </c>
      <c r="T61" s="90"/>
      <c r="U61" s="90"/>
      <c r="V61" s="90"/>
      <c r="W61" s="174" t="str">
        <f aca="false">IF(COUNT(T61:V61)=0,"",AVERAGE(T61:V61))</f>
        <v/>
      </c>
      <c r="X61" s="92" t="n">
        <v>0.9597</v>
      </c>
      <c r="Y61" s="114" t="s">
        <v>104</v>
      </c>
      <c r="Z61" s="78" t="s">
        <v>190</v>
      </c>
    </row>
    <row r="62" customFormat="false" ht="25.5" hidden="false" customHeight="true" outlineLevel="0" collapsed="false">
      <c r="A62" s="69" t="s">
        <v>211</v>
      </c>
      <c r="B62" s="70" t="s">
        <v>212</v>
      </c>
      <c r="C62" s="71" t="s">
        <v>213</v>
      </c>
      <c r="D62" s="71" t="s">
        <v>110</v>
      </c>
      <c r="E62" s="69" t="s">
        <v>501</v>
      </c>
      <c r="F62" s="87" t="s">
        <v>32</v>
      </c>
      <c r="G62" s="91" t="n">
        <v>1</v>
      </c>
      <c r="H62" s="89" t="n">
        <v>0</v>
      </c>
      <c r="I62" s="89" t="n">
        <v>1</v>
      </c>
      <c r="J62" s="89" t="n">
        <v>1</v>
      </c>
      <c r="K62" s="174" t="n">
        <f aca="false">IF(COUNT(H62:J62)=0,"",LOOKUP(2,1/(H62:J62&lt;&gt;""),H62:J62))</f>
        <v>1</v>
      </c>
      <c r="L62" s="90" t="n">
        <v>1</v>
      </c>
      <c r="M62" s="90" t="n">
        <v>1</v>
      </c>
      <c r="N62" s="90" t="n">
        <v>1</v>
      </c>
      <c r="O62" s="174" t="n">
        <f aca="false">IF(COUNT(L62:N62)=0,"",LOOKUP(2,1/(L62:N62&lt;&gt;""),L62:N62))</f>
        <v>1</v>
      </c>
      <c r="P62" s="90" t="n">
        <v>1</v>
      </c>
      <c r="Q62" s="90"/>
      <c r="R62" s="90"/>
      <c r="S62" s="174" t="n">
        <f aca="false">IF(COUNT(P62:R62)=0,"",LOOKUP(2,1/(P62:R62&lt;&gt;""),P62:R62))</f>
        <v>1</v>
      </c>
      <c r="T62" s="90"/>
      <c r="U62" s="90"/>
      <c r="V62" s="90"/>
      <c r="W62" s="174" t="str">
        <f aca="false">IF(COUNT(T62:V62)=0,"",LOOKUP(2,1/(T62:V62&lt;&gt;""),T62:V62))</f>
        <v/>
      </c>
      <c r="X62" s="92" t="n">
        <v>0.805555555555556</v>
      </c>
      <c r="Y62" s="114" t="s">
        <v>120</v>
      </c>
      <c r="Z62" s="78" t="s">
        <v>214</v>
      </c>
    </row>
    <row r="63" customFormat="false" ht="25.5" hidden="false" customHeight="true" outlineLevel="0" collapsed="false">
      <c r="A63" s="69" t="s">
        <v>255</v>
      </c>
      <c r="B63" s="70" t="s">
        <v>256</v>
      </c>
      <c r="C63" s="71" t="s">
        <v>35</v>
      </c>
      <c r="D63" s="71" t="s">
        <v>110</v>
      </c>
      <c r="E63" s="183" t="s">
        <v>502</v>
      </c>
      <c r="F63" s="87" t="n">
        <v>0.33</v>
      </c>
      <c r="G63" s="88" t="n">
        <v>0.2</v>
      </c>
      <c r="H63" s="184"/>
      <c r="I63" s="184"/>
      <c r="J63" s="184"/>
      <c r="K63" s="185" t="n">
        <v>0.174</v>
      </c>
      <c r="L63" s="184"/>
      <c r="M63" s="184"/>
      <c r="N63" s="184"/>
      <c r="O63" s="186" t="n">
        <v>0.86</v>
      </c>
      <c r="P63" s="184"/>
      <c r="Q63" s="184"/>
      <c r="R63" s="184"/>
      <c r="S63" s="186"/>
      <c r="T63" s="184"/>
      <c r="U63" s="184"/>
      <c r="V63" s="184"/>
      <c r="W63" s="186"/>
      <c r="X63" s="92" t="n">
        <v>0.174</v>
      </c>
      <c r="Y63" s="114" t="s">
        <v>113</v>
      </c>
      <c r="Z63" s="78" t="s">
        <v>257</v>
      </c>
    </row>
    <row r="64" customFormat="false" ht="25.5" hidden="false" customHeight="true" outlineLevel="0" collapsed="false">
      <c r="A64" s="69" t="s">
        <v>258</v>
      </c>
      <c r="B64" s="70" t="s">
        <v>259</v>
      </c>
      <c r="C64" s="71" t="s">
        <v>35</v>
      </c>
      <c r="D64" s="71" t="s">
        <v>97</v>
      </c>
      <c r="E64" s="183" t="s">
        <v>502</v>
      </c>
      <c r="F64" s="115" t="n">
        <v>20.7</v>
      </c>
      <c r="G64" s="116" t="n">
        <v>21</v>
      </c>
      <c r="H64" s="184"/>
      <c r="I64" s="184"/>
      <c r="J64" s="184"/>
      <c r="K64" s="187" t="n">
        <v>14</v>
      </c>
      <c r="L64" s="184"/>
      <c r="M64" s="184"/>
      <c r="N64" s="184"/>
      <c r="O64" s="187" t="s">
        <v>173</v>
      </c>
      <c r="P64" s="184"/>
      <c r="Q64" s="184"/>
      <c r="R64" s="184"/>
      <c r="S64" s="187"/>
      <c r="T64" s="184"/>
      <c r="U64" s="184"/>
      <c r="V64" s="184"/>
      <c r="W64" s="187"/>
      <c r="X64" s="118" t="n">
        <v>14</v>
      </c>
      <c r="Y64" s="114" t="s">
        <v>104</v>
      </c>
      <c r="Z64" s="78" t="s">
        <v>257</v>
      </c>
    </row>
    <row r="65" customFormat="false" ht="25.5" hidden="false" customHeight="true" outlineLevel="0" collapsed="false">
      <c r="A65" s="69" t="s">
        <v>262</v>
      </c>
      <c r="B65" s="70" t="s">
        <v>263</v>
      </c>
      <c r="C65" s="71" t="s">
        <v>35</v>
      </c>
      <c r="D65" s="71" t="s">
        <v>110</v>
      </c>
      <c r="E65" s="183" t="s">
        <v>502</v>
      </c>
      <c r="F65" s="87" t="s">
        <v>32</v>
      </c>
      <c r="G65" s="91" t="s">
        <v>32</v>
      </c>
      <c r="H65" s="184"/>
      <c r="I65" s="184"/>
      <c r="J65" s="184"/>
      <c r="K65" s="185" t="n">
        <v>1</v>
      </c>
      <c r="L65" s="184"/>
      <c r="M65" s="184"/>
      <c r="N65" s="184"/>
      <c r="O65" s="186"/>
      <c r="P65" s="184"/>
      <c r="Q65" s="184"/>
      <c r="R65" s="184"/>
      <c r="S65" s="186"/>
      <c r="T65" s="184"/>
      <c r="U65" s="184"/>
      <c r="V65" s="184"/>
      <c r="W65" s="186"/>
      <c r="X65" s="92" t="n">
        <v>1</v>
      </c>
      <c r="Y65" s="114" t="s">
        <v>120</v>
      </c>
      <c r="Z65" s="78" t="s">
        <v>264</v>
      </c>
    </row>
    <row r="66" customFormat="false" ht="25.5" hidden="false" customHeight="true" outlineLevel="0" collapsed="false">
      <c r="A66" s="69" t="s">
        <v>265</v>
      </c>
      <c r="B66" s="70" t="s">
        <v>266</v>
      </c>
      <c r="C66" s="71" t="s">
        <v>35</v>
      </c>
      <c r="D66" s="71" t="s">
        <v>97</v>
      </c>
      <c r="E66" s="183" t="s">
        <v>502</v>
      </c>
      <c r="F66" s="87" t="n">
        <v>0.52</v>
      </c>
      <c r="G66" s="88" t="n">
        <v>0.84</v>
      </c>
      <c r="H66" s="184"/>
      <c r="I66" s="184"/>
      <c r="J66" s="184"/>
      <c r="K66" s="185" t="n">
        <v>0.562</v>
      </c>
      <c r="L66" s="184"/>
      <c r="M66" s="184"/>
      <c r="N66" s="184"/>
      <c r="O66" s="186"/>
      <c r="P66" s="184"/>
      <c r="Q66" s="184"/>
      <c r="R66" s="184"/>
      <c r="S66" s="186"/>
      <c r="T66" s="184"/>
      <c r="U66" s="184"/>
      <c r="V66" s="184"/>
      <c r="W66" s="186"/>
      <c r="X66" s="92" t="n">
        <v>0.562</v>
      </c>
      <c r="Y66" s="114" t="s">
        <v>104</v>
      </c>
      <c r="Z66" s="78" t="s">
        <v>257</v>
      </c>
    </row>
    <row r="67" customFormat="false" ht="25.5" hidden="false" customHeight="true" outlineLevel="0" collapsed="false">
      <c r="A67" s="69" t="s">
        <v>270</v>
      </c>
      <c r="B67" s="70" t="s">
        <v>271</v>
      </c>
      <c r="C67" s="71" t="s">
        <v>35</v>
      </c>
      <c r="D67" s="71" t="s">
        <v>97</v>
      </c>
      <c r="E67" s="183" t="s">
        <v>502</v>
      </c>
      <c r="F67" s="96" t="n">
        <v>4.7</v>
      </c>
      <c r="G67" s="119" t="n">
        <v>9.8</v>
      </c>
      <c r="H67" s="188"/>
      <c r="I67" s="188"/>
      <c r="J67" s="188"/>
      <c r="K67" s="189" t="n">
        <v>4</v>
      </c>
      <c r="L67" s="188"/>
      <c r="M67" s="188"/>
      <c r="N67" s="188"/>
      <c r="O67" s="190"/>
      <c r="P67" s="188"/>
      <c r="Q67" s="188"/>
      <c r="R67" s="188"/>
      <c r="S67" s="190"/>
      <c r="T67" s="188"/>
      <c r="U67" s="188"/>
      <c r="V67" s="188"/>
      <c r="W67" s="190"/>
      <c r="X67" s="100" t="n">
        <v>4</v>
      </c>
      <c r="Y67" s="114" t="s">
        <v>104</v>
      </c>
      <c r="Z67" s="78" t="s">
        <v>257</v>
      </c>
    </row>
    <row r="68" customFormat="false" ht="25.5" hidden="false" customHeight="true" outlineLevel="0" collapsed="false">
      <c r="A68" s="69" t="s">
        <v>272</v>
      </c>
      <c r="B68" s="70" t="s">
        <v>273</v>
      </c>
      <c r="C68" s="71" t="s">
        <v>35</v>
      </c>
      <c r="D68" s="71" t="s">
        <v>97</v>
      </c>
      <c r="E68" s="183" t="s">
        <v>502</v>
      </c>
      <c r="F68" s="87" t="n">
        <v>0.025</v>
      </c>
      <c r="G68" s="88" t="n">
        <v>0.04</v>
      </c>
      <c r="H68" s="184"/>
      <c r="I68" s="184"/>
      <c r="J68" s="184"/>
      <c r="K68" s="185" t="n">
        <v>0.091</v>
      </c>
      <c r="L68" s="184"/>
      <c r="M68" s="184"/>
      <c r="N68" s="184"/>
      <c r="O68" s="186"/>
      <c r="P68" s="184"/>
      <c r="Q68" s="184"/>
      <c r="R68" s="184"/>
      <c r="S68" s="186"/>
      <c r="T68" s="184"/>
      <c r="U68" s="184"/>
      <c r="V68" s="184"/>
      <c r="W68" s="186"/>
      <c r="X68" s="92" t="n">
        <v>0.091</v>
      </c>
      <c r="Y68" s="114" t="s">
        <v>113</v>
      </c>
      <c r="Z68" s="78" t="s">
        <v>257</v>
      </c>
    </row>
    <row r="69" customFormat="false" ht="25.5" hidden="false" customHeight="true" outlineLevel="0" collapsed="false">
      <c r="A69" s="69" t="s">
        <v>274</v>
      </c>
      <c r="B69" s="70" t="s">
        <v>275</v>
      </c>
      <c r="C69" s="71" t="s">
        <v>35</v>
      </c>
      <c r="D69" s="71" t="s">
        <v>110</v>
      </c>
      <c r="E69" s="183" t="s">
        <v>502</v>
      </c>
      <c r="F69" s="102" t="n">
        <v>0.3</v>
      </c>
      <c r="G69" s="82" t="n">
        <v>0.9</v>
      </c>
      <c r="H69" s="191"/>
      <c r="I69" s="191"/>
      <c r="J69" s="191"/>
      <c r="K69" s="192" t="n">
        <v>0.5</v>
      </c>
      <c r="L69" s="191"/>
      <c r="M69" s="191"/>
      <c r="N69" s="191"/>
      <c r="O69" s="193" t="s">
        <v>519</v>
      </c>
      <c r="P69" s="191"/>
      <c r="Q69" s="191"/>
      <c r="R69" s="191"/>
      <c r="S69" s="193"/>
      <c r="T69" s="191"/>
      <c r="U69" s="191"/>
      <c r="V69" s="191"/>
      <c r="W69" s="193"/>
      <c r="X69" s="104" t="n">
        <v>0.5</v>
      </c>
      <c r="Y69" s="114" t="s">
        <v>113</v>
      </c>
      <c r="Z69" s="78" t="s">
        <v>257</v>
      </c>
    </row>
    <row r="70" customFormat="false" ht="25.5" hidden="false" customHeight="true" outlineLevel="0" collapsed="false">
      <c r="A70" s="69" t="s">
        <v>277</v>
      </c>
      <c r="B70" s="70" t="s">
        <v>278</v>
      </c>
      <c r="C70" s="71" t="s">
        <v>35</v>
      </c>
      <c r="D70" s="71" t="s">
        <v>110</v>
      </c>
      <c r="E70" s="183" t="s">
        <v>502</v>
      </c>
      <c r="F70" s="87" t="n">
        <v>0.5879</v>
      </c>
      <c r="G70" s="91" t="s">
        <v>32</v>
      </c>
      <c r="H70" s="184"/>
      <c r="I70" s="184"/>
      <c r="J70" s="184"/>
      <c r="K70" s="185" t="n">
        <v>0.5801</v>
      </c>
      <c r="L70" s="184"/>
      <c r="M70" s="184"/>
      <c r="N70" s="184"/>
      <c r="O70" s="186" t="n">
        <v>0.9447</v>
      </c>
      <c r="P70" s="184"/>
      <c r="Q70" s="184"/>
      <c r="R70" s="184"/>
      <c r="S70" s="186"/>
      <c r="T70" s="184"/>
      <c r="U70" s="184"/>
      <c r="V70" s="184"/>
      <c r="W70" s="186"/>
      <c r="X70" s="92" t="n">
        <v>0.5801</v>
      </c>
      <c r="Y70" s="114" t="s">
        <v>120</v>
      </c>
      <c r="Z70" s="78" t="s">
        <v>190</v>
      </c>
    </row>
    <row r="71" customFormat="false" ht="25.5" hidden="false" customHeight="true" outlineLevel="0" collapsed="false">
      <c r="A71" s="69" t="s">
        <v>283</v>
      </c>
      <c r="B71" s="70" t="s">
        <v>284</v>
      </c>
      <c r="C71" s="71" t="s">
        <v>34</v>
      </c>
      <c r="D71" s="71" t="s">
        <v>110</v>
      </c>
      <c r="E71" s="183" t="s">
        <v>502</v>
      </c>
      <c r="F71" s="87" t="n">
        <v>0.767</v>
      </c>
      <c r="G71" s="88" t="n">
        <v>0.5</v>
      </c>
      <c r="H71" s="184"/>
      <c r="I71" s="184"/>
      <c r="J71" s="184"/>
      <c r="K71" s="186" t="n">
        <v>0.979222797927461</v>
      </c>
      <c r="L71" s="184"/>
      <c r="M71" s="184"/>
      <c r="N71" s="184"/>
      <c r="O71" s="186"/>
      <c r="P71" s="184"/>
      <c r="Q71" s="184"/>
      <c r="R71" s="184"/>
      <c r="S71" s="186"/>
      <c r="T71" s="184"/>
      <c r="U71" s="184"/>
      <c r="V71" s="184"/>
      <c r="W71" s="186"/>
      <c r="X71" s="92" t="n">
        <v>0.979222797927461</v>
      </c>
      <c r="Y71" s="114" t="s">
        <v>104</v>
      </c>
      <c r="Z71" s="78" t="s">
        <v>257</v>
      </c>
    </row>
    <row r="72" customFormat="false" ht="25.5" hidden="false" customHeight="true" outlineLevel="0" collapsed="false">
      <c r="A72" s="69" t="s">
        <v>285</v>
      </c>
      <c r="B72" s="70" t="s">
        <v>286</v>
      </c>
      <c r="C72" s="71" t="s">
        <v>34</v>
      </c>
      <c r="D72" s="71" t="s">
        <v>110</v>
      </c>
      <c r="E72" s="183" t="s">
        <v>502</v>
      </c>
      <c r="F72" s="87" t="n">
        <v>0.776</v>
      </c>
      <c r="G72" s="88" t="n">
        <v>0.5</v>
      </c>
      <c r="H72" s="184"/>
      <c r="I72" s="184"/>
      <c r="J72" s="184"/>
      <c r="K72" s="186" t="n">
        <v>0.983056994818653</v>
      </c>
      <c r="L72" s="184"/>
      <c r="M72" s="184"/>
      <c r="N72" s="184"/>
      <c r="O72" s="186"/>
      <c r="P72" s="184"/>
      <c r="Q72" s="184"/>
      <c r="R72" s="184"/>
      <c r="S72" s="186"/>
      <c r="T72" s="184"/>
      <c r="U72" s="184"/>
      <c r="V72" s="184"/>
      <c r="W72" s="186"/>
      <c r="X72" s="92" t="n">
        <v>0.983056994818653</v>
      </c>
      <c r="Y72" s="114" t="s">
        <v>104</v>
      </c>
      <c r="Z72" s="78" t="s">
        <v>257</v>
      </c>
    </row>
    <row r="73" customFormat="false" ht="25.5" hidden="false" customHeight="true" outlineLevel="0" collapsed="false">
      <c r="A73" s="69" t="s">
        <v>287</v>
      </c>
      <c r="B73" s="70" t="s">
        <v>288</v>
      </c>
      <c r="C73" s="71" t="s">
        <v>34</v>
      </c>
      <c r="D73" s="71" t="s">
        <v>110</v>
      </c>
      <c r="E73" s="183" t="s">
        <v>502</v>
      </c>
      <c r="F73" s="87" t="n">
        <v>0.454</v>
      </c>
      <c r="G73" s="88" t="n">
        <v>0.3</v>
      </c>
      <c r="H73" s="184"/>
      <c r="I73" s="184"/>
      <c r="J73" s="184"/>
      <c r="K73" s="186" t="n">
        <v>0.839603046388184</v>
      </c>
      <c r="L73" s="184"/>
      <c r="M73" s="184"/>
      <c r="N73" s="184"/>
      <c r="O73" s="186"/>
      <c r="P73" s="184"/>
      <c r="Q73" s="184"/>
      <c r="R73" s="184"/>
      <c r="S73" s="186"/>
      <c r="T73" s="184"/>
      <c r="U73" s="184"/>
      <c r="V73" s="184"/>
      <c r="W73" s="186"/>
      <c r="X73" s="92" t="n">
        <v>0.839603046388184</v>
      </c>
      <c r="Y73" s="114" t="s">
        <v>104</v>
      </c>
      <c r="Z73" s="78" t="s">
        <v>257</v>
      </c>
    </row>
    <row r="74" customFormat="false" ht="25.5" hidden="false" customHeight="true" outlineLevel="0" collapsed="false">
      <c r="A74" s="69" t="s">
        <v>289</v>
      </c>
      <c r="B74" s="70" t="s">
        <v>290</v>
      </c>
      <c r="C74" s="71" t="s">
        <v>34</v>
      </c>
      <c r="D74" s="71" t="s">
        <v>110</v>
      </c>
      <c r="E74" s="183" t="s">
        <v>502</v>
      </c>
      <c r="F74" s="87" t="n">
        <v>0.637</v>
      </c>
      <c r="G74" s="88" t="n">
        <v>0.5</v>
      </c>
      <c r="H74" s="184"/>
      <c r="I74" s="184"/>
      <c r="J74" s="184"/>
      <c r="K74" s="186" t="n">
        <v>1.04201101928375</v>
      </c>
      <c r="L74" s="184"/>
      <c r="M74" s="184"/>
      <c r="N74" s="184"/>
      <c r="O74" s="186"/>
      <c r="P74" s="184"/>
      <c r="Q74" s="184"/>
      <c r="R74" s="184"/>
      <c r="S74" s="186"/>
      <c r="T74" s="184"/>
      <c r="U74" s="184"/>
      <c r="V74" s="184"/>
      <c r="W74" s="186"/>
      <c r="X74" s="92" t="n">
        <v>1.04201101928375</v>
      </c>
      <c r="Y74" s="114" t="s">
        <v>104</v>
      </c>
      <c r="Z74" s="78" t="s">
        <v>257</v>
      </c>
    </row>
    <row r="75" customFormat="false" ht="25.5" hidden="false" customHeight="true" outlineLevel="0" collapsed="false">
      <c r="A75" s="69" t="s">
        <v>291</v>
      </c>
      <c r="B75" s="70" t="s">
        <v>292</v>
      </c>
      <c r="C75" s="71" t="s">
        <v>34</v>
      </c>
      <c r="D75" s="71" t="s">
        <v>110</v>
      </c>
      <c r="E75" s="183" t="s">
        <v>502</v>
      </c>
      <c r="F75" s="87" t="n">
        <v>0.92</v>
      </c>
      <c r="G75" s="88" t="n">
        <v>0.3</v>
      </c>
      <c r="H75" s="184"/>
      <c r="I75" s="184"/>
      <c r="J75" s="184"/>
      <c r="K75" s="186" t="n">
        <v>1.35135135135135</v>
      </c>
      <c r="L75" s="184"/>
      <c r="M75" s="184"/>
      <c r="N75" s="184"/>
      <c r="O75" s="186"/>
      <c r="P75" s="184"/>
      <c r="Q75" s="184"/>
      <c r="R75" s="184"/>
      <c r="S75" s="186"/>
      <c r="T75" s="184"/>
      <c r="U75" s="184"/>
      <c r="V75" s="184"/>
      <c r="W75" s="186"/>
      <c r="X75" s="92" t="n">
        <v>1.35135135135135</v>
      </c>
      <c r="Y75" s="114" t="s">
        <v>104</v>
      </c>
      <c r="Z75" s="78" t="s">
        <v>257</v>
      </c>
    </row>
    <row r="76" customFormat="false" ht="25.5" hidden="false" customHeight="true" outlineLevel="0" collapsed="false">
      <c r="A76" s="69" t="s">
        <v>293</v>
      </c>
      <c r="B76" s="70" t="s">
        <v>294</v>
      </c>
      <c r="C76" s="71" t="s">
        <v>34</v>
      </c>
      <c r="D76" s="71" t="s">
        <v>110</v>
      </c>
      <c r="E76" s="183" t="s">
        <v>502</v>
      </c>
      <c r="F76" s="87" t="n">
        <v>0.88</v>
      </c>
      <c r="G76" s="88" t="n">
        <v>0.3</v>
      </c>
      <c r="H76" s="184"/>
      <c r="I76" s="184"/>
      <c r="J76" s="184"/>
      <c r="K76" s="186" t="n">
        <v>1.03454545454545</v>
      </c>
      <c r="L76" s="184"/>
      <c r="M76" s="184"/>
      <c r="N76" s="184"/>
      <c r="O76" s="186"/>
      <c r="P76" s="184"/>
      <c r="Q76" s="184"/>
      <c r="R76" s="184"/>
      <c r="S76" s="186"/>
      <c r="T76" s="184"/>
      <c r="U76" s="184"/>
      <c r="V76" s="184"/>
      <c r="W76" s="186"/>
      <c r="X76" s="92" t="n">
        <v>1.03454545454545</v>
      </c>
      <c r="Y76" s="114" t="s">
        <v>104</v>
      </c>
      <c r="Z76" s="78" t="s">
        <v>257</v>
      </c>
    </row>
    <row r="77" customFormat="false" ht="25.5" hidden="false" customHeight="true" outlineLevel="0" collapsed="false">
      <c r="A77" s="69" t="s">
        <v>295</v>
      </c>
      <c r="B77" s="70" t="s">
        <v>296</v>
      </c>
      <c r="C77" s="71" t="s">
        <v>34</v>
      </c>
      <c r="D77" s="71" t="s">
        <v>110</v>
      </c>
      <c r="E77" s="183" t="s">
        <v>502</v>
      </c>
      <c r="F77" s="87" t="n">
        <v>0.841</v>
      </c>
      <c r="G77" s="88" t="n">
        <v>0.3</v>
      </c>
      <c r="H77" s="184"/>
      <c r="I77" s="184"/>
      <c r="J77" s="184"/>
      <c r="K77" s="186" t="n">
        <v>0.914</v>
      </c>
      <c r="L77" s="184"/>
      <c r="M77" s="184"/>
      <c r="N77" s="184"/>
      <c r="O77" s="186"/>
      <c r="P77" s="184"/>
      <c r="Q77" s="184"/>
      <c r="R77" s="184"/>
      <c r="S77" s="186"/>
      <c r="T77" s="184"/>
      <c r="U77" s="184"/>
      <c r="V77" s="184"/>
      <c r="W77" s="186"/>
      <c r="X77" s="92" t="n">
        <v>0.914</v>
      </c>
      <c r="Y77" s="114" t="s">
        <v>104</v>
      </c>
      <c r="Z77" s="78" t="s">
        <v>257</v>
      </c>
    </row>
    <row r="78" customFormat="false" ht="25.5" hidden="false" customHeight="true" outlineLevel="0" collapsed="false">
      <c r="A78" s="69" t="s">
        <v>297</v>
      </c>
      <c r="B78" s="70" t="s">
        <v>298</v>
      </c>
      <c r="C78" s="71" t="s">
        <v>34</v>
      </c>
      <c r="D78" s="71" t="s">
        <v>110</v>
      </c>
      <c r="E78" s="183" t="s">
        <v>502</v>
      </c>
      <c r="F78" s="87" t="n">
        <v>1</v>
      </c>
      <c r="G78" s="88" t="n">
        <v>0.9</v>
      </c>
      <c r="H78" s="184"/>
      <c r="I78" s="184"/>
      <c r="J78" s="184"/>
      <c r="K78" s="186" t="n">
        <v>0.880819366852886</v>
      </c>
      <c r="L78" s="184"/>
      <c r="M78" s="184"/>
      <c r="N78" s="184"/>
      <c r="O78" s="186"/>
      <c r="P78" s="184"/>
      <c r="Q78" s="184"/>
      <c r="R78" s="184"/>
      <c r="S78" s="186"/>
      <c r="T78" s="184"/>
      <c r="U78" s="184"/>
      <c r="V78" s="184"/>
      <c r="W78" s="186"/>
      <c r="X78" s="92" t="n">
        <v>0.880819366852886</v>
      </c>
      <c r="Y78" s="114" t="s">
        <v>113</v>
      </c>
      <c r="Z78" s="78" t="s">
        <v>257</v>
      </c>
    </row>
    <row r="79" customFormat="false" ht="25.5" hidden="false" customHeight="true" outlineLevel="0" collapsed="false">
      <c r="A79" s="69" t="s">
        <v>301</v>
      </c>
      <c r="B79" s="70" t="s">
        <v>302</v>
      </c>
      <c r="C79" s="71" t="s">
        <v>34</v>
      </c>
      <c r="D79" s="71" t="s">
        <v>110</v>
      </c>
      <c r="E79" s="183" t="s">
        <v>502</v>
      </c>
      <c r="F79" s="87" t="n">
        <v>0.995</v>
      </c>
      <c r="G79" s="91" t="n">
        <v>0.6</v>
      </c>
      <c r="H79" s="184"/>
      <c r="I79" s="184"/>
      <c r="J79" s="184"/>
      <c r="K79" s="185" t="n">
        <v>1.0033</v>
      </c>
      <c r="L79" s="184"/>
      <c r="M79" s="184"/>
      <c r="N79" s="184"/>
      <c r="O79" s="186" t="n">
        <v>1.02</v>
      </c>
      <c r="P79" s="184"/>
      <c r="Q79" s="184"/>
      <c r="R79" s="184"/>
      <c r="S79" s="186"/>
      <c r="T79" s="184"/>
      <c r="U79" s="184"/>
      <c r="V79" s="184"/>
      <c r="W79" s="186" t="n">
        <v>1.08645</v>
      </c>
      <c r="X79" s="92" t="n">
        <v>1.0033</v>
      </c>
      <c r="Y79" s="114" t="s">
        <v>104</v>
      </c>
      <c r="Z79" s="78" t="s">
        <v>257</v>
      </c>
    </row>
    <row r="80" customFormat="false" ht="25.5" hidden="false" customHeight="true" outlineLevel="0" collapsed="false">
      <c r="A80" s="69" t="s">
        <v>308</v>
      </c>
      <c r="B80" s="70" t="s">
        <v>309</v>
      </c>
      <c r="C80" s="71" t="s">
        <v>34</v>
      </c>
      <c r="D80" s="71" t="s">
        <v>97</v>
      </c>
      <c r="E80" s="183" t="s">
        <v>502</v>
      </c>
      <c r="F80" s="102" t="n">
        <v>0</v>
      </c>
      <c r="G80" s="121" t="n">
        <v>15</v>
      </c>
      <c r="H80" s="191"/>
      <c r="I80" s="191"/>
      <c r="J80" s="191"/>
      <c r="K80" s="192" t="n">
        <v>0.1</v>
      </c>
      <c r="L80" s="191"/>
      <c r="M80" s="191"/>
      <c r="N80" s="191"/>
      <c r="O80" s="193" t="n">
        <v>0.2</v>
      </c>
      <c r="P80" s="191"/>
      <c r="Q80" s="191"/>
      <c r="R80" s="191"/>
      <c r="S80" s="193"/>
      <c r="T80" s="191"/>
      <c r="U80" s="191"/>
      <c r="V80" s="191"/>
      <c r="W80" s="193"/>
      <c r="X80" s="104" t="n">
        <v>0.1</v>
      </c>
      <c r="Y80" s="114" t="s">
        <v>104</v>
      </c>
      <c r="Z80" s="78" t="s">
        <v>257</v>
      </c>
    </row>
    <row r="81" customFormat="false" ht="25.5" hidden="false" customHeight="true" outlineLevel="0" collapsed="false">
      <c r="A81" s="69" t="s">
        <v>311</v>
      </c>
      <c r="B81" s="70" t="s">
        <v>312</v>
      </c>
      <c r="C81" s="71" t="s">
        <v>34</v>
      </c>
      <c r="D81" s="71" t="s">
        <v>97</v>
      </c>
      <c r="E81" s="183" t="s">
        <v>502</v>
      </c>
      <c r="F81" s="102" t="n">
        <v>0.4</v>
      </c>
      <c r="G81" s="75" t="n">
        <v>0.7</v>
      </c>
      <c r="H81" s="191"/>
      <c r="I81" s="191"/>
      <c r="J81" s="191"/>
      <c r="K81" s="192" t="n">
        <v>0</v>
      </c>
      <c r="L81" s="191"/>
      <c r="M81" s="191"/>
      <c r="N81" s="191"/>
      <c r="O81" s="193" t="n">
        <v>0</v>
      </c>
      <c r="P81" s="191"/>
      <c r="Q81" s="191"/>
      <c r="R81" s="191"/>
      <c r="S81" s="193"/>
      <c r="T81" s="191"/>
      <c r="U81" s="191"/>
      <c r="V81" s="191"/>
      <c r="W81" s="193"/>
      <c r="X81" s="104" t="n">
        <v>0</v>
      </c>
      <c r="Y81" s="114" t="s">
        <v>104</v>
      </c>
      <c r="Z81" s="78" t="s">
        <v>257</v>
      </c>
    </row>
    <row r="82" customFormat="false" ht="25.5" hidden="false" customHeight="true" outlineLevel="0" collapsed="false">
      <c r="A82" s="69" t="s">
        <v>313</v>
      </c>
      <c r="B82" s="70" t="s">
        <v>314</v>
      </c>
      <c r="C82" s="71" t="s">
        <v>34</v>
      </c>
      <c r="D82" s="71" t="s">
        <v>97</v>
      </c>
      <c r="E82" s="183" t="s">
        <v>502</v>
      </c>
      <c r="F82" s="102" t="n">
        <v>0.13</v>
      </c>
      <c r="G82" s="122" t="n">
        <v>11</v>
      </c>
      <c r="H82" s="191"/>
      <c r="I82" s="191"/>
      <c r="J82" s="191"/>
      <c r="K82" s="192" t="n">
        <v>0</v>
      </c>
      <c r="L82" s="191"/>
      <c r="M82" s="191"/>
      <c r="N82" s="191"/>
      <c r="O82" s="193" t="n">
        <v>0</v>
      </c>
      <c r="P82" s="191"/>
      <c r="Q82" s="191"/>
      <c r="R82" s="191"/>
      <c r="S82" s="193"/>
      <c r="T82" s="191"/>
      <c r="U82" s="191"/>
      <c r="V82" s="191"/>
      <c r="W82" s="193"/>
      <c r="X82" s="104" t="n">
        <v>0</v>
      </c>
      <c r="Y82" s="114" t="s">
        <v>104</v>
      </c>
      <c r="Z82" s="78" t="s">
        <v>257</v>
      </c>
    </row>
    <row r="83" customFormat="false" ht="25.5" hidden="false" customHeight="true" outlineLevel="0" collapsed="false">
      <c r="A83" s="69" t="s">
        <v>315</v>
      </c>
      <c r="B83" s="70" t="s">
        <v>316</v>
      </c>
      <c r="C83" s="71" t="s">
        <v>34</v>
      </c>
      <c r="D83" s="71" t="s">
        <v>97</v>
      </c>
      <c r="E83" s="183" t="s">
        <v>502</v>
      </c>
      <c r="F83" s="102" t="n">
        <v>0.47</v>
      </c>
      <c r="G83" s="82" t="n">
        <v>0.4</v>
      </c>
      <c r="H83" s="191"/>
      <c r="I83" s="191"/>
      <c r="J83" s="191"/>
      <c r="K83" s="192" t="n">
        <v>3.36700336700337</v>
      </c>
      <c r="L83" s="191"/>
      <c r="M83" s="191"/>
      <c r="N83" s="191"/>
      <c r="O83" s="193" t="n">
        <v>0</v>
      </c>
      <c r="P83" s="191"/>
      <c r="Q83" s="191"/>
      <c r="R83" s="191"/>
      <c r="S83" s="193"/>
      <c r="T83" s="191"/>
      <c r="U83" s="191"/>
      <c r="V83" s="191"/>
      <c r="W83" s="193"/>
      <c r="X83" s="104" t="n">
        <v>3.36700336700337</v>
      </c>
      <c r="Y83" s="114" t="s">
        <v>113</v>
      </c>
      <c r="Z83" s="78" t="s">
        <v>100</v>
      </c>
    </row>
    <row r="84" customFormat="false" ht="25.5" hidden="false" customHeight="true" outlineLevel="0" collapsed="false">
      <c r="A84" s="69" t="s">
        <v>317</v>
      </c>
      <c r="B84" s="70" t="s">
        <v>318</v>
      </c>
      <c r="C84" s="71" t="s">
        <v>34</v>
      </c>
      <c r="D84" s="71" t="s">
        <v>97</v>
      </c>
      <c r="E84" s="183" t="s">
        <v>502</v>
      </c>
      <c r="F84" s="102" t="n">
        <v>0.36</v>
      </c>
      <c r="G84" s="82" t="n">
        <v>0.306</v>
      </c>
      <c r="H84" s="191"/>
      <c r="I84" s="191"/>
      <c r="J84" s="191"/>
      <c r="K84" s="192" t="n">
        <v>0</v>
      </c>
      <c r="L84" s="191"/>
      <c r="M84" s="191"/>
      <c r="N84" s="191"/>
      <c r="O84" s="193" t="n">
        <v>6.29</v>
      </c>
      <c r="P84" s="191"/>
      <c r="Q84" s="191"/>
      <c r="R84" s="191"/>
      <c r="S84" s="193"/>
      <c r="T84" s="191"/>
      <c r="U84" s="191"/>
      <c r="V84" s="191"/>
      <c r="W84" s="193"/>
      <c r="X84" s="104" t="n">
        <v>0</v>
      </c>
      <c r="Y84" s="114" t="s">
        <v>104</v>
      </c>
      <c r="Z84" s="78" t="s">
        <v>224</v>
      </c>
    </row>
    <row r="85" customFormat="false" ht="25.5" hidden="false" customHeight="true" outlineLevel="0" collapsed="false">
      <c r="A85" s="69" t="s">
        <v>321</v>
      </c>
      <c r="B85" s="70" t="s">
        <v>322</v>
      </c>
      <c r="C85" s="71" t="s">
        <v>34</v>
      </c>
      <c r="D85" s="71" t="s">
        <v>97</v>
      </c>
      <c r="E85" s="183" t="s">
        <v>502</v>
      </c>
      <c r="F85" s="102" t="n">
        <v>3.1</v>
      </c>
      <c r="G85" s="82" t="n">
        <v>2.64</v>
      </c>
      <c r="H85" s="191"/>
      <c r="I85" s="191"/>
      <c r="J85" s="191"/>
      <c r="K85" s="192" t="n">
        <v>4.5662100456621</v>
      </c>
      <c r="L85" s="191"/>
      <c r="M85" s="191"/>
      <c r="N85" s="191"/>
      <c r="O85" s="193" t="n">
        <v>12.82</v>
      </c>
      <c r="P85" s="191"/>
      <c r="Q85" s="191"/>
      <c r="R85" s="191"/>
      <c r="S85" s="193"/>
      <c r="T85" s="191"/>
      <c r="U85" s="191"/>
      <c r="V85" s="191"/>
      <c r="W85" s="193"/>
      <c r="X85" s="104" t="n">
        <v>4.5662100456621</v>
      </c>
      <c r="Y85" s="114" t="s">
        <v>113</v>
      </c>
      <c r="Z85" s="78" t="s">
        <v>100</v>
      </c>
    </row>
    <row r="86" customFormat="false" ht="25.5" hidden="false" customHeight="true" outlineLevel="0" collapsed="false">
      <c r="A86" s="69" t="s">
        <v>323</v>
      </c>
      <c r="B86" s="70" t="s">
        <v>324</v>
      </c>
      <c r="C86" s="71" t="s">
        <v>34</v>
      </c>
      <c r="D86" s="71" t="s">
        <v>97</v>
      </c>
      <c r="E86" s="183" t="s">
        <v>502</v>
      </c>
      <c r="F86" s="102" t="n">
        <v>0.9</v>
      </c>
      <c r="G86" s="122" t="n">
        <v>1.5</v>
      </c>
      <c r="H86" s="191"/>
      <c r="I86" s="191"/>
      <c r="J86" s="191"/>
      <c r="K86" s="192" t="n">
        <v>2.7</v>
      </c>
      <c r="L86" s="191"/>
      <c r="M86" s="191"/>
      <c r="N86" s="191"/>
      <c r="O86" s="193" t="n">
        <v>6.29</v>
      </c>
      <c r="P86" s="191"/>
      <c r="Q86" s="191"/>
      <c r="R86" s="191"/>
      <c r="S86" s="193"/>
      <c r="T86" s="191"/>
      <c r="U86" s="191"/>
      <c r="V86" s="191"/>
      <c r="W86" s="193"/>
      <c r="X86" s="104" t="n">
        <v>2.7</v>
      </c>
      <c r="Y86" s="114" t="s">
        <v>113</v>
      </c>
      <c r="Z86" s="78" t="s">
        <v>257</v>
      </c>
    </row>
    <row r="87" customFormat="false" ht="25.5" hidden="false" customHeight="true" outlineLevel="0" collapsed="false">
      <c r="A87" s="69" t="s">
        <v>325</v>
      </c>
      <c r="B87" s="70" t="s">
        <v>326</v>
      </c>
      <c r="C87" s="71" t="s">
        <v>34</v>
      </c>
      <c r="D87" s="71" t="s">
        <v>110</v>
      </c>
      <c r="E87" s="183" t="s">
        <v>502</v>
      </c>
      <c r="F87" s="102" t="n">
        <v>0.9</v>
      </c>
      <c r="G87" s="82" t="n">
        <v>3</v>
      </c>
      <c r="H87" s="191"/>
      <c r="I87" s="191"/>
      <c r="J87" s="191"/>
      <c r="K87" s="192" t="n">
        <v>0.6</v>
      </c>
      <c r="L87" s="191"/>
      <c r="M87" s="191"/>
      <c r="N87" s="191"/>
      <c r="O87" s="193" t="n">
        <v>0.55</v>
      </c>
      <c r="P87" s="191"/>
      <c r="Q87" s="191"/>
      <c r="R87" s="191"/>
      <c r="S87" s="193"/>
      <c r="T87" s="191"/>
      <c r="U87" s="191"/>
      <c r="V87" s="191"/>
      <c r="W87" s="193"/>
      <c r="X87" s="104" t="n">
        <v>0.6</v>
      </c>
      <c r="Y87" s="114" t="s">
        <v>113</v>
      </c>
      <c r="Z87" s="78" t="s">
        <v>257</v>
      </c>
    </row>
    <row r="88" customFormat="false" ht="25.5" hidden="false" customHeight="true" outlineLevel="0" collapsed="false">
      <c r="A88" s="69" t="s">
        <v>327</v>
      </c>
      <c r="B88" s="70" t="s">
        <v>328</v>
      </c>
      <c r="C88" s="71" t="s">
        <v>34</v>
      </c>
      <c r="D88" s="71" t="s">
        <v>110</v>
      </c>
      <c r="E88" s="183" t="s">
        <v>502</v>
      </c>
      <c r="F88" s="87" t="n">
        <v>0.777</v>
      </c>
      <c r="G88" s="88" t="n">
        <v>0.7</v>
      </c>
      <c r="H88" s="184"/>
      <c r="I88" s="184"/>
      <c r="J88" s="184"/>
      <c r="K88" s="185" t="n">
        <v>0.777</v>
      </c>
      <c r="L88" s="184"/>
      <c r="M88" s="184"/>
      <c r="N88" s="184"/>
      <c r="O88" s="186" t="n">
        <v>0.7833</v>
      </c>
      <c r="P88" s="184"/>
      <c r="Q88" s="184"/>
      <c r="R88" s="184"/>
      <c r="S88" s="186"/>
      <c r="T88" s="184"/>
      <c r="U88" s="184"/>
      <c r="V88" s="184"/>
      <c r="W88" s="186"/>
      <c r="X88" s="92" t="n">
        <v>0.777</v>
      </c>
      <c r="Y88" s="114" t="s">
        <v>104</v>
      </c>
      <c r="Z88" s="78" t="s">
        <v>257</v>
      </c>
    </row>
    <row r="89" customFormat="false" ht="25.5" hidden="false" customHeight="true" outlineLevel="0" collapsed="false">
      <c r="A89" s="69" t="s">
        <v>329</v>
      </c>
      <c r="B89" s="70" t="s">
        <v>330</v>
      </c>
      <c r="C89" s="71" t="s">
        <v>34</v>
      </c>
      <c r="D89" s="71" t="s">
        <v>97</v>
      </c>
      <c r="E89" s="183" t="s">
        <v>502</v>
      </c>
      <c r="F89" s="102" t="n">
        <v>28.6</v>
      </c>
      <c r="G89" s="122" t="n">
        <v>14.3</v>
      </c>
      <c r="H89" s="191"/>
      <c r="I89" s="191"/>
      <c r="J89" s="191"/>
      <c r="K89" s="193"/>
      <c r="L89" s="191"/>
      <c r="M89" s="191"/>
      <c r="N89" s="191"/>
      <c r="O89" s="193" t="n">
        <v>0</v>
      </c>
      <c r="P89" s="191"/>
      <c r="Q89" s="191"/>
      <c r="R89" s="191"/>
      <c r="S89" s="193"/>
      <c r="T89" s="191"/>
      <c r="U89" s="191"/>
      <c r="V89" s="191"/>
      <c r="W89" s="193"/>
      <c r="X89" s="104"/>
      <c r="Y89" s="114" t="s">
        <v>99</v>
      </c>
      <c r="Z89" s="78" t="s">
        <v>257</v>
      </c>
    </row>
    <row r="90" customFormat="false" ht="25.5" hidden="false" customHeight="true" outlineLevel="0" collapsed="false">
      <c r="A90" s="69" t="s">
        <v>333</v>
      </c>
      <c r="B90" s="70" t="s">
        <v>334</v>
      </c>
      <c r="C90" s="71" t="s">
        <v>166</v>
      </c>
      <c r="D90" s="71" t="s">
        <v>110</v>
      </c>
      <c r="E90" s="183" t="s">
        <v>502</v>
      </c>
      <c r="F90" s="87" t="n">
        <v>0.624</v>
      </c>
      <c r="G90" s="91" t="n">
        <v>0.6</v>
      </c>
      <c r="H90" s="184"/>
      <c r="I90" s="184"/>
      <c r="J90" s="184"/>
      <c r="K90" s="186"/>
      <c r="L90" s="184"/>
      <c r="M90" s="184"/>
      <c r="N90" s="184"/>
      <c r="O90" s="186"/>
      <c r="P90" s="184"/>
      <c r="Q90" s="184"/>
      <c r="R90" s="184"/>
      <c r="S90" s="186"/>
      <c r="T90" s="184"/>
      <c r="U90" s="184"/>
      <c r="V90" s="184"/>
      <c r="W90" s="186"/>
      <c r="X90" s="92"/>
      <c r="Y90" s="114" t="s">
        <v>99</v>
      </c>
      <c r="Z90" s="78" t="s">
        <v>257</v>
      </c>
    </row>
    <row r="91" customFormat="false" ht="25.5" hidden="false" customHeight="true" outlineLevel="0" collapsed="false">
      <c r="A91" s="69" t="s">
        <v>335</v>
      </c>
      <c r="B91" s="70" t="s">
        <v>336</v>
      </c>
      <c r="C91" s="71" t="s">
        <v>166</v>
      </c>
      <c r="D91" s="71" t="s">
        <v>110</v>
      </c>
      <c r="E91" s="183" t="s">
        <v>502</v>
      </c>
      <c r="F91" s="87" t="n">
        <v>0.76</v>
      </c>
      <c r="G91" s="91" t="n">
        <v>0.7</v>
      </c>
      <c r="H91" s="184"/>
      <c r="I91" s="184"/>
      <c r="J91" s="184"/>
      <c r="K91" s="186"/>
      <c r="L91" s="184"/>
      <c r="M91" s="184"/>
      <c r="N91" s="184"/>
      <c r="O91" s="186"/>
      <c r="P91" s="184"/>
      <c r="Q91" s="184"/>
      <c r="R91" s="184"/>
      <c r="S91" s="186"/>
      <c r="T91" s="184"/>
      <c r="U91" s="184"/>
      <c r="V91" s="184"/>
      <c r="W91" s="186"/>
      <c r="X91" s="92"/>
      <c r="Y91" s="114" t="s">
        <v>99</v>
      </c>
      <c r="Z91" s="78" t="s">
        <v>257</v>
      </c>
    </row>
    <row r="92" customFormat="false" ht="25.5" hidden="false" customHeight="true" outlineLevel="0" collapsed="false">
      <c r="A92" s="69" t="s">
        <v>337</v>
      </c>
      <c r="B92" s="70" t="s">
        <v>338</v>
      </c>
      <c r="C92" s="71" t="s">
        <v>166</v>
      </c>
      <c r="D92" s="71" t="s">
        <v>110</v>
      </c>
      <c r="E92" s="183" t="s">
        <v>502</v>
      </c>
      <c r="F92" s="87" t="n">
        <v>0.821</v>
      </c>
      <c r="G92" s="91" t="n">
        <v>0.7</v>
      </c>
      <c r="H92" s="184"/>
      <c r="I92" s="184"/>
      <c r="J92" s="184"/>
      <c r="K92" s="186"/>
      <c r="L92" s="184"/>
      <c r="M92" s="184"/>
      <c r="N92" s="184"/>
      <c r="O92" s="186"/>
      <c r="P92" s="184"/>
      <c r="Q92" s="184"/>
      <c r="R92" s="184"/>
      <c r="S92" s="186"/>
      <c r="T92" s="184"/>
      <c r="U92" s="184"/>
      <c r="V92" s="184"/>
      <c r="W92" s="186"/>
      <c r="X92" s="92"/>
      <c r="Y92" s="114" t="s">
        <v>99</v>
      </c>
      <c r="Z92" s="78" t="s">
        <v>257</v>
      </c>
    </row>
    <row r="93" customFormat="false" ht="25.5" hidden="false" customHeight="true" outlineLevel="0" collapsed="false">
      <c r="A93" s="69" t="s">
        <v>339</v>
      </c>
      <c r="B93" s="70" t="s">
        <v>340</v>
      </c>
      <c r="C93" s="71" t="s">
        <v>166</v>
      </c>
      <c r="D93" s="71" t="s">
        <v>110</v>
      </c>
      <c r="E93" s="183" t="s">
        <v>502</v>
      </c>
      <c r="F93" s="87" t="n">
        <v>0.91</v>
      </c>
      <c r="G93" s="88" t="n">
        <v>0.92</v>
      </c>
      <c r="H93" s="184"/>
      <c r="I93" s="184"/>
      <c r="J93" s="184"/>
      <c r="K93" s="185" t="n">
        <v>1</v>
      </c>
      <c r="L93" s="184"/>
      <c r="M93" s="184"/>
      <c r="N93" s="184"/>
      <c r="O93" s="186" t="n">
        <v>1</v>
      </c>
      <c r="P93" s="184"/>
      <c r="Q93" s="184"/>
      <c r="R93" s="184"/>
      <c r="S93" s="186"/>
      <c r="T93" s="184"/>
      <c r="U93" s="184"/>
      <c r="V93" s="184"/>
      <c r="W93" s="186"/>
      <c r="X93" s="92" t="n">
        <v>1</v>
      </c>
      <c r="Y93" s="114" t="s">
        <v>104</v>
      </c>
      <c r="Z93" s="78" t="s">
        <v>341</v>
      </c>
    </row>
    <row r="94" customFormat="false" ht="25.5" hidden="false" customHeight="true" outlineLevel="0" collapsed="false">
      <c r="A94" s="69" t="s">
        <v>342</v>
      </c>
      <c r="B94" s="70" t="s">
        <v>343</v>
      </c>
      <c r="C94" s="71" t="s">
        <v>166</v>
      </c>
      <c r="D94" s="71" t="s">
        <v>110</v>
      </c>
      <c r="E94" s="183" t="s">
        <v>502</v>
      </c>
      <c r="F94" s="87" t="n">
        <v>0.78</v>
      </c>
      <c r="G94" s="91" t="n">
        <v>0.85</v>
      </c>
      <c r="H94" s="184"/>
      <c r="I94" s="184"/>
      <c r="J94" s="184"/>
      <c r="K94" s="185" t="n">
        <v>1</v>
      </c>
      <c r="L94" s="184"/>
      <c r="M94" s="184"/>
      <c r="N94" s="184"/>
      <c r="O94" s="186" t="n">
        <v>1</v>
      </c>
      <c r="P94" s="184"/>
      <c r="Q94" s="184"/>
      <c r="R94" s="184"/>
      <c r="S94" s="186"/>
      <c r="T94" s="184"/>
      <c r="U94" s="184"/>
      <c r="V94" s="184"/>
      <c r="W94" s="186"/>
      <c r="X94" s="92" t="n">
        <v>1</v>
      </c>
      <c r="Y94" s="114" t="s">
        <v>104</v>
      </c>
      <c r="Z94" s="78" t="s">
        <v>344</v>
      </c>
    </row>
    <row r="95" customFormat="false" ht="25.5" hidden="false" customHeight="true" outlineLevel="0" collapsed="false">
      <c r="A95" s="69" t="s">
        <v>345</v>
      </c>
      <c r="B95" s="70" t="s">
        <v>346</v>
      </c>
      <c r="C95" s="71" t="s">
        <v>166</v>
      </c>
      <c r="D95" s="71" t="s">
        <v>110</v>
      </c>
      <c r="E95" s="183" t="s">
        <v>502</v>
      </c>
      <c r="F95" s="87" t="n">
        <v>0.786</v>
      </c>
      <c r="G95" s="88" t="n">
        <v>0.8</v>
      </c>
      <c r="H95" s="184"/>
      <c r="I95" s="184"/>
      <c r="J95" s="184"/>
      <c r="K95" s="185" t="n">
        <v>0.951</v>
      </c>
      <c r="L95" s="184"/>
      <c r="M95" s="184"/>
      <c r="N95" s="184"/>
      <c r="O95" s="186" t="n">
        <v>0.995565410199557</v>
      </c>
      <c r="P95" s="184"/>
      <c r="Q95" s="184"/>
      <c r="R95" s="184"/>
      <c r="S95" s="186"/>
      <c r="T95" s="184"/>
      <c r="U95" s="184"/>
      <c r="V95" s="184"/>
      <c r="W95" s="186"/>
      <c r="X95" s="92" t="n">
        <v>0.951</v>
      </c>
      <c r="Y95" s="114" t="s">
        <v>104</v>
      </c>
      <c r="Z95" s="78" t="s">
        <v>257</v>
      </c>
    </row>
    <row r="96" customFormat="false" ht="25.5" hidden="false" customHeight="true" outlineLevel="0" collapsed="false">
      <c r="A96" s="69" t="s">
        <v>347</v>
      </c>
      <c r="B96" s="70" t="s">
        <v>348</v>
      </c>
      <c r="C96" s="71" t="s">
        <v>166</v>
      </c>
      <c r="D96" s="71" t="s">
        <v>110</v>
      </c>
      <c r="E96" s="183" t="s">
        <v>502</v>
      </c>
      <c r="F96" s="87" t="n">
        <v>0.98</v>
      </c>
      <c r="G96" s="88" t="n">
        <v>0.6</v>
      </c>
      <c r="H96" s="184"/>
      <c r="I96" s="184"/>
      <c r="J96" s="184"/>
      <c r="K96" s="185" t="n">
        <v>0.984</v>
      </c>
      <c r="L96" s="184"/>
      <c r="M96" s="184"/>
      <c r="N96" s="184"/>
      <c r="O96" s="186"/>
      <c r="P96" s="184"/>
      <c r="Q96" s="184"/>
      <c r="R96" s="184"/>
      <c r="S96" s="186"/>
      <c r="T96" s="184"/>
      <c r="U96" s="184"/>
      <c r="V96" s="184"/>
      <c r="W96" s="186"/>
      <c r="X96" s="92" t="n">
        <v>0.984</v>
      </c>
      <c r="Y96" s="114" t="s">
        <v>104</v>
      </c>
      <c r="Z96" s="78" t="s">
        <v>257</v>
      </c>
    </row>
    <row r="97" customFormat="false" ht="25.5" hidden="false" customHeight="true" outlineLevel="0" collapsed="false">
      <c r="A97" s="69" t="s">
        <v>349</v>
      </c>
      <c r="B97" s="70" t="s">
        <v>350</v>
      </c>
      <c r="C97" s="71" t="s">
        <v>166</v>
      </c>
      <c r="D97" s="71" t="s">
        <v>97</v>
      </c>
      <c r="E97" s="183" t="s">
        <v>502</v>
      </c>
      <c r="F97" s="94" t="n">
        <v>13.3</v>
      </c>
      <c r="G97" s="109" t="n">
        <v>25</v>
      </c>
      <c r="H97" s="194"/>
      <c r="I97" s="194"/>
      <c r="J97" s="194"/>
      <c r="K97" s="195" t="n">
        <v>24.3</v>
      </c>
      <c r="L97" s="194"/>
      <c r="M97" s="194"/>
      <c r="N97" s="194"/>
      <c r="O97" s="196"/>
      <c r="P97" s="194"/>
      <c r="Q97" s="194"/>
      <c r="R97" s="194"/>
      <c r="S97" s="196"/>
      <c r="T97" s="194"/>
      <c r="U97" s="194"/>
      <c r="V97" s="194"/>
      <c r="W97" s="196" t="n">
        <v>21</v>
      </c>
      <c r="X97" s="125" t="n">
        <v>24.3</v>
      </c>
      <c r="Y97" s="114" t="s">
        <v>104</v>
      </c>
      <c r="Z97" s="78" t="s">
        <v>257</v>
      </c>
    </row>
    <row r="98" customFormat="false" ht="25.5" hidden="false" customHeight="true" outlineLevel="0" collapsed="false">
      <c r="A98" s="69" t="s">
        <v>351</v>
      </c>
      <c r="B98" s="70" t="s">
        <v>352</v>
      </c>
      <c r="C98" s="71" t="s">
        <v>166</v>
      </c>
      <c r="D98" s="71" t="s">
        <v>97</v>
      </c>
      <c r="E98" s="183" t="s">
        <v>502</v>
      </c>
      <c r="F98" s="102" t="n">
        <v>31.9</v>
      </c>
      <c r="G98" s="122" t="n">
        <v>15.95</v>
      </c>
      <c r="H98" s="191"/>
      <c r="I98" s="191"/>
      <c r="J98" s="191"/>
      <c r="K98" s="192" t="n">
        <v>500</v>
      </c>
      <c r="L98" s="191"/>
      <c r="M98" s="191"/>
      <c r="N98" s="191"/>
      <c r="O98" s="193" t="n">
        <v>0</v>
      </c>
      <c r="P98" s="191"/>
      <c r="Q98" s="191"/>
      <c r="R98" s="191"/>
      <c r="S98" s="193"/>
      <c r="T98" s="191"/>
      <c r="U98" s="191"/>
      <c r="V98" s="191"/>
      <c r="W98" s="193"/>
      <c r="X98" s="104" t="n">
        <v>500</v>
      </c>
      <c r="Y98" s="114" t="s">
        <v>113</v>
      </c>
      <c r="Z98" s="78" t="s">
        <v>257</v>
      </c>
    </row>
    <row r="99" customFormat="false" ht="25.5" hidden="false" customHeight="true" outlineLevel="0" collapsed="false">
      <c r="A99" s="69" t="s">
        <v>353</v>
      </c>
      <c r="B99" s="70" t="s">
        <v>354</v>
      </c>
      <c r="C99" s="71" t="s">
        <v>166</v>
      </c>
      <c r="D99" s="71" t="s">
        <v>97</v>
      </c>
      <c r="E99" s="183" t="s">
        <v>502</v>
      </c>
      <c r="F99" s="102" t="n">
        <v>56.1</v>
      </c>
      <c r="G99" s="122" t="n">
        <v>28.05</v>
      </c>
      <c r="H99" s="191"/>
      <c r="I99" s="191"/>
      <c r="J99" s="191"/>
      <c r="K99" s="192" t="n">
        <v>190.5</v>
      </c>
      <c r="L99" s="191"/>
      <c r="M99" s="191"/>
      <c r="N99" s="191"/>
      <c r="O99" s="193" t="n">
        <v>9</v>
      </c>
      <c r="P99" s="191"/>
      <c r="Q99" s="191"/>
      <c r="R99" s="191"/>
      <c r="S99" s="193"/>
      <c r="T99" s="191"/>
      <c r="U99" s="191"/>
      <c r="V99" s="191"/>
      <c r="W99" s="193"/>
      <c r="X99" s="104" t="n">
        <v>190.5</v>
      </c>
      <c r="Y99" s="114" t="s">
        <v>113</v>
      </c>
      <c r="Z99" s="78" t="s">
        <v>257</v>
      </c>
    </row>
    <row r="100" customFormat="false" ht="25.5" hidden="false" customHeight="true" outlineLevel="0" collapsed="false">
      <c r="A100" s="69" t="s">
        <v>355</v>
      </c>
      <c r="B100" s="70" t="s">
        <v>356</v>
      </c>
      <c r="C100" s="71" t="s">
        <v>166</v>
      </c>
      <c r="D100" s="71" t="s">
        <v>97</v>
      </c>
      <c r="E100" s="183" t="s">
        <v>502</v>
      </c>
      <c r="F100" s="102" t="n">
        <v>39.8</v>
      </c>
      <c r="G100" s="122" t="n">
        <v>75</v>
      </c>
      <c r="H100" s="191"/>
      <c r="I100" s="191"/>
      <c r="J100" s="191"/>
      <c r="K100" s="192"/>
      <c r="L100" s="191"/>
      <c r="M100" s="191"/>
      <c r="N100" s="191"/>
      <c r="O100" s="193" t="n">
        <v>0</v>
      </c>
      <c r="P100" s="191"/>
      <c r="Q100" s="191"/>
      <c r="R100" s="191"/>
      <c r="S100" s="193"/>
      <c r="T100" s="191"/>
      <c r="U100" s="191"/>
      <c r="V100" s="191"/>
      <c r="W100" s="193"/>
      <c r="X100" s="104"/>
      <c r="Y100" s="114" t="s">
        <v>99</v>
      </c>
      <c r="Z100" s="78" t="s">
        <v>257</v>
      </c>
    </row>
    <row r="101" customFormat="false" ht="25.5" hidden="false" customHeight="true" outlineLevel="0" collapsed="false">
      <c r="A101" s="69" t="s">
        <v>377</v>
      </c>
      <c r="B101" s="70" t="s">
        <v>378</v>
      </c>
      <c r="C101" s="71" t="s">
        <v>236</v>
      </c>
      <c r="D101" s="71" t="s">
        <v>110</v>
      </c>
      <c r="E101" s="183" t="s">
        <v>502</v>
      </c>
      <c r="F101" s="87" t="n">
        <v>0.483</v>
      </c>
      <c r="G101" s="88" t="n">
        <v>0.5606</v>
      </c>
      <c r="H101" s="184"/>
      <c r="I101" s="184"/>
      <c r="J101" s="184"/>
      <c r="K101" s="185" t="n">
        <v>0.860103626943005</v>
      </c>
      <c r="L101" s="184"/>
      <c r="M101" s="184"/>
      <c r="N101" s="184"/>
      <c r="O101" s="186" t="n">
        <v>0.54177897574124</v>
      </c>
      <c r="P101" s="184"/>
      <c r="Q101" s="184"/>
      <c r="R101" s="184"/>
      <c r="S101" s="186"/>
      <c r="T101" s="184"/>
      <c r="U101" s="184"/>
      <c r="V101" s="184"/>
      <c r="W101" s="186"/>
      <c r="X101" s="92" t="n">
        <v>0.860103626943005</v>
      </c>
      <c r="Y101" s="114" t="s">
        <v>104</v>
      </c>
      <c r="Z101" s="78" t="s">
        <v>190</v>
      </c>
    </row>
    <row r="102" customFormat="false" ht="25.5" hidden="false" customHeight="true" outlineLevel="0" collapsed="false">
      <c r="A102" s="69" t="s">
        <v>379</v>
      </c>
      <c r="B102" s="70" t="s">
        <v>380</v>
      </c>
      <c r="C102" s="71" t="s">
        <v>236</v>
      </c>
      <c r="D102" s="71" t="s">
        <v>97</v>
      </c>
      <c r="E102" s="183" t="s">
        <v>502</v>
      </c>
      <c r="F102" s="87" t="s">
        <v>32</v>
      </c>
      <c r="G102" s="91" t="s">
        <v>32</v>
      </c>
      <c r="H102" s="184"/>
      <c r="I102" s="184"/>
      <c r="J102" s="184"/>
      <c r="K102" s="185" t="n">
        <v>0.117357001972387</v>
      </c>
      <c r="L102" s="184"/>
      <c r="M102" s="184"/>
      <c r="N102" s="184"/>
      <c r="O102" s="186"/>
      <c r="P102" s="184"/>
      <c r="Q102" s="184"/>
      <c r="R102" s="184"/>
      <c r="S102" s="186"/>
      <c r="T102" s="184"/>
      <c r="U102" s="184"/>
      <c r="V102" s="184"/>
      <c r="W102" s="186"/>
      <c r="X102" s="92" t="n">
        <v>0.117357001972387</v>
      </c>
      <c r="Y102" s="114" t="s">
        <v>120</v>
      </c>
      <c r="Z102" s="78" t="s">
        <v>105</v>
      </c>
    </row>
    <row r="103" customFormat="false" ht="25.5" hidden="false" customHeight="true" outlineLevel="0" collapsed="false">
      <c r="A103" s="69" t="s">
        <v>382</v>
      </c>
      <c r="B103" s="70" t="s">
        <v>383</v>
      </c>
      <c r="C103" s="71" t="s">
        <v>236</v>
      </c>
      <c r="D103" s="71" t="s">
        <v>97</v>
      </c>
      <c r="E103" s="183" t="s">
        <v>502</v>
      </c>
      <c r="F103" s="87" t="n">
        <v>0.07</v>
      </c>
      <c r="G103" s="88" t="n">
        <v>0.115</v>
      </c>
      <c r="H103" s="184"/>
      <c r="I103" s="184"/>
      <c r="J103" s="184"/>
      <c r="K103" s="185" t="n">
        <v>0.04</v>
      </c>
      <c r="L103" s="184"/>
      <c r="M103" s="184"/>
      <c r="N103" s="184"/>
      <c r="O103" s="186"/>
      <c r="P103" s="184"/>
      <c r="Q103" s="184"/>
      <c r="R103" s="184"/>
      <c r="S103" s="186"/>
      <c r="T103" s="184"/>
      <c r="U103" s="184"/>
      <c r="V103" s="184"/>
      <c r="W103" s="186"/>
      <c r="X103" s="92" t="n">
        <v>0.04</v>
      </c>
      <c r="Y103" s="114" t="s">
        <v>104</v>
      </c>
      <c r="Z103" s="78" t="s">
        <v>257</v>
      </c>
    </row>
    <row r="104" customFormat="false" ht="25.5" hidden="false" customHeight="true" outlineLevel="0" collapsed="false">
      <c r="A104" s="69" t="s">
        <v>464</v>
      </c>
      <c r="B104" s="70" t="s">
        <v>465</v>
      </c>
      <c r="C104" s="71" t="s">
        <v>236</v>
      </c>
      <c r="D104" s="71" t="s">
        <v>110</v>
      </c>
      <c r="E104" s="183" t="s">
        <v>504</v>
      </c>
      <c r="F104" s="87" t="n">
        <v>0.755</v>
      </c>
      <c r="G104" s="91" t="n">
        <v>0.7</v>
      </c>
      <c r="H104" s="184"/>
      <c r="I104" s="184"/>
      <c r="J104" s="184"/>
      <c r="K104" s="186"/>
      <c r="L104" s="184"/>
      <c r="M104" s="184"/>
      <c r="N104" s="184"/>
      <c r="O104" s="186"/>
      <c r="P104" s="184"/>
      <c r="Q104" s="184"/>
      <c r="R104" s="184"/>
      <c r="S104" s="186"/>
      <c r="T104" s="184"/>
      <c r="U104" s="184"/>
      <c r="V104" s="184"/>
      <c r="W104" s="186"/>
      <c r="X104" s="92"/>
      <c r="Y104" s="114" t="s">
        <v>99</v>
      </c>
      <c r="Z104" s="78" t="s">
        <v>257</v>
      </c>
    </row>
    <row r="105" customFormat="false" ht="25.5" hidden="false" customHeight="true" outlineLevel="0" collapsed="false">
      <c r="A105" s="69" t="s">
        <v>397</v>
      </c>
      <c r="B105" s="70" t="s">
        <v>398</v>
      </c>
      <c r="C105" s="71" t="s">
        <v>35</v>
      </c>
      <c r="D105" s="71" t="s">
        <v>97</v>
      </c>
      <c r="E105" s="183" t="s">
        <v>502</v>
      </c>
      <c r="F105" s="115" t="n">
        <v>20.7</v>
      </c>
      <c r="G105" s="116" t="n">
        <v>21</v>
      </c>
      <c r="H105" s="184"/>
      <c r="I105" s="184"/>
      <c r="J105" s="184"/>
      <c r="K105" s="187"/>
      <c r="L105" s="184"/>
      <c r="M105" s="184"/>
      <c r="N105" s="184"/>
      <c r="O105" s="187"/>
      <c r="P105" s="184"/>
      <c r="Q105" s="184"/>
      <c r="R105" s="184"/>
      <c r="S105" s="187"/>
      <c r="T105" s="184"/>
      <c r="U105" s="184"/>
      <c r="V105" s="184"/>
      <c r="W105" s="187"/>
      <c r="X105" s="118"/>
      <c r="Y105" s="114" t="s">
        <v>99</v>
      </c>
      <c r="Z105" s="78" t="s">
        <v>257</v>
      </c>
    </row>
    <row r="106" customFormat="false" ht="25.5" hidden="false" customHeight="true" outlineLevel="0" collapsed="false">
      <c r="A106" s="69" t="s">
        <v>220</v>
      </c>
      <c r="B106" s="70" t="s">
        <v>221</v>
      </c>
      <c r="C106" s="71" t="s">
        <v>35</v>
      </c>
      <c r="D106" s="71" t="s">
        <v>97</v>
      </c>
      <c r="E106" s="183" t="s">
        <v>501</v>
      </c>
      <c r="F106" s="115" t="n">
        <v>6</v>
      </c>
      <c r="G106" s="116" t="n">
        <v>5</v>
      </c>
      <c r="H106" s="184"/>
      <c r="I106" s="184"/>
      <c r="J106" s="184"/>
      <c r="K106" s="187" t="str">
        <f aca="false">IF(COUNT(H107:J107)=0,"",AVERAGE(H107:J107))</f>
        <v/>
      </c>
      <c r="L106" s="184"/>
      <c r="M106" s="184"/>
      <c r="N106" s="184"/>
      <c r="O106" s="187" t="str">
        <f aca="false">IF(COUNT(L107:N107)=0,"",AVERAGE(L107:N107))</f>
        <v/>
      </c>
      <c r="P106" s="184"/>
      <c r="Q106" s="184"/>
      <c r="R106" s="184"/>
      <c r="S106" s="187" t="str">
        <f aca="false">IF(COUNT(P107:R107)=0,"",AVERAGE(P107:R107))</f>
        <v/>
      </c>
      <c r="T106" s="184"/>
      <c r="U106" s="184"/>
      <c r="V106" s="184"/>
      <c r="W106" s="187" t="str">
        <f aca="false">IF(COUNT(T107:V107)=0,"",AVERAGE(T107:V107))</f>
        <v/>
      </c>
      <c r="X106" s="118"/>
      <c r="Y106" s="114" t="s">
        <v>99</v>
      </c>
      <c r="Z106" s="78" t="s">
        <v>100</v>
      </c>
    </row>
    <row r="107" customFormat="false" ht="25.5" hidden="false" customHeight="true" outlineLevel="0" collapsed="false">
      <c r="H107" s="113"/>
      <c r="I107" s="113"/>
      <c r="J107" s="113"/>
      <c r="L107" s="113"/>
      <c r="M107" s="113"/>
      <c r="N107" s="113"/>
      <c r="P107" s="113"/>
      <c r="Q107" s="113"/>
      <c r="R107" s="113"/>
      <c r="T107" s="113"/>
      <c r="U107" s="113"/>
      <c r="V107" s="113"/>
    </row>
    <row r="108" customFormat="false" ht="25.5" hidden="false" customHeight="true" outlineLevel="0" collapsed="false">
      <c r="H108" s="113"/>
      <c r="I108" s="113"/>
      <c r="J108" s="113"/>
      <c r="L108" s="113"/>
      <c r="M108" s="113"/>
      <c r="N108" s="113"/>
      <c r="P108" s="113"/>
      <c r="Q108" s="113"/>
      <c r="R108" s="113"/>
      <c r="T108" s="113"/>
      <c r="U108" s="113"/>
      <c r="V108" s="113"/>
    </row>
    <row r="109" customFormat="false" ht="25.5" hidden="false" customHeight="true" outlineLevel="0" collapsed="false">
      <c r="H109" s="113"/>
      <c r="I109" s="113"/>
      <c r="J109" s="113"/>
      <c r="L109" s="113"/>
      <c r="M109" s="113"/>
      <c r="N109" s="113"/>
      <c r="P109" s="113"/>
      <c r="Q109" s="113"/>
      <c r="R109" s="113"/>
      <c r="T109" s="113"/>
      <c r="U109" s="113"/>
      <c r="V109" s="113"/>
    </row>
    <row r="110" customFormat="false" ht="25.5" hidden="false" customHeight="true" outlineLevel="0" collapsed="false">
      <c r="H110" s="113"/>
      <c r="I110" s="113"/>
      <c r="J110" s="113"/>
      <c r="L110" s="113"/>
      <c r="M110" s="113"/>
      <c r="N110" s="113"/>
      <c r="P110" s="113"/>
      <c r="Q110" s="113"/>
      <c r="R110" s="113"/>
      <c r="T110" s="113"/>
      <c r="U110" s="113"/>
      <c r="V110" s="113"/>
    </row>
    <row r="111" customFormat="false" ht="15" hidden="false" customHeight="true" outlineLevel="0" collapsed="false">
      <c r="H111" s="113"/>
      <c r="I111" s="113"/>
      <c r="J111" s="113"/>
      <c r="L111" s="113"/>
      <c r="M111" s="113"/>
      <c r="N111" s="113"/>
      <c r="P111" s="113"/>
      <c r="Q111" s="113"/>
      <c r="R111" s="113"/>
      <c r="T111" s="113"/>
      <c r="U111" s="113"/>
      <c r="V111" s="113"/>
    </row>
    <row r="112" customFormat="false" ht="15" hidden="false" customHeight="true" outlineLevel="0" collapsed="false">
      <c r="H112" s="113"/>
      <c r="I112" s="113"/>
      <c r="J112" s="113"/>
      <c r="L112" s="113"/>
      <c r="M112" s="113"/>
      <c r="N112" s="113"/>
      <c r="P112" s="113"/>
      <c r="Q112" s="113"/>
      <c r="R112" s="113"/>
      <c r="T112" s="113"/>
      <c r="U112" s="113"/>
      <c r="V112" s="113"/>
    </row>
    <row r="113" customFormat="false" ht="15" hidden="false" customHeight="true" outlineLevel="0" collapsed="false">
      <c r="H113" s="113"/>
      <c r="I113" s="113"/>
      <c r="J113" s="113"/>
      <c r="L113" s="113"/>
      <c r="M113" s="113"/>
      <c r="N113" s="113"/>
      <c r="P113" s="113"/>
      <c r="Q113" s="113"/>
      <c r="R113" s="113"/>
      <c r="T113" s="113"/>
      <c r="U113" s="113"/>
      <c r="V113" s="113"/>
    </row>
    <row r="114" customFormat="false" ht="15" hidden="false" customHeight="true" outlineLevel="0" collapsed="false">
      <c r="H114" s="113"/>
      <c r="I114" s="113"/>
      <c r="J114" s="113"/>
      <c r="L114" s="113"/>
      <c r="M114" s="113"/>
      <c r="N114" s="113"/>
      <c r="P114" s="113"/>
      <c r="Q114" s="113"/>
      <c r="R114" s="113"/>
      <c r="T114" s="113"/>
      <c r="U114" s="113"/>
      <c r="V114" s="113"/>
    </row>
    <row r="115" customFormat="false" ht="15" hidden="false" customHeight="true" outlineLevel="0" collapsed="false">
      <c r="H115" s="113"/>
      <c r="I115" s="113"/>
      <c r="J115" s="113"/>
      <c r="L115" s="113"/>
      <c r="M115" s="113"/>
      <c r="N115" s="113"/>
      <c r="P115" s="113"/>
      <c r="Q115" s="113"/>
      <c r="R115" s="113"/>
      <c r="T115" s="113"/>
      <c r="U115" s="113"/>
      <c r="V115" s="113"/>
    </row>
    <row r="116" customFormat="false" ht="15" hidden="false" customHeight="true" outlineLevel="0" collapsed="false">
      <c r="H116" s="113"/>
      <c r="I116" s="113"/>
      <c r="J116" s="113"/>
      <c r="L116" s="113"/>
      <c r="M116" s="113"/>
      <c r="N116" s="113"/>
      <c r="P116" s="113"/>
      <c r="Q116" s="113"/>
      <c r="R116" s="113"/>
      <c r="T116" s="113"/>
      <c r="U116" s="113"/>
      <c r="V116" s="113"/>
    </row>
    <row r="117" customFormat="false" ht="15" hidden="false" customHeight="true" outlineLevel="0" collapsed="false">
      <c r="H117" s="113"/>
      <c r="I117" s="113"/>
      <c r="J117" s="113"/>
      <c r="L117" s="113"/>
      <c r="M117" s="113"/>
      <c r="N117" s="113"/>
      <c r="P117" s="113"/>
      <c r="Q117" s="113"/>
      <c r="R117" s="113"/>
      <c r="T117" s="113"/>
      <c r="U117" s="113"/>
      <c r="V117" s="113"/>
    </row>
    <row r="118" customFormat="false" ht="15" hidden="false" customHeight="true" outlineLevel="0" collapsed="false">
      <c r="H118" s="113"/>
      <c r="I118" s="113"/>
      <c r="J118" s="113"/>
      <c r="L118" s="113"/>
      <c r="M118" s="113"/>
      <c r="N118" s="113"/>
      <c r="P118" s="113"/>
      <c r="Q118" s="113"/>
      <c r="R118" s="113"/>
      <c r="T118" s="113"/>
      <c r="U118" s="113"/>
      <c r="V118" s="113"/>
    </row>
    <row r="119" customFormat="false" ht="15" hidden="false" customHeight="true" outlineLevel="0" collapsed="false">
      <c r="H119" s="113"/>
      <c r="I119" s="113"/>
      <c r="J119" s="113"/>
      <c r="L119" s="113"/>
      <c r="M119" s="113"/>
      <c r="N119" s="113"/>
      <c r="P119" s="113"/>
      <c r="Q119" s="113"/>
      <c r="R119" s="113"/>
      <c r="T119" s="113"/>
      <c r="U119" s="113"/>
      <c r="V119" s="113"/>
    </row>
    <row r="120" customFormat="false" ht="15" hidden="false" customHeight="true" outlineLevel="0" collapsed="false">
      <c r="H120" s="113"/>
      <c r="I120" s="113"/>
      <c r="J120" s="113"/>
      <c r="L120" s="113"/>
      <c r="M120" s="113"/>
      <c r="N120" s="113"/>
      <c r="P120" s="113"/>
      <c r="Q120" s="113"/>
      <c r="R120" s="113"/>
      <c r="T120" s="113"/>
      <c r="U120" s="113"/>
      <c r="V120" s="113"/>
    </row>
    <row r="121" customFormat="false" ht="15" hidden="false" customHeight="true" outlineLevel="0" collapsed="false">
      <c r="H121" s="113"/>
      <c r="I121" s="113"/>
      <c r="J121" s="113"/>
      <c r="L121" s="113"/>
      <c r="M121" s="113"/>
      <c r="N121" s="113"/>
      <c r="P121" s="113"/>
      <c r="Q121" s="113"/>
      <c r="R121" s="113"/>
      <c r="T121" s="113"/>
      <c r="U121" s="113"/>
      <c r="V121" s="113"/>
    </row>
    <row r="122" customFormat="false" ht="15" hidden="false" customHeight="true" outlineLevel="0" collapsed="false">
      <c r="H122" s="113"/>
      <c r="I122" s="113"/>
      <c r="J122" s="113"/>
      <c r="L122" s="113"/>
      <c r="M122" s="113"/>
      <c r="N122" s="113"/>
      <c r="P122" s="113"/>
      <c r="Q122" s="113"/>
      <c r="R122" s="113"/>
      <c r="T122" s="113"/>
      <c r="U122" s="113"/>
      <c r="V122" s="113"/>
    </row>
    <row r="123" customFormat="false" ht="15" hidden="false" customHeight="true" outlineLevel="0" collapsed="false">
      <c r="H123" s="113"/>
      <c r="I123" s="113"/>
      <c r="J123" s="113"/>
      <c r="L123" s="113"/>
      <c r="M123" s="113"/>
      <c r="N123" s="113"/>
      <c r="P123" s="113"/>
      <c r="Q123" s="113"/>
      <c r="R123" s="113"/>
      <c r="T123" s="113"/>
      <c r="U123" s="113"/>
      <c r="V123" s="113"/>
    </row>
    <row r="124" customFormat="false" ht="15" hidden="false" customHeight="true" outlineLevel="0" collapsed="false">
      <c r="H124" s="113"/>
      <c r="I124" s="113"/>
      <c r="J124" s="113"/>
      <c r="L124" s="113"/>
      <c r="M124" s="113"/>
      <c r="N124" s="113"/>
      <c r="P124" s="113"/>
      <c r="Q124" s="113"/>
      <c r="R124" s="113"/>
      <c r="T124" s="113"/>
      <c r="U124" s="113"/>
      <c r="V124" s="113"/>
    </row>
    <row r="125" customFormat="false" ht="15" hidden="false" customHeight="true" outlineLevel="0" collapsed="false">
      <c r="H125" s="113"/>
      <c r="I125" s="113"/>
      <c r="J125" s="113"/>
      <c r="L125" s="113"/>
      <c r="M125" s="113"/>
      <c r="N125" s="113"/>
      <c r="P125" s="113"/>
      <c r="Q125" s="113"/>
      <c r="R125" s="113"/>
      <c r="T125" s="113"/>
      <c r="U125" s="113"/>
      <c r="V125" s="113"/>
    </row>
    <row r="126" customFormat="false" ht="15" hidden="false" customHeight="true" outlineLevel="0" collapsed="false">
      <c r="H126" s="113"/>
      <c r="I126" s="113"/>
      <c r="J126" s="113"/>
      <c r="L126" s="113"/>
      <c r="M126" s="113"/>
      <c r="N126" s="113"/>
      <c r="P126" s="113"/>
      <c r="Q126" s="113"/>
      <c r="R126" s="113"/>
      <c r="T126" s="113"/>
      <c r="U126" s="113"/>
      <c r="V126" s="113"/>
    </row>
    <row r="127" customFormat="false" ht="15" hidden="false" customHeight="true" outlineLevel="0" collapsed="false">
      <c r="H127" s="113"/>
      <c r="I127" s="113"/>
      <c r="J127" s="113"/>
      <c r="L127" s="113"/>
      <c r="M127" s="113"/>
      <c r="N127" s="113"/>
      <c r="P127" s="113"/>
      <c r="Q127" s="113"/>
      <c r="R127" s="113"/>
      <c r="T127" s="113"/>
      <c r="U127" s="113"/>
      <c r="V127" s="113"/>
    </row>
    <row r="128" customFormat="false" ht="15" hidden="false" customHeight="true" outlineLevel="0" collapsed="false">
      <c r="H128" s="113"/>
      <c r="I128" s="113"/>
      <c r="J128" s="113"/>
      <c r="L128" s="113"/>
      <c r="M128" s="113"/>
      <c r="N128" s="113"/>
      <c r="P128" s="113"/>
      <c r="Q128" s="113"/>
      <c r="R128" s="113"/>
      <c r="T128" s="113"/>
      <c r="U128" s="113"/>
      <c r="V128" s="113"/>
    </row>
    <row r="129" customFormat="false" ht="15" hidden="false" customHeight="true" outlineLevel="0" collapsed="false">
      <c r="H129" s="113"/>
      <c r="I129" s="113"/>
      <c r="J129" s="113"/>
      <c r="L129" s="113"/>
      <c r="M129" s="113"/>
      <c r="N129" s="113"/>
      <c r="P129" s="113"/>
      <c r="Q129" s="113"/>
      <c r="R129" s="113"/>
      <c r="T129" s="113"/>
      <c r="U129" s="113"/>
      <c r="V129" s="113"/>
    </row>
    <row r="130" customFormat="false" ht="15" hidden="false" customHeight="true" outlineLevel="0" collapsed="false">
      <c r="H130" s="113"/>
      <c r="I130" s="113"/>
      <c r="J130" s="113"/>
      <c r="L130" s="113"/>
      <c r="M130" s="113"/>
      <c r="N130" s="113"/>
      <c r="P130" s="113"/>
      <c r="Q130" s="113"/>
      <c r="R130" s="113"/>
      <c r="T130" s="113"/>
      <c r="U130" s="113"/>
      <c r="V130" s="113"/>
    </row>
    <row r="131" customFormat="false" ht="15" hidden="false" customHeight="true" outlineLevel="0" collapsed="false">
      <c r="H131" s="113"/>
      <c r="I131" s="113"/>
      <c r="J131" s="113"/>
      <c r="L131" s="113"/>
      <c r="M131" s="113"/>
      <c r="N131" s="113"/>
      <c r="P131" s="113"/>
      <c r="Q131" s="113"/>
      <c r="R131" s="113"/>
      <c r="T131" s="113"/>
      <c r="U131" s="113"/>
      <c r="V131" s="113"/>
    </row>
    <row r="132" customFormat="false" ht="15" hidden="false" customHeight="true" outlineLevel="0" collapsed="false">
      <c r="H132" s="113"/>
      <c r="I132" s="113"/>
      <c r="J132" s="113"/>
      <c r="L132" s="113"/>
      <c r="M132" s="113"/>
      <c r="N132" s="113"/>
      <c r="P132" s="113"/>
      <c r="Q132" s="113"/>
      <c r="R132" s="113"/>
      <c r="T132" s="113"/>
      <c r="U132" s="113"/>
      <c r="V132" s="113"/>
    </row>
    <row r="133" customFormat="false" ht="15" hidden="false" customHeight="true" outlineLevel="0" collapsed="false">
      <c r="H133" s="113"/>
      <c r="I133" s="113"/>
      <c r="J133" s="113"/>
      <c r="L133" s="113"/>
      <c r="M133" s="113"/>
      <c r="N133" s="113"/>
      <c r="P133" s="113"/>
      <c r="Q133" s="113"/>
      <c r="R133" s="113"/>
      <c r="T133" s="113"/>
      <c r="U133" s="113"/>
      <c r="V133" s="113"/>
    </row>
    <row r="134" customFormat="false" ht="15" hidden="false" customHeight="true" outlineLevel="0" collapsed="false">
      <c r="H134" s="113"/>
      <c r="I134" s="113"/>
      <c r="J134" s="113"/>
      <c r="L134" s="113"/>
      <c r="M134" s="113"/>
      <c r="N134" s="113"/>
      <c r="P134" s="113"/>
      <c r="Q134" s="113"/>
      <c r="R134" s="113"/>
      <c r="T134" s="113"/>
      <c r="U134" s="113"/>
      <c r="V134" s="113"/>
    </row>
    <row r="135" customFormat="false" ht="15" hidden="false" customHeight="true" outlineLevel="0" collapsed="false">
      <c r="H135" s="113"/>
      <c r="I135" s="113"/>
      <c r="J135" s="113"/>
      <c r="L135" s="113"/>
      <c r="M135" s="113"/>
      <c r="N135" s="113"/>
      <c r="P135" s="113"/>
      <c r="Q135" s="113"/>
      <c r="R135" s="113"/>
      <c r="T135" s="113"/>
      <c r="U135" s="113"/>
      <c r="V135" s="113"/>
    </row>
    <row r="136" customFormat="false" ht="15" hidden="false" customHeight="true" outlineLevel="0" collapsed="false">
      <c r="H136" s="113"/>
      <c r="I136" s="113"/>
      <c r="J136" s="113"/>
      <c r="L136" s="113"/>
      <c r="M136" s="113"/>
      <c r="N136" s="113"/>
      <c r="P136" s="113"/>
      <c r="Q136" s="113"/>
      <c r="R136" s="113"/>
      <c r="T136" s="113"/>
      <c r="U136" s="113"/>
      <c r="V136" s="113"/>
    </row>
    <row r="137" customFormat="false" ht="15" hidden="false" customHeight="true" outlineLevel="0" collapsed="false">
      <c r="H137" s="113"/>
      <c r="I137" s="113"/>
      <c r="J137" s="113"/>
      <c r="L137" s="113"/>
      <c r="M137" s="113"/>
      <c r="N137" s="113"/>
      <c r="P137" s="113"/>
      <c r="Q137" s="113"/>
      <c r="R137" s="113"/>
      <c r="T137" s="113"/>
      <c r="U137" s="113"/>
      <c r="V137" s="113"/>
    </row>
    <row r="138" customFormat="false" ht="15" hidden="false" customHeight="true" outlineLevel="0" collapsed="false">
      <c r="H138" s="113"/>
      <c r="I138" s="113"/>
      <c r="J138" s="113"/>
      <c r="L138" s="113"/>
      <c r="M138" s="113"/>
      <c r="N138" s="113"/>
      <c r="P138" s="113"/>
      <c r="Q138" s="113"/>
      <c r="R138" s="113"/>
      <c r="T138" s="113"/>
      <c r="U138" s="113"/>
      <c r="V138" s="113"/>
    </row>
    <row r="139" customFormat="false" ht="15" hidden="false" customHeight="true" outlineLevel="0" collapsed="false">
      <c r="H139" s="113"/>
      <c r="I139" s="113"/>
      <c r="J139" s="113"/>
      <c r="L139" s="113"/>
      <c r="M139" s="113"/>
      <c r="N139" s="113"/>
      <c r="P139" s="113"/>
      <c r="Q139" s="113"/>
      <c r="R139" s="113"/>
      <c r="T139" s="113"/>
      <c r="U139" s="113"/>
      <c r="V139" s="113"/>
    </row>
    <row r="140" customFormat="false" ht="15" hidden="false" customHeight="true" outlineLevel="0" collapsed="false">
      <c r="H140" s="113"/>
      <c r="I140" s="113"/>
      <c r="J140" s="113"/>
      <c r="L140" s="113"/>
      <c r="M140" s="113"/>
      <c r="N140" s="113"/>
      <c r="P140" s="113"/>
      <c r="Q140" s="113"/>
      <c r="R140" s="113"/>
      <c r="T140" s="113"/>
      <c r="U140" s="113"/>
      <c r="V140" s="113"/>
    </row>
    <row r="141" customFormat="false" ht="15" hidden="false" customHeight="true" outlineLevel="0" collapsed="false">
      <c r="H141" s="113"/>
      <c r="I141" s="113"/>
      <c r="J141" s="113"/>
      <c r="L141" s="113"/>
      <c r="M141" s="113"/>
      <c r="N141" s="113"/>
      <c r="P141" s="113"/>
      <c r="Q141" s="113"/>
      <c r="R141" s="113"/>
      <c r="T141" s="113"/>
      <c r="U141" s="113"/>
      <c r="V141" s="113"/>
    </row>
    <row r="142" customFormat="false" ht="15" hidden="false" customHeight="true" outlineLevel="0" collapsed="false">
      <c r="H142" s="113"/>
      <c r="I142" s="113"/>
      <c r="J142" s="113"/>
      <c r="L142" s="113"/>
      <c r="M142" s="113"/>
      <c r="N142" s="113"/>
      <c r="P142" s="113"/>
      <c r="Q142" s="113"/>
      <c r="R142" s="113"/>
      <c r="T142" s="113"/>
      <c r="U142" s="113"/>
      <c r="V142" s="113"/>
    </row>
    <row r="143" customFormat="false" ht="15" hidden="false" customHeight="true" outlineLevel="0" collapsed="false">
      <c r="H143" s="113"/>
      <c r="I143" s="113"/>
      <c r="J143" s="113"/>
      <c r="L143" s="113"/>
      <c r="M143" s="113"/>
      <c r="N143" s="113"/>
      <c r="P143" s="113"/>
      <c r="Q143" s="113"/>
      <c r="R143" s="113"/>
      <c r="T143" s="113"/>
      <c r="U143" s="113"/>
      <c r="V143" s="113"/>
    </row>
    <row r="144" customFormat="false" ht="15" hidden="false" customHeight="true" outlineLevel="0" collapsed="false">
      <c r="H144" s="113"/>
      <c r="I144" s="113"/>
      <c r="J144" s="113"/>
      <c r="L144" s="113"/>
      <c r="M144" s="113"/>
      <c r="N144" s="113"/>
      <c r="P144" s="113"/>
      <c r="Q144" s="113"/>
      <c r="R144" s="113"/>
      <c r="T144" s="113"/>
      <c r="U144" s="113"/>
      <c r="V144" s="113"/>
    </row>
    <row r="145" customFormat="false" ht="15" hidden="false" customHeight="true" outlineLevel="0" collapsed="false">
      <c r="H145" s="113"/>
      <c r="I145" s="113"/>
      <c r="J145" s="113"/>
      <c r="L145" s="113"/>
      <c r="M145" s="113"/>
      <c r="N145" s="113"/>
      <c r="P145" s="113"/>
      <c r="Q145" s="113"/>
      <c r="R145" s="113"/>
      <c r="T145" s="113"/>
      <c r="U145" s="113"/>
      <c r="V145" s="113"/>
    </row>
    <row r="146" customFormat="false" ht="15" hidden="false" customHeight="true" outlineLevel="0" collapsed="false">
      <c r="H146" s="113"/>
      <c r="I146" s="113"/>
      <c r="J146" s="113"/>
      <c r="L146" s="113"/>
      <c r="M146" s="113"/>
      <c r="N146" s="113"/>
      <c r="P146" s="113"/>
      <c r="Q146" s="113"/>
      <c r="R146" s="113"/>
      <c r="T146" s="113"/>
      <c r="U146" s="113"/>
      <c r="V146" s="113"/>
    </row>
    <row r="147" customFormat="false" ht="15" hidden="false" customHeight="true" outlineLevel="0" collapsed="false">
      <c r="H147" s="113"/>
      <c r="I147" s="113"/>
      <c r="J147" s="113"/>
      <c r="L147" s="113"/>
      <c r="M147" s="113"/>
      <c r="N147" s="113"/>
      <c r="P147" s="113"/>
      <c r="Q147" s="113"/>
      <c r="R147" s="113"/>
      <c r="T147" s="113"/>
      <c r="U147" s="113"/>
      <c r="V147" s="113"/>
    </row>
    <row r="148" customFormat="false" ht="15" hidden="false" customHeight="true" outlineLevel="0" collapsed="false">
      <c r="H148" s="113"/>
      <c r="I148" s="113"/>
      <c r="J148" s="113"/>
      <c r="L148" s="113"/>
      <c r="M148" s="113"/>
      <c r="N148" s="113"/>
      <c r="P148" s="113"/>
      <c r="Q148" s="113"/>
      <c r="R148" s="113"/>
      <c r="T148" s="113"/>
      <c r="U148" s="113"/>
      <c r="V148" s="113"/>
    </row>
    <row r="149" customFormat="false" ht="15" hidden="false" customHeight="true" outlineLevel="0" collapsed="false">
      <c r="H149" s="113"/>
      <c r="I149" s="113"/>
      <c r="J149" s="113"/>
      <c r="L149" s="113"/>
      <c r="M149" s="113"/>
      <c r="N149" s="113"/>
      <c r="P149" s="113"/>
      <c r="Q149" s="113"/>
      <c r="R149" s="113"/>
      <c r="T149" s="113"/>
      <c r="U149" s="113"/>
      <c r="V149" s="113"/>
    </row>
    <row r="150" customFormat="false" ht="15" hidden="false" customHeight="true" outlineLevel="0" collapsed="false">
      <c r="H150" s="113"/>
      <c r="I150" s="113"/>
      <c r="J150" s="113"/>
      <c r="L150" s="113"/>
      <c r="M150" s="113"/>
      <c r="N150" s="113"/>
      <c r="P150" s="113"/>
      <c r="Q150" s="113"/>
      <c r="R150" s="113"/>
      <c r="T150" s="113"/>
      <c r="U150" s="113"/>
      <c r="V150" s="113"/>
    </row>
    <row r="151" customFormat="false" ht="15" hidden="false" customHeight="true" outlineLevel="0" collapsed="false">
      <c r="H151" s="113"/>
      <c r="I151" s="113"/>
      <c r="J151" s="113"/>
      <c r="L151" s="113"/>
      <c r="M151" s="113"/>
      <c r="N151" s="113"/>
      <c r="P151" s="113"/>
      <c r="Q151" s="113"/>
      <c r="R151" s="113"/>
      <c r="T151" s="113"/>
      <c r="U151" s="113"/>
      <c r="V151" s="113"/>
    </row>
    <row r="152" customFormat="false" ht="15" hidden="false" customHeight="true" outlineLevel="0" collapsed="false">
      <c r="H152" s="113"/>
      <c r="I152" s="113"/>
      <c r="J152" s="113"/>
      <c r="L152" s="113"/>
      <c r="M152" s="113"/>
      <c r="N152" s="113"/>
      <c r="P152" s="113"/>
      <c r="Q152" s="113"/>
      <c r="R152" s="113"/>
      <c r="T152" s="113"/>
      <c r="U152" s="113"/>
      <c r="V152" s="113"/>
    </row>
    <row r="153" customFormat="false" ht="15" hidden="false" customHeight="true" outlineLevel="0" collapsed="false">
      <c r="H153" s="113"/>
      <c r="I153" s="113"/>
      <c r="J153" s="113"/>
      <c r="L153" s="113"/>
      <c r="M153" s="113"/>
      <c r="N153" s="113"/>
      <c r="P153" s="113"/>
      <c r="Q153" s="113"/>
      <c r="R153" s="113"/>
      <c r="T153" s="113"/>
      <c r="U153" s="113"/>
      <c r="V153" s="113"/>
    </row>
    <row r="154" customFormat="false" ht="15" hidden="false" customHeight="true" outlineLevel="0" collapsed="false">
      <c r="H154" s="113"/>
      <c r="I154" s="113"/>
      <c r="J154" s="113"/>
      <c r="L154" s="113"/>
      <c r="M154" s="113"/>
      <c r="N154" s="113"/>
      <c r="P154" s="113"/>
      <c r="Q154" s="113"/>
      <c r="R154" s="113"/>
      <c r="T154" s="113"/>
      <c r="U154" s="113"/>
      <c r="V154" s="113"/>
    </row>
    <row r="155" customFormat="false" ht="15" hidden="false" customHeight="true" outlineLevel="0" collapsed="false">
      <c r="H155" s="113"/>
      <c r="I155" s="113"/>
      <c r="J155" s="113"/>
      <c r="L155" s="113"/>
      <c r="M155" s="113"/>
      <c r="N155" s="113"/>
      <c r="P155" s="113"/>
      <c r="Q155" s="113"/>
      <c r="R155" s="113"/>
      <c r="T155" s="113"/>
      <c r="U155" s="113"/>
      <c r="V155" s="113"/>
    </row>
    <row r="156" customFormat="false" ht="15" hidden="false" customHeight="true" outlineLevel="0" collapsed="false">
      <c r="H156" s="113"/>
      <c r="I156" s="113"/>
      <c r="J156" s="113"/>
      <c r="L156" s="113"/>
      <c r="M156" s="113"/>
      <c r="N156" s="113"/>
      <c r="P156" s="113"/>
      <c r="Q156" s="113"/>
      <c r="R156" s="113"/>
      <c r="T156" s="113"/>
      <c r="U156" s="113"/>
      <c r="V156" s="113"/>
    </row>
    <row r="157" customFormat="false" ht="15" hidden="false" customHeight="true" outlineLevel="0" collapsed="false">
      <c r="H157" s="113"/>
      <c r="I157" s="113"/>
      <c r="J157" s="113"/>
      <c r="L157" s="113"/>
      <c r="M157" s="113"/>
      <c r="N157" s="113"/>
      <c r="P157" s="113"/>
      <c r="Q157" s="113"/>
      <c r="R157" s="113"/>
      <c r="T157" s="113"/>
      <c r="U157" s="113"/>
      <c r="V157" s="113"/>
    </row>
    <row r="158" customFormat="false" ht="15" hidden="false" customHeight="true" outlineLevel="0" collapsed="false">
      <c r="H158" s="113"/>
      <c r="I158" s="113"/>
      <c r="J158" s="113"/>
      <c r="L158" s="113"/>
      <c r="M158" s="113"/>
      <c r="N158" s="113"/>
      <c r="P158" s="113"/>
      <c r="Q158" s="113"/>
      <c r="R158" s="113"/>
      <c r="T158" s="113"/>
      <c r="U158" s="113"/>
      <c r="V158" s="113"/>
    </row>
    <row r="159" customFormat="false" ht="15" hidden="false" customHeight="true" outlineLevel="0" collapsed="false">
      <c r="H159" s="113"/>
      <c r="I159" s="113"/>
      <c r="J159" s="113"/>
      <c r="L159" s="113"/>
      <c r="M159" s="113"/>
      <c r="N159" s="113"/>
      <c r="P159" s="113"/>
      <c r="Q159" s="113"/>
      <c r="R159" s="113"/>
      <c r="T159" s="113"/>
      <c r="U159" s="113"/>
      <c r="V159" s="113"/>
    </row>
    <row r="160" customFormat="false" ht="15" hidden="false" customHeight="true" outlineLevel="0" collapsed="false">
      <c r="H160" s="113"/>
      <c r="I160" s="113"/>
      <c r="J160" s="113"/>
      <c r="L160" s="113"/>
      <c r="M160" s="113"/>
      <c r="N160" s="113"/>
      <c r="P160" s="113"/>
      <c r="Q160" s="113"/>
      <c r="R160" s="113"/>
      <c r="T160" s="113"/>
      <c r="U160" s="113"/>
      <c r="V160" s="113"/>
    </row>
    <row r="161" customFormat="false" ht="15" hidden="false" customHeight="true" outlineLevel="0" collapsed="false">
      <c r="H161" s="113"/>
      <c r="I161" s="113"/>
      <c r="J161" s="113"/>
      <c r="L161" s="113"/>
      <c r="M161" s="113"/>
      <c r="N161" s="113"/>
      <c r="P161" s="113"/>
      <c r="Q161" s="113"/>
      <c r="R161" s="113"/>
      <c r="T161" s="113"/>
      <c r="U161" s="113"/>
      <c r="V161" s="113"/>
    </row>
    <row r="162" customFormat="false" ht="15" hidden="false" customHeight="true" outlineLevel="0" collapsed="false">
      <c r="H162" s="113"/>
      <c r="I162" s="113"/>
      <c r="J162" s="113"/>
      <c r="L162" s="113"/>
      <c r="M162" s="113"/>
      <c r="N162" s="113"/>
      <c r="P162" s="113"/>
      <c r="Q162" s="113"/>
      <c r="R162" s="113"/>
      <c r="T162" s="113"/>
      <c r="U162" s="113"/>
      <c r="V162" s="113"/>
    </row>
    <row r="163" customFormat="false" ht="15" hidden="false" customHeight="true" outlineLevel="0" collapsed="false">
      <c r="H163" s="113"/>
      <c r="I163" s="113"/>
      <c r="J163" s="113"/>
      <c r="L163" s="113"/>
      <c r="M163" s="113"/>
      <c r="N163" s="113"/>
      <c r="P163" s="113"/>
      <c r="Q163" s="113"/>
      <c r="R163" s="113"/>
      <c r="T163" s="113"/>
      <c r="U163" s="113"/>
      <c r="V163" s="113"/>
    </row>
    <row r="164" customFormat="false" ht="15" hidden="false" customHeight="true" outlineLevel="0" collapsed="false">
      <c r="H164" s="113"/>
      <c r="I164" s="113"/>
      <c r="J164" s="113"/>
      <c r="L164" s="113"/>
      <c r="M164" s="113"/>
      <c r="N164" s="113"/>
      <c r="P164" s="113"/>
      <c r="Q164" s="113"/>
      <c r="R164" s="113"/>
      <c r="T164" s="113"/>
      <c r="U164" s="113"/>
      <c r="V164" s="113"/>
    </row>
    <row r="165" customFormat="false" ht="15" hidden="false" customHeight="true" outlineLevel="0" collapsed="false">
      <c r="H165" s="113"/>
      <c r="I165" s="113"/>
      <c r="J165" s="113"/>
      <c r="L165" s="113"/>
      <c r="M165" s="113"/>
      <c r="N165" s="113"/>
      <c r="P165" s="113"/>
      <c r="Q165" s="113"/>
      <c r="R165" s="113"/>
      <c r="T165" s="113"/>
      <c r="U165" s="113"/>
      <c r="V165" s="113"/>
    </row>
    <row r="166" customFormat="false" ht="15" hidden="false" customHeight="true" outlineLevel="0" collapsed="false">
      <c r="H166" s="113"/>
      <c r="I166" s="113"/>
      <c r="J166" s="113"/>
      <c r="L166" s="113"/>
      <c r="M166" s="113"/>
      <c r="N166" s="113"/>
      <c r="P166" s="113"/>
      <c r="Q166" s="113"/>
      <c r="R166" s="113"/>
      <c r="T166" s="113"/>
      <c r="U166" s="113"/>
      <c r="V166" s="113"/>
    </row>
    <row r="167" customFormat="false" ht="15" hidden="false" customHeight="true" outlineLevel="0" collapsed="false">
      <c r="H167" s="113"/>
      <c r="I167" s="113"/>
      <c r="J167" s="113"/>
      <c r="L167" s="113"/>
      <c r="M167" s="113"/>
      <c r="N167" s="113"/>
      <c r="P167" s="113"/>
      <c r="Q167" s="113"/>
      <c r="R167" s="113"/>
      <c r="T167" s="113"/>
      <c r="U167" s="113"/>
      <c r="V167" s="113"/>
    </row>
    <row r="168" customFormat="false" ht="15" hidden="false" customHeight="true" outlineLevel="0" collapsed="false">
      <c r="H168" s="113"/>
      <c r="I168" s="113"/>
      <c r="J168" s="113"/>
      <c r="L168" s="113"/>
      <c r="M168" s="113"/>
      <c r="N168" s="113"/>
      <c r="P168" s="113"/>
      <c r="Q168" s="113"/>
      <c r="R168" s="113"/>
      <c r="T168" s="113"/>
      <c r="U168" s="113"/>
      <c r="V168" s="113"/>
    </row>
    <row r="169" customFormat="false" ht="15" hidden="false" customHeight="true" outlineLevel="0" collapsed="false">
      <c r="H169" s="113"/>
      <c r="I169" s="113"/>
      <c r="J169" s="113"/>
      <c r="L169" s="113"/>
      <c r="M169" s="113"/>
      <c r="N169" s="113"/>
      <c r="P169" s="113"/>
      <c r="Q169" s="113"/>
      <c r="R169" s="113"/>
      <c r="T169" s="113"/>
      <c r="U169" s="113"/>
      <c r="V169" s="113"/>
    </row>
    <row r="170" customFormat="false" ht="15" hidden="false" customHeight="true" outlineLevel="0" collapsed="false">
      <c r="H170" s="113"/>
      <c r="I170" s="113"/>
      <c r="J170" s="113"/>
      <c r="L170" s="113"/>
      <c r="M170" s="113"/>
      <c r="N170" s="113"/>
      <c r="P170" s="113"/>
      <c r="Q170" s="113"/>
      <c r="R170" s="113"/>
      <c r="T170" s="113"/>
      <c r="U170" s="113"/>
      <c r="V170" s="113"/>
    </row>
    <row r="171" customFormat="false" ht="15" hidden="false" customHeight="true" outlineLevel="0" collapsed="false">
      <c r="H171" s="113"/>
      <c r="I171" s="113"/>
      <c r="J171" s="113"/>
      <c r="L171" s="113"/>
      <c r="M171" s="113"/>
      <c r="N171" s="113"/>
      <c r="P171" s="113"/>
      <c r="Q171" s="113"/>
      <c r="R171" s="113"/>
      <c r="T171" s="113"/>
      <c r="U171" s="113"/>
      <c r="V171" s="113"/>
    </row>
    <row r="172" customFormat="false" ht="15" hidden="false" customHeight="true" outlineLevel="0" collapsed="false">
      <c r="H172" s="113"/>
      <c r="I172" s="113"/>
      <c r="J172" s="113"/>
      <c r="L172" s="113"/>
      <c r="M172" s="113"/>
      <c r="N172" s="113"/>
      <c r="P172" s="113"/>
      <c r="Q172" s="113"/>
      <c r="R172" s="113"/>
      <c r="T172" s="113"/>
      <c r="U172" s="113"/>
      <c r="V172" s="113"/>
    </row>
    <row r="173" customFormat="false" ht="15" hidden="false" customHeight="true" outlineLevel="0" collapsed="false">
      <c r="H173" s="113"/>
      <c r="I173" s="113"/>
      <c r="J173" s="113"/>
      <c r="L173" s="113"/>
      <c r="M173" s="113"/>
      <c r="N173" s="113"/>
      <c r="P173" s="113"/>
      <c r="Q173" s="113"/>
      <c r="R173" s="113"/>
      <c r="T173" s="113"/>
      <c r="U173" s="113"/>
      <c r="V173" s="113"/>
    </row>
    <row r="174" customFormat="false" ht="15" hidden="false" customHeight="true" outlineLevel="0" collapsed="false">
      <c r="H174" s="113"/>
      <c r="I174" s="113"/>
      <c r="J174" s="113"/>
      <c r="L174" s="113"/>
      <c r="M174" s="113"/>
      <c r="N174" s="113"/>
      <c r="P174" s="113"/>
      <c r="Q174" s="113"/>
      <c r="R174" s="113"/>
      <c r="T174" s="113"/>
      <c r="U174" s="113"/>
      <c r="V174" s="113"/>
    </row>
    <row r="175" customFormat="false" ht="15" hidden="false" customHeight="true" outlineLevel="0" collapsed="false">
      <c r="H175" s="113"/>
      <c r="I175" s="113"/>
      <c r="J175" s="113"/>
      <c r="L175" s="113"/>
      <c r="M175" s="113"/>
      <c r="N175" s="113"/>
      <c r="P175" s="113"/>
      <c r="Q175" s="113"/>
      <c r="R175" s="113"/>
      <c r="T175" s="113"/>
      <c r="U175" s="113"/>
      <c r="V175" s="113"/>
    </row>
    <row r="176" customFormat="false" ht="15" hidden="false" customHeight="true" outlineLevel="0" collapsed="false">
      <c r="H176" s="113"/>
      <c r="I176" s="113"/>
      <c r="J176" s="113"/>
      <c r="L176" s="113"/>
      <c r="M176" s="113"/>
      <c r="N176" s="113"/>
      <c r="P176" s="113"/>
      <c r="Q176" s="113"/>
      <c r="R176" s="113"/>
      <c r="T176" s="113"/>
      <c r="U176" s="113"/>
      <c r="V176" s="113"/>
    </row>
    <row r="177" customFormat="false" ht="15" hidden="false" customHeight="true" outlineLevel="0" collapsed="false">
      <c r="H177" s="113"/>
      <c r="I177" s="113"/>
      <c r="J177" s="113"/>
      <c r="L177" s="113"/>
      <c r="M177" s="113"/>
      <c r="N177" s="113"/>
      <c r="P177" s="113"/>
      <c r="Q177" s="113"/>
      <c r="R177" s="113"/>
      <c r="T177" s="113"/>
      <c r="U177" s="113"/>
      <c r="V177" s="113"/>
    </row>
    <row r="178" customFormat="false" ht="15" hidden="false" customHeight="true" outlineLevel="0" collapsed="false">
      <c r="H178" s="113"/>
      <c r="I178" s="113"/>
      <c r="J178" s="113"/>
      <c r="L178" s="113"/>
      <c r="M178" s="113"/>
      <c r="N178" s="113"/>
      <c r="P178" s="113"/>
      <c r="Q178" s="113"/>
      <c r="R178" s="113"/>
      <c r="T178" s="113"/>
      <c r="U178" s="113"/>
      <c r="V178" s="113"/>
    </row>
    <row r="179" customFormat="false" ht="15" hidden="false" customHeight="true" outlineLevel="0" collapsed="false">
      <c r="H179" s="113"/>
      <c r="I179" s="113"/>
      <c r="J179" s="113"/>
      <c r="L179" s="113"/>
      <c r="M179" s="113"/>
      <c r="N179" s="113"/>
      <c r="P179" s="113"/>
      <c r="Q179" s="113"/>
      <c r="R179" s="113"/>
      <c r="T179" s="113"/>
      <c r="U179" s="113"/>
      <c r="V179" s="113"/>
    </row>
    <row r="180" customFormat="false" ht="15" hidden="false" customHeight="true" outlineLevel="0" collapsed="false">
      <c r="H180" s="113"/>
      <c r="I180" s="113"/>
      <c r="J180" s="113"/>
      <c r="L180" s="113"/>
      <c r="M180" s="113"/>
      <c r="N180" s="113"/>
      <c r="P180" s="113"/>
      <c r="Q180" s="113"/>
      <c r="R180" s="113"/>
      <c r="T180" s="113"/>
      <c r="U180" s="113"/>
      <c r="V180" s="113"/>
    </row>
    <row r="181" customFormat="false" ht="15" hidden="false" customHeight="true" outlineLevel="0" collapsed="false">
      <c r="H181" s="113"/>
      <c r="I181" s="113"/>
      <c r="J181" s="113"/>
      <c r="L181" s="113"/>
      <c r="M181" s="113"/>
      <c r="N181" s="113"/>
      <c r="P181" s="113"/>
      <c r="Q181" s="113"/>
      <c r="R181" s="113"/>
      <c r="T181" s="113"/>
      <c r="U181" s="113"/>
      <c r="V181" s="113"/>
    </row>
    <row r="182" customFormat="false" ht="15" hidden="false" customHeight="true" outlineLevel="0" collapsed="false">
      <c r="H182" s="113"/>
      <c r="I182" s="113"/>
      <c r="J182" s="113"/>
      <c r="L182" s="113"/>
      <c r="M182" s="113"/>
      <c r="N182" s="113"/>
      <c r="P182" s="113"/>
      <c r="Q182" s="113"/>
      <c r="R182" s="113"/>
      <c r="T182" s="113"/>
      <c r="U182" s="113"/>
      <c r="V182" s="113"/>
    </row>
    <row r="183" customFormat="false" ht="15" hidden="false" customHeight="true" outlineLevel="0" collapsed="false">
      <c r="H183" s="113"/>
      <c r="I183" s="113"/>
      <c r="J183" s="113"/>
      <c r="L183" s="113"/>
      <c r="M183" s="113"/>
      <c r="N183" s="113"/>
      <c r="P183" s="113"/>
      <c r="Q183" s="113"/>
      <c r="R183" s="113"/>
      <c r="T183" s="113"/>
      <c r="U183" s="113"/>
      <c r="V183" s="113"/>
    </row>
    <row r="184" customFormat="false" ht="15" hidden="false" customHeight="true" outlineLevel="0" collapsed="false">
      <c r="H184" s="113"/>
      <c r="I184" s="113"/>
      <c r="J184" s="113"/>
      <c r="L184" s="113"/>
      <c r="M184" s="113"/>
      <c r="N184" s="113"/>
      <c r="P184" s="113"/>
      <c r="Q184" s="113"/>
      <c r="R184" s="113"/>
      <c r="T184" s="113"/>
      <c r="U184" s="113"/>
      <c r="V184" s="113"/>
    </row>
    <row r="185" customFormat="false" ht="15" hidden="false" customHeight="true" outlineLevel="0" collapsed="false">
      <c r="H185" s="113"/>
      <c r="I185" s="113"/>
      <c r="J185" s="113"/>
      <c r="L185" s="113"/>
      <c r="M185" s="113"/>
      <c r="N185" s="113"/>
      <c r="P185" s="113"/>
      <c r="Q185" s="113"/>
      <c r="R185" s="113"/>
      <c r="T185" s="113"/>
      <c r="U185" s="113"/>
      <c r="V185" s="113"/>
    </row>
    <row r="186" customFormat="false" ht="15" hidden="false" customHeight="true" outlineLevel="0" collapsed="false">
      <c r="H186" s="113"/>
      <c r="I186" s="113"/>
      <c r="J186" s="113"/>
      <c r="L186" s="113"/>
      <c r="M186" s="113"/>
      <c r="N186" s="113"/>
      <c r="P186" s="113"/>
      <c r="Q186" s="113"/>
      <c r="R186" s="113"/>
      <c r="T186" s="113"/>
      <c r="U186" s="113"/>
      <c r="V186" s="113"/>
    </row>
    <row r="187" customFormat="false" ht="15" hidden="false" customHeight="true" outlineLevel="0" collapsed="false">
      <c r="H187" s="113"/>
      <c r="I187" s="113"/>
      <c r="J187" s="113"/>
      <c r="L187" s="113"/>
      <c r="M187" s="113"/>
      <c r="N187" s="113"/>
      <c r="P187" s="113"/>
      <c r="Q187" s="113"/>
      <c r="R187" s="113"/>
      <c r="T187" s="113"/>
      <c r="U187" s="113"/>
      <c r="V187" s="113"/>
    </row>
    <row r="188" customFormat="false" ht="15" hidden="false" customHeight="true" outlineLevel="0" collapsed="false">
      <c r="H188" s="113"/>
      <c r="I188" s="113"/>
      <c r="J188" s="113"/>
      <c r="L188" s="113"/>
      <c r="M188" s="113"/>
      <c r="N188" s="113"/>
      <c r="P188" s="113"/>
      <c r="Q188" s="113"/>
      <c r="R188" s="113"/>
      <c r="T188" s="113"/>
      <c r="U188" s="113"/>
      <c r="V188" s="113"/>
    </row>
    <row r="189" customFormat="false" ht="15" hidden="false" customHeight="true" outlineLevel="0" collapsed="false">
      <c r="H189" s="113"/>
      <c r="I189" s="113"/>
      <c r="J189" s="113"/>
      <c r="L189" s="113"/>
      <c r="M189" s="113"/>
      <c r="N189" s="113"/>
      <c r="P189" s="113"/>
      <c r="Q189" s="113"/>
      <c r="R189" s="113"/>
      <c r="T189" s="113"/>
      <c r="U189" s="113"/>
      <c r="V189" s="113"/>
    </row>
    <row r="190" customFormat="false" ht="15" hidden="false" customHeight="true" outlineLevel="0" collapsed="false">
      <c r="H190" s="113"/>
      <c r="I190" s="113"/>
      <c r="J190" s="113"/>
      <c r="L190" s="113"/>
      <c r="M190" s="113"/>
      <c r="N190" s="113"/>
      <c r="P190" s="113"/>
      <c r="Q190" s="113"/>
      <c r="R190" s="113"/>
      <c r="T190" s="113"/>
      <c r="U190" s="113"/>
      <c r="V190" s="113"/>
    </row>
    <row r="191" customFormat="false" ht="15" hidden="false" customHeight="true" outlineLevel="0" collapsed="false">
      <c r="H191" s="113"/>
      <c r="I191" s="113"/>
      <c r="J191" s="113"/>
      <c r="L191" s="113"/>
      <c r="M191" s="113"/>
      <c r="N191" s="113"/>
      <c r="P191" s="113"/>
      <c r="Q191" s="113"/>
      <c r="R191" s="113"/>
      <c r="T191" s="113"/>
      <c r="U191" s="113"/>
      <c r="V191" s="113"/>
    </row>
    <row r="192" customFormat="false" ht="15" hidden="false" customHeight="true" outlineLevel="0" collapsed="false">
      <c r="H192" s="113"/>
      <c r="I192" s="113"/>
      <c r="J192" s="113"/>
      <c r="L192" s="113"/>
      <c r="M192" s="113"/>
      <c r="N192" s="113"/>
      <c r="P192" s="113"/>
      <c r="Q192" s="113"/>
      <c r="R192" s="113"/>
      <c r="T192" s="113"/>
      <c r="U192" s="113"/>
      <c r="V192" s="113"/>
    </row>
    <row r="193" customFormat="false" ht="15" hidden="false" customHeight="true" outlineLevel="0" collapsed="false">
      <c r="H193" s="113"/>
      <c r="I193" s="113"/>
      <c r="J193" s="113"/>
      <c r="L193" s="113"/>
      <c r="M193" s="113"/>
      <c r="N193" s="113"/>
      <c r="P193" s="113"/>
      <c r="Q193" s="113"/>
      <c r="R193" s="113"/>
      <c r="T193" s="113"/>
      <c r="U193" s="113"/>
      <c r="V193" s="113"/>
    </row>
    <row r="194" customFormat="false" ht="15" hidden="false" customHeight="true" outlineLevel="0" collapsed="false">
      <c r="H194" s="113"/>
      <c r="I194" s="113"/>
      <c r="J194" s="113"/>
      <c r="L194" s="113"/>
      <c r="M194" s="113"/>
      <c r="N194" s="113"/>
      <c r="P194" s="113"/>
      <c r="Q194" s="113"/>
      <c r="R194" s="113"/>
      <c r="T194" s="113"/>
      <c r="U194" s="113"/>
      <c r="V194" s="113"/>
    </row>
    <row r="195" customFormat="false" ht="15" hidden="false" customHeight="true" outlineLevel="0" collapsed="false">
      <c r="H195" s="113"/>
      <c r="I195" s="113"/>
      <c r="J195" s="113"/>
      <c r="L195" s="113"/>
      <c r="M195" s="113"/>
      <c r="N195" s="113"/>
      <c r="P195" s="113"/>
      <c r="Q195" s="113"/>
      <c r="R195" s="113"/>
      <c r="T195" s="113"/>
      <c r="U195" s="113"/>
      <c r="V195" s="113"/>
    </row>
    <row r="196" customFormat="false" ht="15" hidden="false" customHeight="true" outlineLevel="0" collapsed="false">
      <c r="H196" s="113"/>
      <c r="I196" s="113"/>
      <c r="J196" s="113"/>
      <c r="L196" s="113"/>
      <c r="M196" s="113"/>
      <c r="N196" s="113"/>
      <c r="P196" s="113"/>
      <c r="Q196" s="113"/>
      <c r="R196" s="113"/>
      <c r="T196" s="113"/>
      <c r="U196" s="113"/>
      <c r="V196" s="113"/>
    </row>
    <row r="197" customFormat="false" ht="15" hidden="false" customHeight="true" outlineLevel="0" collapsed="false">
      <c r="H197" s="113"/>
      <c r="I197" s="113"/>
      <c r="J197" s="113"/>
      <c r="L197" s="113"/>
      <c r="M197" s="113"/>
      <c r="N197" s="113"/>
      <c r="P197" s="113"/>
      <c r="Q197" s="113"/>
      <c r="R197" s="113"/>
      <c r="T197" s="113"/>
      <c r="U197" s="113"/>
      <c r="V197" s="113"/>
    </row>
    <row r="198" customFormat="false" ht="15" hidden="false" customHeight="true" outlineLevel="0" collapsed="false">
      <c r="H198" s="113"/>
      <c r="I198" s="113"/>
      <c r="J198" s="113"/>
      <c r="L198" s="113"/>
      <c r="M198" s="113"/>
      <c r="N198" s="113"/>
      <c r="P198" s="113"/>
      <c r="Q198" s="113"/>
      <c r="R198" s="113"/>
      <c r="T198" s="113"/>
      <c r="U198" s="113"/>
      <c r="V198" s="113"/>
    </row>
    <row r="199" customFormat="false" ht="15" hidden="false" customHeight="true" outlineLevel="0" collapsed="false">
      <c r="H199" s="113"/>
      <c r="I199" s="113"/>
      <c r="J199" s="113"/>
      <c r="L199" s="113"/>
      <c r="M199" s="113"/>
      <c r="N199" s="113"/>
      <c r="P199" s="113"/>
      <c r="Q199" s="113"/>
      <c r="R199" s="113"/>
      <c r="T199" s="113"/>
      <c r="U199" s="113"/>
      <c r="V199" s="113"/>
    </row>
    <row r="200" customFormat="false" ht="15" hidden="false" customHeight="true" outlineLevel="0" collapsed="false">
      <c r="H200" s="113"/>
      <c r="I200" s="113"/>
      <c r="J200" s="113"/>
      <c r="L200" s="113"/>
      <c r="M200" s="113"/>
      <c r="N200" s="113"/>
      <c r="P200" s="113"/>
      <c r="Q200" s="113"/>
      <c r="R200" s="113"/>
      <c r="T200" s="113"/>
      <c r="U200" s="113"/>
      <c r="V200" s="113"/>
    </row>
    <row r="201" customFormat="false" ht="15" hidden="false" customHeight="true" outlineLevel="0" collapsed="false">
      <c r="H201" s="113"/>
      <c r="I201" s="113"/>
      <c r="J201" s="113"/>
      <c r="L201" s="113"/>
      <c r="M201" s="113"/>
      <c r="N201" s="113"/>
      <c r="P201" s="113"/>
      <c r="Q201" s="113"/>
      <c r="R201" s="113"/>
      <c r="T201" s="113"/>
      <c r="U201" s="113"/>
      <c r="V201" s="113"/>
    </row>
    <row r="202" customFormat="false" ht="15" hidden="false" customHeight="true" outlineLevel="0" collapsed="false">
      <c r="H202" s="113"/>
      <c r="I202" s="113"/>
      <c r="J202" s="113"/>
      <c r="L202" s="113"/>
      <c r="M202" s="113"/>
      <c r="N202" s="113"/>
      <c r="P202" s="113"/>
      <c r="Q202" s="113"/>
      <c r="R202" s="113"/>
      <c r="T202" s="113"/>
      <c r="U202" s="113"/>
      <c r="V202" s="113"/>
    </row>
    <row r="203" customFormat="false" ht="15" hidden="false" customHeight="true" outlineLevel="0" collapsed="false">
      <c r="H203" s="113"/>
      <c r="I203" s="113"/>
      <c r="J203" s="113"/>
      <c r="L203" s="113"/>
      <c r="M203" s="113"/>
      <c r="N203" s="113"/>
      <c r="P203" s="113"/>
      <c r="Q203" s="113"/>
      <c r="R203" s="113"/>
      <c r="T203" s="113"/>
      <c r="U203" s="113"/>
      <c r="V203" s="113"/>
    </row>
    <row r="204" customFormat="false" ht="15" hidden="false" customHeight="true" outlineLevel="0" collapsed="false">
      <c r="H204" s="113"/>
      <c r="I204" s="113"/>
      <c r="J204" s="113"/>
      <c r="L204" s="113"/>
      <c r="M204" s="113"/>
      <c r="N204" s="113"/>
      <c r="P204" s="113"/>
      <c r="Q204" s="113"/>
      <c r="R204" s="113"/>
      <c r="T204" s="113"/>
      <c r="U204" s="113"/>
      <c r="V204" s="113"/>
    </row>
    <row r="205" customFormat="false" ht="15" hidden="false" customHeight="true" outlineLevel="0" collapsed="false">
      <c r="H205" s="113"/>
      <c r="I205" s="113"/>
      <c r="J205" s="113"/>
      <c r="L205" s="113"/>
      <c r="M205" s="113"/>
      <c r="N205" s="113"/>
      <c r="P205" s="113"/>
      <c r="Q205" s="113"/>
      <c r="R205" s="113"/>
      <c r="T205" s="113"/>
      <c r="U205" s="113"/>
      <c r="V205" s="113"/>
    </row>
    <row r="206" customFormat="false" ht="15" hidden="false" customHeight="true" outlineLevel="0" collapsed="false">
      <c r="H206" s="113"/>
      <c r="I206" s="113"/>
      <c r="J206" s="113"/>
      <c r="L206" s="113"/>
      <c r="M206" s="113"/>
      <c r="N206" s="113"/>
      <c r="P206" s="113"/>
      <c r="Q206" s="113"/>
      <c r="R206" s="113"/>
      <c r="T206" s="113"/>
      <c r="U206" s="113"/>
      <c r="V206" s="113"/>
    </row>
    <row r="207" customFormat="false" ht="15" hidden="false" customHeight="true" outlineLevel="0" collapsed="false">
      <c r="H207" s="113"/>
      <c r="I207" s="113"/>
      <c r="J207" s="113"/>
      <c r="L207" s="113"/>
      <c r="M207" s="113"/>
      <c r="N207" s="113"/>
      <c r="P207" s="113"/>
      <c r="Q207" s="113"/>
      <c r="R207" s="113"/>
      <c r="T207" s="113"/>
      <c r="U207" s="113"/>
      <c r="V207" s="113"/>
    </row>
    <row r="208" customFormat="false" ht="15" hidden="false" customHeight="true" outlineLevel="0" collapsed="false">
      <c r="H208" s="113"/>
      <c r="I208" s="113"/>
      <c r="J208" s="113"/>
      <c r="L208" s="113"/>
      <c r="M208" s="113"/>
      <c r="N208" s="113"/>
      <c r="P208" s="113"/>
      <c r="Q208" s="113"/>
      <c r="R208" s="113"/>
      <c r="T208" s="113"/>
      <c r="U208" s="113"/>
      <c r="V208" s="113"/>
    </row>
    <row r="209" customFormat="false" ht="15" hidden="false" customHeight="true" outlineLevel="0" collapsed="false">
      <c r="H209" s="113"/>
      <c r="I209" s="113"/>
      <c r="J209" s="113"/>
      <c r="L209" s="113"/>
      <c r="M209" s="113"/>
      <c r="N209" s="113"/>
      <c r="P209" s="113"/>
      <c r="Q209" s="113"/>
      <c r="R209" s="113"/>
      <c r="T209" s="113"/>
      <c r="U209" s="113"/>
      <c r="V209" s="113"/>
    </row>
    <row r="210" customFormat="false" ht="15" hidden="false" customHeight="true" outlineLevel="0" collapsed="false">
      <c r="H210" s="113"/>
      <c r="I210" s="113"/>
      <c r="J210" s="113"/>
      <c r="L210" s="113"/>
      <c r="M210" s="113"/>
      <c r="N210" s="113"/>
      <c r="P210" s="113"/>
      <c r="Q210" s="113"/>
      <c r="R210" s="113"/>
      <c r="T210" s="113"/>
      <c r="U210" s="113"/>
      <c r="V210" s="113"/>
    </row>
    <row r="211" customFormat="false" ht="15" hidden="false" customHeight="true" outlineLevel="0" collapsed="false">
      <c r="H211" s="113"/>
      <c r="I211" s="113"/>
      <c r="J211" s="113"/>
      <c r="L211" s="113"/>
      <c r="M211" s="113"/>
      <c r="N211" s="113"/>
      <c r="P211" s="113"/>
      <c r="Q211" s="113"/>
      <c r="R211" s="113"/>
      <c r="T211" s="113"/>
      <c r="U211" s="113"/>
      <c r="V211" s="113"/>
    </row>
    <row r="212" customFormat="false" ht="15" hidden="false" customHeight="true" outlineLevel="0" collapsed="false">
      <c r="H212" s="113"/>
      <c r="I212" s="113"/>
      <c r="J212" s="113"/>
      <c r="L212" s="113"/>
      <c r="M212" s="113"/>
      <c r="N212" s="113"/>
      <c r="P212" s="113"/>
      <c r="Q212" s="113"/>
      <c r="R212" s="113"/>
      <c r="T212" s="113"/>
      <c r="U212" s="113"/>
      <c r="V212" s="113"/>
    </row>
    <row r="213" customFormat="false" ht="15" hidden="false" customHeight="true" outlineLevel="0" collapsed="false">
      <c r="H213" s="113"/>
      <c r="I213" s="113"/>
      <c r="J213" s="113"/>
      <c r="L213" s="113"/>
      <c r="M213" s="113"/>
      <c r="N213" s="113"/>
      <c r="P213" s="113"/>
      <c r="Q213" s="113"/>
      <c r="R213" s="113"/>
      <c r="T213" s="113"/>
      <c r="U213" s="113"/>
      <c r="V213" s="113"/>
    </row>
    <row r="214" customFormat="false" ht="15" hidden="false" customHeight="true" outlineLevel="0" collapsed="false">
      <c r="H214" s="113"/>
      <c r="I214" s="113"/>
      <c r="J214" s="113"/>
      <c r="L214" s="113"/>
      <c r="M214" s="113"/>
      <c r="N214" s="113"/>
      <c r="P214" s="113"/>
      <c r="Q214" s="113"/>
      <c r="R214" s="113"/>
      <c r="T214" s="113"/>
      <c r="U214" s="113"/>
      <c r="V214" s="113"/>
    </row>
    <row r="215" customFormat="false" ht="15" hidden="false" customHeight="true" outlineLevel="0" collapsed="false">
      <c r="H215" s="113"/>
      <c r="I215" s="113"/>
      <c r="J215" s="113"/>
      <c r="L215" s="113"/>
      <c r="M215" s="113"/>
      <c r="N215" s="113"/>
      <c r="P215" s="113"/>
      <c r="Q215" s="113"/>
      <c r="R215" s="113"/>
      <c r="T215" s="113"/>
      <c r="U215" s="113"/>
      <c r="V215" s="113"/>
    </row>
    <row r="216" customFormat="false" ht="15" hidden="false" customHeight="true" outlineLevel="0" collapsed="false">
      <c r="H216" s="113"/>
      <c r="I216" s="113"/>
      <c r="J216" s="113"/>
      <c r="L216" s="113"/>
      <c r="M216" s="113"/>
      <c r="N216" s="113"/>
      <c r="P216" s="113"/>
      <c r="Q216" s="113"/>
      <c r="R216" s="113"/>
      <c r="T216" s="113"/>
      <c r="U216" s="113"/>
      <c r="V216" s="113"/>
    </row>
    <row r="217" customFormat="false" ht="15" hidden="false" customHeight="true" outlineLevel="0" collapsed="false">
      <c r="H217" s="113"/>
      <c r="I217" s="113"/>
      <c r="J217" s="113"/>
      <c r="L217" s="113"/>
      <c r="M217" s="113"/>
      <c r="N217" s="113"/>
      <c r="P217" s="113"/>
      <c r="Q217" s="113"/>
      <c r="R217" s="113"/>
      <c r="T217" s="113"/>
      <c r="U217" s="113"/>
      <c r="V217" s="113"/>
    </row>
    <row r="218" customFormat="false" ht="15" hidden="false" customHeight="true" outlineLevel="0" collapsed="false">
      <c r="H218" s="113"/>
      <c r="I218" s="113"/>
      <c r="J218" s="113"/>
      <c r="L218" s="113"/>
      <c r="M218" s="113"/>
      <c r="N218" s="113"/>
      <c r="P218" s="113"/>
      <c r="Q218" s="113"/>
      <c r="R218" s="113"/>
      <c r="T218" s="113"/>
      <c r="U218" s="113"/>
      <c r="V218" s="113"/>
    </row>
    <row r="219" customFormat="false" ht="15" hidden="false" customHeight="true" outlineLevel="0" collapsed="false">
      <c r="H219" s="113"/>
      <c r="I219" s="113"/>
      <c r="J219" s="113"/>
      <c r="L219" s="113"/>
      <c r="M219" s="113"/>
      <c r="N219" s="113"/>
      <c r="P219" s="113"/>
      <c r="Q219" s="113"/>
      <c r="R219" s="113"/>
      <c r="T219" s="113"/>
      <c r="U219" s="113"/>
      <c r="V219" s="113"/>
    </row>
    <row r="220" customFormat="false" ht="15" hidden="false" customHeight="true" outlineLevel="0" collapsed="false">
      <c r="H220" s="113"/>
      <c r="I220" s="113"/>
      <c r="J220" s="113"/>
      <c r="L220" s="113"/>
      <c r="M220" s="113"/>
      <c r="N220" s="113"/>
      <c r="P220" s="113"/>
      <c r="Q220" s="113"/>
      <c r="R220" s="113"/>
      <c r="T220" s="113"/>
      <c r="U220" s="113"/>
      <c r="V220" s="113"/>
    </row>
    <row r="221" customFormat="false" ht="15" hidden="false" customHeight="true" outlineLevel="0" collapsed="false">
      <c r="H221" s="113"/>
      <c r="I221" s="113"/>
      <c r="J221" s="113"/>
      <c r="L221" s="113"/>
      <c r="M221" s="113"/>
      <c r="N221" s="113"/>
      <c r="P221" s="113"/>
      <c r="Q221" s="113"/>
      <c r="R221" s="113"/>
      <c r="T221" s="113"/>
      <c r="U221" s="113"/>
      <c r="V221" s="113"/>
    </row>
    <row r="222" customFormat="false" ht="15" hidden="false" customHeight="true" outlineLevel="0" collapsed="false">
      <c r="H222" s="113"/>
      <c r="I222" s="113"/>
      <c r="J222" s="113"/>
      <c r="L222" s="113"/>
      <c r="M222" s="113"/>
      <c r="N222" s="113"/>
      <c r="P222" s="113"/>
      <c r="Q222" s="113"/>
      <c r="R222" s="113"/>
      <c r="T222" s="113"/>
      <c r="U222" s="113"/>
      <c r="V222" s="113"/>
    </row>
    <row r="223" customFormat="false" ht="15" hidden="false" customHeight="true" outlineLevel="0" collapsed="false">
      <c r="H223" s="113"/>
      <c r="I223" s="113"/>
      <c r="J223" s="113"/>
      <c r="L223" s="113"/>
      <c r="M223" s="113"/>
      <c r="N223" s="113"/>
      <c r="P223" s="113"/>
      <c r="Q223" s="113"/>
      <c r="R223" s="113"/>
      <c r="T223" s="113"/>
      <c r="U223" s="113"/>
      <c r="V223" s="113"/>
    </row>
    <row r="224" customFormat="false" ht="15" hidden="false" customHeight="true" outlineLevel="0" collapsed="false">
      <c r="H224" s="113"/>
      <c r="I224" s="113"/>
      <c r="J224" s="113"/>
      <c r="L224" s="113"/>
      <c r="M224" s="113"/>
      <c r="N224" s="113"/>
      <c r="P224" s="113"/>
      <c r="Q224" s="113"/>
      <c r="R224" s="113"/>
      <c r="T224" s="113"/>
      <c r="U224" s="113"/>
      <c r="V224" s="113"/>
    </row>
    <row r="225" customFormat="false" ht="15" hidden="false" customHeight="true" outlineLevel="0" collapsed="false">
      <c r="H225" s="113"/>
      <c r="I225" s="113"/>
      <c r="J225" s="113"/>
      <c r="L225" s="113"/>
      <c r="M225" s="113"/>
      <c r="N225" s="113"/>
      <c r="P225" s="113"/>
      <c r="Q225" s="113"/>
      <c r="R225" s="113"/>
      <c r="T225" s="113"/>
      <c r="U225" s="113"/>
      <c r="V225" s="113"/>
    </row>
    <row r="226" customFormat="false" ht="15" hidden="false" customHeight="true" outlineLevel="0" collapsed="false">
      <c r="H226" s="113"/>
      <c r="I226" s="113"/>
      <c r="J226" s="113"/>
      <c r="L226" s="113"/>
      <c r="M226" s="113"/>
      <c r="N226" s="113"/>
      <c r="P226" s="113"/>
      <c r="Q226" s="113"/>
      <c r="R226" s="113"/>
      <c r="T226" s="113"/>
      <c r="U226" s="113"/>
      <c r="V226" s="113"/>
    </row>
    <row r="227" customFormat="false" ht="15" hidden="false" customHeight="true" outlineLevel="0" collapsed="false">
      <c r="H227" s="113"/>
      <c r="I227" s="113"/>
      <c r="J227" s="113"/>
      <c r="L227" s="113"/>
      <c r="M227" s="113"/>
      <c r="N227" s="113"/>
      <c r="P227" s="113"/>
      <c r="Q227" s="113"/>
      <c r="R227" s="113"/>
      <c r="T227" s="113"/>
      <c r="U227" s="113"/>
      <c r="V227" s="113"/>
    </row>
    <row r="228" customFormat="false" ht="15" hidden="false" customHeight="true" outlineLevel="0" collapsed="false">
      <c r="H228" s="113"/>
      <c r="I228" s="113"/>
      <c r="J228" s="113"/>
      <c r="L228" s="113"/>
      <c r="M228" s="113"/>
      <c r="N228" s="113"/>
      <c r="P228" s="113"/>
      <c r="Q228" s="113"/>
      <c r="R228" s="113"/>
      <c r="T228" s="113"/>
      <c r="U228" s="113"/>
      <c r="V228" s="113"/>
    </row>
    <row r="229" customFormat="false" ht="15" hidden="false" customHeight="true" outlineLevel="0" collapsed="false">
      <c r="H229" s="113"/>
      <c r="I229" s="113"/>
      <c r="J229" s="113"/>
      <c r="L229" s="113"/>
      <c r="M229" s="113"/>
      <c r="N229" s="113"/>
      <c r="P229" s="113"/>
      <c r="Q229" s="113"/>
      <c r="R229" s="113"/>
      <c r="T229" s="113"/>
      <c r="U229" s="113"/>
      <c r="V229" s="113"/>
    </row>
    <row r="230" customFormat="false" ht="15" hidden="false" customHeight="true" outlineLevel="0" collapsed="false">
      <c r="H230" s="113"/>
      <c r="I230" s="113"/>
      <c r="J230" s="113"/>
      <c r="L230" s="113"/>
      <c r="M230" s="113"/>
      <c r="N230" s="113"/>
      <c r="P230" s="113"/>
      <c r="Q230" s="113"/>
      <c r="R230" s="113"/>
      <c r="T230" s="113"/>
      <c r="U230" s="113"/>
      <c r="V230" s="113"/>
    </row>
    <row r="231" customFormat="false" ht="15" hidden="false" customHeight="true" outlineLevel="0" collapsed="false">
      <c r="H231" s="113"/>
      <c r="I231" s="113"/>
      <c r="J231" s="113"/>
      <c r="L231" s="113"/>
      <c r="M231" s="113"/>
      <c r="N231" s="113"/>
      <c r="P231" s="113"/>
      <c r="Q231" s="113"/>
      <c r="R231" s="113"/>
      <c r="T231" s="113"/>
      <c r="U231" s="113"/>
      <c r="V231" s="113"/>
    </row>
    <row r="232" customFormat="false" ht="15" hidden="false" customHeight="true" outlineLevel="0" collapsed="false">
      <c r="H232" s="113"/>
      <c r="I232" s="113"/>
      <c r="J232" s="113"/>
      <c r="L232" s="113"/>
      <c r="M232" s="113"/>
      <c r="N232" s="113"/>
      <c r="P232" s="113"/>
      <c r="Q232" s="113"/>
      <c r="R232" s="113"/>
      <c r="T232" s="113"/>
      <c r="U232" s="113"/>
      <c r="V232" s="113"/>
    </row>
    <row r="233" customFormat="false" ht="15" hidden="false" customHeight="true" outlineLevel="0" collapsed="false">
      <c r="H233" s="113"/>
      <c r="I233" s="113"/>
      <c r="J233" s="113"/>
      <c r="L233" s="113"/>
      <c r="M233" s="113"/>
      <c r="N233" s="113"/>
      <c r="P233" s="113"/>
      <c r="Q233" s="113"/>
      <c r="R233" s="113"/>
      <c r="T233" s="113"/>
      <c r="U233" s="113"/>
      <c r="V233" s="113"/>
    </row>
    <row r="234" customFormat="false" ht="15" hidden="false" customHeight="true" outlineLevel="0" collapsed="false">
      <c r="H234" s="113"/>
      <c r="I234" s="113"/>
      <c r="J234" s="113"/>
      <c r="L234" s="113"/>
      <c r="M234" s="113"/>
      <c r="N234" s="113"/>
      <c r="P234" s="113"/>
      <c r="Q234" s="113"/>
      <c r="R234" s="113"/>
      <c r="T234" s="113"/>
      <c r="U234" s="113"/>
      <c r="V234" s="113"/>
    </row>
    <row r="235" customFormat="false" ht="15" hidden="false" customHeight="true" outlineLevel="0" collapsed="false">
      <c r="H235" s="113"/>
      <c r="I235" s="113"/>
      <c r="J235" s="113"/>
      <c r="L235" s="113"/>
      <c r="M235" s="113"/>
      <c r="N235" s="113"/>
      <c r="P235" s="113"/>
      <c r="Q235" s="113"/>
      <c r="R235" s="113"/>
      <c r="T235" s="113"/>
      <c r="U235" s="113"/>
      <c r="V235" s="113"/>
    </row>
    <row r="236" customFormat="false" ht="15" hidden="false" customHeight="true" outlineLevel="0" collapsed="false">
      <c r="H236" s="113"/>
      <c r="I236" s="113"/>
      <c r="J236" s="113"/>
      <c r="L236" s="113"/>
      <c r="M236" s="113"/>
      <c r="N236" s="113"/>
      <c r="P236" s="113"/>
      <c r="Q236" s="113"/>
      <c r="R236" s="113"/>
      <c r="T236" s="113"/>
      <c r="U236" s="113"/>
      <c r="V236" s="113"/>
    </row>
    <row r="237" customFormat="false" ht="15" hidden="false" customHeight="true" outlineLevel="0" collapsed="false">
      <c r="H237" s="113"/>
      <c r="I237" s="113"/>
      <c r="J237" s="113"/>
      <c r="L237" s="113"/>
      <c r="M237" s="113"/>
      <c r="N237" s="113"/>
      <c r="P237" s="113"/>
      <c r="Q237" s="113"/>
      <c r="R237" s="113"/>
      <c r="T237" s="113"/>
      <c r="U237" s="113"/>
      <c r="V237" s="113"/>
    </row>
    <row r="238" customFormat="false" ht="15" hidden="false" customHeight="true" outlineLevel="0" collapsed="false">
      <c r="H238" s="113"/>
      <c r="I238" s="113"/>
      <c r="J238" s="113"/>
      <c r="L238" s="113"/>
      <c r="M238" s="113"/>
      <c r="N238" s="113"/>
      <c r="P238" s="113"/>
      <c r="Q238" s="113"/>
      <c r="R238" s="113"/>
      <c r="T238" s="113"/>
      <c r="U238" s="113"/>
      <c r="V238" s="113"/>
    </row>
    <row r="239" customFormat="false" ht="15" hidden="false" customHeight="true" outlineLevel="0" collapsed="false">
      <c r="H239" s="113"/>
      <c r="I239" s="113"/>
      <c r="J239" s="113"/>
      <c r="L239" s="113"/>
      <c r="M239" s="113"/>
      <c r="N239" s="113"/>
      <c r="P239" s="113"/>
      <c r="Q239" s="113"/>
      <c r="R239" s="113"/>
      <c r="T239" s="113"/>
      <c r="U239" s="113"/>
      <c r="V239" s="113"/>
    </row>
    <row r="240" customFormat="false" ht="15" hidden="false" customHeight="true" outlineLevel="0" collapsed="false">
      <c r="H240" s="113"/>
      <c r="I240" s="113"/>
      <c r="J240" s="113"/>
      <c r="L240" s="113"/>
      <c r="M240" s="113"/>
      <c r="N240" s="113"/>
      <c r="P240" s="113"/>
      <c r="Q240" s="113"/>
      <c r="R240" s="113"/>
      <c r="T240" s="113"/>
      <c r="U240" s="113"/>
      <c r="V240" s="113"/>
    </row>
    <row r="241" customFormat="false" ht="15" hidden="false" customHeight="true" outlineLevel="0" collapsed="false">
      <c r="H241" s="113"/>
      <c r="I241" s="113"/>
      <c r="J241" s="113"/>
      <c r="L241" s="113"/>
      <c r="M241" s="113"/>
      <c r="N241" s="113"/>
      <c r="P241" s="113"/>
      <c r="Q241" s="113"/>
      <c r="R241" s="113"/>
      <c r="T241" s="113"/>
      <c r="U241" s="113"/>
      <c r="V241" s="113"/>
    </row>
    <row r="242" customFormat="false" ht="15" hidden="false" customHeight="true" outlineLevel="0" collapsed="false">
      <c r="H242" s="113"/>
      <c r="I242" s="113"/>
      <c r="J242" s="113"/>
      <c r="L242" s="113"/>
      <c r="M242" s="113"/>
      <c r="N242" s="113"/>
      <c r="P242" s="113"/>
      <c r="Q242" s="113"/>
      <c r="R242" s="113"/>
      <c r="T242" s="113"/>
      <c r="U242" s="113"/>
      <c r="V242" s="113"/>
    </row>
    <row r="243" customFormat="false" ht="15" hidden="false" customHeight="true" outlineLevel="0" collapsed="false">
      <c r="H243" s="113"/>
      <c r="I243" s="113"/>
      <c r="J243" s="113"/>
      <c r="L243" s="113"/>
      <c r="M243" s="113"/>
      <c r="N243" s="113"/>
      <c r="P243" s="113"/>
      <c r="Q243" s="113"/>
      <c r="R243" s="113"/>
      <c r="T243" s="113"/>
      <c r="U243" s="113"/>
      <c r="V243" s="113"/>
    </row>
    <row r="244" customFormat="false" ht="15" hidden="false" customHeight="true" outlineLevel="0" collapsed="false">
      <c r="H244" s="113"/>
      <c r="I244" s="113"/>
      <c r="J244" s="113"/>
      <c r="L244" s="113"/>
      <c r="M244" s="113"/>
      <c r="N244" s="113"/>
      <c r="P244" s="113"/>
      <c r="Q244" s="113"/>
      <c r="R244" s="113"/>
      <c r="T244" s="113"/>
      <c r="U244" s="113"/>
      <c r="V244" s="113"/>
    </row>
    <row r="245" customFormat="false" ht="15" hidden="false" customHeight="true" outlineLevel="0" collapsed="false">
      <c r="H245" s="113"/>
      <c r="I245" s="113"/>
      <c r="J245" s="113"/>
      <c r="L245" s="113"/>
      <c r="M245" s="113"/>
      <c r="N245" s="113"/>
      <c r="P245" s="113"/>
      <c r="Q245" s="113"/>
      <c r="R245" s="113"/>
      <c r="T245" s="113"/>
      <c r="U245" s="113"/>
      <c r="V245" s="113"/>
    </row>
    <row r="246" customFormat="false" ht="15" hidden="false" customHeight="true" outlineLevel="0" collapsed="false">
      <c r="H246" s="113"/>
      <c r="I246" s="113"/>
      <c r="J246" s="113"/>
      <c r="L246" s="113"/>
      <c r="M246" s="113"/>
      <c r="N246" s="113"/>
      <c r="P246" s="113"/>
      <c r="Q246" s="113"/>
      <c r="R246" s="113"/>
      <c r="T246" s="113"/>
      <c r="U246" s="113"/>
      <c r="V246" s="113"/>
    </row>
    <row r="247" customFormat="false" ht="15" hidden="false" customHeight="true" outlineLevel="0" collapsed="false">
      <c r="H247" s="113"/>
      <c r="I247" s="113"/>
      <c r="J247" s="113"/>
      <c r="L247" s="113"/>
      <c r="M247" s="113"/>
      <c r="N247" s="113"/>
      <c r="P247" s="113"/>
      <c r="Q247" s="113"/>
      <c r="R247" s="113"/>
      <c r="T247" s="113"/>
      <c r="U247" s="113"/>
      <c r="V247" s="113"/>
    </row>
    <row r="248" customFormat="false" ht="15" hidden="false" customHeight="true" outlineLevel="0" collapsed="false">
      <c r="H248" s="113"/>
      <c r="I248" s="113"/>
      <c r="J248" s="113"/>
      <c r="L248" s="113"/>
      <c r="M248" s="113"/>
      <c r="N248" s="113"/>
      <c r="P248" s="113"/>
      <c r="Q248" s="113"/>
      <c r="R248" s="113"/>
      <c r="T248" s="113"/>
      <c r="U248" s="113"/>
      <c r="V248" s="113"/>
    </row>
    <row r="249" customFormat="false" ht="15" hidden="false" customHeight="true" outlineLevel="0" collapsed="false">
      <c r="H249" s="113"/>
      <c r="I249" s="113"/>
      <c r="J249" s="113"/>
      <c r="L249" s="113"/>
      <c r="M249" s="113"/>
      <c r="N249" s="113"/>
      <c r="P249" s="113"/>
      <c r="Q249" s="113"/>
      <c r="R249" s="113"/>
      <c r="T249" s="113"/>
      <c r="U249" s="113"/>
      <c r="V249" s="113"/>
    </row>
    <row r="250" customFormat="false" ht="15" hidden="false" customHeight="true" outlineLevel="0" collapsed="false">
      <c r="H250" s="113"/>
      <c r="I250" s="113"/>
      <c r="J250" s="113"/>
      <c r="L250" s="113"/>
      <c r="M250" s="113"/>
      <c r="N250" s="113"/>
      <c r="P250" s="113"/>
      <c r="Q250" s="113"/>
      <c r="R250" s="113"/>
      <c r="T250" s="113"/>
      <c r="U250" s="113"/>
      <c r="V250" s="113"/>
    </row>
    <row r="251" customFormat="false" ht="15" hidden="false" customHeight="true" outlineLevel="0" collapsed="false">
      <c r="H251" s="113"/>
      <c r="I251" s="113"/>
      <c r="J251" s="113"/>
      <c r="L251" s="113"/>
      <c r="M251" s="113"/>
      <c r="N251" s="113"/>
      <c r="P251" s="113"/>
      <c r="Q251" s="113"/>
      <c r="R251" s="113"/>
      <c r="T251" s="113"/>
      <c r="U251" s="113"/>
      <c r="V251" s="113"/>
    </row>
    <row r="252" customFormat="false" ht="15" hidden="false" customHeight="true" outlineLevel="0" collapsed="false">
      <c r="H252" s="113"/>
      <c r="I252" s="113"/>
      <c r="J252" s="113"/>
      <c r="L252" s="113"/>
      <c r="M252" s="113"/>
      <c r="N252" s="113"/>
      <c r="P252" s="113"/>
      <c r="Q252" s="113"/>
      <c r="R252" s="113"/>
      <c r="T252" s="113"/>
      <c r="U252" s="113"/>
      <c r="V252" s="113"/>
    </row>
    <row r="253" customFormat="false" ht="15" hidden="false" customHeight="true" outlineLevel="0" collapsed="false">
      <c r="H253" s="113"/>
      <c r="I253" s="113"/>
      <c r="J253" s="113"/>
      <c r="L253" s="113"/>
      <c r="M253" s="113"/>
      <c r="N253" s="113"/>
      <c r="P253" s="113"/>
      <c r="Q253" s="113"/>
      <c r="R253" s="113"/>
      <c r="T253" s="113"/>
      <c r="U253" s="113"/>
      <c r="V253" s="113"/>
    </row>
    <row r="254" customFormat="false" ht="15" hidden="false" customHeight="true" outlineLevel="0" collapsed="false">
      <c r="H254" s="113"/>
      <c r="I254" s="113"/>
      <c r="J254" s="113"/>
      <c r="L254" s="113"/>
      <c r="M254" s="113"/>
      <c r="N254" s="113"/>
      <c r="P254" s="113"/>
      <c r="Q254" s="113"/>
      <c r="R254" s="113"/>
      <c r="T254" s="113"/>
      <c r="U254" s="113"/>
      <c r="V254" s="113"/>
    </row>
    <row r="255" customFormat="false" ht="15" hidden="false" customHeight="true" outlineLevel="0" collapsed="false">
      <c r="H255" s="113"/>
      <c r="I255" s="113"/>
      <c r="J255" s="113"/>
      <c r="L255" s="113"/>
      <c r="M255" s="113"/>
      <c r="N255" s="113"/>
      <c r="P255" s="113"/>
      <c r="Q255" s="113"/>
      <c r="R255" s="113"/>
      <c r="T255" s="113"/>
      <c r="U255" s="113"/>
      <c r="V255" s="113"/>
    </row>
    <row r="256" customFormat="false" ht="15" hidden="false" customHeight="true" outlineLevel="0" collapsed="false">
      <c r="H256" s="113"/>
      <c r="I256" s="113"/>
      <c r="J256" s="113"/>
      <c r="L256" s="113"/>
      <c r="M256" s="113"/>
      <c r="N256" s="113"/>
      <c r="P256" s="113"/>
      <c r="Q256" s="113"/>
      <c r="R256" s="113"/>
      <c r="T256" s="113"/>
      <c r="U256" s="113"/>
      <c r="V256" s="113"/>
    </row>
    <row r="257" customFormat="false" ht="15" hidden="false" customHeight="true" outlineLevel="0" collapsed="false">
      <c r="H257" s="113"/>
      <c r="I257" s="113"/>
      <c r="J257" s="113"/>
      <c r="L257" s="113"/>
      <c r="M257" s="113"/>
      <c r="N257" s="113"/>
      <c r="P257" s="113"/>
      <c r="Q257" s="113"/>
      <c r="R257" s="113"/>
      <c r="T257" s="113"/>
      <c r="U257" s="113"/>
      <c r="V257" s="113"/>
    </row>
    <row r="258" customFormat="false" ht="15" hidden="false" customHeight="true" outlineLevel="0" collapsed="false">
      <c r="H258" s="113"/>
      <c r="I258" s="113"/>
      <c r="J258" s="113"/>
      <c r="L258" s="113"/>
      <c r="M258" s="113"/>
      <c r="N258" s="113"/>
      <c r="P258" s="113"/>
      <c r="Q258" s="113"/>
      <c r="R258" s="113"/>
      <c r="T258" s="113"/>
      <c r="U258" s="113"/>
      <c r="V258" s="113"/>
    </row>
    <row r="259" customFormat="false" ht="15" hidden="false" customHeight="true" outlineLevel="0" collapsed="false">
      <c r="H259" s="113"/>
      <c r="I259" s="113"/>
      <c r="J259" s="113"/>
      <c r="L259" s="113"/>
      <c r="M259" s="113"/>
      <c r="N259" s="113"/>
      <c r="P259" s="113"/>
      <c r="Q259" s="113"/>
      <c r="R259" s="113"/>
      <c r="T259" s="113"/>
      <c r="U259" s="113"/>
      <c r="V259" s="113"/>
    </row>
    <row r="260" customFormat="false" ht="15" hidden="false" customHeight="true" outlineLevel="0" collapsed="false">
      <c r="H260" s="113"/>
      <c r="I260" s="113"/>
      <c r="J260" s="113"/>
      <c r="L260" s="113"/>
      <c r="M260" s="113"/>
      <c r="N260" s="113"/>
      <c r="P260" s="113"/>
      <c r="Q260" s="113"/>
      <c r="R260" s="113"/>
      <c r="T260" s="113"/>
      <c r="U260" s="113"/>
      <c r="V260" s="113"/>
    </row>
    <row r="261" customFormat="false" ht="15" hidden="false" customHeight="true" outlineLevel="0" collapsed="false">
      <c r="H261" s="113"/>
      <c r="I261" s="113"/>
      <c r="J261" s="113"/>
      <c r="L261" s="113"/>
      <c r="M261" s="113"/>
      <c r="N261" s="113"/>
      <c r="P261" s="113"/>
      <c r="Q261" s="113"/>
      <c r="R261" s="113"/>
      <c r="T261" s="113"/>
      <c r="U261" s="113"/>
      <c r="V261" s="113"/>
    </row>
    <row r="262" customFormat="false" ht="15" hidden="false" customHeight="true" outlineLevel="0" collapsed="false">
      <c r="H262" s="113"/>
      <c r="I262" s="113"/>
      <c r="J262" s="113"/>
      <c r="L262" s="113"/>
      <c r="M262" s="113"/>
      <c r="N262" s="113"/>
      <c r="P262" s="113"/>
      <c r="Q262" s="113"/>
      <c r="R262" s="113"/>
      <c r="T262" s="113"/>
      <c r="U262" s="113"/>
      <c r="V262" s="113"/>
    </row>
    <row r="263" customFormat="false" ht="15" hidden="false" customHeight="true" outlineLevel="0" collapsed="false">
      <c r="H263" s="113"/>
      <c r="I263" s="113"/>
      <c r="J263" s="113"/>
      <c r="L263" s="113"/>
      <c r="M263" s="113"/>
      <c r="N263" s="113"/>
      <c r="P263" s="113"/>
      <c r="Q263" s="113"/>
      <c r="R263" s="113"/>
      <c r="T263" s="113"/>
      <c r="U263" s="113"/>
      <c r="V263" s="113"/>
    </row>
    <row r="264" customFormat="false" ht="15" hidden="false" customHeight="true" outlineLevel="0" collapsed="false">
      <c r="H264" s="113"/>
      <c r="I264" s="113"/>
      <c r="J264" s="113"/>
      <c r="L264" s="113"/>
      <c r="M264" s="113"/>
      <c r="N264" s="113"/>
      <c r="P264" s="113"/>
      <c r="Q264" s="113"/>
      <c r="R264" s="113"/>
      <c r="T264" s="113"/>
      <c r="U264" s="113"/>
      <c r="V264" s="113"/>
    </row>
    <row r="265" customFormat="false" ht="15" hidden="false" customHeight="true" outlineLevel="0" collapsed="false">
      <c r="H265" s="113"/>
      <c r="I265" s="113"/>
      <c r="J265" s="113"/>
      <c r="L265" s="113"/>
      <c r="M265" s="113"/>
      <c r="N265" s="113"/>
      <c r="P265" s="113"/>
      <c r="Q265" s="113"/>
      <c r="R265" s="113"/>
      <c r="T265" s="113"/>
      <c r="U265" s="113"/>
      <c r="V265" s="113"/>
    </row>
    <row r="266" customFormat="false" ht="15" hidden="false" customHeight="true" outlineLevel="0" collapsed="false">
      <c r="H266" s="113"/>
      <c r="I266" s="113"/>
      <c r="J266" s="113"/>
      <c r="L266" s="113"/>
      <c r="M266" s="113"/>
      <c r="N266" s="113"/>
      <c r="P266" s="113"/>
      <c r="Q266" s="113"/>
      <c r="R266" s="113"/>
      <c r="T266" s="113"/>
      <c r="U266" s="113"/>
      <c r="V266" s="113"/>
    </row>
    <row r="267" customFormat="false" ht="15" hidden="false" customHeight="true" outlineLevel="0" collapsed="false">
      <c r="H267" s="113"/>
      <c r="I267" s="113"/>
      <c r="J267" s="113"/>
      <c r="L267" s="113"/>
      <c r="M267" s="113"/>
      <c r="N267" s="113"/>
      <c r="P267" s="113"/>
      <c r="Q267" s="113"/>
      <c r="R267" s="113"/>
      <c r="T267" s="113"/>
      <c r="U267" s="113"/>
      <c r="V267" s="113"/>
    </row>
    <row r="268" customFormat="false" ht="15" hidden="false" customHeight="true" outlineLevel="0" collapsed="false">
      <c r="H268" s="113"/>
      <c r="I268" s="113"/>
      <c r="J268" s="113"/>
      <c r="L268" s="113"/>
      <c r="M268" s="113"/>
      <c r="N268" s="113"/>
      <c r="P268" s="113"/>
      <c r="Q268" s="113"/>
      <c r="R268" s="113"/>
      <c r="T268" s="113"/>
      <c r="U268" s="113"/>
      <c r="V268" s="113"/>
    </row>
    <row r="269" customFormat="false" ht="15" hidden="false" customHeight="true" outlineLevel="0" collapsed="false">
      <c r="H269" s="113"/>
      <c r="I269" s="113"/>
      <c r="J269" s="113"/>
      <c r="L269" s="113"/>
      <c r="M269" s="113"/>
      <c r="N269" s="113"/>
      <c r="P269" s="113"/>
      <c r="Q269" s="113"/>
      <c r="R269" s="113"/>
      <c r="T269" s="113"/>
      <c r="U269" s="113"/>
      <c r="V269" s="113"/>
    </row>
    <row r="270" customFormat="false" ht="15" hidden="false" customHeight="true" outlineLevel="0" collapsed="false">
      <c r="H270" s="113"/>
      <c r="I270" s="113"/>
      <c r="J270" s="113"/>
      <c r="L270" s="113"/>
      <c r="M270" s="113"/>
      <c r="N270" s="113"/>
      <c r="P270" s="113"/>
      <c r="Q270" s="113"/>
      <c r="R270" s="113"/>
      <c r="T270" s="113"/>
      <c r="U270" s="113"/>
      <c r="V270" s="113"/>
    </row>
    <row r="271" customFormat="false" ht="15" hidden="false" customHeight="true" outlineLevel="0" collapsed="false">
      <c r="H271" s="113"/>
      <c r="I271" s="113"/>
      <c r="J271" s="113"/>
      <c r="L271" s="113"/>
      <c r="M271" s="113"/>
      <c r="N271" s="113"/>
      <c r="P271" s="113"/>
      <c r="Q271" s="113"/>
      <c r="R271" s="113"/>
      <c r="T271" s="113"/>
      <c r="U271" s="113"/>
      <c r="V271" s="113"/>
    </row>
    <row r="272" customFormat="false" ht="15" hidden="false" customHeight="true" outlineLevel="0" collapsed="false">
      <c r="H272" s="113"/>
      <c r="I272" s="113"/>
      <c r="J272" s="113"/>
      <c r="L272" s="113"/>
      <c r="M272" s="113"/>
      <c r="N272" s="113"/>
      <c r="P272" s="113"/>
      <c r="Q272" s="113"/>
      <c r="R272" s="113"/>
      <c r="T272" s="113"/>
      <c r="U272" s="113"/>
      <c r="V272" s="113"/>
    </row>
    <row r="273" customFormat="false" ht="15" hidden="false" customHeight="true" outlineLevel="0" collapsed="false">
      <c r="H273" s="113"/>
      <c r="I273" s="113"/>
      <c r="J273" s="113"/>
      <c r="L273" s="113"/>
      <c r="M273" s="113"/>
      <c r="N273" s="113"/>
      <c r="P273" s="113"/>
      <c r="Q273" s="113"/>
      <c r="R273" s="113"/>
      <c r="T273" s="113"/>
      <c r="U273" s="113"/>
      <c r="V273" s="113"/>
    </row>
    <row r="274" customFormat="false" ht="15" hidden="false" customHeight="true" outlineLevel="0" collapsed="false">
      <c r="H274" s="113"/>
      <c r="I274" s="113"/>
      <c r="J274" s="113"/>
      <c r="L274" s="113"/>
      <c r="M274" s="113"/>
      <c r="N274" s="113"/>
      <c r="P274" s="113"/>
      <c r="Q274" s="113"/>
      <c r="R274" s="113"/>
      <c r="T274" s="113"/>
      <c r="U274" s="113"/>
      <c r="V274" s="113"/>
    </row>
    <row r="275" customFormat="false" ht="15" hidden="false" customHeight="true" outlineLevel="0" collapsed="false">
      <c r="H275" s="113"/>
      <c r="I275" s="113"/>
      <c r="J275" s="113"/>
      <c r="L275" s="113"/>
      <c r="M275" s="113"/>
      <c r="N275" s="113"/>
      <c r="P275" s="113"/>
      <c r="Q275" s="113"/>
      <c r="R275" s="113"/>
      <c r="T275" s="113"/>
      <c r="U275" s="113"/>
      <c r="V275" s="113"/>
    </row>
    <row r="276" customFormat="false" ht="15" hidden="false" customHeight="true" outlineLevel="0" collapsed="false">
      <c r="H276" s="113"/>
      <c r="I276" s="113"/>
      <c r="J276" s="113"/>
      <c r="L276" s="113"/>
      <c r="M276" s="113"/>
      <c r="N276" s="113"/>
      <c r="P276" s="113"/>
      <c r="Q276" s="113"/>
      <c r="R276" s="113"/>
      <c r="T276" s="113"/>
      <c r="U276" s="113"/>
      <c r="V276" s="113"/>
    </row>
    <row r="277" customFormat="false" ht="15" hidden="false" customHeight="true" outlineLevel="0" collapsed="false">
      <c r="H277" s="113"/>
      <c r="I277" s="113"/>
      <c r="J277" s="113"/>
      <c r="L277" s="113"/>
      <c r="M277" s="113"/>
      <c r="N277" s="113"/>
      <c r="P277" s="113"/>
      <c r="Q277" s="113"/>
      <c r="R277" s="113"/>
      <c r="T277" s="113"/>
      <c r="U277" s="113"/>
      <c r="V277" s="113"/>
    </row>
    <row r="278" customFormat="false" ht="15" hidden="false" customHeight="true" outlineLevel="0" collapsed="false">
      <c r="H278" s="113"/>
      <c r="I278" s="113"/>
      <c r="J278" s="113"/>
      <c r="L278" s="113"/>
      <c r="M278" s="113"/>
      <c r="N278" s="113"/>
      <c r="P278" s="113"/>
      <c r="Q278" s="113"/>
      <c r="R278" s="113"/>
      <c r="T278" s="113"/>
      <c r="U278" s="113"/>
      <c r="V278" s="113"/>
    </row>
    <row r="279" customFormat="false" ht="15" hidden="false" customHeight="true" outlineLevel="0" collapsed="false">
      <c r="H279" s="113"/>
      <c r="I279" s="113"/>
      <c r="J279" s="113"/>
      <c r="L279" s="113"/>
      <c r="M279" s="113"/>
      <c r="N279" s="113"/>
      <c r="P279" s="113"/>
      <c r="Q279" s="113"/>
      <c r="R279" s="113"/>
      <c r="T279" s="113"/>
      <c r="U279" s="113"/>
      <c r="V279" s="113"/>
    </row>
    <row r="280" customFormat="false" ht="15" hidden="false" customHeight="true" outlineLevel="0" collapsed="false">
      <c r="H280" s="113"/>
      <c r="I280" s="113"/>
      <c r="J280" s="113"/>
      <c r="L280" s="113"/>
      <c r="M280" s="113"/>
      <c r="N280" s="113"/>
      <c r="P280" s="113"/>
      <c r="Q280" s="113"/>
      <c r="R280" s="113"/>
      <c r="T280" s="113"/>
      <c r="U280" s="113"/>
      <c r="V280" s="113"/>
    </row>
    <row r="281" customFormat="false" ht="15" hidden="false" customHeight="true" outlineLevel="0" collapsed="false">
      <c r="H281" s="113"/>
      <c r="I281" s="113"/>
      <c r="J281" s="113"/>
      <c r="L281" s="113"/>
      <c r="M281" s="113"/>
      <c r="N281" s="113"/>
      <c r="P281" s="113"/>
      <c r="Q281" s="113"/>
      <c r="R281" s="113"/>
      <c r="T281" s="113"/>
      <c r="U281" s="113"/>
      <c r="V281" s="113"/>
    </row>
    <row r="282" customFormat="false" ht="15" hidden="false" customHeight="true" outlineLevel="0" collapsed="false">
      <c r="H282" s="113"/>
      <c r="I282" s="113"/>
      <c r="J282" s="113"/>
      <c r="L282" s="113"/>
      <c r="M282" s="113"/>
      <c r="N282" s="113"/>
      <c r="P282" s="113"/>
      <c r="Q282" s="113"/>
      <c r="R282" s="113"/>
      <c r="T282" s="113"/>
      <c r="U282" s="113"/>
      <c r="V282" s="113"/>
    </row>
    <row r="283" customFormat="false" ht="15" hidden="false" customHeight="true" outlineLevel="0" collapsed="false">
      <c r="H283" s="113"/>
      <c r="I283" s="113"/>
      <c r="J283" s="113"/>
      <c r="L283" s="113"/>
      <c r="M283" s="113"/>
      <c r="N283" s="113"/>
      <c r="P283" s="113"/>
      <c r="Q283" s="113"/>
      <c r="R283" s="113"/>
      <c r="T283" s="113"/>
      <c r="U283" s="113"/>
      <c r="V283" s="113"/>
    </row>
    <row r="284" customFormat="false" ht="15" hidden="false" customHeight="true" outlineLevel="0" collapsed="false">
      <c r="H284" s="113"/>
      <c r="I284" s="113"/>
      <c r="J284" s="113"/>
      <c r="L284" s="113"/>
      <c r="M284" s="113"/>
      <c r="N284" s="113"/>
      <c r="P284" s="113"/>
      <c r="Q284" s="113"/>
      <c r="R284" s="113"/>
      <c r="T284" s="113"/>
      <c r="U284" s="113"/>
      <c r="V284" s="113"/>
    </row>
    <row r="285" customFormat="false" ht="15" hidden="false" customHeight="true" outlineLevel="0" collapsed="false">
      <c r="H285" s="113"/>
      <c r="I285" s="113"/>
      <c r="J285" s="113"/>
      <c r="L285" s="113"/>
      <c r="M285" s="113"/>
      <c r="N285" s="113"/>
      <c r="P285" s="113"/>
      <c r="Q285" s="113"/>
      <c r="R285" s="113"/>
      <c r="T285" s="113"/>
      <c r="U285" s="113"/>
      <c r="V285" s="113"/>
    </row>
    <row r="286" customFormat="false" ht="15" hidden="false" customHeight="true" outlineLevel="0" collapsed="false">
      <c r="H286" s="113"/>
      <c r="I286" s="113"/>
      <c r="J286" s="113"/>
      <c r="L286" s="113"/>
      <c r="M286" s="113"/>
      <c r="N286" s="113"/>
      <c r="P286" s="113"/>
      <c r="Q286" s="113"/>
      <c r="R286" s="113"/>
      <c r="T286" s="113"/>
      <c r="U286" s="113"/>
      <c r="V286" s="113"/>
    </row>
    <row r="287" customFormat="false" ht="15" hidden="false" customHeight="true" outlineLevel="0" collapsed="false">
      <c r="H287" s="113"/>
      <c r="I287" s="113"/>
      <c r="J287" s="113"/>
      <c r="L287" s="113"/>
      <c r="M287" s="113"/>
      <c r="N287" s="113"/>
      <c r="P287" s="113"/>
      <c r="Q287" s="113"/>
      <c r="R287" s="113"/>
      <c r="T287" s="113"/>
      <c r="U287" s="113"/>
      <c r="V287" s="113"/>
    </row>
    <row r="288" customFormat="false" ht="15" hidden="false" customHeight="true" outlineLevel="0" collapsed="false">
      <c r="H288" s="113"/>
      <c r="I288" s="113"/>
      <c r="J288" s="113"/>
      <c r="L288" s="113"/>
      <c r="M288" s="113"/>
      <c r="N288" s="113"/>
      <c r="P288" s="113"/>
      <c r="Q288" s="113"/>
      <c r="R288" s="113"/>
      <c r="T288" s="113"/>
      <c r="U288" s="113"/>
      <c r="V288" s="113"/>
    </row>
    <row r="289" customFormat="false" ht="15" hidden="false" customHeight="true" outlineLevel="0" collapsed="false">
      <c r="H289" s="113"/>
      <c r="I289" s="113"/>
      <c r="J289" s="113"/>
      <c r="L289" s="113"/>
      <c r="M289" s="113"/>
      <c r="N289" s="113"/>
      <c r="P289" s="113"/>
      <c r="Q289" s="113"/>
      <c r="R289" s="113"/>
      <c r="T289" s="113"/>
      <c r="U289" s="113"/>
      <c r="V289" s="113"/>
    </row>
    <row r="290" customFormat="false" ht="15" hidden="false" customHeight="true" outlineLevel="0" collapsed="false">
      <c r="H290" s="113"/>
      <c r="I290" s="113"/>
      <c r="J290" s="113"/>
      <c r="L290" s="113"/>
      <c r="M290" s="113"/>
      <c r="N290" s="113"/>
      <c r="P290" s="113"/>
      <c r="Q290" s="113"/>
      <c r="R290" s="113"/>
      <c r="T290" s="113"/>
      <c r="U290" s="113"/>
      <c r="V290" s="113"/>
    </row>
    <row r="291" customFormat="false" ht="15" hidden="false" customHeight="true" outlineLevel="0" collapsed="false">
      <c r="H291" s="113"/>
      <c r="I291" s="113"/>
      <c r="J291" s="113"/>
      <c r="L291" s="113"/>
      <c r="M291" s="113"/>
      <c r="N291" s="113"/>
      <c r="P291" s="113"/>
      <c r="Q291" s="113"/>
      <c r="R291" s="113"/>
      <c r="T291" s="113"/>
      <c r="U291" s="113"/>
      <c r="V291" s="113"/>
    </row>
    <row r="292" customFormat="false" ht="15" hidden="false" customHeight="true" outlineLevel="0" collapsed="false">
      <c r="H292" s="113"/>
      <c r="I292" s="113"/>
      <c r="J292" s="113"/>
      <c r="L292" s="113"/>
      <c r="M292" s="113"/>
      <c r="N292" s="113"/>
      <c r="P292" s="113"/>
      <c r="Q292" s="113"/>
      <c r="R292" s="113"/>
      <c r="T292" s="113"/>
      <c r="U292" s="113"/>
      <c r="V292" s="113"/>
    </row>
    <row r="293" customFormat="false" ht="15" hidden="false" customHeight="true" outlineLevel="0" collapsed="false">
      <c r="H293" s="113"/>
      <c r="I293" s="113"/>
      <c r="J293" s="113"/>
      <c r="L293" s="113"/>
      <c r="M293" s="113"/>
      <c r="N293" s="113"/>
      <c r="P293" s="113"/>
      <c r="Q293" s="113"/>
      <c r="R293" s="113"/>
      <c r="T293" s="113"/>
      <c r="U293" s="113"/>
      <c r="V293" s="113"/>
    </row>
    <row r="294" customFormat="false" ht="15" hidden="false" customHeight="true" outlineLevel="0" collapsed="false">
      <c r="H294" s="113"/>
      <c r="I294" s="113"/>
      <c r="J294" s="113"/>
      <c r="L294" s="113"/>
      <c r="M294" s="113"/>
      <c r="N294" s="113"/>
      <c r="P294" s="113"/>
      <c r="Q294" s="113"/>
      <c r="R294" s="113"/>
      <c r="T294" s="113"/>
      <c r="U294" s="113"/>
      <c r="V294" s="113"/>
    </row>
    <row r="295" customFormat="false" ht="15" hidden="false" customHeight="true" outlineLevel="0" collapsed="false">
      <c r="H295" s="113"/>
      <c r="I295" s="113"/>
      <c r="J295" s="113"/>
      <c r="L295" s="113"/>
      <c r="M295" s="113"/>
      <c r="N295" s="113"/>
      <c r="P295" s="113"/>
      <c r="Q295" s="113"/>
      <c r="R295" s="113"/>
      <c r="T295" s="113"/>
      <c r="U295" s="113"/>
      <c r="V295" s="113"/>
    </row>
    <row r="296" customFormat="false" ht="15" hidden="false" customHeight="true" outlineLevel="0" collapsed="false">
      <c r="H296" s="113"/>
      <c r="I296" s="113"/>
      <c r="J296" s="113"/>
      <c r="L296" s="113"/>
      <c r="M296" s="113"/>
      <c r="N296" s="113"/>
      <c r="P296" s="113"/>
      <c r="Q296" s="113"/>
      <c r="R296" s="113"/>
      <c r="T296" s="113"/>
      <c r="U296" s="113"/>
      <c r="V296" s="113"/>
    </row>
    <row r="297" customFormat="false" ht="15" hidden="false" customHeight="true" outlineLevel="0" collapsed="false">
      <c r="H297" s="113"/>
      <c r="I297" s="113"/>
      <c r="J297" s="113"/>
      <c r="L297" s="113"/>
      <c r="M297" s="113"/>
      <c r="N297" s="113"/>
      <c r="P297" s="113"/>
      <c r="Q297" s="113"/>
      <c r="R297" s="113"/>
      <c r="T297" s="113"/>
      <c r="U297" s="113"/>
      <c r="V297" s="113"/>
    </row>
    <row r="298" customFormat="false" ht="15" hidden="false" customHeight="true" outlineLevel="0" collapsed="false">
      <c r="H298" s="113"/>
      <c r="I298" s="113"/>
      <c r="J298" s="113"/>
      <c r="L298" s="113"/>
      <c r="M298" s="113"/>
      <c r="N298" s="113"/>
      <c r="P298" s="113"/>
      <c r="Q298" s="113"/>
      <c r="R298" s="113"/>
      <c r="T298" s="113"/>
      <c r="U298" s="113"/>
      <c r="V298" s="113"/>
    </row>
    <row r="299" customFormat="false" ht="15" hidden="false" customHeight="true" outlineLevel="0" collapsed="false">
      <c r="H299" s="113"/>
      <c r="I299" s="113"/>
      <c r="J299" s="113"/>
      <c r="L299" s="113"/>
      <c r="M299" s="113"/>
      <c r="N299" s="113"/>
      <c r="P299" s="113"/>
      <c r="Q299" s="113"/>
      <c r="R299" s="113"/>
      <c r="T299" s="113"/>
      <c r="U299" s="113"/>
      <c r="V299" s="113"/>
    </row>
    <row r="300" customFormat="false" ht="15" hidden="false" customHeight="true" outlineLevel="0" collapsed="false">
      <c r="H300" s="113"/>
      <c r="I300" s="113"/>
      <c r="J300" s="113"/>
      <c r="L300" s="113"/>
      <c r="M300" s="113"/>
      <c r="N300" s="113"/>
      <c r="P300" s="113"/>
      <c r="Q300" s="113"/>
      <c r="R300" s="113"/>
      <c r="T300" s="113"/>
      <c r="U300" s="113"/>
      <c r="V300" s="113"/>
    </row>
    <row r="301" customFormat="false" ht="15" hidden="false" customHeight="true" outlineLevel="0" collapsed="false">
      <c r="H301" s="113"/>
      <c r="I301" s="113"/>
      <c r="J301" s="113"/>
      <c r="L301" s="113"/>
      <c r="M301" s="113"/>
      <c r="N301" s="113"/>
      <c r="P301" s="113"/>
      <c r="Q301" s="113"/>
      <c r="R301" s="113"/>
      <c r="T301" s="113"/>
      <c r="U301" s="113"/>
      <c r="V301" s="113"/>
    </row>
    <row r="302" customFormat="false" ht="15" hidden="false" customHeight="true" outlineLevel="0" collapsed="false">
      <c r="H302" s="113"/>
      <c r="I302" s="113"/>
      <c r="J302" s="113"/>
      <c r="L302" s="113"/>
      <c r="M302" s="113"/>
      <c r="N302" s="113"/>
      <c r="P302" s="113"/>
      <c r="Q302" s="113"/>
      <c r="R302" s="113"/>
      <c r="T302" s="113"/>
      <c r="U302" s="113"/>
      <c r="V302" s="113"/>
    </row>
    <row r="303" customFormat="false" ht="15" hidden="false" customHeight="true" outlineLevel="0" collapsed="false">
      <c r="H303" s="113"/>
      <c r="I303" s="113"/>
      <c r="J303" s="113"/>
      <c r="L303" s="113"/>
      <c r="M303" s="113"/>
      <c r="N303" s="113"/>
      <c r="P303" s="113"/>
      <c r="Q303" s="113"/>
      <c r="R303" s="113"/>
      <c r="T303" s="113"/>
      <c r="U303" s="113"/>
      <c r="V303" s="113"/>
    </row>
    <row r="304" customFormat="false" ht="15" hidden="false" customHeight="true" outlineLevel="0" collapsed="false">
      <c r="H304" s="113"/>
      <c r="I304" s="113"/>
      <c r="J304" s="113"/>
      <c r="L304" s="113"/>
      <c r="M304" s="113"/>
      <c r="N304" s="113"/>
      <c r="P304" s="113"/>
      <c r="Q304" s="113"/>
      <c r="R304" s="113"/>
      <c r="T304" s="113"/>
      <c r="U304" s="113"/>
      <c r="V304" s="113"/>
    </row>
    <row r="305" customFormat="false" ht="15" hidden="false" customHeight="true" outlineLevel="0" collapsed="false">
      <c r="H305" s="113"/>
      <c r="I305" s="113"/>
      <c r="J305" s="113"/>
      <c r="L305" s="113"/>
      <c r="M305" s="113"/>
      <c r="N305" s="113"/>
      <c r="P305" s="113"/>
      <c r="Q305" s="113"/>
      <c r="R305" s="113"/>
      <c r="T305" s="113"/>
      <c r="U305" s="113"/>
      <c r="V305" s="113"/>
    </row>
    <row r="306" customFormat="false" ht="15" hidden="false" customHeight="true" outlineLevel="0" collapsed="false">
      <c r="H306" s="113"/>
      <c r="I306" s="113"/>
      <c r="J306" s="113"/>
      <c r="L306" s="113"/>
      <c r="M306" s="113"/>
      <c r="N306" s="113"/>
      <c r="P306" s="113"/>
      <c r="Q306" s="113"/>
      <c r="R306" s="113"/>
      <c r="T306" s="113"/>
      <c r="U306" s="113"/>
      <c r="V306" s="113"/>
    </row>
    <row r="307" customFormat="false" ht="15" hidden="false" customHeight="true" outlineLevel="0" collapsed="false">
      <c r="H307" s="113"/>
      <c r="I307" s="113"/>
      <c r="J307" s="113"/>
      <c r="L307" s="113"/>
      <c r="M307" s="113"/>
      <c r="N307" s="113"/>
      <c r="P307" s="113"/>
      <c r="Q307" s="113"/>
      <c r="R307" s="113"/>
      <c r="T307" s="113"/>
      <c r="U307" s="113"/>
      <c r="V307" s="113"/>
    </row>
    <row r="308" customFormat="false" ht="15" hidden="false" customHeight="true" outlineLevel="0" collapsed="false">
      <c r="H308" s="113"/>
      <c r="I308" s="113"/>
      <c r="J308" s="113"/>
      <c r="L308" s="113"/>
      <c r="M308" s="113"/>
      <c r="N308" s="113"/>
      <c r="P308" s="113"/>
      <c r="Q308" s="113"/>
      <c r="R308" s="113"/>
      <c r="T308" s="113"/>
      <c r="U308" s="113"/>
      <c r="V308" s="113"/>
    </row>
    <row r="309" customFormat="false" ht="15" hidden="false" customHeight="true" outlineLevel="0" collapsed="false">
      <c r="H309" s="113"/>
      <c r="I309" s="113"/>
      <c r="J309" s="113"/>
      <c r="L309" s="113"/>
      <c r="M309" s="113"/>
      <c r="N309" s="113"/>
      <c r="P309" s="113"/>
      <c r="Q309" s="113"/>
      <c r="R309" s="113"/>
      <c r="T309" s="113"/>
      <c r="U309" s="113"/>
      <c r="V309" s="113"/>
    </row>
    <row r="310" customFormat="false" ht="15" hidden="false" customHeight="true" outlineLevel="0" collapsed="false">
      <c r="H310" s="113"/>
      <c r="I310" s="113"/>
      <c r="J310" s="113"/>
      <c r="L310" s="113"/>
      <c r="M310" s="113"/>
      <c r="N310" s="113"/>
      <c r="P310" s="113"/>
      <c r="Q310" s="113"/>
      <c r="R310" s="113"/>
      <c r="T310" s="113"/>
      <c r="U310" s="113"/>
      <c r="V310" s="113"/>
    </row>
    <row r="311" customFormat="false" ht="15" hidden="false" customHeight="true" outlineLevel="0" collapsed="false">
      <c r="H311" s="113"/>
      <c r="I311" s="113"/>
      <c r="J311" s="113"/>
      <c r="L311" s="113"/>
      <c r="M311" s="113"/>
      <c r="N311" s="113"/>
      <c r="P311" s="113"/>
      <c r="Q311" s="113"/>
      <c r="R311" s="113"/>
      <c r="T311" s="113"/>
      <c r="U311" s="113"/>
      <c r="V311" s="113"/>
    </row>
    <row r="312" customFormat="false" ht="15" hidden="false" customHeight="true" outlineLevel="0" collapsed="false">
      <c r="H312" s="113"/>
      <c r="I312" s="113"/>
      <c r="J312" s="113"/>
      <c r="L312" s="113"/>
      <c r="M312" s="113"/>
      <c r="N312" s="113"/>
      <c r="P312" s="113"/>
      <c r="Q312" s="113"/>
      <c r="R312" s="113"/>
      <c r="T312" s="113"/>
      <c r="U312" s="113"/>
      <c r="V312" s="113"/>
    </row>
    <row r="313" customFormat="false" ht="15" hidden="false" customHeight="true" outlineLevel="0" collapsed="false">
      <c r="H313" s="113"/>
      <c r="I313" s="113"/>
      <c r="J313" s="113"/>
      <c r="L313" s="113"/>
      <c r="M313" s="113"/>
      <c r="N313" s="113"/>
      <c r="P313" s="113"/>
      <c r="Q313" s="113"/>
      <c r="R313" s="113"/>
      <c r="T313" s="113"/>
      <c r="U313" s="113"/>
      <c r="V313" s="113"/>
    </row>
    <row r="314" customFormat="false" ht="15" hidden="false" customHeight="true" outlineLevel="0" collapsed="false">
      <c r="H314" s="113"/>
      <c r="I314" s="113"/>
      <c r="J314" s="113"/>
      <c r="L314" s="113"/>
      <c r="M314" s="113"/>
      <c r="N314" s="113"/>
      <c r="P314" s="113"/>
      <c r="Q314" s="113"/>
      <c r="R314" s="113"/>
      <c r="T314" s="113"/>
      <c r="U314" s="113"/>
      <c r="V314" s="113"/>
    </row>
    <row r="315" customFormat="false" ht="15" hidden="false" customHeight="true" outlineLevel="0" collapsed="false">
      <c r="H315" s="113"/>
      <c r="I315" s="113"/>
      <c r="J315" s="113"/>
      <c r="L315" s="113"/>
      <c r="M315" s="113"/>
      <c r="N315" s="113"/>
      <c r="P315" s="113"/>
      <c r="Q315" s="113"/>
      <c r="R315" s="113"/>
      <c r="T315" s="113"/>
      <c r="U315" s="113"/>
      <c r="V315" s="113"/>
    </row>
    <row r="316" customFormat="false" ht="15" hidden="false" customHeight="true" outlineLevel="0" collapsed="false">
      <c r="H316" s="113"/>
      <c r="I316" s="113"/>
      <c r="J316" s="113"/>
      <c r="L316" s="113"/>
      <c r="M316" s="113"/>
      <c r="N316" s="113"/>
      <c r="P316" s="113"/>
      <c r="Q316" s="113"/>
      <c r="R316" s="113"/>
      <c r="T316" s="113"/>
      <c r="U316" s="113"/>
      <c r="V316" s="113"/>
    </row>
    <row r="317" customFormat="false" ht="15" hidden="false" customHeight="true" outlineLevel="0" collapsed="false">
      <c r="H317" s="113"/>
      <c r="I317" s="113"/>
      <c r="J317" s="113"/>
      <c r="L317" s="113"/>
      <c r="M317" s="113"/>
      <c r="N317" s="113"/>
      <c r="P317" s="113"/>
      <c r="Q317" s="113"/>
      <c r="R317" s="113"/>
      <c r="T317" s="113"/>
      <c r="U317" s="113"/>
      <c r="V317" s="113"/>
    </row>
    <row r="318" customFormat="false" ht="15" hidden="false" customHeight="true" outlineLevel="0" collapsed="false">
      <c r="H318" s="113"/>
      <c r="I318" s="113"/>
      <c r="J318" s="113"/>
      <c r="L318" s="113"/>
      <c r="M318" s="113"/>
      <c r="N318" s="113"/>
      <c r="P318" s="113"/>
      <c r="Q318" s="113"/>
      <c r="R318" s="113"/>
      <c r="T318" s="113"/>
      <c r="U318" s="113"/>
      <c r="V318" s="113"/>
    </row>
    <row r="319" customFormat="false" ht="15" hidden="false" customHeight="true" outlineLevel="0" collapsed="false">
      <c r="H319" s="113"/>
      <c r="I319" s="113"/>
      <c r="J319" s="113"/>
      <c r="L319" s="113"/>
      <c r="M319" s="113"/>
      <c r="N319" s="113"/>
      <c r="P319" s="113"/>
      <c r="Q319" s="113"/>
      <c r="R319" s="113"/>
      <c r="T319" s="113"/>
      <c r="U319" s="113"/>
      <c r="V319" s="113"/>
    </row>
    <row r="320" customFormat="false" ht="15" hidden="false" customHeight="true" outlineLevel="0" collapsed="false">
      <c r="H320" s="113"/>
      <c r="I320" s="113"/>
      <c r="J320" s="113"/>
      <c r="L320" s="113"/>
      <c r="M320" s="113"/>
      <c r="N320" s="113"/>
      <c r="P320" s="113"/>
      <c r="Q320" s="113"/>
      <c r="R320" s="113"/>
      <c r="T320" s="113"/>
      <c r="U320" s="113"/>
      <c r="V320" s="113"/>
    </row>
    <row r="321" customFormat="false" ht="15" hidden="false" customHeight="true" outlineLevel="0" collapsed="false">
      <c r="H321" s="113"/>
      <c r="I321" s="113"/>
      <c r="J321" s="113"/>
      <c r="L321" s="113"/>
      <c r="M321" s="113"/>
      <c r="N321" s="113"/>
      <c r="P321" s="113"/>
      <c r="Q321" s="113"/>
      <c r="R321" s="113"/>
      <c r="T321" s="113"/>
      <c r="U321" s="113"/>
      <c r="V321" s="113"/>
    </row>
    <row r="322" customFormat="false" ht="15" hidden="false" customHeight="true" outlineLevel="0" collapsed="false">
      <c r="H322" s="113"/>
      <c r="I322" s="113"/>
      <c r="J322" s="113"/>
      <c r="L322" s="113"/>
      <c r="M322" s="113"/>
      <c r="N322" s="113"/>
      <c r="P322" s="113"/>
      <c r="Q322" s="113"/>
      <c r="R322" s="113"/>
      <c r="T322" s="113"/>
      <c r="U322" s="113"/>
      <c r="V322" s="113"/>
    </row>
    <row r="323" customFormat="false" ht="15" hidden="false" customHeight="true" outlineLevel="0" collapsed="false">
      <c r="H323" s="113"/>
      <c r="I323" s="113"/>
      <c r="J323" s="113"/>
      <c r="L323" s="113"/>
      <c r="M323" s="113"/>
      <c r="N323" s="113"/>
      <c r="P323" s="113"/>
      <c r="Q323" s="113"/>
      <c r="R323" s="113"/>
      <c r="T323" s="113"/>
      <c r="U323" s="113"/>
      <c r="V323" s="113"/>
    </row>
    <row r="324" customFormat="false" ht="15" hidden="false" customHeight="true" outlineLevel="0" collapsed="false">
      <c r="H324" s="113"/>
      <c r="I324" s="113"/>
      <c r="J324" s="113"/>
      <c r="L324" s="113"/>
      <c r="M324" s="113"/>
      <c r="N324" s="113"/>
      <c r="P324" s="113"/>
      <c r="Q324" s="113"/>
      <c r="R324" s="113"/>
      <c r="T324" s="113"/>
      <c r="U324" s="113"/>
      <c r="V324" s="113"/>
    </row>
    <row r="325" customFormat="false" ht="15" hidden="false" customHeight="true" outlineLevel="0" collapsed="false">
      <c r="H325" s="113"/>
      <c r="I325" s="113"/>
      <c r="J325" s="113"/>
      <c r="L325" s="113"/>
      <c r="M325" s="113"/>
      <c r="N325" s="113"/>
      <c r="P325" s="113"/>
      <c r="Q325" s="113"/>
      <c r="R325" s="113"/>
      <c r="T325" s="113"/>
      <c r="U325" s="113"/>
      <c r="V325" s="113"/>
    </row>
    <row r="326" customFormat="false" ht="15" hidden="false" customHeight="true" outlineLevel="0" collapsed="false">
      <c r="H326" s="113"/>
      <c r="I326" s="113"/>
      <c r="J326" s="113"/>
      <c r="L326" s="113"/>
      <c r="M326" s="113"/>
      <c r="N326" s="113"/>
      <c r="P326" s="113"/>
      <c r="Q326" s="113"/>
      <c r="R326" s="113"/>
      <c r="T326" s="113"/>
      <c r="U326" s="113"/>
      <c r="V326" s="113"/>
    </row>
    <row r="327" customFormat="false" ht="15" hidden="false" customHeight="true" outlineLevel="0" collapsed="false">
      <c r="H327" s="113"/>
      <c r="I327" s="113"/>
      <c r="J327" s="113"/>
      <c r="L327" s="113"/>
      <c r="M327" s="113"/>
      <c r="N327" s="113"/>
      <c r="P327" s="113"/>
      <c r="Q327" s="113"/>
      <c r="R327" s="113"/>
      <c r="T327" s="113"/>
      <c r="U327" s="113"/>
      <c r="V327" s="113"/>
    </row>
    <row r="328" customFormat="false" ht="15" hidden="false" customHeight="true" outlineLevel="0" collapsed="false">
      <c r="H328" s="113"/>
      <c r="I328" s="113"/>
      <c r="J328" s="113"/>
      <c r="L328" s="113"/>
      <c r="M328" s="113"/>
      <c r="N328" s="113"/>
      <c r="P328" s="113"/>
      <c r="Q328" s="113"/>
      <c r="R328" s="113"/>
      <c r="T328" s="113"/>
      <c r="U328" s="113"/>
      <c r="V328" s="113"/>
    </row>
    <row r="329" customFormat="false" ht="15" hidden="false" customHeight="true" outlineLevel="0" collapsed="false">
      <c r="H329" s="113"/>
      <c r="I329" s="113"/>
      <c r="J329" s="113"/>
      <c r="L329" s="113"/>
      <c r="M329" s="113"/>
      <c r="N329" s="113"/>
      <c r="P329" s="113"/>
      <c r="Q329" s="113"/>
      <c r="R329" s="113"/>
      <c r="T329" s="113"/>
      <c r="U329" s="113"/>
      <c r="V329" s="113"/>
    </row>
    <row r="330" customFormat="false" ht="15" hidden="false" customHeight="true" outlineLevel="0" collapsed="false">
      <c r="H330" s="113"/>
      <c r="I330" s="113"/>
      <c r="J330" s="113"/>
      <c r="L330" s="113"/>
      <c r="M330" s="113"/>
      <c r="N330" s="113"/>
      <c r="P330" s="113"/>
      <c r="Q330" s="113"/>
      <c r="R330" s="113"/>
      <c r="T330" s="113"/>
      <c r="U330" s="113"/>
      <c r="V330" s="113"/>
    </row>
    <row r="331" customFormat="false" ht="15" hidden="false" customHeight="true" outlineLevel="0" collapsed="false">
      <c r="H331" s="113"/>
      <c r="I331" s="113"/>
      <c r="J331" s="113"/>
      <c r="L331" s="113"/>
      <c r="M331" s="113"/>
      <c r="N331" s="113"/>
      <c r="P331" s="113"/>
      <c r="Q331" s="113"/>
      <c r="R331" s="113"/>
      <c r="T331" s="113"/>
      <c r="U331" s="113"/>
      <c r="V331" s="113"/>
    </row>
    <row r="332" customFormat="false" ht="15" hidden="false" customHeight="true" outlineLevel="0" collapsed="false">
      <c r="H332" s="113"/>
      <c r="I332" s="113"/>
      <c r="J332" s="113"/>
      <c r="L332" s="113"/>
      <c r="M332" s="113"/>
      <c r="N332" s="113"/>
      <c r="P332" s="113"/>
      <c r="Q332" s="113"/>
      <c r="R332" s="113"/>
      <c r="T332" s="113"/>
      <c r="U332" s="113"/>
      <c r="V332" s="113"/>
    </row>
    <row r="333" customFormat="false" ht="15" hidden="false" customHeight="true" outlineLevel="0" collapsed="false">
      <c r="H333" s="113"/>
      <c r="I333" s="113"/>
      <c r="J333" s="113"/>
      <c r="L333" s="113"/>
      <c r="M333" s="113"/>
      <c r="N333" s="113"/>
      <c r="P333" s="113"/>
      <c r="Q333" s="113"/>
      <c r="R333" s="113"/>
      <c r="T333" s="113"/>
      <c r="U333" s="113"/>
      <c r="V333" s="113"/>
    </row>
    <row r="334" customFormat="false" ht="15" hidden="false" customHeight="true" outlineLevel="0" collapsed="false">
      <c r="H334" s="113"/>
      <c r="I334" s="113"/>
      <c r="J334" s="113"/>
      <c r="L334" s="113"/>
      <c r="M334" s="113"/>
      <c r="N334" s="113"/>
      <c r="P334" s="113"/>
      <c r="Q334" s="113"/>
      <c r="R334" s="113"/>
      <c r="T334" s="113"/>
      <c r="U334" s="113"/>
      <c r="V334" s="113"/>
    </row>
    <row r="335" customFormat="false" ht="15" hidden="false" customHeight="true" outlineLevel="0" collapsed="false">
      <c r="H335" s="113"/>
      <c r="I335" s="113"/>
      <c r="J335" s="113"/>
      <c r="L335" s="113"/>
      <c r="M335" s="113"/>
      <c r="N335" s="113"/>
      <c r="P335" s="113"/>
      <c r="Q335" s="113"/>
      <c r="R335" s="113"/>
      <c r="T335" s="113"/>
      <c r="U335" s="113"/>
      <c r="V335" s="113"/>
    </row>
    <row r="336" customFormat="false" ht="15" hidden="false" customHeight="true" outlineLevel="0" collapsed="false">
      <c r="H336" s="113"/>
      <c r="I336" s="113"/>
      <c r="J336" s="113"/>
      <c r="L336" s="113"/>
      <c r="M336" s="113"/>
      <c r="N336" s="113"/>
      <c r="P336" s="113"/>
      <c r="Q336" s="113"/>
      <c r="R336" s="113"/>
      <c r="T336" s="113"/>
      <c r="U336" s="113"/>
      <c r="V336" s="113"/>
    </row>
    <row r="337" customFormat="false" ht="15" hidden="false" customHeight="true" outlineLevel="0" collapsed="false">
      <c r="H337" s="113"/>
      <c r="I337" s="113"/>
      <c r="J337" s="113"/>
      <c r="L337" s="113"/>
      <c r="M337" s="113"/>
      <c r="N337" s="113"/>
      <c r="P337" s="113"/>
      <c r="Q337" s="113"/>
      <c r="R337" s="113"/>
      <c r="T337" s="113"/>
      <c r="U337" s="113"/>
      <c r="V337" s="113"/>
    </row>
    <row r="338" customFormat="false" ht="15" hidden="false" customHeight="true" outlineLevel="0" collapsed="false">
      <c r="H338" s="113"/>
      <c r="I338" s="113"/>
      <c r="J338" s="113"/>
      <c r="L338" s="113"/>
      <c r="M338" s="113"/>
      <c r="N338" s="113"/>
      <c r="P338" s="113"/>
      <c r="Q338" s="113"/>
      <c r="R338" s="113"/>
      <c r="T338" s="113"/>
      <c r="U338" s="113"/>
      <c r="V338" s="113"/>
    </row>
    <row r="339" customFormat="false" ht="15" hidden="false" customHeight="true" outlineLevel="0" collapsed="false">
      <c r="H339" s="113"/>
      <c r="I339" s="113"/>
      <c r="J339" s="113"/>
      <c r="L339" s="113"/>
      <c r="M339" s="113"/>
      <c r="N339" s="113"/>
      <c r="P339" s="113"/>
      <c r="Q339" s="113"/>
      <c r="R339" s="113"/>
      <c r="T339" s="113"/>
      <c r="U339" s="113"/>
      <c r="V339" s="113"/>
    </row>
    <row r="340" customFormat="false" ht="15" hidden="false" customHeight="true" outlineLevel="0" collapsed="false">
      <c r="H340" s="113"/>
      <c r="I340" s="113"/>
      <c r="J340" s="113"/>
      <c r="L340" s="113"/>
      <c r="M340" s="113"/>
      <c r="N340" s="113"/>
      <c r="P340" s="113"/>
      <c r="Q340" s="113"/>
      <c r="R340" s="113"/>
      <c r="T340" s="113"/>
      <c r="U340" s="113"/>
      <c r="V340" s="113"/>
    </row>
    <row r="341" customFormat="false" ht="15" hidden="false" customHeight="true" outlineLevel="0" collapsed="false">
      <c r="H341" s="113"/>
      <c r="I341" s="113"/>
      <c r="J341" s="113"/>
      <c r="L341" s="113"/>
      <c r="M341" s="113"/>
      <c r="N341" s="113"/>
      <c r="P341" s="113"/>
      <c r="Q341" s="113"/>
      <c r="R341" s="113"/>
      <c r="T341" s="113"/>
      <c r="U341" s="113"/>
      <c r="V341" s="113"/>
    </row>
    <row r="342" customFormat="false" ht="15" hidden="false" customHeight="true" outlineLevel="0" collapsed="false">
      <c r="H342" s="113"/>
      <c r="I342" s="113"/>
      <c r="J342" s="113"/>
      <c r="L342" s="113"/>
      <c r="M342" s="113"/>
      <c r="N342" s="113"/>
      <c r="P342" s="113"/>
      <c r="Q342" s="113"/>
      <c r="R342" s="113"/>
      <c r="T342" s="113"/>
      <c r="U342" s="113"/>
      <c r="V342" s="113"/>
    </row>
    <row r="343" customFormat="false" ht="15" hidden="false" customHeight="true" outlineLevel="0" collapsed="false">
      <c r="H343" s="113"/>
      <c r="I343" s="113"/>
      <c r="J343" s="113"/>
      <c r="L343" s="113"/>
      <c r="M343" s="113"/>
      <c r="N343" s="113"/>
      <c r="P343" s="113"/>
      <c r="Q343" s="113"/>
      <c r="R343" s="113"/>
      <c r="T343" s="113"/>
      <c r="U343" s="113"/>
      <c r="V343" s="113"/>
    </row>
    <row r="344" customFormat="false" ht="15" hidden="false" customHeight="true" outlineLevel="0" collapsed="false">
      <c r="H344" s="113"/>
      <c r="I344" s="113"/>
      <c r="J344" s="113"/>
      <c r="L344" s="113"/>
      <c r="M344" s="113"/>
      <c r="N344" s="113"/>
      <c r="P344" s="113"/>
      <c r="Q344" s="113"/>
      <c r="R344" s="113"/>
      <c r="T344" s="113"/>
      <c r="U344" s="113"/>
      <c r="V344" s="113"/>
    </row>
    <row r="345" customFormat="false" ht="15" hidden="false" customHeight="true" outlineLevel="0" collapsed="false">
      <c r="H345" s="113"/>
      <c r="I345" s="113"/>
      <c r="J345" s="113"/>
      <c r="L345" s="113"/>
      <c r="M345" s="113"/>
      <c r="N345" s="113"/>
      <c r="P345" s="113"/>
      <c r="Q345" s="113"/>
      <c r="R345" s="113"/>
      <c r="T345" s="113"/>
      <c r="U345" s="113"/>
      <c r="V345" s="113"/>
    </row>
    <row r="346" customFormat="false" ht="15" hidden="false" customHeight="true" outlineLevel="0" collapsed="false">
      <c r="H346" s="113"/>
      <c r="I346" s="113"/>
      <c r="J346" s="113"/>
      <c r="L346" s="113"/>
      <c r="M346" s="113"/>
      <c r="N346" s="113"/>
      <c r="P346" s="113"/>
      <c r="Q346" s="113"/>
      <c r="R346" s="113"/>
      <c r="T346" s="113"/>
      <c r="U346" s="113"/>
      <c r="V346" s="113"/>
    </row>
    <row r="347" customFormat="false" ht="15" hidden="false" customHeight="true" outlineLevel="0" collapsed="false">
      <c r="H347" s="113"/>
      <c r="I347" s="113"/>
      <c r="J347" s="113"/>
      <c r="L347" s="113"/>
      <c r="M347" s="113"/>
      <c r="N347" s="113"/>
      <c r="P347" s="113"/>
      <c r="Q347" s="113"/>
      <c r="R347" s="113"/>
      <c r="T347" s="113"/>
      <c r="U347" s="113"/>
      <c r="V347" s="113"/>
    </row>
    <row r="348" customFormat="false" ht="15" hidden="false" customHeight="true" outlineLevel="0" collapsed="false">
      <c r="H348" s="113"/>
      <c r="I348" s="113"/>
      <c r="J348" s="113"/>
      <c r="L348" s="113"/>
      <c r="M348" s="113"/>
      <c r="N348" s="113"/>
      <c r="P348" s="113"/>
      <c r="Q348" s="113"/>
      <c r="R348" s="113"/>
      <c r="T348" s="113"/>
      <c r="U348" s="113"/>
      <c r="V348" s="113"/>
    </row>
    <row r="349" customFormat="false" ht="15" hidden="false" customHeight="true" outlineLevel="0" collapsed="false">
      <c r="H349" s="113"/>
      <c r="I349" s="113"/>
      <c r="J349" s="113"/>
      <c r="L349" s="113"/>
      <c r="M349" s="113"/>
      <c r="N349" s="113"/>
      <c r="P349" s="113"/>
      <c r="Q349" s="113"/>
      <c r="R349" s="113"/>
      <c r="T349" s="113"/>
      <c r="U349" s="113"/>
      <c r="V349" s="113"/>
    </row>
    <row r="350" customFormat="false" ht="15" hidden="false" customHeight="true" outlineLevel="0" collapsed="false">
      <c r="H350" s="113"/>
      <c r="I350" s="113"/>
      <c r="J350" s="113"/>
      <c r="L350" s="113"/>
      <c r="M350" s="113"/>
      <c r="N350" s="113"/>
      <c r="P350" s="113"/>
      <c r="Q350" s="113"/>
      <c r="R350" s="113"/>
      <c r="T350" s="113"/>
      <c r="U350" s="113"/>
      <c r="V350" s="113"/>
    </row>
    <row r="351" customFormat="false" ht="15" hidden="false" customHeight="true" outlineLevel="0" collapsed="false">
      <c r="H351" s="113"/>
      <c r="I351" s="113"/>
      <c r="J351" s="113"/>
      <c r="L351" s="113"/>
      <c r="M351" s="113"/>
      <c r="N351" s="113"/>
      <c r="P351" s="113"/>
      <c r="Q351" s="113"/>
      <c r="R351" s="113"/>
      <c r="T351" s="113"/>
      <c r="U351" s="113"/>
      <c r="V351" s="113"/>
    </row>
    <row r="352" customFormat="false" ht="15" hidden="false" customHeight="true" outlineLevel="0" collapsed="false">
      <c r="H352" s="113"/>
      <c r="I352" s="113"/>
      <c r="J352" s="113"/>
      <c r="L352" s="113"/>
      <c r="M352" s="113"/>
      <c r="N352" s="113"/>
      <c r="P352" s="113"/>
      <c r="Q352" s="113"/>
      <c r="R352" s="113"/>
      <c r="T352" s="113"/>
      <c r="U352" s="113"/>
      <c r="V352" s="113"/>
    </row>
    <row r="353" customFormat="false" ht="15" hidden="false" customHeight="true" outlineLevel="0" collapsed="false">
      <c r="H353" s="113"/>
      <c r="I353" s="113"/>
      <c r="J353" s="113"/>
      <c r="L353" s="113"/>
      <c r="M353" s="113"/>
      <c r="N353" s="113"/>
      <c r="P353" s="113"/>
      <c r="Q353" s="113"/>
      <c r="R353" s="113"/>
      <c r="T353" s="113"/>
      <c r="U353" s="113"/>
      <c r="V353" s="113"/>
    </row>
    <row r="354" customFormat="false" ht="15" hidden="false" customHeight="true" outlineLevel="0" collapsed="false">
      <c r="H354" s="113"/>
      <c r="I354" s="113"/>
      <c r="J354" s="113"/>
      <c r="L354" s="113"/>
      <c r="M354" s="113"/>
      <c r="N354" s="113"/>
      <c r="P354" s="113"/>
      <c r="Q354" s="113"/>
      <c r="R354" s="113"/>
      <c r="T354" s="113"/>
      <c r="U354" s="113"/>
      <c r="V354" s="113"/>
    </row>
    <row r="355" customFormat="false" ht="15" hidden="false" customHeight="true" outlineLevel="0" collapsed="false">
      <c r="H355" s="113"/>
      <c r="I355" s="113"/>
      <c r="J355" s="113"/>
      <c r="L355" s="113"/>
      <c r="M355" s="113"/>
      <c r="N355" s="113"/>
      <c r="P355" s="113"/>
      <c r="Q355" s="113"/>
      <c r="R355" s="113"/>
      <c r="T355" s="113"/>
      <c r="U355" s="113"/>
      <c r="V355" s="113"/>
    </row>
    <row r="356" customFormat="false" ht="15" hidden="false" customHeight="true" outlineLevel="0" collapsed="false">
      <c r="H356" s="113"/>
      <c r="I356" s="113"/>
      <c r="J356" s="113"/>
      <c r="L356" s="113"/>
      <c r="M356" s="113"/>
      <c r="N356" s="113"/>
      <c r="P356" s="113"/>
      <c r="Q356" s="113"/>
      <c r="R356" s="113"/>
      <c r="T356" s="113"/>
      <c r="U356" s="113"/>
      <c r="V356" s="113"/>
    </row>
    <row r="357" customFormat="false" ht="15" hidden="false" customHeight="true" outlineLevel="0" collapsed="false">
      <c r="H357" s="113"/>
      <c r="I357" s="113"/>
      <c r="J357" s="113"/>
      <c r="L357" s="113"/>
      <c r="M357" s="113"/>
      <c r="N357" s="113"/>
      <c r="P357" s="113"/>
      <c r="Q357" s="113"/>
      <c r="R357" s="113"/>
      <c r="T357" s="113"/>
      <c r="U357" s="113"/>
      <c r="V357" s="113"/>
    </row>
    <row r="358" customFormat="false" ht="15" hidden="false" customHeight="true" outlineLevel="0" collapsed="false">
      <c r="H358" s="113"/>
      <c r="I358" s="113"/>
      <c r="J358" s="113"/>
      <c r="L358" s="113"/>
      <c r="M358" s="113"/>
      <c r="N358" s="113"/>
      <c r="P358" s="113"/>
      <c r="Q358" s="113"/>
      <c r="R358" s="113"/>
      <c r="T358" s="113"/>
      <c r="U358" s="113"/>
      <c r="V358" s="113"/>
    </row>
    <row r="359" customFormat="false" ht="15" hidden="false" customHeight="true" outlineLevel="0" collapsed="false">
      <c r="H359" s="113"/>
      <c r="I359" s="113"/>
      <c r="J359" s="113"/>
      <c r="L359" s="113"/>
      <c r="M359" s="113"/>
      <c r="N359" s="113"/>
      <c r="P359" s="113"/>
      <c r="Q359" s="113"/>
      <c r="R359" s="113"/>
      <c r="T359" s="113"/>
      <c r="U359" s="113"/>
      <c r="V359" s="113"/>
    </row>
    <row r="360" customFormat="false" ht="15" hidden="false" customHeight="true" outlineLevel="0" collapsed="false">
      <c r="H360" s="113"/>
      <c r="I360" s="113"/>
      <c r="J360" s="113"/>
      <c r="L360" s="113"/>
      <c r="M360" s="113"/>
      <c r="N360" s="113"/>
      <c r="P360" s="113"/>
      <c r="Q360" s="113"/>
      <c r="R360" s="113"/>
      <c r="T360" s="113"/>
      <c r="U360" s="113"/>
      <c r="V360" s="113"/>
    </row>
    <row r="361" customFormat="false" ht="15" hidden="false" customHeight="true" outlineLevel="0" collapsed="false">
      <c r="H361" s="113"/>
      <c r="I361" s="113"/>
      <c r="J361" s="113"/>
      <c r="L361" s="113"/>
      <c r="M361" s="113"/>
      <c r="N361" s="113"/>
      <c r="P361" s="113"/>
      <c r="Q361" s="113"/>
      <c r="R361" s="113"/>
      <c r="T361" s="113"/>
      <c r="U361" s="113"/>
      <c r="V361" s="113"/>
    </row>
    <row r="362" customFormat="false" ht="15" hidden="false" customHeight="true" outlineLevel="0" collapsed="false">
      <c r="H362" s="113"/>
      <c r="I362" s="113"/>
      <c r="J362" s="113"/>
      <c r="L362" s="113"/>
      <c r="M362" s="113"/>
      <c r="N362" s="113"/>
      <c r="P362" s="113"/>
      <c r="Q362" s="113"/>
      <c r="R362" s="113"/>
      <c r="T362" s="113"/>
      <c r="U362" s="113"/>
      <c r="V362" s="113"/>
    </row>
    <row r="363" customFormat="false" ht="15" hidden="false" customHeight="true" outlineLevel="0" collapsed="false">
      <c r="H363" s="113"/>
      <c r="I363" s="113"/>
      <c r="J363" s="113"/>
      <c r="L363" s="113"/>
      <c r="M363" s="113"/>
      <c r="N363" s="113"/>
      <c r="P363" s="113"/>
      <c r="Q363" s="113"/>
      <c r="R363" s="113"/>
      <c r="T363" s="113"/>
      <c r="U363" s="113"/>
      <c r="V363" s="113"/>
    </row>
    <row r="364" customFormat="false" ht="15" hidden="false" customHeight="true" outlineLevel="0" collapsed="false">
      <c r="H364" s="113"/>
      <c r="I364" s="113"/>
      <c r="J364" s="113"/>
      <c r="L364" s="113"/>
      <c r="M364" s="113"/>
      <c r="N364" s="113"/>
      <c r="P364" s="113"/>
      <c r="Q364" s="113"/>
      <c r="R364" s="113"/>
      <c r="T364" s="113"/>
      <c r="U364" s="113"/>
      <c r="V364" s="113"/>
    </row>
    <row r="365" customFormat="false" ht="15" hidden="false" customHeight="true" outlineLevel="0" collapsed="false">
      <c r="H365" s="113"/>
      <c r="I365" s="113"/>
      <c r="J365" s="113"/>
      <c r="L365" s="113"/>
      <c r="M365" s="113"/>
      <c r="N365" s="113"/>
      <c r="P365" s="113"/>
      <c r="Q365" s="113"/>
      <c r="R365" s="113"/>
      <c r="T365" s="113"/>
      <c r="U365" s="113"/>
      <c r="V365" s="113"/>
    </row>
    <row r="366" customFormat="false" ht="15" hidden="false" customHeight="true" outlineLevel="0" collapsed="false">
      <c r="H366" s="113"/>
      <c r="I366" s="113"/>
      <c r="J366" s="113"/>
      <c r="L366" s="113"/>
      <c r="M366" s="113"/>
      <c r="N366" s="113"/>
      <c r="P366" s="113"/>
      <c r="Q366" s="113"/>
      <c r="R366" s="113"/>
      <c r="T366" s="113"/>
      <c r="U366" s="113"/>
      <c r="V366" s="113"/>
    </row>
    <row r="367" customFormat="false" ht="15" hidden="false" customHeight="true" outlineLevel="0" collapsed="false">
      <c r="H367" s="113"/>
      <c r="I367" s="113"/>
      <c r="J367" s="113"/>
      <c r="L367" s="113"/>
      <c r="M367" s="113"/>
      <c r="N367" s="113"/>
      <c r="P367" s="113"/>
      <c r="Q367" s="113"/>
      <c r="R367" s="113"/>
      <c r="T367" s="113"/>
      <c r="U367" s="113"/>
      <c r="V367" s="113"/>
    </row>
    <row r="368" customFormat="false" ht="15" hidden="false" customHeight="true" outlineLevel="0" collapsed="false">
      <c r="H368" s="113"/>
      <c r="I368" s="113"/>
      <c r="J368" s="113"/>
      <c r="L368" s="113"/>
      <c r="M368" s="113"/>
      <c r="N368" s="113"/>
      <c r="P368" s="113"/>
      <c r="Q368" s="113"/>
      <c r="R368" s="113"/>
      <c r="T368" s="113"/>
      <c r="U368" s="113"/>
      <c r="V368" s="113"/>
    </row>
    <row r="369" customFormat="false" ht="15" hidden="false" customHeight="true" outlineLevel="0" collapsed="false">
      <c r="H369" s="113"/>
      <c r="I369" s="113"/>
      <c r="J369" s="113"/>
      <c r="L369" s="113"/>
      <c r="M369" s="113"/>
      <c r="N369" s="113"/>
      <c r="P369" s="113"/>
      <c r="Q369" s="113"/>
      <c r="R369" s="113"/>
      <c r="T369" s="113"/>
      <c r="U369" s="113"/>
      <c r="V369" s="113"/>
    </row>
    <row r="370" customFormat="false" ht="15" hidden="false" customHeight="true" outlineLevel="0" collapsed="false">
      <c r="H370" s="113"/>
      <c r="I370" s="113"/>
      <c r="J370" s="113"/>
      <c r="L370" s="113"/>
      <c r="M370" s="113"/>
      <c r="N370" s="113"/>
      <c r="P370" s="113"/>
      <c r="Q370" s="113"/>
      <c r="R370" s="113"/>
      <c r="T370" s="113"/>
      <c r="U370" s="113"/>
      <c r="V370" s="113"/>
    </row>
    <row r="371" customFormat="false" ht="15" hidden="false" customHeight="true" outlineLevel="0" collapsed="false">
      <c r="H371" s="113"/>
      <c r="I371" s="113"/>
      <c r="J371" s="113"/>
      <c r="L371" s="113"/>
      <c r="M371" s="113"/>
      <c r="N371" s="113"/>
      <c r="P371" s="113"/>
      <c r="Q371" s="113"/>
      <c r="R371" s="113"/>
      <c r="T371" s="113"/>
      <c r="U371" s="113"/>
      <c r="V371" s="113"/>
    </row>
    <row r="372" customFormat="false" ht="15" hidden="false" customHeight="true" outlineLevel="0" collapsed="false">
      <c r="H372" s="113"/>
      <c r="I372" s="113"/>
      <c r="J372" s="113"/>
      <c r="L372" s="113"/>
      <c r="M372" s="113"/>
      <c r="N372" s="113"/>
      <c r="P372" s="113"/>
      <c r="Q372" s="113"/>
      <c r="R372" s="113"/>
      <c r="T372" s="113"/>
      <c r="U372" s="113"/>
      <c r="V372" s="113"/>
    </row>
    <row r="373" customFormat="false" ht="15" hidden="false" customHeight="true" outlineLevel="0" collapsed="false">
      <c r="H373" s="113"/>
      <c r="I373" s="113"/>
      <c r="J373" s="113"/>
      <c r="L373" s="113"/>
      <c r="M373" s="113"/>
      <c r="N373" s="113"/>
      <c r="P373" s="113"/>
      <c r="Q373" s="113"/>
      <c r="R373" s="113"/>
      <c r="T373" s="113"/>
      <c r="U373" s="113"/>
      <c r="V373" s="113"/>
    </row>
    <row r="374" customFormat="false" ht="15" hidden="false" customHeight="true" outlineLevel="0" collapsed="false">
      <c r="H374" s="113"/>
      <c r="I374" s="113"/>
      <c r="J374" s="113"/>
      <c r="L374" s="113"/>
      <c r="M374" s="113"/>
      <c r="N374" s="113"/>
      <c r="P374" s="113"/>
      <c r="Q374" s="113"/>
      <c r="R374" s="113"/>
      <c r="T374" s="113"/>
      <c r="U374" s="113"/>
      <c r="V374" s="113"/>
    </row>
    <row r="375" customFormat="false" ht="15" hidden="false" customHeight="true" outlineLevel="0" collapsed="false">
      <c r="H375" s="113"/>
      <c r="I375" s="113"/>
      <c r="J375" s="113"/>
      <c r="L375" s="113"/>
      <c r="M375" s="113"/>
      <c r="N375" s="113"/>
      <c r="P375" s="113"/>
      <c r="Q375" s="113"/>
      <c r="R375" s="113"/>
      <c r="T375" s="113"/>
      <c r="U375" s="113"/>
      <c r="V375" s="113"/>
    </row>
    <row r="376" customFormat="false" ht="15" hidden="false" customHeight="true" outlineLevel="0" collapsed="false">
      <c r="H376" s="113"/>
      <c r="I376" s="113"/>
      <c r="J376" s="113"/>
      <c r="L376" s="113"/>
      <c r="M376" s="113"/>
      <c r="N376" s="113"/>
      <c r="P376" s="113"/>
      <c r="Q376" s="113"/>
      <c r="R376" s="113"/>
      <c r="T376" s="113"/>
      <c r="U376" s="113"/>
      <c r="V376" s="113"/>
    </row>
    <row r="377" customFormat="false" ht="15" hidden="false" customHeight="true" outlineLevel="0" collapsed="false">
      <c r="H377" s="113"/>
      <c r="I377" s="113"/>
      <c r="J377" s="113"/>
      <c r="L377" s="113"/>
      <c r="M377" s="113"/>
      <c r="N377" s="113"/>
      <c r="P377" s="113"/>
      <c r="Q377" s="113"/>
      <c r="R377" s="113"/>
      <c r="T377" s="113"/>
      <c r="U377" s="113"/>
      <c r="V377" s="113"/>
    </row>
    <row r="378" customFormat="false" ht="15" hidden="false" customHeight="true" outlineLevel="0" collapsed="false">
      <c r="H378" s="113"/>
      <c r="I378" s="113"/>
      <c r="J378" s="113"/>
      <c r="L378" s="113"/>
      <c r="M378" s="113"/>
      <c r="N378" s="113"/>
      <c r="P378" s="113"/>
      <c r="Q378" s="113"/>
      <c r="R378" s="113"/>
      <c r="T378" s="113"/>
      <c r="U378" s="113"/>
      <c r="V378" s="113"/>
    </row>
    <row r="379" customFormat="false" ht="15" hidden="false" customHeight="true" outlineLevel="0" collapsed="false">
      <c r="H379" s="113"/>
      <c r="I379" s="113"/>
      <c r="J379" s="113"/>
      <c r="L379" s="113"/>
      <c r="M379" s="113"/>
      <c r="N379" s="113"/>
      <c r="P379" s="113"/>
      <c r="Q379" s="113"/>
      <c r="R379" s="113"/>
      <c r="T379" s="113"/>
      <c r="U379" s="113"/>
      <c r="V379" s="113"/>
    </row>
    <row r="380" customFormat="false" ht="15" hidden="false" customHeight="true" outlineLevel="0" collapsed="false">
      <c r="H380" s="113"/>
      <c r="I380" s="113"/>
      <c r="J380" s="113"/>
      <c r="L380" s="113"/>
      <c r="M380" s="113"/>
      <c r="N380" s="113"/>
      <c r="P380" s="113"/>
      <c r="Q380" s="113"/>
      <c r="R380" s="113"/>
      <c r="T380" s="113"/>
      <c r="U380" s="113"/>
      <c r="V380" s="113"/>
    </row>
    <row r="381" customFormat="false" ht="15" hidden="false" customHeight="true" outlineLevel="0" collapsed="false">
      <c r="H381" s="113"/>
      <c r="I381" s="113"/>
      <c r="J381" s="113"/>
      <c r="L381" s="113"/>
      <c r="M381" s="113"/>
      <c r="N381" s="113"/>
      <c r="P381" s="113"/>
      <c r="Q381" s="113"/>
      <c r="R381" s="113"/>
      <c r="T381" s="113"/>
      <c r="U381" s="113"/>
      <c r="V381" s="113"/>
    </row>
    <row r="382" customFormat="false" ht="15" hidden="false" customHeight="true" outlineLevel="0" collapsed="false">
      <c r="H382" s="113"/>
      <c r="I382" s="113"/>
      <c r="J382" s="113"/>
      <c r="L382" s="113"/>
      <c r="M382" s="113"/>
      <c r="N382" s="113"/>
      <c r="P382" s="113"/>
      <c r="Q382" s="113"/>
      <c r="R382" s="113"/>
      <c r="T382" s="113"/>
      <c r="U382" s="113"/>
      <c r="V382" s="113"/>
    </row>
    <row r="383" customFormat="false" ht="15" hidden="false" customHeight="true" outlineLevel="0" collapsed="false">
      <c r="H383" s="113"/>
      <c r="I383" s="113"/>
      <c r="J383" s="113"/>
      <c r="L383" s="113"/>
      <c r="M383" s="113"/>
      <c r="N383" s="113"/>
      <c r="P383" s="113"/>
      <c r="Q383" s="113"/>
      <c r="R383" s="113"/>
      <c r="T383" s="113"/>
      <c r="U383" s="113"/>
      <c r="V383" s="113"/>
    </row>
    <row r="384" customFormat="false" ht="15" hidden="false" customHeight="true" outlineLevel="0" collapsed="false">
      <c r="H384" s="113"/>
      <c r="I384" s="113"/>
      <c r="J384" s="113"/>
      <c r="L384" s="113"/>
      <c r="M384" s="113"/>
      <c r="N384" s="113"/>
      <c r="P384" s="113"/>
      <c r="Q384" s="113"/>
      <c r="R384" s="113"/>
      <c r="T384" s="113"/>
      <c r="U384" s="113"/>
      <c r="V384" s="113"/>
    </row>
    <row r="385" customFormat="false" ht="15" hidden="false" customHeight="true" outlineLevel="0" collapsed="false">
      <c r="H385" s="113"/>
      <c r="I385" s="113"/>
      <c r="J385" s="113"/>
      <c r="L385" s="113"/>
      <c r="M385" s="113"/>
      <c r="N385" s="113"/>
      <c r="P385" s="113"/>
      <c r="Q385" s="113"/>
      <c r="R385" s="113"/>
      <c r="T385" s="113"/>
      <c r="U385" s="113"/>
      <c r="V385" s="113"/>
    </row>
    <row r="386" customFormat="false" ht="15" hidden="false" customHeight="true" outlineLevel="0" collapsed="false">
      <c r="H386" s="113"/>
      <c r="I386" s="113"/>
      <c r="J386" s="113"/>
      <c r="L386" s="113"/>
      <c r="M386" s="113"/>
      <c r="N386" s="113"/>
      <c r="P386" s="113"/>
      <c r="Q386" s="113"/>
      <c r="R386" s="113"/>
      <c r="T386" s="113"/>
      <c r="U386" s="113"/>
      <c r="V386" s="113"/>
    </row>
    <row r="387" customFormat="false" ht="15" hidden="false" customHeight="true" outlineLevel="0" collapsed="false">
      <c r="H387" s="113"/>
      <c r="I387" s="113"/>
      <c r="J387" s="113"/>
      <c r="L387" s="113"/>
      <c r="M387" s="113"/>
      <c r="N387" s="113"/>
      <c r="P387" s="113"/>
      <c r="Q387" s="113"/>
      <c r="R387" s="113"/>
      <c r="T387" s="113"/>
      <c r="U387" s="113"/>
      <c r="V387" s="113"/>
    </row>
    <row r="388" customFormat="false" ht="15" hidden="false" customHeight="true" outlineLevel="0" collapsed="false">
      <c r="H388" s="113"/>
      <c r="I388" s="113"/>
      <c r="J388" s="113"/>
      <c r="L388" s="113"/>
      <c r="M388" s="113"/>
      <c r="N388" s="113"/>
      <c r="P388" s="113"/>
      <c r="Q388" s="113"/>
      <c r="R388" s="113"/>
      <c r="T388" s="113"/>
      <c r="U388" s="113"/>
      <c r="V388" s="113"/>
    </row>
    <row r="389" customFormat="false" ht="15" hidden="false" customHeight="true" outlineLevel="0" collapsed="false">
      <c r="H389" s="113"/>
      <c r="I389" s="113"/>
      <c r="J389" s="113"/>
      <c r="L389" s="113"/>
      <c r="M389" s="113"/>
      <c r="N389" s="113"/>
      <c r="P389" s="113"/>
      <c r="Q389" s="113"/>
      <c r="R389" s="113"/>
      <c r="T389" s="113"/>
      <c r="U389" s="113"/>
      <c r="V389" s="113"/>
    </row>
    <row r="390" customFormat="false" ht="15" hidden="false" customHeight="true" outlineLevel="0" collapsed="false">
      <c r="H390" s="113"/>
      <c r="I390" s="113"/>
      <c r="J390" s="113"/>
      <c r="L390" s="113"/>
      <c r="M390" s="113"/>
      <c r="N390" s="113"/>
      <c r="P390" s="113"/>
      <c r="Q390" s="113"/>
      <c r="R390" s="113"/>
      <c r="T390" s="113"/>
      <c r="U390" s="113"/>
      <c r="V390" s="113"/>
    </row>
    <row r="391" customFormat="false" ht="15" hidden="false" customHeight="true" outlineLevel="0" collapsed="false">
      <c r="H391" s="113"/>
      <c r="I391" s="113"/>
      <c r="J391" s="113"/>
      <c r="L391" s="113"/>
      <c r="M391" s="113"/>
      <c r="N391" s="113"/>
      <c r="P391" s="113"/>
      <c r="Q391" s="113"/>
      <c r="R391" s="113"/>
      <c r="T391" s="113"/>
      <c r="U391" s="113"/>
      <c r="V391" s="113"/>
    </row>
    <row r="392" customFormat="false" ht="15" hidden="false" customHeight="true" outlineLevel="0" collapsed="false">
      <c r="H392" s="113"/>
      <c r="I392" s="113"/>
      <c r="J392" s="113"/>
      <c r="L392" s="113"/>
      <c r="M392" s="113"/>
      <c r="N392" s="113"/>
      <c r="P392" s="113"/>
      <c r="Q392" s="113"/>
      <c r="R392" s="113"/>
      <c r="T392" s="113"/>
      <c r="U392" s="113"/>
      <c r="V392" s="113"/>
    </row>
    <row r="393" customFormat="false" ht="15" hidden="false" customHeight="true" outlineLevel="0" collapsed="false">
      <c r="H393" s="113"/>
      <c r="I393" s="113"/>
      <c r="J393" s="113"/>
      <c r="L393" s="113"/>
      <c r="M393" s="113"/>
      <c r="N393" s="113"/>
      <c r="P393" s="113"/>
      <c r="Q393" s="113"/>
      <c r="R393" s="113"/>
      <c r="T393" s="113"/>
      <c r="U393" s="113"/>
      <c r="V393" s="113"/>
    </row>
    <row r="394" customFormat="false" ht="15" hidden="false" customHeight="true" outlineLevel="0" collapsed="false">
      <c r="H394" s="113"/>
      <c r="I394" s="113"/>
      <c r="J394" s="113"/>
      <c r="L394" s="113"/>
      <c r="M394" s="113"/>
      <c r="N394" s="113"/>
      <c r="P394" s="113"/>
      <c r="Q394" s="113"/>
      <c r="R394" s="113"/>
      <c r="T394" s="113"/>
      <c r="U394" s="113"/>
      <c r="V394" s="113"/>
    </row>
    <row r="395" customFormat="false" ht="15" hidden="false" customHeight="true" outlineLevel="0" collapsed="false">
      <c r="H395" s="113"/>
      <c r="I395" s="113"/>
      <c r="J395" s="113"/>
      <c r="L395" s="113"/>
      <c r="M395" s="113"/>
      <c r="N395" s="113"/>
      <c r="P395" s="113"/>
      <c r="Q395" s="113"/>
      <c r="R395" s="113"/>
      <c r="T395" s="113"/>
      <c r="U395" s="113"/>
      <c r="V395" s="113"/>
    </row>
    <row r="396" customFormat="false" ht="15" hidden="false" customHeight="true" outlineLevel="0" collapsed="false">
      <c r="H396" s="113"/>
      <c r="I396" s="113"/>
      <c r="J396" s="113"/>
      <c r="L396" s="113"/>
      <c r="M396" s="113"/>
      <c r="N396" s="113"/>
      <c r="P396" s="113"/>
      <c r="Q396" s="113"/>
      <c r="R396" s="113"/>
      <c r="T396" s="113"/>
      <c r="U396" s="113"/>
      <c r="V396" s="113"/>
    </row>
    <row r="397" customFormat="false" ht="15" hidden="false" customHeight="true" outlineLevel="0" collapsed="false">
      <c r="H397" s="113"/>
      <c r="I397" s="113"/>
      <c r="J397" s="113"/>
      <c r="L397" s="113"/>
      <c r="M397" s="113"/>
      <c r="N397" s="113"/>
      <c r="P397" s="113"/>
      <c r="Q397" s="113"/>
      <c r="R397" s="113"/>
      <c r="T397" s="113"/>
      <c r="U397" s="113"/>
      <c r="V397" s="113"/>
    </row>
    <row r="398" customFormat="false" ht="15" hidden="false" customHeight="true" outlineLevel="0" collapsed="false">
      <c r="H398" s="113"/>
      <c r="I398" s="113"/>
      <c r="J398" s="113"/>
      <c r="L398" s="113"/>
      <c r="M398" s="113"/>
      <c r="N398" s="113"/>
      <c r="P398" s="113"/>
      <c r="Q398" s="113"/>
      <c r="R398" s="113"/>
      <c r="T398" s="113"/>
      <c r="U398" s="113"/>
      <c r="V398" s="113"/>
    </row>
    <row r="399" customFormat="false" ht="15" hidden="false" customHeight="true" outlineLevel="0" collapsed="false">
      <c r="H399" s="113"/>
      <c r="I399" s="113"/>
      <c r="J399" s="113"/>
      <c r="L399" s="113"/>
      <c r="M399" s="113"/>
      <c r="N399" s="113"/>
      <c r="P399" s="113"/>
      <c r="Q399" s="113"/>
      <c r="R399" s="113"/>
      <c r="T399" s="113"/>
      <c r="U399" s="113"/>
      <c r="V399" s="113"/>
    </row>
    <row r="400" customFormat="false" ht="15" hidden="false" customHeight="true" outlineLevel="0" collapsed="false">
      <c r="H400" s="113"/>
      <c r="I400" s="113"/>
      <c r="J400" s="113"/>
      <c r="L400" s="113"/>
      <c r="M400" s="113"/>
      <c r="N400" s="113"/>
      <c r="P400" s="113"/>
      <c r="Q400" s="113"/>
      <c r="R400" s="113"/>
      <c r="T400" s="113"/>
      <c r="U400" s="113"/>
      <c r="V400" s="113"/>
    </row>
    <row r="401" customFormat="false" ht="15" hidden="false" customHeight="true" outlineLevel="0" collapsed="false">
      <c r="H401" s="113"/>
      <c r="I401" s="113"/>
      <c r="J401" s="113"/>
      <c r="L401" s="113"/>
      <c r="M401" s="113"/>
      <c r="N401" s="113"/>
      <c r="P401" s="113"/>
      <c r="Q401" s="113"/>
      <c r="R401" s="113"/>
      <c r="T401" s="113"/>
      <c r="U401" s="113"/>
      <c r="V401" s="113"/>
    </row>
    <row r="402" customFormat="false" ht="15" hidden="false" customHeight="true" outlineLevel="0" collapsed="false">
      <c r="H402" s="113"/>
      <c r="I402" s="113"/>
      <c r="J402" s="113"/>
      <c r="L402" s="113"/>
      <c r="M402" s="113"/>
      <c r="N402" s="113"/>
      <c r="P402" s="113"/>
      <c r="Q402" s="113"/>
      <c r="R402" s="113"/>
      <c r="T402" s="113"/>
      <c r="U402" s="113"/>
      <c r="V402" s="113"/>
    </row>
    <row r="403" customFormat="false" ht="15" hidden="false" customHeight="true" outlineLevel="0" collapsed="false">
      <c r="H403" s="113"/>
      <c r="I403" s="113"/>
      <c r="J403" s="113"/>
      <c r="L403" s="113"/>
      <c r="M403" s="113"/>
      <c r="N403" s="113"/>
      <c r="P403" s="113"/>
      <c r="Q403" s="113"/>
      <c r="R403" s="113"/>
      <c r="T403" s="113"/>
      <c r="U403" s="113"/>
      <c r="V403" s="113"/>
    </row>
    <row r="404" customFormat="false" ht="15" hidden="false" customHeight="true" outlineLevel="0" collapsed="false">
      <c r="H404" s="113"/>
      <c r="I404" s="113"/>
      <c r="J404" s="113"/>
      <c r="L404" s="113"/>
      <c r="M404" s="113"/>
      <c r="N404" s="113"/>
      <c r="P404" s="113"/>
      <c r="Q404" s="113"/>
      <c r="R404" s="113"/>
      <c r="T404" s="113"/>
      <c r="U404" s="113"/>
      <c r="V404" s="113"/>
    </row>
    <row r="405" customFormat="false" ht="15" hidden="false" customHeight="true" outlineLevel="0" collapsed="false">
      <c r="H405" s="113"/>
      <c r="I405" s="113"/>
      <c r="J405" s="113"/>
      <c r="L405" s="113"/>
      <c r="M405" s="113"/>
      <c r="N405" s="113"/>
      <c r="P405" s="113"/>
      <c r="Q405" s="113"/>
      <c r="R405" s="113"/>
      <c r="T405" s="113"/>
      <c r="U405" s="113"/>
      <c r="V405" s="113"/>
    </row>
    <row r="406" customFormat="false" ht="15" hidden="false" customHeight="true" outlineLevel="0" collapsed="false">
      <c r="H406" s="113"/>
      <c r="I406" s="113"/>
      <c r="J406" s="113"/>
      <c r="L406" s="113"/>
      <c r="M406" s="113"/>
      <c r="N406" s="113"/>
      <c r="P406" s="113"/>
      <c r="Q406" s="113"/>
      <c r="R406" s="113"/>
      <c r="T406" s="113"/>
      <c r="U406" s="113"/>
      <c r="V406" s="113"/>
    </row>
    <row r="407" customFormat="false" ht="15" hidden="false" customHeight="true" outlineLevel="0" collapsed="false">
      <c r="H407" s="113"/>
      <c r="I407" s="113"/>
      <c r="J407" s="113"/>
      <c r="L407" s="113"/>
      <c r="M407" s="113"/>
      <c r="N407" s="113"/>
      <c r="P407" s="113"/>
      <c r="Q407" s="113"/>
      <c r="R407" s="113"/>
      <c r="T407" s="113"/>
      <c r="U407" s="113"/>
      <c r="V407" s="113"/>
    </row>
    <row r="408" customFormat="false" ht="15" hidden="false" customHeight="true" outlineLevel="0" collapsed="false">
      <c r="H408" s="113"/>
      <c r="I408" s="113"/>
      <c r="J408" s="113"/>
      <c r="L408" s="113"/>
      <c r="M408" s="113"/>
      <c r="N408" s="113"/>
      <c r="P408" s="113"/>
      <c r="Q408" s="113"/>
      <c r="R408" s="113"/>
      <c r="T408" s="113"/>
      <c r="U408" s="113"/>
      <c r="V408" s="113"/>
    </row>
    <row r="409" customFormat="false" ht="15" hidden="false" customHeight="true" outlineLevel="0" collapsed="false">
      <c r="H409" s="113"/>
      <c r="I409" s="113"/>
      <c r="J409" s="113"/>
      <c r="L409" s="113"/>
      <c r="M409" s="113"/>
      <c r="N409" s="113"/>
      <c r="P409" s="113"/>
      <c r="Q409" s="113"/>
      <c r="R409" s="113"/>
      <c r="T409" s="113"/>
      <c r="U409" s="113"/>
      <c r="V409" s="113"/>
    </row>
    <row r="410" customFormat="false" ht="15" hidden="false" customHeight="true" outlineLevel="0" collapsed="false">
      <c r="H410" s="113"/>
      <c r="I410" s="113"/>
      <c r="J410" s="113"/>
      <c r="L410" s="113"/>
      <c r="M410" s="113"/>
      <c r="N410" s="113"/>
      <c r="P410" s="113"/>
      <c r="Q410" s="113"/>
      <c r="R410" s="113"/>
      <c r="T410" s="113"/>
      <c r="U410" s="113"/>
      <c r="V410" s="113"/>
    </row>
    <row r="411" customFormat="false" ht="15" hidden="false" customHeight="true" outlineLevel="0" collapsed="false">
      <c r="H411" s="113"/>
      <c r="I411" s="113"/>
      <c r="J411" s="113"/>
      <c r="L411" s="113"/>
      <c r="M411" s="113"/>
      <c r="N411" s="113"/>
      <c r="P411" s="113"/>
      <c r="Q411" s="113"/>
      <c r="R411" s="113"/>
      <c r="T411" s="113"/>
      <c r="U411" s="113"/>
      <c r="V411" s="113"/>
    </row>
    <row r="412" customFormat="false" ht="15" hidden="false" customHeight="true" outlineLevel="0" collapsed="false">
      <c r="H412" s="113"/>
      <c r="I412" s="113"/>
      <c r="J412" s="113"/>
      <c r="L412" s="113"/>
      <c r="M412" s="113"/>
      <c r="N412" s="113"/>
      <c r="P412" s="113"/>
      <c r="Q412" s="113"/>
      <c r="R412" s="113"/>
      <c r="T412" s="113"/>
      <c r="U412" s="113"/>
      <c r="V412" s="113"/>
    </row>
    <row r="413" customFormat="false" ht="15" hidden="false" customHeight="true" outlineLevel="0" collapsed="false">
      <c r="H413" s="113"/>
      <c r="I413" s="113"/>
      <c r="J413" s="113"/>
      <c r="L413" s="113"/>
      <c r="M413" s="113"/>
      <c r="N413" s="113"/>
      <c r="P413" s="113"/>
      <c r="Q413" s="113"/>
      <c r="R413" s="113"/>
      <c r="T413" s="113"/>
      <c r="U413" s="113"/>
      <c r="V413" s="113"/>
    </row>
    <row r="414" customFormat="false" ht="15" hidden="false" customHeight="true" outlineLevel="0" collapsed="false">
      <c r="H414" s="113"/>
      <c r="I414" s="113"/>
      <c r="J414" s="113"/>
      <c r="L414" s="113"/>
      <c r="M414" s="113"/>
      <c r="N414" s="113"/>
      <c r="P414" s="113"/>
      <c r="Q414" s="113"/>
      <c r="R414" s="113"/>
      <c r="T414" s="113"/>
      <c r="U414" s="113"/>
      <c r="V414" s="113"/>
    </row>
    <row r="415" customFormat="false" ht="15" hidden="false" customHeight="true" outlineLevel="0" collapsed="false">
      <c r="H415" s="113"/>
      <c r="I415" s="113"/>
      <c r="J415" s="113"/>
      <c r="L415" s="113"/>
      <c r="M415" s="113"/>
      <c r="N415" s="113"/>
      <c r="P415" s="113"/>
      <c r="Q415" s="113"/>
      <c r="R415" s="113"/>
      <c r="T415" s="113"/>
      <c r="U415" s="113"/>
      <c r="V415" s="113"/>
    </row>
    <row r="416" customFormat="false" ht="15" hidden="false" customHeight="true" outlineLevel="0" collapsed="false">
      <c r="H416" s="113"/>
      <c r="I416" s="113"/>
      <c r="J416" s="113"/>
      <c r="L416" s="113"/>
      <c r="M416" s="113"/>
      <c r="N416" s="113"/>
      <c r="P416" s="113"/>
      <c r="Q416" s="113"/>
      <c r="R416" s="113"/>
      <c r="T416" s="113"/>
      <c r="U416" s="113"/>
      <c r="V416" s="113"/>
    </row>
    <row r="417" customFormat="false" ht="15" hidden="false" customHeight="true" outlineLevel="0" collapsed="false">
      <c r="H417" s="113"/>
      <c r="I417" s="113"/>
      <c r="J417" s="113"/>
      <c r="L417" s="113"/>
      <c r="M417" s="113"/>
      <c r="N417" s="113"/>
      <c r="P417" s="113"/>
      <c r="Q417" s="113"/>
      <c r="R417" s="113"/>
      <c r="T417" s="113"/>
      <c r="U417" s="113"/>
      <c r="V417" s="113"/>
    </row>
    <row r="418" customFormat="false" ht="15" hidden="false" customHeight="true" outlineLevel="0" collapsed="false">
      <c r="H418" s="113"/>
      <c r="I418" s="113"/>
      <c r="J418" s="113"/>
      <c r="L418" s="113"/>
      <c r="M418" s="113"/>
      <c r="N418" s="113"/>
      <c r="P418" s="113"/>
      <c r="Q418" s="113"/>
      <c r="R418" s="113"/>
      <c r="T418" s="113"/>
      <c r="U418" s="113"/>
      <c r="V418" s="113"/>
    </row>
    <row r="419" customFormat="false" ht="15" hidden="false" customHeight="true" outlineLevel="0" collapsed="false">
      <c r="H419" s="113"/>
      <c r="I419" s="113"/>
      <c r="J419" s="113"/>
      <c r="L419" s="113"/>
      <c r="M419" s="113"/>
      <c r="N419" s="113"/>
      <c r="P419" s="113"/>
      <c r="Q419" s="113"/>
      <c r="R419" s="113"/>
      <c r="T419" s="113"/>
      <c r="U419" s="113"/>
      <c r="V419" s="113"/>
    </row>
    <row r="420" customFormat="false" ht="15" hidden="false" customHeight="true" outlineLevel="0" collapsed="false">
      <c r="H420" s="113"/>
      <c r="I420" s="113"/>
      <c r="J420" s="113"/>
      <c r="L420" s="113"/>
      <c r="M420" s="113"/>
      <c r="N420" s="113"/>
      <c r="P420" s="113"/>
      <c r="Q420" s="113"/>
      <c r="R420" s="113"/>
      <c r="T420" s="113"/>
      <c r="U420" s="113"/>
      <c r="V420" s="113"/>
    </row>
    <row r="421" customFormat="false" ht="15" hidden="false" customHeight="true" outlineLevel="0" collapsed="false">
      <c r="H421" s="113"/>
      <c r="I421" s="113"/>
      <c r="J421" s="113"/>
      <c r="L421" s="113"/>
      <c r="M421" s="113"/>
      <c r="N421" s="113"/>
      <c r="P421" s="113"/>
      <c r="Q421" s="113"/>
      <c r="R421" s="113"/>
      <c r="T421" s="113"/>
      <c r="U421" s="113"/>
      <c r="V421" s="113"/>
    </row>
    <row r="422" customFormat="false" ht="15" hidden="false" customHeight="true" outlineLevel="0" collapsed="false">
      <c r="H422" s="113"/>
      <c r="I422" s="113"/>
      <c r="J422" s="113"/>
      <c r="L422" s="113"/>
      <c r="M422" s="113"/>
      <c r="N422" s="113"/>
      <c r="P422" s="113"/>
      <c r="Q422" s="113"/>
      <c r="R422" s="113"/>
      <c r="T422" s="113"/>
      <c r="U422" s="113"/>
      <c r="V422" s="113"/>
    </row>
    <row r="423" customFormat="false" ht="15" hidden="false" customHeight="true" outlineLevel="0" collapsed="false">
      <c r="H423" s="113"/>
      <c r="I423" s="113"/>
      <c r="J423" s="113"/>
      <c r="L423" s="113"/>
      <c r="M423" s="113"/>
      <c r="N423" s="113"/>
      <c r="P423" s="113"/>
      <c r="Q423" s="113"/>
      <c r="R423" s="113"/>
      <c r="T423" s="113"/>
      <c r="U423" s="113"/>
      <c r="V423" s="113"/>
    </row>
    <row r="424" customFormat="false" ht="15" hidden="false" customHeight="true" outlineLevel="0" collapsed="false">
      <c r="H424" s="113"/>
      <c r="I424" s="113"/>
      <c r="J424" s="113"/>
      <c r="L424" s="113"/>
      <c r="M424" s="113"/>
      <c r="N424" s="113"/>
      <c r="P424" s="113"/>
      <c r="Q424" s="113"/>
      <c r="R424" s="113"/>
      <c r="T424" s="113"/>
      <c r="U424" s="113"/>
      <c r="V424" s="113"/>
    </row>
    <row r="425" customFormat="false" ht="15" hidden="false" customHeight="true" outlineLevel="0" collapsed="false">
      <c r="H425" s="113"/>
      <c r="I425" s="113"/>
      <c r="J425" s="113"/>
      <c r="L425" s="113"/>
      <c r="M425" s="113"/>
      <c r="N425" s="113"/>
      <c r="P425" s="113"/>
      <c r="Q425" s="113"/>
      <c r="R425" s="113"/>
      <c r="T425" s="113"/>
      <c r="U425" s="113"/>
      <c r="V425" s="113"/>
    </row>
    <row r="426" customFormat="false" ht="15" hidden="false" customHeight="true" outlineLevel="0" collapsed="false">
      <c r="H426" s="113"/>
      <c r="I426" s="113"/>
      <c r="J426" s="113"/>
      <c r="L426" s="113"/>
      <c r="M426" s="113"/>
      <c r="N426" s="113"/>
      <c r="P426" s="113"/>
      <c r="Q426" s="113"/>
      <c r="R426" s="113"/>
      <c r="T426" s="113"/>
      <c r="U426" s="113"/>
      <c r="V426" s="113"/>
    </row>
    <row r="427" customFormat="false" ht="15" hidden="false" customHeight="true" outlineLevel="0" collapsed="false">
      <c r="H427" s="113"/>
      <c r="I427" s="113"/>
      <c r="J427" s="113"/>
      <c r="L427" s="113"/>
      <c r="M427" s="113"/>
      <c r="N427" s="113"/>
      <c r="P427" s="113"/>
      <c r="Q427" s="113"/>
      <c r="R427" s="113"/>
      <c r="T427" s="113"/>
      <c r="U427" s="113"/>
      <c r="V427" s="113"/>
    </row>
    <row r="428" customFormat="false" ht="15" hidden="false" customHeight="true" outlineLevel="0" collapsed="false">
      <c r="H428" s="113"/>
      <c r="I428" s="113"/>
      <c r="J428" s="113"/>
      <c r="L428" s="113"/>
      <c r="M428" s="113"/>
      <c r="N428" s="113"/>
      <c r="P428" s="113"/>
      <c r="Q428" s="113"/>
      <c r="R428" s="113"/>
      <c r="T428" s="113"/>
      <c r="U428" s="113"/>
      <c r="V428" s="113"/>
    </row>
    <row r="429" customFormat="false" ht="15" hidden="false" customHeight="true" outlineLevel="0" collapsed="false">
      <c r="H429" s="113"/>
      <c r="I429" s="113"/>
      <c r="J429" s="113"/>
      <c r="L429" s="113"/>
      <c r="M429" s="113"/>
      <c r="N429" s="113"/>
      <c r="P429" s="113"/>
      <c r="Q429" s="113"/>
      <c r="R429" s="113"/>
      <c r="T429" s="113"/>
      <c r="U429" s="113"/>
      <c r="V429" s="113"/>
    </row>
    <row r="430" customFormat="false" ht="15" hidden="false" customHeight="true" outlineLevel="0" collapsed="false">
      <c r="H430" s="113"/>
      <c r="I430" s="113"/>
      <c r="J430" s="113"/>
      <c r="L430" s="113"/>
      <c r="M430" s="113"/>
      <c r="N430" s="113"/>
      <c r="P430" s="113"/>
      <c r="Q430" s="113"/>
      <c r="R430" s="113"/>
      <c r="T430" s="113"/>
      <c r="U430" s="113"/>
      <c r="V430" s="113"/>
    </row>
    <row r="431" customFormat="false" ht="15" hidden="false" customHeight="true" outlineLevel="0" collapsed="false">
      <c r="H431" s="113"/>
      <c r="I431" s="113"/>
      <c r="J431" s="113"/>
      <c r="L431" s="113"/>
      <c r="M431" s="113"/>
      <c r="N431" s="113"/>
      <c r="P431" s="113"/>
      <c r="Q431" s="113"/>
      <c r="R431" s="113"/>
      <c r="T431" s="113"/>
      <c r="U431" s="113"/>
      <c r="V431" s="113"/>
    </row>
    <row r="432" customFormat="false" ht="15" hidden="false" customHeight="true" outlineLevel="0" collapsed="false">
      <c r="H432" s="113"/>
      <c r="I432" s="113"/>
      <c r="J432" s="113"/>
      <c r="L432" s="113"/>
      <c r="M432" s="113"/>
      <c r="N432" s="113"/>
      <c r="P432" s="113"/>
      <c r="Q432" s="113"/>
      <c r="R432" s="113"/>
      <c r="T432" s="113"/>
      <c r="U432" s="113"/>
      <c r="V432" s="113"/>
    </row>
    <row r="433" customFormat="false" ht="15" hidden="false" customHeight="true" outlineLevel="0" collapsed="false">
      <c r="H433" s="113"/>
      <c r="I433" s="113"/>
      <c r="J433" s="113"/>
      <c r="L433" s="113"/>
      <c r="M433" s="113"/>
      <c r="N433" s="113"/>
      <c r="P433" s="113"/>
      <c r="Q433" s="113"/>
      <c r="R433" s="113"/>
      <c r="T433" s="113"/>
      <c r="U433" s="113"/>
      <c r="V433" s="113"/>
    </row>
    <row r="434" customFormat="false" ht="15" hidden="false" customHeight="true" outlineLevel="0" collapsed="false">
      <c r="H434" s="113"/>
      <c r="I434" s="113"/>
      <c r="J434" s="113"/>
      <c r="L434" s="113"/>
      <c r="M434" s="113"/>
      <c r="N434" s="113"/>
      <c r="P434" s="113"/>
      <c r="Q434" s="113"/>
      <c r="R434" s="113"/>
      <c r="T434" s="113"/>
      <c r="U434" s="113"/>
      <c r="V434" s="113"/>
    </row>
    <row r="435" customFormat="false" ht="15" hidden="false" customHeight="true" outlineLevel="0" collapsed="false">
      <c r="H435" s="113"/>
      <c r="I435" s="113"/>
      <c r="J435" s="113"/>
      <c r="L435" s="113"/>
      <c r="M435" s="113"/>
      <c r="N435" s="113"/>
      <c r="P435" s="113"/>
      <c r="Q435" s="113"/>
      <c r="R435" s="113"/>
      <c r="T435" s="113"/>
      <c r="U435" s="113"/>
      <c r="V435" s="113"/>
    </row>
    <row r="436" customFormat="false" ht="15" hidden="false" customHeight="true" outlineLevel="0" collapsed="false">
      <c r="H436" s="113"/>
      <c r="I436" s="113"/>
      <c r="J436" s="113"/>
      <c r="L436" s="113"/>
      <c r="M436" s="113"/>
      <c r="N436" s="113"/>
      <c r="P436" s="113"/>
      <c r="Q436" s="113"/>
      <c r="R436" s="113"/>
      <c r="T436" s="113"/>
      <c r="U436" s="113"/>
      <c r="V436" s="113"/>
    </row>
    <row r="437" customFormat="false" ht="15" hidden="false" customHeight="true" outlineLevel="0" collapsed="false">
      <c r="H437" s="113"/>
      <c r="I437" s="113"/>
      <c r="J437" s="113"/>
      <c r="L437" s="113"/>
      <c r="M437" s="113"/>
      <c r="N437" s="113"/>
      <c r="P437" s="113"/>
      <c r="Q437" s="113"/>
      <c r="R437" s="113"/>
      <c r="T437" s="113"/>
      <c r="U437" s="113"/>
      <c r="V437" s="113"/>
    </row>
    <row r="438" customFormat="false" ht="15" hidden="false" customHeight="true" outlineLevel="0" collapsed="false">
      <c r="H438" s="113"/>
      <c r="I438" s="113"/>
      <c r="J438" s="113"/>
      <c r="L438" s="113"/>
      <c r="M438" s="113"/>
      <c r="N438" s="113"/>
      <c r="P438" s="113"/>
      <c r="Q438" s="113"/>
      <c r="R438" s="113"/>
      <c r="T438" s="113"/>
      <c r="U438" s="113"/>
      <c r="V438" s="113"/>
    </row>
    <row r="439" customFormat="false" ht="15" hidden="false" customHeight="true" outlineLevel="0" collapsed="false">
      <c r="H439" s="113"/>
      <c r="I439" s="113"/>
      <c r="J439" s="113"/>
      <c r="L439" s="113"/>
      <c r="M439" s="113"/>
      <c r="N439" s="113"/>
      <c r="P439" s="113"/>
      <c r="Q439" s="113"/>
      <c r="R439" s="113"/>
      <c r="T439" s="113"/>
      <c r="U439" s="113"/>
      <c r="V439" s="113"/>
    </row>
    <row r="440" customFormat="false" ht="15" hidden="false" customHeight="true" outlineLevel="0" collapsed="false">
      <c r="H440" s="113"/>
      <c r="I440" s="113"/>
      <c r="J440" s="113"/>
      <c r="L440" s="113"/>
      <c r="M440" s="113"/>
      <c r="N440" s="113"/>
      <c r="P440" s="113"/>
      <c r="Q440" s="113"/>
      <c r="R440" s="113"/>
      <c r="T440" s="113"/>
      <c r="U440" s="113"/>
      <c r="V440" s="113"/>
    </row>
    <row r="441" customFormat="false" ht="15" hidden="false" customHeight="true" outlineLevel="0" collapsed="false">
      <c r="H441" s="113"/>
      <c r="I441" s="113"/>
      <c r="J441" s="113"/>
      <c r="L441" s="113"/>
      <c r="M441" s="113"/>
      <c r="N441" s="113"/>
      <c r="P441" s="113"/>
      <c r="Q441" s="113"/>
      <c r="R441" s="113"/>
      <c r="T441" s="113"/>
      <c r="U441" s="113"/>
      <c r="V441" s="113"/>
    </row>
    <row r="442" customFormat="false" ht="15" hidden="false" customHeight="true" outlineLevel="0" collapsed="false">
      <c r="H442" s="113"/>
      <c r="I442" s="113"/>
      <c r="J442" s="113"/>
      <c r="L442" s="113"/>
      <c r="M442" s="113"/>
      <c r="N442" s="113"/>
      <c r="P442" s="113"/>
      <c r="Q442" s="113"/>
      <c r="R442" s="113"/>
      <c r="T442" s="113"/>
      <c r="U442" s="113"/>
      <c r="V442" s="113"/>
    </row>
    <row r="443" customFormat="false" ht="15" hidden="false" customHeight="true" outlineLevel="0" collapsed="false">
      <c r="H443" s="113"/>
      <c r="I443" s="113"/>
      <c r="J443" s="113"/>
      <c r="L443" s="113"/>
      <c r="M443" s="113"/>
      <c r="N443" s="113"/>
      <c r="P443" s="113"/>
      <c r="Q443" s="113"/>
      <c r="R443" s="113"/>
      <c r="T443" s="113"/>
      <c r="U443" s="113"/>
      <c r="V443" s="113"/>
    </row>
    <row r="444" customFormat="false" ht="15" hidden="false" customHeight="true" outlineLevel="0" collapsed="false">
      <c r="H444" s="113"/>
      <c r="I444" s="113"/>
      <c r="J444" s="113"/>
      <c r="L444" s="113"/>
      <c r="M444" s="113"/>
      <c r="N444" s="113"/>
      <c r="P444" s="113"/>
      <c r="Q444" s="113"/>
      <c r="R444" s="113"/>
      <c r="T444" s="113"/>
      <c r="U444" s="113"/>
      <c r="V444" s="113"/>
    </row>
    <row r="445" customFormat="false" ht="15" hidden="false" customHeight="true" outlineLevel="0" collapsed="false">
      <c r="H445" s="113"/>
      <c r="I445" s="113"/>
      <c r="J445" s="113"/>
      <c r="L445" s="113"/>
      <c r="M445" s="113"/>
      <c r="N445" s="113"/>
      <c r="P445" s="113"/>
      <c r="Q445" s="113"/>
      <c r="R445" s="113"/>
      <c r="T445" s="113"/>
      <c r="U445" s="113"/>
      <c r="V445" s="113"/>
    </row>
    <row r="446" customFormat="false" ht="15" hidden="false" customHeight="true" outlineLevel="0" collapsed="false">
      <c r="H446" s="113"/>
      <c r="I446" s="113"/>
      <c r="J446" s="113"/>
      <c r="L446" s="113"/>
      <c r="M446" s="113"/>
      <c r="N446" s="113"/>
      <c r="P446" s="113"/>
      <c r="Q446" s="113"/>
      <c r="R446" s="113"/>
      <c r="T446" s="113"/>
      <c r="U446" s="113"/>
      <c r="V446" s="113"/>
    </row>
    <row r="447" customFormat="false" ht="15" hidden="false" customHeight="true" outlineLevel="0" collapsed="false">
      <c r="H447" s="113"/>
      <c r="I447" s="113"/>
      <c r="J447" s="113"/>
      <c r="L447" s="113"/>
      <c r="M447" s="113"/>
      <c r="N447" s="113"/>
      <c r="P447" s="113"/>
      <c r="Q447" s="113"/>
      <c r="R447" s="113"/>
      <c r="T447" s="113"/>
      <c r="U447" s="113"/>
      <c r="V447" s="113"/>
    </row>
    <row r="448" customFormat="false" ht="15" hidden="false" customHeight="true" outlineLevel="0" collapsed="false">
      <c r="H448" s="113"/>
      <c r="I448" s="113"/>
      <c r="J448" s="113"/>
      <c r="L448" s="113"/>
      <c r="M448" s="113"/>
      <c r="N448" s="113"/>
      <c r="P448" s="113"/>
      <c r="Q448" s="113"/>
      <c r="R448" s="113"/>
      <c r="T448" s="113"/>
      <c r="U448" s="113"/>
      <c r="V448" s="113"/>
    </row>
    <row r="449" customFormat="false" ht="15" hidden="false" customHeight="true" outlineLevel="0" collapsed="false">
      <c r="H449" s="113"/>
      <c r="I449" s="113"/>
      <c r="J449" s="113"/>
      <c r="L449" s="113"/>
      <c r="M449" s="113"/>
      <c r="N449" s="113"/>
      <c r="P449" s="113"/>
      <c r="Q449" s="113"/>
      <c r="R449" s="113"/>
      <c r="T449" s="113"/>
      <c r="U449" s="113"/>
      <c r="V449" s="113"/>
    </row>
    <row r="450" customFormat="false" ht="15" hidden="false" customHeight="true" outlineLevel="0" collapsed="false">
      <c r="H450" s="113"/>
      <c r="I450" s="113"/>
      <c r="J450" s="113"/>
      <c r="L450" s="113"/>
      <c r="M450" s="113"/>
      <c r="N450" s="113"/>
      <c r="P450" s="113"/>
      <c r="Q450" s="113"/>
      <c r="R450" s="113"/>
      <c r="T450" s="113"/>
      <c r="U450" s="113"/>
      <c r="V450" s="113"/>
    </row>
    <row r="451" customFormat="false" ht="15" hidden="false" customHeight="true" outlineLevel="0" collapsed="false">
      <c r="H451" s="113"/>
      <c r="I451" s="113"/>
      <c r="J451" s="113"/>
      <c r="L451" s="113"/>
      <c r="M451" s="113"/>
      <c r="N451" s="113"/>
      <c r="P451" s="113"/>
      <c r="Q451" s="113"/>
      <c r="R451" s="113"/>
      <c r="T451" s="113"/>
      <c r="U451" s="113"/>
      <c r="V451" s="113"/>
    </row>
    <row r="452" customFormat="false" ht="15" hidden="false" customHeight="true" outlineLevel="0" collapsed="false">
      <c r="H452" s="113"/>
      <c r="I452" s="113"/>
      <c r="J452" s="113"/>
      <c r="L452" s="113"/>
      <c r="M452" s="113"/>
      <c r="N452" s="113"/>
      <c r="P452" s="113"/>
      <c r="Q452" s="113"/>
      <c r="R452" s="113"/>
      <c r="T452" s="113"/>
      <c r="U452" s="113"/>
      <c r="V452" s="113"/>
    </row>
    <row r="453" customFormat="false" ht="15" hidden="false" customHeight="true" outlineLevel="0" collapsed="false">
      <c r="H453" s="113"/>
      <c r="I453" s="113"/>
      <c r="J453" s="113"/>
      <c r="L453" s="113"/>
      <c r="M453" s="113"/>
      <c r="N453" s="113"/>
      <c r="P453" s="113"/>
      <c r="Q453" s="113"/>
      <c r="R453" s="113"/>
      <c r="T453" s="113"/>
      <c r="U453" s="113"/>
      <c r="V453" s="113"/>
    </row>
    <row r="454" customFormat="false" ht="15" hidden="false" customHeight="true" outlineLevel="0" collapsed="false">
      <c r="H454" s="113"/>
      <c r="I454" s="113"/>
      <c r="J454" s="113"/>
      <c r="L454" s="113"/>
      <c r="M454" s="113"/>
      <c r="N454" s="113"/>
      <c r="P454" s="113"/>
      <c r="Q454" s="113"/>
      <c r="R454" s="113"/>
      <c r="T454" s="113"/>
      <c r="U454" s="113"/>
      <c r="V454" s="113"/>
    </row>
    <row r="455" customFormat="false" ht="15" hidden="false" customHeight="true" outlineLevel="0" collapsed="false">
      <c r="H455" s="113"/>
      <c r="I455" s="113"/>
      <c r="J455" s="113"/>
      <c r="L455" s="113"/>
      <c r="M455" s="113"/>
      <c r="N455" s="113"/>
      <c r="P455" s="113"/>
      <c r="Q455" s="113"/>
      <c r="R455" s="113"/>
      <c r="T455" s="113"/>
      <c r="U455" s="113"/>
      <c r="V455" s="113"/>
    </row>
    <row r="456" customFormat="false" ht="15" hidden="false" customHeight="true" outlineLevel="0" collapsed="false">
      <c r="H456" s="113"/>
      <c r="I456" s="113"/>
      <c r="J456" s="113"/>
      <c r="L456" s="113"/>
      <c r="M456" s="113"/>
      <c r="N456" s="113"/>
      <c r="P456" s="113"/>
      <c r="Q456" s="113"/>
      <c r="R456" s="113"/>
      <c r="T456" s="113"/>
      <c r="U456" s="113"/>
      <c r="V456" s="113"/>
    </row>
    <row r="457" customFormat="false" ht="15" hidden="false" customHeight="true" outlineLevel="0" collapsed="false">
      <c r="H457" s="113"/>
      <c r="I457" s="113"/>
      <c r="J457" s="113"/>
      <c r="L457" s="113"/>
      <c r="M457" s="113"/>
      <c r="N457" s="113"/>
      <c r="P457" s="113"/>
      <c r="Q457" s="113"/>
      <c r="R457" s="113"/>
      <c r="T457" s="113"/>
      <c r="U457" s="113"/>
      <c r="V457" s="113"/>
    </row>
    <row r="458" customFormat="false" ht="15" hidden="false" customHeight="true" outlineLevel="0" collapsed="false">
      <c r="H458" s="113"/>
      <c r="I458" s="113"/>
      <c r="J458" s="113"/>
      <c r="L458" s="113"/>
      <c r="M458" s="113"/>
      <c r="N458" s="113"/>
      <c r="P458" s="113"/>
      <c r="Q458" s="113"/>
      <c r="R458" s="113"/>
      <c r="T458" s="113"/>
      <c r="U458" s="113"/>
      <c r="V458" s="113"/>
    </row>
    <row r="459" customFormat="false" ht="15" hidden="false" customHeight="true" outlineLevel="0" collapsed="false">
      <c r="H459" s="113"/>
      <c r="I459" s="113"/>
      <c r="J459" s="113"/>
      <c r="L459" s="113"/>
      <c r="M459" s="113"/>
      <c r="N459" s="113"/>
      <c r="P459" s="113"/>
      <c r="Q459" s="113"/>
      <c r="R459" s="113"/>
      <c r="T459" s="113"/>
      <c r="U459" s="113"/>
      <c r="V459" s="113"/>
    </row>
    <row r="460" customFormat="false" ht="15" hidden="false" customHeight="true" outlineLevel="0" collapsed="false">
      <c r="H460" s="113"/>
      <c r="I460" s="113"/>
      <c r="J460" s="113"/>
      <c r="L460" s="113"/>
      <c r="M460" s="113"/>
      <c r="N460" s="113"/>
      <c r="P460" s="113"/>
      <c r="Q460" s="113"/>
      <c r="R460" s="113"/>
      <c r="T460" s="113"/>
      <c r="U460" s="113"/>
      <c r="V460" s="113"/>
    </row>
    <row r="461" customFormat="false" ht="15" hidden="false" customHeight="true" outlineLevel="0" collapsed="false">
      <c r="H461" s="113"/>
      <c r="I461" s="113"/>
      <c r="J461" s="113"/>
      <c r="L461" s="113"/>
      <c r="M461" s="113"/>
      <c r="N461" s="113"/>
      <c r="P461" s="113"/>
      <c r="Q461" s="113"/>
      <c r="R461" s="113"/>
      <c r="T461" s="113"/>
      <c r="U461" s="113"/>
      <c r="V461" s="113"/>
    </row>
    <row r="462" customFormat="false" ht="15" hidden="false" customHeight="true" outlineLevel="0" collapsed="false">
      <c r="H462" s="113"/>
      <c r="I462" s="113"/>
      <c r="J462" s="113"/>
      <c r="L462" s="113"/>
      <c r="M462" s="113"/>
      <c r="N462" s="113"/>
      <c r="P462" s="113"/>
      <c r="Q462" s="113"/>
      <c r="R462" s="113"/>
      <c r="T462" s="113"/>
      <c r="U462" s="113"/>
      <c r="V462" s="113"/>
    </row>
    <row r="463" customFormat="false" ht="15" hidden="false" customHeight="true" outlineLevel="0" collapsed="false">
      <c r="H463" s="113"/>
      <c r="I463" s="113"/>
      <c r="J463" s="113"/>
      <c r="L463" s="113"/>
      <c r="M463" s="113"/>
      <c r="N463" s="113"/>
      <c r="P463" s="113"/>
      <c r="Q463" s="113"/>
      <c r="R463" s="113"/>
      <c r="T463" s="113"/>
      <c r="U463" s="113"/>
      <c r="V463" s="113"/>
    </row>
    <row r="464" customFormat="false" ht="15" hidden="false" customHeight="true" outlineLevel="0" collapsed="false">
      <c r="H464" s="113"/>
      <c r="I464" s="113"/>
      <c r="J464" s="113"/>
      <c r="L464" s="113"/>
      <c r="M464" s="113"/>
      <c r="N464" s="113"/>
      <c r="P464" s="113"/>
      <c r="Q464" s="113"/>
      <c r="R464" s="113"/>
      <c r="T464" s="113"/>
      <c r="U464" s="113"/>
      <c r="V464" s="113"/>
    </row>
    <row r="465" customFormat="false" ht="15" hidden="false" customHeight="true" outlineLevel="0" collapsed="false">
      <c r="H465" s="113"/>
      <c r="I465" s="113"/>
      <c r="J465" s="113"/>
      <c r="L465" s="113"/>
      <c r="M465" s="113"/>
      <c r="N465" s="113"/>
      <c r="P465" s="113"/>
      <c r="Q465" s="113"/>
      <c r="R465" s="113"/>
      <c r="T465" s="113"/>
      <c r="U465" s="113"/>
      <c r="V465" s="113"/>
    </row>
    <row r="466" customFormat="false" ht="15" hidden="false" customHeight="true" outlineLevel="0" collapsed="false">
      <c r="H466" s="113"/>
      <c r="I466" s="113"/>
      <c r="J466" s="113"/>
      <c r="L466" s="113"/>
      <c r="M466" s="113"/>
      <c r="N466" s="113"/>
      <c r="P466" s="113"/>
      <c r="Q466" s="113"/>
      <c r="R466" s="113"/>
      <c r="T466" s="113"/>
      <c r="U466" s="113"/>
      <c r="V466" s="113"/>
    </row>
    <row r="467" customFormat="false" ht="15" hidden="false" customHeight="true" outlineLevel="0" collapsed="false">
      <c r="H467" s="113"/>
      <c r="I467" s="113"/>
      <c r="J467" s="113"/>
      <c r="L467" s="113"/>
      <c r="M467" s="113"/>
      <c r="N467" s="113"/>
      <c r="P467" s="113"/>
      <c r="Q467" s="113"/>
      <c r="R467" s="113"/>
      <c r="T467" s="113"/>
      <c r="U467" s="113"/>
      <c r="V467" s="113"/>
    </row>
    <row r="468" customFormat="false" ht="15" hidden="false" customHeight="true" outlineLevel="0" collapsed="false">
      <c r="H468" s="113"/>
      <c r="I468" s="113"/>
      <c r="J468" s="113"/>
      <c r="L468" s="113"/>
      <c r="M468" s="113"/>
      <c r="N468" s="113"/>
      <c r="P468" s="113"/>
      <c r="Q468" s="113"/>
      <c r="R468" s="113"/>
      <c r="T468" s="113"/>
      <c r="U468" s="113"/>
      <c r="V468" s="113"/>
    </row>
    <row r="469" customFormat="false" ht="15" hidden="false" customHeight="true" outlineLevel="0" collapsed="false">
      <c r="H469" s="113"/>
      <c r="I469" s="113"/>
      <c r="J469" s="113"/>
      <c r="L469" s="113"/>
      <c r="M469" s="113"/>
      <c r="N469" s="113"/>
      <c r="P469" s="113"/>
      <c r="Q469" s="113"/>
      <c r="R469" s="113"/>
      <c r="T469" s="113"/>
      <c r="U469" s="113"/>
      <c r="V469" s="113"/>
    </row>
    <row r="470" customFormat="false" ht="15" hidden="false" customHeight="true" outlineLevel="0" collapsed="false">
      <c r="H470" s="113"/>
      <c r="I470" s="113"/>
      <c r="J470" s="113"/>
      <c r="L470" s="113"/>
      <c r="M470" s="113"/>
      <c r="N470" s="113"/>
      <c r="P470" s="113"/>
      <c r="Q470" s="113"/>
      <c r="R470" s="113"/>
      <c r="T470" s="113"/>
      <c r="U470" s="113"/>
      <c r="V470" s="113"/>
    </row>
    <row r="471" customFormat="false" ht="15" hidden="false" customHeight="true" outlineLevel="0" collapsed="false">
      <c r="H471" s="113"/>
      <c r="I471" s="113"/>
      <c r="J471" s="113"/>
      <c r="L471" s="113"/>
      <c r="M471" s="113"/>
      <c r="N471" s="113"/>
      <c r="P471" s="113"/>
      <c r="Q471" s="113"/>
      <c r="R471" s="113"/>
      <c r="T471" s="113"/>
      <c r="U471" s="113"/>
      <c r="V471" s="113"/>
    </row>
    <row r="472" customFormat="false" ht="15" hidden="false" customHeight="true" outlineLevel="0" collapsed="false">
      <c r="H472" s="113"/>
      <c r="I472" s="113"/>
      <c r="J472" s="113"/>
      <c r="L472" s="113"/>
      <c r="M472" s="113"/>
      <c r="N472" s="113"/>
      <c r="P472" s="113"/>
      <c r="Q472" s="113"/>
      <c r="R472" s="113"/>
      <c r="T472" s="113"/>
      <c r="U472" s="113"/>
      <c r="V472" s="113"/>
    </row>
    <row r="473" customFormat="false" ht="15" hidden="false" customHeight="true" outlineLevel="0" collapsed="false">
      <c r="H473" s="113"/>
      <c r="I473" s="113"/>
      <c r="J473" s="113"/>
      <c r="L473" s="113"/>
      <c r="M473" s="113"/>
      <c r="N473" s="113"/>
      <c r="P473" s="113"/>
      <c r="Q473" s="113"/>
      <c r="R473" s="113"/>
      <c r="T473" s="113"/>
      <c r="U473" s="113"/>
      <c r="V473" s="113"/>
    </row>
    <row r="474" customFormat="false" ht="15" hidden="false" customHeight="true" outlineLevel="0" collapsed="false">
      <c r="H474" s="113"/>
      <c r="I474" s="113"/>
      <c r="J474" s="113"/>
      <c r="L474" s="113"/>
      <c r="M474" s="113"/>
      <c r="N474" s="113"/>
      <c r="P474" s="113"/>
      <c r="Q474" s="113"/>
      <c r="R474" s="113"/>
      <c r="T474" s="113"/>
      <c r="U474" s="113"/>
      <c r="V474" s="113"/>
    </row>
    <row r="475" customFormat="false" ht="15" hidden="false" customHeight="true" outlineLevel="0" collapsed="false">
      <c r="H475" s="113"/>
      <c r="I475" s="113"/>
      <c r="J475" s="113"/>
      <c r="L475" s="113"/>
      <c r="M475" s="113"/>
      <c r="N475" s="113"/>
      <c r="P475" s="113"/>
      <c r="Q475" s="113"/>
      <c r="R475" s="113"/>
      <c r="T475" s="113"/>
      <c r="U475" s="113"/>
      <c r="V475" s="113"/>
    </row>
    <row r="476" customFormat="false" ht="15" hidden="false" customHeight="true" outlineLevel="0" collapsed="false">
      <c r="H476" s="113"/>
      <c r="I476" s="113"/>
      <c r="J476" s="113"/>
      <c r="L476" s="113"/>
      <c r="M476" s="113"/>
      <c r="N476" s="113"/>
      <c r="P476" s="113"/>
      <c r="Q476" s="113"/>
      <c r="R476" s="113"/>
      <c r="T476" s="113"/>
      <c r="U476" s="113"/>
      <c r="V476" s="113"/>
    </row>
    <row r="477" customFormat="false" ht="15" hidden="false" customHeight="true" outlineLevel="0" collapsed="false">
      <c r="H477" s="113"/>
      <c r="I477" s="113"/>
      <c r="J477" s="113"/>
      <c r="L477" s="113"/>
      <c r="M477" s="113"/>
      <c r="N477" s="113"/>
      <c r="P477" s="113"/>
      <c r="Q477" s="113"/>
      <c r="R477" s="113"/>
      <c r="T477" s="113"/>
      <c r="U477" s="113"/>
      <c r="V477" s="113"/>
    </row>
    <row r="478" customFormat="false" ht="15" hidden="false" customHeight="true" outlineLevel="0" collapsed="false">
      <c r="H478" s="113"/>
      <c r="I478" s="113"/>
      <c r="J478" s="113"/>
      <c r="L478" s="113"/>
      <c r="M478" s="113"/>
      <c r="N478" s="113"/>
      <c r="P478" s="113"/>
      <c r="Q478" s="113"/>
      <c r="R478" s="113"/>
      <c r="T478" s="113"/>
      <c r="U478" s="113"/>
      <c r="V478" s="113"/>
    </row>
    <row r="479" customFormat="false" ht="15" hidden="false" customHeight="true" outlineLevel="0" collapsed="false">
      <c r="H479" s="113"/>
      <c r="I479" s="113"/>
      <c r="J479" s="113"/>
      <c r="L479" s="113"/>
      <c r="M479" s="113"/>
      <c r="N479" s="113"/>
      <c r="P479" s="113"/>
      <c r="Q479" s="113"/>
      <c r="R479" s="113"/>
      <c r="T479" s="113"/>
      <c r="U479" s="113"/>
      <c r="V479" s="113"/>
    </row>
    <row r="480" customFormat="false" ht="15" hidden="false" customHeight="true" outlineLevel="0" collapsed="false">
      <c r="H480" s="113"/>
      <c r="I480" s="113"/>
      <c r="J480" s="113"/>
      <c r="L480" s="113"/>
      <c r="M480" s="113"/>
      <c r="N480" s="113"/>
      <c r="P480" s="113"/>
      <c r="Q480" s="113"/>
      <c r="R480" s="113"/>
      <c r="T480" s="113"/>
      <c r="U480" s="113"/>
      <c r="V480" s="113"/>
    </row>
    <row r="481" customFormat="false" ht="15" hidden="false" customHeight="true" outlineLevel="0" collapsed="false">
      <c r="H481" s="113"/>
      <c r="I481" s="113"/>
      <c r="J481" s="113"/>
      <c r="L481" s="113"/>
      <c r="M481" s="113"/>
      <c r="N481" s="113"/>
      <c r="P481" s="113"/>
      <c r="Q481" s="113"/>
      <c r="R481" s="113"/>
      <c r="T481" s="113"/>
      <c r="U481" s="113"/>
      <c r="V481" s="113"/>
    </row>
    <row r="482" customFormat="false" ht="15" hidden="false" customHeight="true" outlineLevel="0" collapsed="false">
      <c r="H482" s="113"/>
      <c r="I482" s="113"/>
      <c r="J482" s="113"/>
      <c r="L482" s="113"/>
      <c r="M482" s="113"/>
      <c r="N482" s="113"/>
      <c r="P482" s="113"/>
      <c r="Q482" s="113"/>
      <c r="R482" s="113"/>
      <c r="T482" s="113"/>
      <c r="U482" s="113"/>
      <c r="V482" s="113"/>
    </row>
    <row r="483" customFormat="false" ht="15" hidden="false" customHeight="true" outlineLevel="0" collapsed="false">
      <c r="H483" s="113"/>
      <c r="I483" s="113"/>
      <c r="J483" s="113"/>
      <c r="L483" s="113"/>
      <c r="M483" s="113"/>
      <c r="N483" s="113"/>
      <c r="P483" s="113"/>
      <c r="Q483" s="113"/>
      <c r="R483" s="113"/>
      <c r="T483" s="113"/>
      <c r="U483" s="113"/>
      <c r="V483" s="113"/>
    </row>
    <row r="484" customFormat="false" ht="15" hidden="false" customHeight="true" outlineLevel="0" collapsed="false">
      <c r="H484" s="113"/>
      <c r="I484" s="113"/>
      <c r="J484" s="113"/>
      <c r="L484" s="113"/>
      <c r="M484" s="113"/>
      <c r="N484" s="113"/>
      <c r="P484" s="113"/>
      <c r="Q484" s="113"/>
      <c r="R484" s="113"/>
      <c r="T484" s="113"/>
      <c r="U484" s="113"/>
      <c r="V484" s="113"/>
    </row>
    <row r="485" customFormat="false" ht="15" hidden="false" customHeight="true" outlineLevel="0" collapsed="false">
      <c r="H485" s="113"/>
      <c r="I485" s="113"/>
      <c r="J485" s="113"/>
      <c r="L485" s="113"/>
      <c r="M485" s="113"/>
      <c r="N485" s="113"/>
      <c r="P485" s="113"/>
      <c r="Q485" s="113"/>
      <c r="R485" s="113"/>
      <c r="T485" s="113"/>
      <c r="U485" s="113"/>
      <c r="V485" s="113"/>
    </row>
    <row r="486" customFormat="false" ht="15" hidden="false" customHeight="true" outlineLevel="0" collapsed="false">
      <c r="H486" s="113"/>
      <c r="I486" s="113"/>
      <c r="J486" s="113"/>
      <c r="L486" s="113"/>
      <c r="M486" s="113"/>
      <c r="N486" s="113"/>
      <c r="P486" s="113"/>
      <c r="Q486" s="113"/>
      <c r="R486" s="113"/>
      <c r="T486" s="113"/>
      <c r="U486" s="113"/>
      <c r="V486" s="113"/>
    </row>
    <row r="487" customFormat="false" ht="15" hidden="false" customHeight="true" outlineLevel="0" collapsed="false">
      <c r="H487" s="113"/>
      <c r="I487" s="113"/>
      <c r="J487" s="113"/>
      <c r="L487" s="113"/>
      <c r="M487" s="113"/>
      <c r="N487" s="113"/>
      <c r="P487" s="113"/>
      <c r="Q487" s="113"/>
      <c r="R487" s="113"/>
      <c r="T487" s="113"/>
      <c r="U487" s="113"/>
      <c r="V487" s="113"/>
    </row>
    <row r="488" customFormat="false" ht="15" hidden="false" customHeight="true" outlineLevel="0" collapsed="false">
      <c r="H488" s="113"/>
      <c r="I488" s="113"/>
      <c r="J488" s="113"/>
      <c r="L488" s="113"/>
      <c r="M488" s="113"/>
      <c r="N488" s="113"/>
      <c r="P488" s="113"/>
      <c r="Q488" s="113"/>
      <c r="R488" s="113"/>
      <c r="T488" s="113"/>
      <c r="U488" s="113"/>
      <c r="V488" s="113"/>
    </row>
    <row r="489" customFormat="false" ht="15" hidden="false" customHeight="true" outlineLevel="0" collapsed="false">
      <c r="H489" s="113"/>
      <c r="I489" s="113"/>
      <c r="J489" s="113"/>
      <c r="L489" s="113"/>
      <c r="M489" s="113"/>
      <c r="N489" s="113"/>
      <c r="P489" s="113"/>
      <c r="Q489" s="113"/>
      <c r="R489" s="113"/>
      <c r="T489" s="113"/>
      <c r="U489" s="113"/>
      <c r="V489" s="113"/>
    </row>
    <row r="490" customFormat="false" ht="15" hidden="false" customHeight="true" outlineLevel="0" collapsed="false">
      <c r="H490" s="113"/>
      <c r="I490" s="113"/>
      <c r="J490" s="113"/>
      <c r="L490" s="113"/>
      <c r="M490" s="113"/>
      <c r="N490" s="113"/>
      <c r="P490" s="113"/>
      <c r="Q490" s="113"/>
      <c r="R490" s="113"/>
      <c r="T490" s="113"/>
      <c r="U490" s="113"/>
      <c r="V490" s="113"/>
    </row>
    <row r="491" customFormat="false" ht="15" hidden="false" customHeight="true" outlineLevel="0" collapsed="false">
      <c r="H491" s="113"/>
      <c r="I491" s="113"/>
      <c r="J491" s="113"/>
      <c r="L491" s="113"/>
      <c r="M491" s="113"/>
      <c r="N491" s="113"/>
      <c r="P491" s="113"/>
      <c r="Q491" s="113"/>
      <c r="R491" s="113"/>
      <c r="T491" s="113"/>
      <c r="U491" s="113"/>
      <c r="V491" s="113"/>
    </row>
    <row r="492" customFormat="false" ht="15" hidden="false" customHeight="true" outlineLevel="0" collapsed="false">
      <c r="H492" s="113"/>
      <c r="I492" s="113"/>
      <c r="J492" s="113"/>
      <c r="L492" s="113"/>
      <c r="M492" s="113"/>
      <c r="N492" s="113"/>
      <c r="P492" s="113"/>
      <c r="Q492" s="113"/>
      <c r="R492" s="113"/>
      <c r="T492" s="113"/>
      <c r="U492" s="113"/>
      <c r="V492" s="113"/>
    </row>
    <row r="493" customFormat="false" ht="15" hidden="false" customHeight="true" outlineLevel="0" collapsed="false">
      <c r="H493" s="113"/>
      <c r="I493" s="113"/>
      <c r="J493" s="113"/>
      <c r="L493" s="113"/>
      <c r="M493" s="113"/>
      <c r="N493" s="113"/>
      <c r="P493" s="113"/>
      <c r="Q493" s="113"/>
      <c r="R493" s="113"/>
      <c r="T493" s="113"/>
      <c r="U493" s="113"/>
      <c r="V493" s="113"/>
    </row>
    <row r="494" customFormat="false" ht="15" hidden="false" customHeight="true" outlineLevel="0" collapsed="false">
      <c r="H494" s="113"/>
      <c r="I494" s="113"/>
      <c r="J494" s="113"/>
      <c r="L494" s="113"/>
      <c r="M494" s="113"/>
      <c r="N494" s="113"/>
      <c r="P494" s="113"/>
      <c r="Q494" s="113"/>
      <c r="R494" s="113"/>
      <c r="T494" s="113"/>
      <c r="U494" s="113"/>
      <c r="V494" s="113"/>
    </row>
    <row r="495" customFormat="false" ht="15" hidden="false" customHeight="true" outlineLevel="0" collapsed="false">
      <c r="H495" s="113"/>
      <c r="I495" s="113"/>
      <c r="J495" s="113"/>
      <c r="L495" s="113"/>
      <c r="M495" s="113"/>
      <c r="N495" s="113"/>
      <c r="P495" s="113"/>
      <c r="Q495" s="113"/>
      <c r="R495" s="113"/>
      <c r="T495" s="113"/>
      <c r="U495" s="113"/>
      <c r="V495" s="113"/>
    </row>
    <row r="496" customFormat="false" ht="15" hidden="false" customHeight="true" outlineLevel="0" collapsed="false">
      <c r="H496" s="113"/>
      <c r="I496" s="113"/>
      <c r="J496" s="113"/>
      <c r="L496" s="113"/>
      <c r="M496" s="113"/>
      <c r="N496" s="113"/>
      <c r="P496" s="113"/>
      <c r="Q496" s="113"/>
      <c r="R496" s="113"/>
      <c r="T496" s="113"/>
      <c r="U496" s="113"/>
      <c r="V496" s="113"/>
    </row>
    <row r="497" customFormat="false" ht="15" hidden="false" customHeight="true" outlineLevel="0" collapsed="false">
      <c r="H497" s="113"/>
      <c r="I497" s="113"/>
      <c r="J497" s="113"/>
      <c r="L497" s="113"/>
      <c r="M497" s="113"/>
      <c r="N497" s="113"/>
      <c r="P497" s="113"/>
      <c r="Q497" s="113"/>
      <c r="R497" s="113"/>
      <c r="T497" s="113"/>
      <c r="U497" s="113"/>
      <c r="V497" s="113"/>
    </row>
    <row r="498" customFormat="false" ht="15" hidden="false" customHeight="true" outlineLevel="0" collapsed="false">
      <c r="H498" s="113"/>
      <c r="I498" s="113"/>
      <c r="J498" s="113"/>
      <c r="L498" s="113"/>
      <c r="M498" s="113"/>
      <c r="N498" s="113"/>
      <c r="P498" s="113"/>
      <c r="Q498" s="113"/>
      <c r="R498" s="113"/>
      <c r="T498" s="113"/>
      <c r="U498" s="113"/>
      <c r="V498" s="113"/>
    </row>
    <row r="499" customFormat="false" ht="15" hidden="false" customHeight="true" outlineLevel="0" collapsed="false">
      <c r="H499" s="113"/>
      <c r="I499" s="113"/>
      <c r="J499" s="113"/>
      <c r="L499" s="113"/>
      <c r="M499" s="113"/>
      <c r="N499" s="113"/>
      <c r="P499" s="113"/>
      <c r="Q499" s="113"/>
      <c r="R499" s="113"/>
      <c r="T499" s="113"/>
      <c r="U499" s="113"/>
      <c r="V499" s="113"/>
    </row>
    <row r="500" customFormat="false" ht="15" hidden="false" customHeight="true" outlineLevel="0" collapsed="false">
      <c r="H500" s="113"/>
      <c r="I500" s="113"/>
      <c r="J500" s="113"/>
      <c r="L500" s="113"/>
      <c r="M500" s="113"/>
      <c r="N500" s="113"/>
      <c r="P500" s="113"/>
      <c r="Q500" s="113"/>
      <c r="R500" s="113"/>
      <c r="T500" s="113"/>
      <c r="U500" s="113"/>
      <c r="V500" s="113"/>
    </row>
    <row r="501" customFormat="false" ht="15" hidden="false" customHeight="true" outlineLevel="0" collapsed="false">
      <c r="H501" s="113"/>
      <c r="I501" s="113"/>
      <c r="J501" s="113"/>
      <c r="L501" s="113"/>
      <c r="M501" s="113"/>
      <c r="N501" s="113"/>
      <c r="P501" s="113"/>
      <c r="Q501" s="113"/>
      <c r="R501" s="113"/>
      <c r="T501" s="113"/>
      <c r="U501" s="113"/>
      <c r="V501" s="113"/>
    </row>
    <row r="502" customFormat="false" ht="15" hidden="false" customHeight="true" outlineLevel="0" collapsed="false">
      <c r="H502" s="113"/>
      <c r="I502" s="113"/>
      <c r="J502" s="113"/>
      <c r="L502" s="113"/>
      <c r="M502" s="113"/>
      <c r="N502" s="113"/>
      <c r="P502" s="113"/>
      <c r="Q502" s="113"/>
      <c r="R502" s="113"/>
      <c r="T502" s="113"/>
      <c r="U502" s="113"/>
      <c r="V502" s="113"/>
    </row>
    <row r="503" customFormat="false" ht="15" hidden="false" customHeight="true" outlineLevel="0" collapsed="false">
      <c r="H503" s="113"/>
      <c r="I503" s="113"/>
      <c r="J503" s="113"/>
      <c r="L503" s="113"/>
      <c r="M503" s="113"/>
      <c r="N503" s="113"/>
      <c r="P503" s="113"/>
      <c r="Q503" s="113"/>
      <c r="R503" s="113"/>
      <c r="T503" s="113"/>
      <c r="U503" s="113"/>
      <c r="V503" s="113"/>
    </row>
    <row r="504" customFormat="false" ht="15" hidden="false" customHeight="true" outlineLevel="0" collapsed="false">
      <c r="H504" s="113"/>
      <c r="I504" s="113"/>
      <c r="J504" s="113"/>
      <c r="L504" s="113"/>
      <c r="M504" s="113"/>
      <c r="N504" s="113"/>
      <c r="P504" s="113"/>
      <c r="Q504" s="113"/>
      <c r="R504" s="113"/>
      <c r="T504" s="113"/>
      <c r="U504" s="113"/>
      <c r="V504" s="113"/>
    </row>
    <row r="505" customFormat="false" ht="15" hidden="false" customHeight="true" outlineLevel="0" collapsed="false">
      <c r="H505" s="113"/>
      <c r="I505" s="113"/>
      <c r="J505" s="113"/>
      <c r="L505" s="113"/>
      <c r="M505" s="113"/>
      <c r="N505" s="113"/>
      <c r="P505" s="113"/>
      <c r="Q505" s="113"/>
      <c r="R505" s="113"/>
      <c r="T505" s="113"/>
      <c r="U505" s="113"/>
      <c r="V505" s="113"/>
    </row>
    <row r="506" customFormat="false" ht="15" hidden="false" customHeight="true" outlineLevel="0" collapsed="false">
      <c r="H506" s="113"/>
      <c r="I506" s="113"/>
      <c r="J506" s="113"/>
      <c r="L506" s="113"/>
      <c r="M506" s="113"/>
      <c r="N506" s="113"/>
      <c r="P506" s="113"/>
      <c r="Q506" s="113"/>
      <c r="R506" s="113"/>
      <c r="T506" s="113"/>
      <c r="U506" s="113"/>
      <c r="V506" s="113"/>
    </row>
    <row r="507" customFormat="false" ht="15" hidden="false" customHeight="true" outlineLevel="0" collapsed="false">
      <c r="H507" s="113"/>
      <c r="I507" s="113"/>
      <c r="J507" s="113"/>
      <c r="L507" s="113"/>
      <c r="M507" s="113"/>
      <c r="N507" s="113"/>
      <c r="P507" s="113"/>
      <c r="Q507" s="113"/>
      <c r="R507" s="113"/>
      <c r="T507" s="113"/>
      <c r="U507" s="113"/>
      <c r="V507" s="113"/>
    </row>
    <row r="508" customFormat="false" ht="15" hidden="false" customHeight="true" outlineLevel="0" collapsed="false">
      <c r="H508" s="113"/>
      <c r="I508" s="113"/>
      <c r="J508" s="113"/>
      <c r="L508" s="113"/>
      <c r="M508" s="113"/>
      <c r="N508" s="113"/>
      <c r="P508" s="113"/>
      <c r="Q508" s="113"/>
      <c r="R508" s="113"/>
      <c r="T508" s="113"/>
      <c r="U508" s="113"/>
      <c r="V508" s="113"/>
    </row>
    <row r="509" customFormat="false" ht="15" hidden="false" customHeight="true" outlineLevel="0" collapsed="false">
      <c r="H509" s="113"/>
      <c r="I509" s="113"/>
      <c r="J509" s="113"/>
      <c r="L509" s="113"/>
      <c r="M509" s="113"/>
      <c r="N509" s="113"/>
      <c r="P509" s="113"/>
      <c r="Q509" s="113"/>
      <c r="R509" s="113"/>
      <c r="T509" s="113"/>
      <c r="U509" s="113"/>
      <c r="V509" s="113"/>
    </row>
    <row r="510" customFormat="false" ht="15" hidden="false" customHeight="true" outlineLevel="0" collapsed="false">
      <c r="H510" s="113"/>
      <c r="I510" s="113"/>
      <c r="J510" s="113"/>
      <c r="L510" s="113"/>
      <c r="M510" s="113"/>
      <c r="N510" s="113"/>
      <c r="P510" s="113"/>
      <c r="Q510" s="113"/>
      <c r="R510" s="113"/>
      <c r="T510" s="113"/>
      <c r="U510" s="113"/>
      <c r="V510" s="113"/>
    </row>
    <row r="511" customFormat="false" ht="15" hidden="false" customHeight="true" outlineLevel="0" collapsed="false">
      <c r="H511" s="113"/>
      <c r="I511" s="113"/>
      <c r="J511" s="113"/>
      <c r="L511" s="113"/>
      <c r="M511" s="113"/>
      <c r="N511" s="113"/>
      <c r="P511" s="113"/>
      <c r="Q511" s="113"/>
      <c r="R511" s="113"/>
      <c r="T511" s="113"/>
      <c r="U511" s="113"/>
      <c r="V511" s="113"/>
    </row>
    <row r="512" customFormat="false" ht="15" hidden="false" customHeight="true" outlineLevel="0" collapsed="false">
      <c r="H512" s="113"/>
      <c r="I512" s="113"/>
      <c r="J512" s="113"/>
      <c r="L512" s="113"/>
      <c r="M512" s="113"/>
      <c r="N512" s="113"/>
      <c r="P512" s="113"/>
      <c r="Q512" s="113"/>
      <c r="R512" s="113"/>
      <c r="T512" s="113"/>
      <c r="U512" s="113"/>
      <c r="V512" s="113"/>
    </row>
    <row r="513" customFormat="false" ht="15" hidden="false" customHeight="true" outlineLevel="0" collapsed="false">
      <c r="H513" s="113"/>
      <c r="I513" s="113"/>
      <c r="J513" s="113"/>
      <c r="L513" s="113"/>
      <c r="M513" s="113"/>
      <c r="N513" s="113"/>
      <c r="P513" s="113"/>
      <c r="Q513" s="113"/>
      <c r="R513" s="113"/>
      <c r="T513" s="113"/>
      <c r="U513" s="113"/>
      <c r="V513" s="113"/>
    </row>
    <row r="514" customFormat="false" ht="15" hidden="false" customHeight="true" outlineLevel="0" collapsed="false">
      <c r="H514" s="113"/>
      <c r="I514" s="113"/>
      <c r="J514" s="113"/>
      <c r="L514" s="113"/>
      <c r="M514" s="113"/>
      <c r="N514" s="113"/>
      <c r="P514" s="113"/>
      <c r="Q514" s="113"/>
      <c r="R514" s="113"/>
      <c r="T514" s="113"/>
      <c r="U514" s="113"/>
      <c r="V514" s="113"/>
    </row>
    <row r="515" customFormat="false" ht="15" hidden="false" customHeight="true" outlineLevel="0" collapsed="false">
      <c r="H515" s="113"/>
      <c r="I515" s="113"/>
      <c r="J515" s="113"/>
      <c r="L515" s="113"/>
      <c r="M515" s="113"/>
      <c r="N515" s="113"/>
      <c r="P515" s="113"/>
      <c r="Q515" s="113"/>
      <c r="R515" s="113"/>
      <c r="T515" s="113"/>
      <c r="U515" s="113"/>
      <c r="V515" s="113"/>
    </row>
    <row r="516" customFormat="false" ht="15" hidden="false" customHeight="true" outlineLevel="0" collapsed="false">
      <c r="H516" s="113"/>
      <c r="I516" s="113"/>
      <c r="J516" s="113"/>
      <c r="L516" s="113"/>
      <c r="M516" s="113"/>
      <c r="N516" s="113"/>
      <c r="P516" s="113"/>
      <c r="Q516" s="113"/>
      <c r="R516" s="113"/>
      <c r="T516" s="113"/>
      <c r="U516" s="113"/>
      <c r="V516" s="113"/>
    </row>
    <row r="517" customFormat="false" ht="15" hidden="false" customHeight="true" outlineLevel="0" collapsed="false">
      <c r="H517" s="113"/>
      <c r="I517" s="113"/>
      <c r="J517" s="113"/>
      <c r="L517" s="113"/>
      <c r="M517" s="113"/>
      <c r="N517" s="113"/>
      <c r="P517" s="113"/>
      <c r="Q517" s="113"/>
      <c r="R517" s="113"/>
      <c r="T517" s="113"/>
      <c r="U517" s="113"/>
      <c r="V517" s="113"/>
    </row>
    <row r="518" customFormat="false" ht="15" hidden="false" customHeight="true" outlineLevel="0" collapsed="false">
      <c r="H518" s="113"/>
      <c r="I518" s="113"/>
      <c r="J518" s="113"/>
      <c r="L518" s="113"/>
      <c r="M518" s="113"/>
      <c r="N518" s="113"/>
      <c r="P518" s="113"/>
      <c r="Q518" s="113"/>
      <c r="R518" s="113"/>
      <c r="T518" s="113"/>
      <c r="U518" s="113"/>
      <c r="V518" s="113"/>
    </row>
    <row r="519" customFormat="false" ht="15" hidden="false" customHeight="true" outlineLevel="0" collapsed="false">
      <c r="H519" s="113"/>
      <c r="I519" s="113"/>
      <c r="J519" s="113"/>
      <c r="L519" s="113"/>
      <c r="M519" s="113"/>
      <c r="N519" s="113"/>
      <c r="P519" s="113"/>
      <c r="Q519" s="113"/>
      <c r="R519" s="113"/>
      <c r="T519" s="113"/>
      <c r="U519" s="113"/>
      <c r="V519" s="113"/>
    </row>
    <row r="520" customFormat="false" ht="15" hidden="false" customHeight="true" outlineLevel="0" collapsed="false">
      <c r="H520" s="113"/>
      <c r="I520" s="113"/>
      <c r="J520" s="113"/>
      <c r="L520" s="113"/>
      <c r="M520" s="113"/>
      <c r="N520" s="113"/>
      <c r="P520" s="113"/>
      <c r="Q520" s="113"/>
      <c r="R520" s="113"/>
      <c r="T520" s="113"/>
      <c r="U520" s="113"/>
      <c r="V520" s="113"/>
    </row>
    <row r="521" customFormat="false" ht="15" hidden="false" customHeight="true" outlineLevel="0" collapsed="false">
      <c r="H521" s="113"/>
      <c r="I521" s="113"/>
      <c r="J521" s="113"/>
      <c r="L521" s="113"/>
      <c r="M521" s="113"/>
      <c r="N521" s="113"/>
      <c r="P521" s="113"/>
      <c r="Q521" s="113"/>
      <c r="R521" s="113"/>
      <c r="T521" s="113"/>
      <c r="U521" s="113"/>
      <c r="V521" s="113"/>
    </row>
    <row r="522" customFormat="false" ht="15" hidden="false" customHeight="true" outlineLevel="0" collapsed="false">
      <c r="H522" s="113"/>
      <c r="I522" s="113"/>
      <c r="J522" s="113"/>
      <c r="L522" s="113"/>
      <c r="M522" s="113"/>
      <c r="N522" s="113"/>
      <c r="P522" s="113"/>
      <c r="Q522" s="113"/>
      <c r="R522" s="113"/>
      <c r="T522" s="113"/>
      <c r="U522" s="113"/>
      <c r="V522" s="113"/>
    </row>
    <row r="523" customFormat="false" ht="15" hidden="false" customHeight="true" outlineLevel="0" collapsed="false">
      <c r="H523" s="113"/>
      <c r="I523" s="113"/>
      <c r="J523" s="113"/>
      <c r="L523" s="113"/>
      <c r="M523" s="113"/>
      <c r="N523" s="113"/>
      <c r="P523" s="113"/>
      <c r="Q523" s="113"/>
      <c r="R523" s="113"/>
      <c r="T523" s="113"/>
      <c r="U523" s="113"/>
      <c r="V523" s="113"/>
    </row>
    <row r="524" customFormat="false" ht="15" hidden="false" customHeight="true" outlineLevel="0" collapsed="false">
      <c r="H524" s="113"/>
      <c r="I524" s="113"/>
      <c r="J524" s="113"/>
      <c r="L524" s="113"/>
      <c r="M524" s="113"/>
      <c r="N524" s="113"/>
      <c r="P524" s="113"/>
      <c r="Q524" s="113"/>
      <c r="R524" s="113"/>
      <c r="T524" s="113"/>
      <c r="U524" s="113"/>
      <c r="V524" s="113"/>
    </row>
    <row r="525" customFormat="false" ht="15" hidden="false" customHeight="true" outlineLevel="0" collapsed="false">
      <c r="H525" s="113"/>
      <c r="I525" s="113"/>
      <c r="J525" s="113"/>
      <c r="L525" s="113"/>
      <c r="M525" s="113"/>
      <c r="N525" s="113"/>
      <c r="P525" s="113"/>
      <c r="Q525" s="113"/>
      <c r="R525" s="113"/>
      <c r="T525" s="113"/>
      <c r="U525" s="113"/>
      <c r="V525" s="113"/>
    </row>
    <row r="526" customFormat="false" ht="15" hidden="false" customHeight="true" outlineLevel="0" collapsed="false">
      <c r="H526" s="113"/>
      <c r="I526" s="113"/>
      <c r="J526" s="113"/>
      <c r="L526" s="113"/>
      <c r="M526" s="113"/>
      <c r="N526" s="113"/>
      <c r="P526" s="113"/>
      <c r="Q526" s="113"/>
      <c r="R526" s="113"/>
      <c r="T526" s="113"/>
      <c r="U526" s="113"/>
      <c r="V526" s="113"/>
    </row>
    <row r="527" customFormat="false" ht="15" hidden="false" customHeight="true" outlineLevel="0" collapsed="false">
      <c r="H527" s="113"/>
      <c r="I527" s="113"/>
      <c r="J527" s="113"/>
      <c r="L527" s="113"/>
      <c r="M527" s="113"/>
      <c r="N527" s="113"/>
      <c r="P527" s="113"/>
      <c r="Q527" s="113"/>
      <c r="R527" s="113"/>
      <c r="T527" s="113"/>
      <c r="U527" s="113"/>
      <c r="V527" s="113"/>
    </row>
    <row r="528" customFormat="false" ht="15" hidden="false" customHeight="true" outlineLevel="0" collapsed="false">
      <c r="H528" s="113"/>
      <c r="I528" s="113"/>
      <c r="J528" s="113"/>
      <c r="L528" s="113"/>
      <c r="M528" s="113"/>
      <c r="N528" s="113"/>
      <c r="P528" s="113"/>
      <c r="Q528" s="113"/>
      <c r="R528" s="113"/>
      <c r="T528" s="113"/>
      <c r="U528" s="113"/>
      <c r="V528" s="113"/>
    </row>
    <row r="529" customFormat="false" ht="15" hidden="false" customHeight="true" outlineLevel="0" collapsed="false">
      <c r="H529" s="113"/>
      <c r="I529" s="113"/>
      <c r="J529" s="113"/>
      <c r="L529" s="113"/>
      <c r="M529" s="113"/>
      <c r="N529" s="113"/>
      <c r="P529" s="113"/>
      <c r="Q529" s="113"/>
      <c r="R529" s="113"/>
      <c r="T529" s="113"/>
      <c r="U529" s="113"/>
      <c r="V529" s="113"/>
    </row>
    <row r="530" customFormat="false" ht="15" hidden="false" customHeight="true" outlineLevel="0" collapsed="false">
      <c r="H530" s="113"/>
      <c r="I530" s="113"/>
      <c r="J530" s="113"/>
      <c r="L530" s="113"/>
      <c r="M530" s="113"/>
      <c r="N530" s="113"/>
      <c r="P530" s="113"/>
      <c r="Q530" s="113"/>
      <c r="R530" s="113"/>
      <c r="T530" s="113"/>
      <c r="U530" s="113"/>
      <c r="V530" s="113"/>
    </row>
    <row r="531" customFormat="false" ht="15" hidden="false" customHeight="true" outlineLevel="0" collapsed="false">
      <c r="H531" s="113"/>
      <c r="I531" s="113"/>
      <c r="J531" s="113"/>
      <c r="L531" s="113"/>
      <c r="M531" s="113"/>
      <c r="N531" s="113"/>
      <c r="P531" s="113"/>
      <c r="Q531" s="113"/>
      <c r="R531" s="113"/>
      <c r="T531" s="113"/>
      <c r="U531" s="113"/>
      <c r="V531" s="113"/>
    </row>
    <row r="532" customFormat="false" ht="15" hidden="false" customHeight="true" outlineLevel="0" collapsed="false">
      <c r="H532" s="113"/>
      <c r="I532" s="113"/>
      <c r="J532" s="113"/>
      <c r="L532" s="113"/>
      <c r="M532" s="113"/>
      <c r="N532" s="113"/>
      <c r="P532" s="113"/>
      <c r="Q532" s="113"/>
      <c r="R532" s="113"/>
      <c r="T532" s="113"/>
      <c r="U532" s="113"/>
      <c r="V532" s="113"/>
    </row>
    <row r="533" customFormat="false" ht="15" hidden="false" customHeight="true" outlineLevel="0" collapsed="false">
      <c r="H533" s="113"/>
      <c r="I533" s="113"/>
      <c r="J533" s="113"/>
      <c r="L533" s="113"/>
      <c r="M533" s="113"/>
      <c r="N533" s="113"/>
      <c r="P533" s="113"/>
      <c r="Q533" s="113"/>
      <c r="R533" s="113"/>
      <c r="T533" s="113"/>
      <c r="U533" s="113"/>
      <c r="V533" s="113"/>
    </row>
    <row r="534" customFormat="false" ht="15" hidden="false" customHeight="true" outlineLevel="0" collapsed="false">
      <c r="H534" s="113"/>
      <c r="I534" s="113"/>
      <c r="J534" s="113"/>
      <c r="L534" s="113"/>
      <c r="M534" s="113"/>
      <c r="N534" s="113"/>
      <c r="P534" s="113"/>
      <c r="Q534" s="113"/>
      <c r="R534" s="113"/>
      <c r="T534" s="113"/>
      <c r="U534" s="113"/>
      <c r="V534" s="113"/>
    </row>
    <row r="535" customFormat="false" ht="15" hidden="false" customHeight="true" outlineLevel="0" collapsed="false">
      <c r="H535" s="113"/>
      <c r="I535" s="113"/>
      <c r="J535" s="113"/>
      <c r="L535" s="113"/>
      <c r="M535" s="113"/>
      <c r="N535" s="113"/>
      <c r="P535" s="113"/>
      <c r="Q535" s="113"/>
      <c r="R535" s="113"/>
      <c r="T535" s="113"/>
      <c r="U535" s="113"/>
      <c r="V535" s="113"/>
    </row>
    <row r="536" customFormat="false" ht="15" hidden="false" customHeight="true" outlineLevel="0" collapsed="false">
      <c r="H536" s="113"/>
      <c r="I536" s="113"/>
      <c r="J536" s="113"/>
      <c r="L536" s="113"/>
      <c r="M536" s="113"/>
      <c r="N536" s="113"/>
      <c r="P536" s="113"/>
      <c r="Q536" s="113"/>
      <c r="R536" s="113"/>
      <c r="T536" s="113"/>
      <c r="U536" s="113"/>
      <c r="V536" s="113"/>
    </row>
    <row r="537" customFormat="false" ht="15" hidden="false" customHeight="true" outlineLevel="0" collapsed="false">
      <c r="H537" s="113"/>
      <c r="I537" s="113"/>
      <c r="J537" s="113"/>
      <c r="L537" s="113"/>
      <c r="M537" s="113"/>
      <c r="N537" s="113"/>
      <c r="P537" s="113"/>
      <c r="Q537" s="113"/>
      <c r="R537" s="113"/>
      <c r="T537" s="113"/>
      <c r="U537" s="113"/>
      <c r="V537" s="113"/>
    </row>
    <row r="538" customFormat="false" ht="15" hidden="false" customHeight="true" outlineLevel="0" collapsed="false">
      <c r="H538" s="113"/>
      <c r="I538" s="113"/>
      <c r="J538" s="113"/>
      <c r="L538" s="113"/>
      <c r="M538" s="113"/>
      <c r="N538" s="113"/>
      <c r="P538" s="113"/>
      <c r="Q538" s="113"/>
      <c r="R538" s="113"/>
      <c r="T538" s="113"/>
      <c r="U538" s="113"/>
      <c r="V538" s="113"/>
    </row>
    <row r="539" customFormat="false" ht="15" hidden="false" customHeight="true" outlineLevel="0" collapsed="false">
      <c r="H539" s="113"/>
      <c r="I539" s="113"/>
      <c r="J539" s="113"/>
      <c r="L539" s="113"/>
      <c r="M539" s="113"/>
      <c r="N539" s="113"/>
      <c r="P539" s="113"/>
      <c r="Q539" s="113"/>
      <c r="R539" s="113"/>
      <c r="T539" s="113"/>
      <c r="U539" s="113"/>
      <c r="V539" s="113"/>
    </row>
    <row r="540" customFormat="false" ht="15" hidden="false" customHeight="true" outlineLevel="0" collapsed="false">
      <c r="H540" s="113"/>
      <c r="I540" s="113"/>
      <c r="J540" s="113"/>
      <c r="L540" s="113"/>
      <c r="M540" s="113"/>
      <c r="N540" s="113"/>
      <c r="P540" s="113"/>
      <c r="Q540" s="113"/>
      <c r="R540" s="113"/>
      <c r="T540" s="113"/>
      <c r="U540" s="113"/>
      <c r="V540" s="113"/>
    </row>
    <row r="541" customFormat="false" ht="15" hidden="false" customHeight="true" outlineLevel="0" collapsed="false">
      <c r="H541" s="113"/>
      <c r="I541" s="113"/>
      <c r="J541" s="113"/>
      <c r="L541" s="113"/>
      <c r="M541" s="113"/>
      <c r="N541" s="113"/>
      <c r="P541" s="113"/>
      <c r="Q541" s="113"/>
      <c r="R541" s="113"/>
      <c r="T541" s="113"/>
      <c r="U541" s="113"/>
      <c r="V541" s="113"/>
    </row>
    <row r="542" customFormat="false" ht="15" hidden="false" customHeight="true" outlineLevel="0" collapsed="false">
      <c r="H542" s="113"/>
      <c r="I542" s="113"/>
      <c r="J542" s="113"/>
      <c r="L542" s="113"/>
      <c r="M542" s="113"/>
      <c r="N542" s="113"/>
      <c r="P542" s="113"/>
      <c r="Q542" s="113"/>
      <c r="R542" s="113"/>
      <c r="T542" s="113"/>
      <c r="U542" s="113"/>
      <c r="V542" s="113"/>
    </row>
    <row r="543" customFormat="false" ht="15" hidden="false" customHeight="true" outlineLevel="0" collapsed="false">
      <c r="H543" s="113"/>
      <c r="I543" s="113"/>
      <c r="J543" s="113"/>
      <c r="L543" s="113"/>
      <c r="M543" s="113"/>
      <c r="N543" s="113"/>
      <c r="P543" s="113"/>
      <c r="Q543" s="113"/>
      <c r="R543" s="113"/>
      <c r="T543" s="113"/>
      <c r="U543" s="113"/>
      <c r="V543" s="113"/>
    </row>
    <row r="544" customFormat="false" ht="15" hidden="false" customHeight="true" outlineLevel="0" collapsed="false">
      <c r="H544" s="113"/>
      <c r="I544" s="113"/>
      <c r="J544" s="113"/>
      <c r="L544" s="113"/>
      <c r="M544" s="113"/>
      <c r="N544" s="113"/>
      <c r="P544" s="113"/>
      <c r="Q544" s="113"/>
      <c r="R544" s="113"/>
      <c r="T544" s="113"/>
      <c r="U544" s="113"/>
      <c r="V544" s="113"/>
    </row>
    <row r="545" customFormat="false" ht="15" hidden="false" customHeight="true" outlineLevel="0" collapsed="false">
      <c r="H545" s="113"/>
      <c r="I545" s="113"/>
      <c r="J545" s="113"/>
      <c r="L545" s="113"/>
      <c r="M545" s="113"/>
      <c r="N545" s="113"/>
      <c r="P545" s="113"/>
      <c r="Q545" s="113"/>
      <c r="R545" s="113"/>
      <c r="T545" s="113"/>
      <c r="U545" s="113"/>
      <c r="V545" s="113"/>
    </row>
    <row r="546" customFormat="false" ht="15" hidden="false" customHeight="true" outlineLevel="0" collapsed="false">
      <c r="H546" s="113"/>
      <c r="I546" s="113"/>
      <c r="J546" s="113"/>
      <c r="L546" s="113"/>
      <c r="M546" s="113"/>
      <c r="N546" s="113"/>
      <c r="P546" s="113"/>
      <c r="Q546" s="113"/>
      <c r="R546" s="113"/>
      <c r="T546" s="113"/>
      <c r="U546" s="113"/>
      <c r="V546" s="113"/>
    </row>
    <row r="547" customFormat="false" ht="15" hidden="false" customHeight="true" outlineLevel="0" collapsed="false">
      <c r="H547" s="113"/>
      <c r="I547" s="113"/>
      <c r="J547" s="113"/>
      <c r="L547" s="113"/>
      <c r="M547" s="113"/>
      <c r="N547" s="113"/>
      <c r="P547" s="113"/>
      <c r="Q547" s="113"/>
      <c r="R547" s="113"/>
      <c r="T547" s="113"/>
      <c r="U547" s="113"/>
      <c r="V547" s="113"/>
    </row>
    <row r="548" customFormat="false" ht="15" hidden="false" customHeight="true" outlineLevel="0" collapsed="false">
      <c r="H548" s="113"/>
      <c r="I548" s="113"/>
      <c r="J548" s="113"/>
      <c r="L548" s="113"/>
      <c r="M548" s="113"/>
      <c r="N548" s="113"/>
      <c r="P548" s="113"/>
      <c r="Q548" s="113"/>
      <c r="R548" s="113"/>
      <c r="T548" s="113"/>
      <c r="U548" s="113"/>
      <c r="V548" s="113"/>
    </row>
    <row r="549" customFormat="false" ht="15" hidden="false" customHeight="true" outlineLevel="0" collapsed="false">
      <c r="H549" s="113"/>
      <c r="I549" s="113"/>
      <c r="J549" s="113"/>
      <c r="L549" s="113"/>
      <c r="M549" s="113"/>
      <c r="N549" s="113"/>
      <c r="P549" s="113"/>
      <c r="Q549" s="113"/>
      <c r="R549" s="113"/>
      <c r="T549" s="113"/>
      <c r="U549" s="113"/>
      <c r="V549" s="113"/>
    </row>
    <row r="550" customFormat="false" ht="15" hidden="false" customHeight="true" outlineLevel="0" collapsed="false">
      <c r="H550" s="113"/>
      <c r="I550" s="113"/>
      <c r="J550" s="113"/>
      <c r="L550" s="113"/>
      <c r="M550" s="113"/>
      <c r="N550" s="113"/>
      <c r="P550" s="113"/>
      <c r="Q550" s="113"/>
      <c r="R550" s="113"/>
      <c r="T550" s="113"/>
      <c r="U550" s="113"/>
      <c r="V550" s="113"/>
    </row>
    <row r="551" customFormat="false" ht="15" hidden="false" customHeight="true" outlineLevel="0" collapsed="false">
      <c r="H551" s="113"/>
      <c r="I551" s="113"/>
      <c r="J551" s="113"/>
      <c r="L551" s="113"/>
      <c r="M551" s="113"/>
      <c r="N551" s="113"/>
      <c r="P551" s="113"/>
      <c r="Q551" s="113"/>
      <c r="R551" s="113"/>
      <c r="T551" s="113"/>
      <c r="U551" s="113"/>
      <c r="V551" s="113"/>
    </row>
    <row r="552" customFormat="false" ht="15" hidden="false" customHeight="true" outlineLevel="0" collapsed="false">
      <c r="H552" s="113"/>
      <c r="I552" s="113"/>
      <c r="J552" s="113"/>
      <c r="L552" s="113"/>
      <c r="M552" s="113"/>
      <c r="N552" s="113"/>
      <c r="P552" s="113"/>
      <c r="Q552" s="113"/>
      <c r="R552" s="113"/>
      <c r="T552" s="113"/>
      <c r="U552" s="113"/>
      <c r="V552" s="113"/>
    </row>
    <row r="553" customFormat="false" ht="15" hidden="false" customHeight="true" outlineLevel="0" collapsed="false">
      <c r="H553" s="113"/>
      <c r="I553" s="113"/>
      <c r="J553" s="113"/>
      <c r="L553" s="113"/>
      <c r="M553" s="113"/>
      <c r="N553" s="113"/>
      <c r="P553" s="113"/>
      <c r="Q553" s="113"/>
      <c r="R553" s="113"/>
      <c r="T553" s="113"/>
      <c r="U553" s="113"/>
      <c r="V553" s="113"/>
    </row>
    <row r="554" customFormat="false" ht="15" hidden="false" customHeight="true" outlineLevel="0" collapsed="false">
      <c r="H554" s="113"/>
      <c r="I554" s="113"/>
      <c r="J554" s="113"/>
      <c r="L554" s="113"/>
      <c r="M554" s="113"/>
      <c r="N554" s="113"/>
      <c r="P554" s="113"/>
      <c r="Q554" s="113"/>
      <c r="R554" s="113"/>
      <c r="T554" s="113"/>
      <c r="U554" s="113"/>
      <c r="V554" s="113"/>
    </row>
    <row r="555" customFormat="false" ht="15" hidden="false" customHeight="true" outlineLevel="0" collapsed="false">
      <c r="H555" s="113"/>
      <c r="I555" s="113"/>
      <c r="J555" s="113"/>
      <c r="L555" s="113"/>
      <c r="M555" s="113"/>
      <c r="N555" s="113"/>
      <c r="P555" s="113"/>
      <c r="Q555" s="113"/>
      <c r="R555" s="113"/>
      <c r="T555" s="113"/>
      <c r="U555" s="113"/>
      <c r="V555" s="113"/>
    </row>
    <row r="556" customFormat="false" ht="15" hidden="false" customHeight="true" outlineLevel="0" collapsed="false">
      <c r="H556" s="113"/>
      <c r="I556" s="113"/>
      <c r="J556" s="113"/>
      <c r="L556" s="113"/>
      <c r="M556" s="113"/>
      <c r="N556" s="113"/>
      <c r="P556" s="113"/>
      <c r="Q556" s="113"/>
      <c r="R556" s="113"/>
      <c r="T556" s="113"/>
      <c r="U556" s="113"/>
      <c r="V556" s="113"/>
    </row>
    <row r="557" customFormat="false" ht="15" hidden="false" customHeight="true" outlineLevel="0" collapsed="false">
      <c r="H557" s="113"/>
      <c r="I557" s="113"/>
      <c r="J557" s="113"/>
      <c r="L557" s="113"/>
      <c r="M557" s="113"/>
      <c r="N557" s="113"/>
      <c r="P557" s="113"/>
      <c r="Q557" s="113"/>
      <c r="R557" s="113"/>
      <c r="T557" s="113"/>
      <c r="U557" s="113"/>
      <c r="V557" s="113"/>
    </row>
    <row r="558" customFormat="false" ht="15" hidden="false" customHeight="true" outlineLevel="0" collapsed="false">
      <c r="H558" s="113"/>
      <c r="I558" s="113"/>
      <c r="J558" s="113"/>
      <c r="L558" s="113"/>
      <c r="M558" s="113"/>
      <c r="N558" s="113"/>
      <c r="P558" s="113"/>
      <c r="Q558" s="113"/>
      <c r="R558" s="113"/>
      <c r="T558" s="113"/>
      <c r="U558" s="113"/>
      <c r="V558" s="113"/>
    </row>
    <row r="559" customFormat="false" ht="15" hidden="false" customHeight="true" outlineLevel="0" collapsed="false">
      <c r="H559" s="113"/>
      <c r="I559" s="113"/>
      <c r="J559" s="113"/>
      <c r="L559" s="113"/>
      <c r="M559" s="113"/>
      <c r="N559" s="113"/>
      <c r="P559" s="113"/>
      <c r="Q559" s="113"/>
      <c r="R559" s="113"/>
      <c r="T559" s="113"/>
      <c r="U559" s="113"/>
      <c r="V559" s="113"/>
    </row>
    <row r="560" customFormat="false" ht="15" hidden="false" customHeight="true" outlineLevel="0" collapsed="false">
      <c r="H560" s="113"/>
      <c r="I560" s="113"/>
      <c r="J560" s="113"/>
      <c r="L560" s="113"/>
      <c r="M560" s="113"/>
      <c r="N560" s="113"/>
      <c r="P560" s="113"/>
      <c r="Q560" s="113"/>
      <c r="R560" s="113"/>
      <c r="T560" s="113"/>
      <c r="U560" s="113"/>
      <c r="V560" s="113"/>
    </row>
    <row r="561" customFormat="false" ht="15" hidden="false" customHeight="true" outlineLevel="0" collapsed="false">
      <c r="H561" s="113"/>
      <c r="I561" s="113"/>
      <c r="J561" s="113"/>
      <c r="L561" s="113"/>
      <c r="M561" s="113"/>
      <c r="N561" s="113"/>
      <c r="P561" s="113"/>
      <c r="Q561" s="113"/>
      <c r="R561" s="113"/>
      <c r="T561" s="113"/>
      <c r="U561" s="113"/>
      <c r="V561" s="113"/>
    </row>
    <row r="562" customFormat="false" ht="15" hidden="false" customHeight="true" outlineLevel="0" collapsed="false">
      <c r="H562" s="113"/>
      <c r="I562" s="113"/>
      <c r="J562" s="113"/>
      <c r="L562" s="113"/>
      <c r="M562" s="113"/>
      <c r="N562" s="113"/>
      <c r="P562" s="113"/>
      <c r="Q562" s="113"/>
      <c r="R562" s="113"/>
      <c r="T562" s="113"/>
      <c r="U562" s="113"/>
      <c r="V562" s="113"/>
    </row>
    <row r="563" customFormat="false" ht="15" hidden="false" customHeight="true" outlineLevel="0" collapsed="false">
      <c r="H563" s="113"/>
      <c r="I563" s="113"/>
      <c r="J563" s="113"/>
      <c r="L563" s="113"/>
      <c r="M563" s="113"/>
      <c r="N563" s="113"/>
      <c r="P563" s="113"/>
      <c r="Q563" s="113"/>
      <c r="R563" s="113"/>
      <c r="T563" s="113"/>
      <c r="U563" s="113"/>
      <c r="V563" s="113"/>
    </row>
    <row r="564" customFormat="false" ht="15" hidden="false" customHeight="true" outlineLevel="0" collapsed="false">
      <c r="H564" s="113"/>
      <c r="I564" s="113"/>
      <c r="J564" s="113"/>
      <c r="L564" s="113"/>
      <c r="M564" s="113"/>
      <c r="N564" s="113"/>
      <c r="P564" s="113"/>
      <c r="Q564" s="113"/>
      <c r="R564" s="113"/>
      <c r="T564" s="113"/>
      <c r="U564" s="113"/>
      <c r="V564" s="113"/>
    </row>
    <row r="565" customFormat="false" ht="15" hidden="false" customHeight="true" outlineLevel="0" collapsed="false">
      <c r="H565" s="113"/>
      <c r="I565" s="113"/>
      <c r="J565" s="113"/>
      <c r="L565" s="113"/>
      <c r="M565" s="113"/>
      <c r="N565" s="113"/>
      <c r="P565" s="113"/>
      <c r="Q565" s="113"/>
      <c r="R565" s="113"/>
      <c r="T565" s="113"/>
      <c r="U565" s="113"/>
      <c r="V565" s="113"/>
    </row>
    <row r="566" customFormat="false" ht="15" hidden="false" customHeight="true" outlineLevel="0" collapsed="false">
      <c r="H566" s="113"/>
      <c r="I566" s="113"/>
      <c r="J566" s="113"/>
      <c r="L566" s="113"/>
      <c r="M566" s="113"/>
      <c r="N566" s="113"/>
      <c r="P566" s="113"/>
      <c r="Q566" s="113"/>
      <c r="R566" s="113"/>
      <c r="T566" s="113"/>
      <c r="U566" s="113"/>
      <c r="V566" s="113"/>
    </row>
    <row r="567" customFormat="false" ht="15" hidden="false" customHeight="true" outlineLevel="0" collapsed="false">
      <c r="H567" s="113"/>
      <c r="I567" s="113"/>
      <c r="J567" s="113"/>
      <c r="L567" s="113"/>
      <c r="M567" s="113"/>
      <c r="N567" s="113"/>
      <c r="P567" s="113"/>
      <c r="Q567" s="113"/>
      <c r="R567" s="113"/>
      <c r="T567" s="113"/>
      <c r="U567" s="113"/>
      <c r="V567" s="113"/>
    </row>
    <row r="568" customFormat="false" ht="15" hidden="false" customHeight="true" outlineLevel="0" collapsed="false">
      <c r="H568" s="113"/>
      <c r="I568" s="113"/>
      <c r="J568" s="113"/>
      <c r="L568" s="113"/>
      <c r="M568" s="113"/>
      <c r="N568" s="113"/>
      <c r="P568" s="113"/>
      <c r="Q568" s="113"/>
      <c r="R568" s="113"/>
      <c r="T568" s="113"/>
      <c r="U568" s="113"/>
      <c r="V568" s="113"/>
    </row>
    <row r="569" customFormat="false" ht="15" hidden="false" customHeight="true" outlineLevel="0" collapsed="false">
      <c r="H569" s="113"/>
      <c r="I569" s="113"/>
      <c r="J569" s="113"/>
      <c r="L569" s="113"/>
      <c r="M569" s="113"/>
      <c r="N569" s="113"/>
      <c r="P569" s="113"/>
      <c r="Q569" s="113"/>
      <c r="R569" s="113"/>
      <c r="T569" s="113"/>
      <c r="U569" s="113"/>
      <c r="V569" s="113"/>
    </row>
    <row r="570" customFormat="false" ht="15" hidden="false" customHeight="true" outlineLevel="0" collapsed="false">
      <c r="H570" s="113"/>
      <c r="I570" s="113"/>
      <c r="J570" s="113"/>
      <c r="L570" s="113"/>
      <c r="M570" s="113"/>
      <c r="N570" s="113"/>
      <c r="P570" s="113"/>
      <c r="Q570" s="113"/>
      <c r="R570" s="113"/>
      <c r="T570" s="113"/>
      <c r="U570" s="113"/>
      <c r="V570" s="113"/>
    </row>
    <row r="571" customFormat="false" ht="15" hidden="false" customHeight="true" outlineLevel="0" collapsed="false">
      <c r="H571" s="113"/>
      <c r="I571" s="113"/>
      <c r="J571" s="113"/>
      <c r="L571" s="113"/>
      <c r="M571" s="113"/>
      <c r="N571" s="113"/>
      <c r="P571" s="113"/>
      <c r="Q571" s="113"/>
      <c r="R571" s="113"/>
      <c r="T571" s="113"/>
      <c r="U571" s="113"/>
      <c r="V571" s="113"/>
    </row>
    <row r="572" customFormat="false" ht="15" hidden="false" customHeight="true" outlineLevel="0" collapsed="false">
      <c r="H572" s="113"/>
      <c r="I572" s="113"/>
      <c r="J572" s="113"/>
      <c r="L572" s="113"/>
      <c r="M572" s="113"/>
      <c r="N572" s="113"/>
      <c r="P572" s="113"/>
      <c r="Q572" s="113"/>
      <c r="R572" s="113"/>
      <c r="T572" s="113"/>
      <c r="U572" s="113"/>
      <c r="V572" s="113"/>
    </row>
    <row r="573" customFormat="false" ht="15" hidden="false" customHeight="true" outlineLevel="0" collapsed="false">
      <c r="H573" s="113"/>
      <c r="I573" s="113"/>
      <c r="J573" s="113"/>
      <c r="L573" s="113"/>
      <c r="M573" s="113"/>
      <c r="N573" s="113"/>
      <c r="P573" s="113"/>
      <c r="Q573" s="113"/>
      <c r="R573" s="113"/>
      <c r="T573" s="113"/>
      <c r="U573" s="113"/>
      <c r="V573" s="113"/>
    </row>
    <row r="574" customFormat="false" ht="15" hidden="false" customHeight="true" outlineLevel="0" collapsed="false">
      <c r="H574" s="113"/>
      <c r="I574" s="113"/>
      <c r="J574" s="113"/>
      <c r="L574" s="113"/>
      <c r="M574" s="113"/>
      <c r="N574" s="113"/>
      <c r="P574" s="113"/>
      <c r="Q574" s="113"/>
      <c r="R574" s="113"/>
      <c r="T574" s="113"/>
      <c r="U574" s="113"/>
      <c r="V574" s="113"/>
    </row>
    <row r="575" customFormat="false" ht="15" hidden="false" customHeight="true" outlineLevel="0" collapsed="false">
      <c r="H575" s="113"/>
      <c r="I575" s="113"/>
      <c r="J575" s="113"/>
      <c r="L575" s="113"/>
      <c r="M575" s="113"/>
      <c r="N575" s="113"/>
      <c r="P575" s="113"/>
      <c r="Q575" s="113"/>
      <c r="R575" s="113"/>
      <c r="T575" s="113"/>
      <c r="U575" s="113"/>
      <c r="V575" s="113"/>
    </row>
    <row r="576" customFormat="false" ht="15" hidden="false" customHeight="true" outlineLevel="0" collapsed="false">
      <c r="H576" s="113"/>
      <c r="I576" s="113"/>
      <c r="J576" s="113"/>
      <c r="L576" s="113"/>
      <c r="M576" s="113"/>
      <c r="N576" s="113"/>
      <c r="P576" s="113"/>
      <c r="Q576" s="113"/>
      <c r="R576" s="113"/>
      <c r="T576" s="113"/>
      <c r="U576" s="113"/>
      <c r="V576" s="113"/>
    </row>
    <row r="577" customFormat="false" ht="15" hidden="false" customHeight="true" outlineLevel="0" collapsed="false">
      <c r="H577" s="113"/>
      <c r="I577" s="113"/>
      <c r="J577" s="113"/>
      <c r="L577" s="113"/>
      <c r="M577" s="113"/>
      <c r="N577" s="113"/>
      <c r="P577" s="113"/>
      <c r="Q577" s="113"/>
      <c r="R577" s="113"/>
      <c r="T577" s="113"/>
      <c r="U577" s="113"/>
      <c r="V577" s="113"/>
    </row>
    <row r="578" customFormat="false" ht="15" hidden="false" customHeight="true" outlineLevel="0" collapsed="false">
      <c r="H578" s="113"/>
      <c r="I578" s="113"/>
      <c r="J578" s="113"/>
      <c r="L578" s="113"/>
      <c r="M578" s="113"/>
      <c r="N578" s="113"/>
      <c r="P578" s="113"/>
      <c r="Q578" s="113"/>
      <c r="R578" s="113"/>
      <c r="T578" s="113"/>
      <c r="U578" s="113"/>
      <c r="V578" s="113"/>
    </row>
    <row r="579" customFormat="false" ht="15" hidden="false" customHeight="true" outlineLevel="0" collapsed="false">
      <c r="H579" s="113"/>
      <c r="I579" s="113"/>
      <c r="J579" s="113"/>
      <c r="L579" s="113"/>
      <c r="M579" s="113"/>
      <c r="N579" s="113"/>
      <c r="P579" s="113"/>
      <c r="Q579" s="113"/>
      <c r="R579" s="113"/>
      <c r="T579" s="113"/>
      <c r="U579" s="113"/>
      <c r="V579" s="113"/>
    </row>
    <row r="580" customFormat="false" ht="15" hidden="false" customHeight="true" outlineLevel="0" collapsed="false">
      <c r="H580" s="113"/>
      <c r="I580" s="113"/>
      <c r="J580" s="113"/>
      <c r="L580" s="113"/>
      <c r="M580" s="113"/>
      <c r="N580" s="113"/>
      <c r="P580" s="113"/>
      <c r="Q580" s="113"/>
      <c r="R580" s="113"/>
      <c r="T580" s="113"/>
      <c r="U580" s="113"/>
      <c r="V580" s="113"/>
    </row>
    <row r="581" customFormat="false" ht="15" hidden="false" customHeight="true" outlineLevel="0" collapsed="false">
      <c r="H581" s="113"/>
      <c r="I581" s="113"/>
      <c r="J581" s="113"/>
      <c r="L581" s="113"/>
      <c r="M581" s="113"/>
      <c r="N581" s="113"/>
      <c r="P581" s="113"/>
      <c r="Q581" s="113"/>
      <c r="R581" s="113"/>
      <c r="T581" s="113"/>
      <c r="U581" s="113"/>
      <c r="V581" s="113"/>
    </row>
    <row r="582" customFormat="false" ht="15" hidden="false" customHeight="true" outlineLevel="0" collapsed="false">
      <c r="H582" s="113"/>
      <c r="I582" s="113"/>
      <c r="J582" s="113"/>
      <c r="L582" s="113"/>
      <c r="M582" s="113"/>
      <c r="N582" s="113"/>
      <c r="P582" s="113"/>
      <c r="Q582" s="113"/>
      <c r="R582" s="113"/>
      <c r="T582" s="113"/>
      <c r="U582" s="113"/>
      <c r="V582" s="113"/>
    </row>
    <row r="583" customFormat="false" ht="15" hidden="false" customHeight="true" outlineLevel="0" collapsed="false">
      <c r="H583" s="113"/>
      <c r="I583" s="113"/>
      <c r="J583" s="113"/>
      <c r="L583" s="113"/>
      <c r="M583" s="113"/>
      <c r="N583" s="113"/>
      <c r="P583" s="113"/>
      <c r="Q583" s="113"/>
      <c r="R583" s="113"/>
      <c r="T583" s="113"/>
      <c r="U583" s="113"/>
      <c r="V583" s="113"/>
    </row>
    <row r="584" customFormat="false" ht="15" hidden="false" customHeight="true" outlineLevel="0" collapsed="false">
      <c r="H584" s="113"/>
      <c r="I584" s="113"/>
      <c r="J584" s="113"/>
      <c r="L584" s="113"/>
      <c r="M584" s="113"/>
      <c r="N584" s="113"/>
      <c r="P584" s="113"/>
      <c r="Q584" s="113"/>
      <c r="R584" s="113"/>
      <c r="T584" s="113"/>
      <c r="U584" s="113"/>
      <c r="V584" s="113"/>
    </row>
    <row r="585" customFormat="false" ht="15" hidden="false" customHeight="true" outlineLevel="0" collapsed="false">
      <c r="H585" s="113"/>
      <c r="I585" s="113"/>
      <c r="J585" s="113"/>
      <c r="L585" s="113"/>
      <c r="M585" s="113"/>
      <c r="N585" s="113"/>
      <c r="P585" s="113"/>
      <c r="Q585" s="113"/>
      <c r="R585" s="113"/>
      <c r="T585" s="113"/>
      <c r="U585" s="113"/>
      <c r="V585" s="113"/>
    </row>
    <row r="586" customFormat="false" ht="15" hidden="false" customHeight="true" outlineLevel="0" collapsed="false">
      <c r="H586" s="113"/>
      <c r="I586" s="113"/>
      <c r="J586" s="113"/>
      <c r="L586" s="113"/>
      <c r="M586" s="113"/>
      <c r="N586" s="113"/>
      <c r="P586" s="113"/>
      <c r="Q586" s="113"/>
      <c r="R586" s="113"/>
      <c r="T586" s="113"/>
      <c r="U586" s="113"/>
      <c r="V586" s="113"/>
    </row>
    <row r="587" customFormat="false" ht="15" hidden="false" customHeight="true" outlineLevel="0" collapsed="false">
      <c r="H587" s="113"/>
      <c r="I587" s="113"/>
      <c r="J587" s="113"/>
      <c r="L587" s="113"/>
      <c r="M587" s="113"/>
      <c r="N587" s="113"/>
      <c r="P587" s="113"/>
      <c r="Q587" s="113"/>
      <c r="R587" s="113"/>
      <c r="T587" s="113"/>
      <c r="U587" s="113"/>
      <c r="V587" s="113"/>
    </row>
    <row r="588" customFormat="false" ht="15" hidden="false" customHeight="true" outlineLevel="0" collapsed="false">
      <c r="H588" s="113"/>
      <c r="I588" s="113"/>
      <c r="J588" s="113"/>
      <c r="L588" s="113"/>
      <c r="M588" s="113"/>
      <c r="N588" s="113"/>
      <c r="P588" s="113"/>
      <c r="Q588" s="113"/>
      <c r="R588" s="113"/>
      <c r="T588" s="113"/>
      <c r="U588" s="113"/>
      <c r="V588" s="113"/>
    </row>
    <row r="589" customFormat="false" ht="15" hidden="false" customHeight="true" outlineLevel="0" collapsed="false">
      <c r="H589" s="113"/>
      <c r="I589" s="113"/>
      <c r="J589" s="113"/>
      <c r="L589" s="113"/>
      <c r="M589" s="113"/>
      <c r="N589" s="113"/>
      <c r="P589" s="113"/>
      <c r="Q589" s="113"/>
      <c r="R589" s="113"/>
      <c r="T589" s="113"/>
      <c r="U589" s="113"/>
      <c r="V589" s="113"/>
    </row>
    <row r="590" customFormat="false" ht="15" hidden="false" customHeight="true" outlineLevel="0" collapsed="false">
      <c r="H590" s="113"/>
      <c r="I590" s="113"/>
      <c r="J590" s="113"/>
      <c r="L590" s="113"/>
      <c r="M590" s="113"/>
      <c r="N590" s="113"/>
      <c r="P590" s="113"/>
      <c r="Q590" s="113"/>
      <c r="R590" s="113"/>
      <c r="T590" s="113"/>
      <c r="U590" s="113"/>
      <c r="V590" s="113"/>
    </row>
    <row r="591" customFormat="false" ht="15" hidden="false" customHeight="true" outlineLevel="0" collapsed="false">
      <c r="H591" s="113"/>
      <c r="I591" s="113"/>
      <c r="J591" s="113"/>
      <c r="L591" s="113"/>
      <c r="M591" s="113"/>
      <c r="N591" s="113"/>
      <c r="P591" s="113"/>
      <c r="Q591" s="113"/>
      <c r="R591" s="113"/>
      <c r="T591" s="113"/>
      <c r="U591" s="113"/>
      <c r="V591" s="113"/>
    </row>
    <row r="592" customFormat="false" ht="15" hidden="false" customHeight="true" outlineLevel="0" collapsed="false">
      <c r="H592" s="113"/>
      <c r="I592" s="113"/>
      <c r="J592" s="113"/>
      <c r="L592" s="113"/>
      <c r="M592" s="113"/>
      <c r="N592" s="113"/>
      <c r="P592" s="113"/>
      <c r="Q592" s="113"/>
      <c r="R592" s="113"/>
      <c r="T592" s="113"/>
      <c r="U592" s="113"/>
      <c r="V592" s="113"/>
    </row>
    <row r="593" customFormat="false" ht="15" hidden="false" customHeight="true" outlineLevel="0" collapsed="false">
      <c r="H593" s="113"/>
      <c r="I593" s="113"/>
      <c r="J593" s="113"/>
      <c r="L593" s="113"/>
      <c r="M593" s="113"/>
      <c r="N593" s="113"/>
      <c r="P593" s="113"/>
      <c r="Q593" s="113"/>
      <c r="R593" s="113"/>
      <c r="T593" s="113"/>
      <c r="U593" s="113"/>
      <c r="V593" s="113"/>
    </row>
    <row r="594" customFormat="false" ht="15" hidden="false" customHeight="true" outlineLevel="0" collapsed="false">
      <c r="H594" s="113"/>
      <c r="I594" s="113"/>
      <c r="J594" s="113"/>
      <c r="L594" s="113"/>
      <c r="M594" s="113"/>
      <c r="N594" s="113"/>
      <c r="P594" s="113"/>
      <c r="Q594" s="113"/>
      <c r="R594" s="113"/>
      <c r="T594" s="113"/>
      <c r="U594" s="113"/>
      <c r="V594" s="113"/>
    </row>
    <row r="595" customFormat="false" ht="15" hidden="false" customHeight="true" outlineLevel="0" collapsed="false">
      <c r="H595" s="113"/>
      <c r="I595" s="113"/>
      <c r="J595" s="113"/>
      <c r="L595" s="113"/>
      <c r="M595" s="113"/>
      <c r="N595" s="113"/>
      <c r="P595" s="113"/>
      <c r="Q595" s="113"/>
      <c r="R595" s="113"/>
      <c r="T595" s="113"/>
      <c r="U595" s="113"/>
      <c r="V595" s="113"/>
    </row>
    <row r="596" customFormat="false" ht="15" hidden="false" customHeight="true" outlineLevel="0" collapsed="false">
      <c r="H596" s="113"/>
      <c r="I596" s="113"/>
      <c r="J596" s="113"/>
      <c r="L596" s="113"/>
      <c r="M596" s="113"/>
      <c r="N596" s="113"/>
      <c r="P596" s="113"/>
      <c r="Q596" s="113"/>
      <c r="R596" s="113"/>
      <c r="T596" s="113"/>
      <c r="U596" s="113"/>
      <c r="V596" s="113"/>
    </row>
    <row r="597" customFormat="false" ht="15" hidden="false" customHeight="true" outlineLevel="0" collapsed="false">
      <c r="H597" s="113"/>
      <c r="I597" s="113"/>
      <c r="J597" s="113"/>
      <c r="L597" s="113"/>
      <c r="M597" s="113"/>
      <c r="N597" s="113"/>
      <c r="P597" s="113"/>
      <c r="Q597" s="113"/>
      <c r="R597" s="113"/>
      <c r="T597" s="113"/>
      <c r="U597" s="113"/>
      <c r="V597" s="113"/>
    </row>
    <row r="598" customFormat="false" ht="15" hidden="false" customHeight="true" outlineLevel="0" collapsed="false">
      <c r="H598" s="113"/>
      <c r="I598" s="113"/>
      <c r="J598" s="113"/>
      <c r="L598" s="113"/>
      <c r="M598" s="113"/>
      <c r="N598" s="113"/>
      <c r="P598" s="113"/>
      <c r="Q598" s="113"/>
      <c r="R598" s="113"/>
      <c r="T598" s="113"/>
      <c r="U598" s="113"/>
      <c r="V598" s="113"/>
    </row>
    <row r="599" customFormat="false" ht="15" hidden="false" customHeight="true" outlineLevel="0" collapsed="false">
      <c r="H599" s="113"/>
      <c r="I599" s="113"/>
      <c r="J599" s="113"/>
      <c r="L599" s="113"/>
      <c r="M599" s="113"/>
      <c r="N599" s="113"/>
      <c r="P599" s="113"/>
      <c r="Q599" s="113"/>
      <c r="R599" s="113"/>
      <c r="T599" s="113"/>
      <c r="U599" s="113"/>
      <c r="V599" s="113"/>
    </row>
    <row r="600" customFormat="false" ht="15" hidden="false" customHeight="true" outlineLevel="0" collapsed="false">
      <c r="H600" s="113"/>
      <c r="I600" s="113"/>
      <c r="J600" s="113"/>
      <c r="L600" s="113"/>
      <c r="M600" s="113"/>
      <c r="N600" s="113"/>
      <c r="P600" s="113"/>
      <c r="Q600" s="113"/>
      <c r="R600" s="113"/>
      <c r="T600" s="113"/>
      <c r="U600" s="113"/>
      <c r="V600" s="113"/>
    </row>
    <row r="601" customFormat="false" ht="15" hidden="false" customHeight="true" outlineLevel="0" collapsed="false">
      <c r="H601" s="113"/>
      <c r="I601" s="113"/>
      <c r="J601" s="113"/>
      <c r="L601" s="113"/>
      <c r="M601" s="113"/>
      <c r="N601" s="113"/>
      <c r="P601" s="113"/>
      <c r="Q601" s="113"/>
      <c r="R601" s="113"/>
      <c r="T601" s="113"/>
      <c r="U601" s="113"/>
      <c r="V601" s="113"/>
    </row>
    <row r="602" customFormat="false" ht="15" hidden="false" customHeight="true" outlineLevel="0" collapsed="false">
      <c r="H602" s="113"/>
      <c r="I602" s="113"/>
      <c r="J602" s="113"/>
      <c r="L602" s="113"/>
      <c r="M602" s="113"/>
      <c r="N602" s="113"/>
      <c r="P602" s="113"/>
      <c r="Q602" s="113"/>
      <c r="R602" s="113"/>
      <c r="T602" s="113"/>
      <c r="U602" s="113"/>
      <c r="V602" s="113"/>
    </row>
    <row r="603" customFormat="false" ht="15" hidden="false" customHeight="true" outlineLevel="0" collapsed="false">
      <c r="H603" s="113"/>
      <c r="I603" s="113"/>
      <c r="J603" s="113"/>
      <c r="L603" s="113"/>
      <c r="M603" s="113"/>
      <c r="N603" s="113"/>
      <c r="P603" s="113"/>
      <c r="Q603" s="113"/>
      <c r="R603" s="113"/>
      <c r="T603" s="113"/>
      <c r="U603" s="113"/>
      <c r="V603" s="113"/>
    </row>
    <row r="604" customFormat="false" ht="15" hidden="false" customHeight="true" outlineLevel="0" collapsed="false">
      <c r="H604" s="113"/>
      <c r="I604" s="113"/>
      <c r="J604" s="113"/>
      <c r="L604" s="113"/>
      <c r="M604" s="113"/>
      <c r="N604" s="113"/>
      <c r="P604" s="113"/>
      <c r="Q604" s="113"/>
      <c r="R604" s="113"/>
      <c r="T604" s="113"/>
      <c r="U604" s="113"/>
      <c r="V604" s="113"/>
    </row>
    <row r="605" customFormat="false" ht="15" hidden="false" customHeight="true" outlineLevel="0" collapsed="false">
      <c r="H605" s="113"/>
      <c r="I605" s="113"/>
      <c r="J605" s="113"/>
      <c r="L605" s="113"/>
      <c r="M605" s="113"/>
      <c r="N605" s="113"/>
      <c r="P605" s="113"/>
      <c r="Q605" s="113"/>
      <c r="R605" s="113"/>
      <c r="T605" s="113"/>
      <c r="U605" s="113"/>
      <c r="V605" s="113"/>
    </row>
    <row r="606" customFormat="false" ht="15" hidden="false" customHeight="true" outlineLevel="0" collapsed="false">
      <c r="H606" s="113"/>
      <c r="I606" s="113"/>
      <c r="J606" s="113"/>
      <c r="L606" s="113"/>
      <c r="M606" s="113"/>
      <c r="N606" s="113"/>
      <c r="P606" s="113"/>
      <c r="Q606" s="113"/>
      <c r="R606" s="113"/>
      <c r="T606" s="113"/>
      <c r="U606" s="113"/>
      <c r="V606" s="113"/>
    </row>
    <row r="607" customFormat="false" ht="15" hidden="false" customHeight="true" outlineLevel="0" collapsed="false">
      <c r="H607" s="113"/>
      <c r="I607" s="113"/>
      <c r="J607" s="113"/>
      <c r="L607" s="113"/>
      <c r="M607" s="113"/>
      <c r="N607" s="113"/>
      <c r="P607" s="113"/>
      <c r="Q607" s="113"/>
      <c r="R607" s="113"/>
      <c r="T607" s="113"/>
      <c r="U607" s="113"/>
      <c r="V607" s="113"/>
    </row>
    <row r="608" customFormat="false" ht="15" hidden="false" customHeight="true" outlineLevel="0" collapsed="false">
      <c r="H608" s="113"/>
      <c r="I608" s="113"/>
      <c r="J608" s="113"/>
      <c r="L608" s="113"/>
      <c r="M608" s="113"/>
      <c r="N608" s="113"/>
      <c r="P608" s="113"/>
      <c r="Q608" s="113"/>
      <c r="R608" s="113"/>
      <c r="T608" s="113"/>
      <c r="U608" s="113"/>
      <c r="V608" s="113"/>
    </row>
    <row r="609" customFormat="false" ht="15" hidden="false" customHeight="true" outlineLevel="0" collapsed="false">
      <c r="H609" s="113"/>
      <c r="I609" s="113"/>
      <c r="J609" s="113"/>
      <c r="L609" s="113"/>
      <c r="M609" s="113"/>
      <c r="N609" s="113"/>
      <c r="P609" s="113"/>
      <c r="Q609" s="113"/>
      <c r="R609" s="113"/>
      <c r="T609" s="113"/>
      <c r="U609" s="113"/>
      <c r="V609" s="113"/>
    </row>
    <row r="610" customFormat="false" ht="15" hidden="false" customHeight="true" outlineLevel="0" collapsed="false">
      <c r="H610" s="113"/>
      <c r="I610" s="113"/>
      <c r="J610" s="113"/>
      <c r="L610" s="113"/>
      <c r="M610" s="113"/>
      <c r="N610" s="113"/>
      <c r="P610" s="113"/>
      <c r="Q610" s="113"/>
      <c r="R610" s="113"/>
      <c r="T610" s="113"/>
      <c r="U610" s="113"/>
      <c r="V610" s="113"/>
    </row>
    <row r="611" customFormat="false" ht="15" hidden="false" customHeight="true" outlineLevel="0" collapsed="false">
      <c r="H611" s="113"/>
      <c r="I611" s="113"/>
      <c r="J611" s="113"/>
      <c r="L611" s="113"/>
      <c r="M611" s="113"/>
      <c r="N611" s="113"/>
      <c r="P611" s="113"/>
      <c r="Q611" s="113"/>
      <c r="R611" s="113"/>
      <c r="T611" s="113"/>
      <c r="U611" s="113"/>
      <c r="V611" s="113"/>
    </row>
    <row r="612" customFormat="false" ht="15" hidden="false" customHeight="true" outlineLevel="0" collapsed="false">
      <c r="H612" s="113"/>
      <c r="I612" s="113"/>
      <c r="J612" s="113"/>
      <c r="L612" s="113"/>
      <c r="M612" s="113"/>
      <c r="N612" s="113"/>
      <c r="P612" s="113"/>
      <c r="Q612" s="113"/>
      <c r="R612" s="113"/>
      <c r="T612" s="113"/>
      <c r="U612" s="113"/>
      <c r="V612" s="113"/>
    </row>
    <row r="613" customFormat="false" ht="15" hidden="false" customHeight="true" outlineLevel="0" collapsed="false">
      <c r="H613" s="113"/>
      <c r="I613" s="113"/>
      <c r="J613" s="113"/>
      <c r="L613" s="113"/>
      <c r="M613" s="113"/>
      <c r="N613" s="113"/>
      <c r="P613" s="113"/>
      <c r="Q613" s="113"/>
      <c r="R613" s="113"/>
      <c r="T613" s="113"/>
      <c r="U613" s="113"/>
      <c r="V613" s="113"/>
    </row>
    <row r="614" customFormat="false" ht="15" hidden="false" customHeight="true" outlineLevel="0" collapsed="false">
      <c r="H614" s="113"/>
      <c r="I614" s="113"/>
      <c r="J614" s="113"/>
      <c r="L614" s="113"/>
      <c r="M614" s="113"/>
      <c r="N614" s="113"/>
      <c r="P614" s="113"/>
      <c r="Q614" s="113"/>
      <c r="R614" s="113"/>
      <c r="T614" s="113"/>
      <c r="U614" s="113"/>
      <c r="V614" s="113"/>
    </row>
    <row r="615" customFormat="false" ht="15" hidden="false" customHeight="true" outlineLevel="0" collapsed="false">
      <c r="H615" s="113"/>
      <c r="I615" s="113"/>
      <c r="J615" s="113"/>
      <c r="L615" s="113"/>
      <c r="M615" s="113"/>
      <c r="N615" s="113"/>
      <c r="P615" s="113"/>
      <c r="Q615" s="113"/>
      <c r="R615" s="113"/>
      <c r="T615" s="113"/>
      <c r="U615" s="113"/>
      <c r="V615" s="113"/>
    </row>
    <row r="616" customFormat="false" ht="15" hidden="false" customHeight="true" outlineLevel="0" collapsed="false">
      <c r="H616" s="113"/>
      <c r="I616" s="113"/>
      <c r="J616" s="113"/>
      <c r="L616" s="113"/>
      <c r="M616" s="113"/>
      <c r="N616" s="113"/>
      <c r="P616" s="113"/>
      <c r="Q616" s="113"/>
      <c r="R616" s="113"/>
      <c r="T616" s="113"/>
      <c r="U616" s="113"/>
      <c r="V616" s="113"/>
    </row>
    <row r="617" customFormat="false" ht="15" hidden="false" customHeight="true" outlineLevel="0" collapsed="false">
      <c r="H617" s="113"/>
      <c r="I617" s="113"/>
      <c r="J617" s="113"/>
      <c r="L617" s="113"/>
      <c r="M617" s="113"/>
      <c r="N617" s="113"/>
      <c r="P617" s="113"/>
      <c r="Q617" s="113"/>
      <c r="R617" s="113"/>
      <c r="T617" s="113"/>
      <c r="U617" s="113"/>
      <c r="V617" s="113"/>
    </row>
    <row r="618" customFormat="false" ht="15" hidden="false" customHeight="true" outlineLevel="0" collapsed="false">
      <c r="H618" s="113"/>
      <c r="I618" s="113"/>
      <c r="J618" s="113"/>
      <c r="L618" s="113"/>
      <c r="M618" s="113"/>
      <c r="N618" s="113"/>
      <c r="P618" s="113"/>
      <c r="Q618" s="113"/>
      <c r="R618" s="113"/>
      <c r="T618" s="113"/>
      <c r="U618" s="113"/>
      <c r="V618" s="113"/>
    </row>
    <row r="619" customFormat="false" ht="15" hidden="false" customHeight="true" outlineLevel="0" collapsed="false">
      <c r="H619" s="113"/>
      <c r="I619" s="113"/>
      <c r="J619" s="113"/>
      <c r="L619" s="113"/>
      <c r="M619" s="113"/>
      <c r="N619" s="113"/>
      <c r="P619" s="113"/>
      <c r="Q619" s="113"/>
      <c r="R619" s="113"/>
      <c r="T619" s="113"/>
      <c r="U619" s="113"/>
      <c r="V619" s="113"/>
    </row>
    <row r="620" customFormat="false" ht="15" hidden="false" customHeight="true" outlineLevel="0" collapsed="false">
      <c r="H620" s="113"/>
      <c r="I620" s="113"/>
      <c r="J620" s="113"/>
      <c r="L620" s="113"/>
      <c r="M620" s="113"/>
      <c r="N620" s="113"/>
      <c r="P620" s="113"/>
      <c r="Q620" s="113"/>
      <c r="R620" s="113"/>
      <c r="T620" s="113"/>
      <c r="U620" s="113"/>
      <c r="V620" s="113"/>
    </row>
    <row r="621" customFormat="false" ht="15" hidden="false" customHeight="true" outlineLevel="0" collapsed="false">
      <c r="H621" s="113"/>
      <c r="I621" s="113"/>
      <c r="J621" s="113"/>
      <c r="L621" s="113"/>
      <c r="M621" s="113"/>
      <c r="N621" s="113"/>
      <c r="P621" s="113"/>
      <c r="Q621" s="113"/>
      <c r="R621" s="113"/>
      <c r="T621" s="113"/>
      <c r="U621" s="113"/>
      <c r="V621" s="113"/>
    </row>
    <row r="622" customFormat="false" ht="15" hidden="false" customHeight="true" outlineLevel="0" collapsed="false">
      <c r="H622" s="113"/>
      <c r="I622" s="113"/>
      <c r="J622" s="113"/>
      <c r="L622" s="113"/>
      <c r="M622" s="113"/>
      <c r="N622" s="113"/>
      <c r="P622" s="113"/>
      <c r="Q622" s="113"/>
      <c r="R622" s="113"/>
      <c r="T622" s="113"/>
      <c r="U622" s="113"/>
      <c r="V622" s="113"/>
    </row>
    <row r="623" customFormat="false" ht="15" hidden="false" customHeight="true" outlineLevel="0" collapsed="false">
      <c r="H623" s="113"/>
      <c r="I623" s="113"/>
      <c r="J623" s="113"/>
      <c r="L623" s="113"/>
      <c r="M623" s="113"/>
      <c r="N623" s="113"/>
      <c r="P623" s="113"/>
      <c r="Q623" s="113"/>
      <c r="R623" s="113"/>
      <c r="T623" s="113"/>
      <c r="U623" s="113"/>
      <c r="V623" s="113"/>
    </row>
    <row r="624" customFormat="false" ht="15" hidden="false" customHeight="true" outlineLevel="0" collapsed="false">
      <c r="H624" s="113"/>
      <c r="I624" s="113"/>
      <c r="J624" s="113"/>
      <c r="L624" s="113"/>
      <c r="M624" s="113"/>
      <c r="N624" s="113"/>
      <c r="P624" s="113"/>
      <c r="Q624" s="113"/>
      <c r="R624" s="113"/>
      <c r="T624" s="113"/>
      <c r="U624" s="113"/>
      <c r="V624" s="113"/>
    </row>
    <row r="625" customFormat="false" ht="15" hidden="false" customHeight="true" outlineLevel="0" collapsed="false">
      <c r="H625" s="113"/>
      <c r="I625" s="113"/>
      <c r="J625" s="113"/>
      <c r="L625" s="113"/>
      <c r="M625" s="113"/>
      <c r="N625" s="113"/>
      <c r="P625" s="113"/>
      <c r="Q625" s="113"/>
      <c r="R625" s="113"/>
      <c r="T625" s="113"/>
      <c r="U625" s="113"/>
      <c r="V625" s="113"/>
    </row>
    <row r="626" customFormat="false" ht="15" hidden="false" customHeight="true" outlineLevel="0" collapsed="false">
      <c r="H626" s="113"/>
      <c r="I626" s="113"/>
      <c r="J626" s="113"/>
      <c r="L626" s="113"/>
      <c r="M626" s="113"/>
      <c r="N626" s="113"/>
      <c r="P626" s="113"/>
      <c r="Q626" s="113"/>
      <c r="R626" s="113"/>
      <c r="T626" s="113"/>
      <c r="U626" s="113"/>
      <c r="V626" s="113"/>
    </row>
    <row r="627" customFormat="false" ht="15" hidden="false" customHeight="true" outlineLevel="0" collapsed="false">
      <c r="H627" s="113"/>
      <c r="I627" s="113"/>
      <c r="J627" s="113"/>
      <c r="L627" s="113"/>
      <c r="M627" s="113"/>
      <c r="N627" s="113"/>
      <c r="P627" s="113"/>
      <c r="Q627" s="113"/>
      <c r="R627" s="113"/>
      <c r="T627" s="113"/>
      <c r="U627" s="113"/>
      <c r="V627" s="113"/>
    </row>
    <row r="628" customFormat="false" ht="15" hidden="false" customHeight="true" outlineLevel="0" collapsed="false">
      <c r="H628" s="113"/>
      <c r="I628" s="113"/>
      <c r="J628" s="113"/>
      <c r="L628" s="113"/>
      <c r="M628" s="113"/>
      <c r="N628" s="113"/>
      <c r="P628" s="113"/>
      <c r="Q628" s="113"/>
      <c r="R628" s="113"/>
      <c r="T628" s="113"/>
      <c r="U628" s="113"/>
      <c r="V628" s="113"/>
    </row>
    <row r="629" customFormat="false" ht="15" hidden="false" customHeight="true" outlineLevel="0" collapsed="false">
      <c r="H629" s="113"/>
      <c r="I629" s="113"/>
      <c r="J629" s="113"/>
      <c r="L629" s="113"/>
      <c r="M629" s="113"/>
      <c r="N629" s="113"/>
      <c r="P629" s="113"/>
      <c r="Q629" s="113"/>
      <c r="R629" s="113"/>
      <c r="T629" s="113"/>
      <c r="U629" s="113"/>
      <c r="V629" s="113"/>
    </row>
    <row r="630" customFormat="false" ht="15" hidden="false" customHeight="true" outlineLevel="0" collapsed="false">
      <c r="H630" s="113"/>
      <c r="I630" s="113"/>
      <c r="J630" s="113"/>
      <c r="L630" s="113"/>
      <c r="M630" s="113"/>
      <c r="N630" s="113"/>
      <c r="P630" s="113"/>
      <c r="Q630" s="113"/>
      <c r="R630" s="113"/>
      <c r="T630" s="113"/>
      <c r="U630" s="113"/>
      <c r="V630" s="113"/>
    </row>
    <row r="631" customFormat="false" ht="15" hidden="false" customHeight="true" outlineLevel="0" collapsed="false">
      <c r="H631" s="113"/>
      <c r="I631" s="113"/>
      <c r="J631" s="113"/>
      <c r="L631" s="113"/>
      <c r="M631" s="113"/>
      <c r="N631" s="113"/>
      <c r="P631" s="113"/>
      <c r="Q631" s="113"/>
      <c r="R631" s="113"/>
      <c r="T631" s="113"/>
      <c r="U631" s="113"/>
      <c r="V631" s="113"/>
    </row>
    <row r="632" customFormat="false" ht="15" hidden="false" customHeight="true" outlineLevel="0" collapsed="false">
      <c r="H632" s="113"/>
      <c r="I632" s="113"/>
      <c r="J632" s="113"/>
      <c r="L632" s="113"/>
      <c r="M632" s="113"/>
      <c r="N632" s="113"/>
      <c r="P632" s="113"/>
      <c r="Q632" s="113"/>
      <c r="R632" s="113"/>
      <c r="T632" s="113"/>
      <c r="U632" s="113"/>
      <c r="V632" s="113"/>
    </row>
    <row r="633" customFormat="false" ht="15" hidden="false" customHeight="true" outlineLevel="0" collapsed="false">
      <c r="H633" s="113"/>
      <c r="I633" s="113"/>
      <c r="J633" s="113"/>
      <c r="L633" s="113"/>
      <c r="M633" s="113"/>
      <c r="N633" s="113"/>
      <c r="P633" s="113"/>
      <c r="Q633" s="113"/>
      <c r="R633" s="113"/>
      <c r="T633" s="113"/>
      <c r="U633" s="113"/>
      <c r="V633" s="113"/>
    </row>
    <row r="634" customFormat="false" ht="15" hidden="false" customHeight="true" outlineLevel="0" collapsed="false">
      <c r="H634" s="113"/>
      <c r="I634" s="113"/>
      <c r="J634" s="113"/>
      <c r="L634" s="113"/>
      <c r="M634" s="113"/>
      <c r="N634" s="113"/>
      <c r="P634" s="113"/>
      <c r="Q634" s="113"/>
      <c r="R634" s="113"/>
      <c r="T634" s="113"/>
      <c r="U634" s="113"/>
      <c r="V634" s="113"/>
    </row>
    <row r="635" customFormat="false" ht="15" hidden="false" customHeight="true" outlineLevel="0" collapsed="false">
      <c r="H635" s="113"/>
      <c r="I635" s="113"/>
      <c r="J635" s="113"/>
      <c r="L635" s="113"/>
      <c r="M635" s="113"/>
      <c r="N635" s="113"/>
      <c r="P635" s="113"/>
      <c r="Q635" s="113"/>
      <c r="R635" s="113"/>
      <c r="T635" s="113"/>
      <c r="U635" s="113"/>
      <c r="V635" s="113"/>
    </row>
    <row r="636" customFormat="false" ht="15" hidden="false" customHeight="true" outlineLevel="0" collapsed="false">
      <c r="H636" s="113"/>
      <c r="I636" s="113"/>
      <c r="J636" s="113"/>
      <c r="L636" s="113"/>
      <c r="M636" s="113"/>
      <c r="N636" s="113"/>
      <c r="P636" s="113"/>
      <c r="Q636" s="113"/>
      <c r="R636" s="113"/>
      <c r="T636" s="113"/>
      <c r="U636" s="113"/>
      <c r="V636" s="113"/>
    </row>
    <row r="637" customFormat="false" ht="15" hidden="false" customHeight="true" outlineLevel="0" collapsed="false">
      <c r="H637" s="113"/>
      <c r="I637" s="113"/>
      <c r="J637" s="113"/>
      <c r="L637" s="113"/>
      <c r="M637" s="113"/>
      <c r="N637" s="113"/>
      <c r="P637" s="113"/>
      <c r="Q637" s="113"/>
      <c r="R637" s="113"/>
      <c r="T637" s="113"/>
      <c r="U637" s="113"/>
      <c r="V637" s="113"/>
    </row>
    <row r="638" customFormat="false" ht="15" hidden="false" customHeight="true" outlineLevel="0" collapsed="false">
      <c r="H638" s="113"/>
      <c r="I638" s="113"/>
      <c r="J638" s="113"/>
      <c r="L638" s="113"/>
      <c r="M638" s="113"/>
      <c r="N638" s="113"/>
      <c r="P638" s="113"/>
      <c r="Q638" s="113"/>
      <c r="R638" s="113"/>
      <c r="T638" s="113"/>
      <c r="U638" s="113"/>
      <c r="V638" s="113"/>
    </row>
    <row r="639" customFormat="false" ht="15" hidden="false" customHeight="true" outlineLevel="0" collapsed="false">
      <c r="H639" s="113"/>
      <c r="I639" s="113"/>
      <c r="J639" s="113"/>
      <c r="L639" s="113"/>
      <c r="M639" s="113"/>
      <c r="N639" s="113"/>
      <c r="P639" s="113"/>
      <c r="Q639" s="113"/>
      <c r="R639" s="113"/>
      <c r="T639" s="113"/>
      <c r="U639" s="113"/>
      <c r="V639" s="113"/>
    </row>
    <row r="640" customFormat="false" ht="15" hidden="false" customHeight="true" outlineLevel="0" collapsed="false">
      <c r="H640" s="113"/>
      <c r="I640" s="113"/>
      <c r="J640" s="113"/>
      <c r="L640" s="113"/>
      <c r="M640" s="113"/>
      <c r="N640" s="113"/>
      <c r="P640" s="113"/>
      <c r="Q640" s="113"/>
      <c r="R640" s="113"/>
      <c r="T640" s="113"/>
      <c r="U640" s="113"/>
      <c r="V640" s="113"/>
    </row>
    <row r="641" customFormat="false" ht="15" hidden="false" customHeight="true" outlineLevel="0" collapsed="false">
      <c r="H641" s="113"/>
      <c r="I641" s="113"/>
      <c r="J641" s="113"/>
      <c r="L641" s="113"/>
      <c r="M641" s="113"/>
      <c r="N641" s="113"/>
      <c r="P641" s="113"/>
      <c r="Q641" s="113"/>
      <c r="R641" s="113"/>
      <c r="T641" s="113"/>
      <c r="U641" s="113"/>
      <c r="V641" s="113"/>
    </row>
    <row r="642" customFormat="false" ht="15" hidden="false" customHeight="true" outlineLevel="0" collapsed="false">
      <c r="H642" s="113"/>
      <c r="I642" s="113"/>
      <c r="J642" s="113"/>
      <c r="L642" s="113"/>
      <c r="M642" s="113"/>
      <c r="N642" s="113"/>
      <c r="P642" s="113"/>
      <c r="Q642" s="113"/>
      <c r="R642" s="113"/>
      <c r="T642" s="113"/>
      <c r="U642" s="113"/>
      <c r="V642" s="113"/>
    </row>
    <row r="643" customFormat="false" ht="15" hidden="false" customHeight="true" outlineLevel="0" collapsed="false">
      <c r="H643" s="113"/>
      <c r="I643" s="113"/>
      <c r="J643" s="113"/>
      <c r="L643" s="113"/>
      <c r="M643" s="113"/>
      <c r="N643" s="113"/>
      <c r="P643" s="113"/>
      <c r="Q643" s="113"/>
      <c r="R643" s="113"/>
      <c r="T643" s="113"/>
      <c r="U643" s="113"/>
      <c r="V643" s="113"/>
    </row>
    <row r="644" customFormat="false" ht="15" hidden="false" customHeight="true" outlineLevel="0" collapsed="false">
      <c r="H644" s="113"/>
      <c r="I644" s="113"/>
      <c r="J644" s="113"/>
      <c r="L644" s="113"/>
      <c r="M644" s="113"/>
      <c r="N644" s="113"/>
      <c r="P644" s="113"/>
      <c r="Q644" s="113"/>
      <c r="R644" s="113"/>
      <c r="T644" s="113"/>
      <c r="U644" s="113"/>
      <c r="V644" s="113"/>
    </row>
    <row r="645" customFormat="false" ht="15" hidden="false" customHeight="true" outlineLevel="0" collapsed="false">
      <c r="H645" s="113"/>
      <c r="I645" s="113"/>
      <c r="J645" s="113"/>
      <c r="L645" s="113"/>
      <c r="M645" s="113"/>
      <c r="N645" s="113"/>
      <c r="P645" s="113"/>
      <c r="Q645" s="113"/>
      <c r="R645" s="113"/>
      <c r="T645" s="113"/>
      <c r="U645" s="113"/>
      <c r="V645" s="113"/>
    </row>
    <row r="646" customFormat="false" ht="15" hidden="false" customHeight="true" outlineLevel="0" collapsed="false">
      <c r="H646" s="113"/>
      <c r="I646" s="113"/>
      <c r="J646" s="113"/>
      <c r="L646" s="113"/>
      <c r="M646" s="113"/>
      <c r="N646" s="113"/>
      <c r="P646" s="113"/>
      <c r="Q646" s="113"/>
      <c r="R646" s="113"/>
      <c r="T646" s="113"/>
      <c r="U646" s="113"/>
      <c r="V646" s="113"/>
    </row>
    <row r="647" customFormat="false" ht="15" hidden="false" customHeight="true" outlineLevel="0" collapsed="false">
      <c r="H647" s="113"/>
      <c r="I647" s="113"/>
      <c r="J647" s="113"/>
      <c r="L647" s="113"/>
      <c r="M647" s="113"/>
      <c r="N647" s="113"/>
      <c r="P647" s="113"/>
      <c r="Q647" s="113"/>
      <c r="R647" s="113"/>
      <c r="T647" s="113"/>
      <c r="U647" s="113"/>
      <c r="V647" s="113"/>
    </row>
    <row r="648" customFormat="false" ht="15" hidden="false" customHeight="true" outlineLevel="0" collapsed="false">
      <c r="H648" s="113"/>
      <c r="I648" s="113"/>
      <c r="J648" s="113"/>
      <c r="L648" s="113"/>
      <c r="M648" s="113"/>
      <c r="N648" s="113"/>
      <c r="P648" s="113"/>
      <c r="Q648" s="113"/>
      <c r="R648" s="113"/>
      <c r="T648" s="113"/>
      <c r="U648" s="113"/>
      <c r="V648" s="113"/>
    </row>
    <row r="649" customFormat="false" ht="15" hidden="false" customHeight="true" outlineLevel="0" collapsed="false">
      <c r="H649" s="113"/>
      <c r="I649" s="113"/>
      <c r="J649" s="113"/>
      <c r="L649" s="113"/>
      <c r="M649" s="113"/>
      <c r="N649" s="113"/>
      <c r="P649" s="113"/>
      <c r="Q649" s="113"/>
      <c r="R649" s="113"/>
      <c r="T649" s="113"/>
      <c r="U649" s="113"/>
      <c r="V649" s="113"/>
    </row>
    <row r="650" customFormat="false" ht="15" hidden="false" customHeight="true" outlineLevel="0" collapsed="false">
      <c r="H650" s="113"/>
      <c r="I650" s="113"/>
      <c r="J650" s="113"/>
      <c r="L650" s="113"/>
      <c r="M650" s="113"/>
      <c r="N650" s="113"/>
      <c r="P650" s="113"/>
      <c r="Q650" s="113"/>
      <c r="R650" s="113"/>
      <c r="T650" s="113"/>
      <c r="U650" s="113"/>
      <c r="V650" s="113"/>
    </row>
    <row r="651" customFormat="false" ht="15" hidden="false" customHeight="true" outlineLevel="0" collapsed="false">
      <c r="H651" s="113"/>
      <c r="I651" s="113"/>
      <c r="J651" s="113"/>
      <c r="L651" s="113"/>
      <c r="M651" s="113"/>
      <c r="N651" s="113"/>
      <c r="P651" s="113"/>
      <c r="Q651" s="113"/>
      <c r="R651" s="113"/>
      <c r="T651" s="113"/>
      <c r="U651" s="113"/>
      <c r="V651" s="113"/>
    </row>
    <row r="652" customFormat="false" ht="15" hidden="false" customHeight="true" outlineLevel="0" collapsed="false">
      <c r="H652" s="113"/>
      <c r="I652" s="113"/>
      <c r="J652" s="113"/>
      <c r="L652" s="113"/>
      <c r="M652" s="113"/>
      <c r="N652" s="113"/>
      <c r="P652" s="113"/>
      <c r="Q652" s="113"/>
      <c r="R652" s="113"/>
      <c r="T652" s="113"/>
      <c r="U652" s="113"/>
      <c r="V652" s="113"/>
    </row>
    <row r="653" customFormat="false" ht="15" hidden="false" customHeight="true" outlineLevel="0" collapsed="false">
      <c r="H653" s="113"/>
      <c r="I653" s="113"/>
      <c r="J653" s="113"/>
      <c r="L653" s="113"/>
      <c r="M653" s="113"/>
      <c r="N653" s="113"/>
      <c r="P653" s="113"/>
      <c r="Q653" s="113"/>
      <c r="R653" s="113"/>
      <c r="T653" s="113"/>
      <c r="U653" s="113"/>
      <c r="V653" s="113"/>
    </row>
    <row r="654" customFormat="false" ht="15" hidden="false" customHeight="true" outlineLevel="0" collapsed="false">
      <c r="H654" s="113"/>
      <c r="I654" s="113"/>
      <c r="J654" s="113"/>
      <c r="L654" s="113"/>
      <c r="M654" s="113"/>
      <c r="N654" s="113"/>
      <c r="P654" s="113"/>
      <c r="Q654" s="113"/>
      <c r="R654" s="113"/>
      <c r="T654" s="113"/>
      <c r="U654" s="113"/>
      <c r="V654" s="113"/>
    </row>
    <row r="655" customFormat="false" ht="15" hidden="false" customHeight="true" outlineLevel="0" collapsed="false">
      <c r="H655" s="113"/>
      <c r="I655" s="113"/>
      <c r="J655" s="113"/>
      <c r="L655" s="113"/>
      <c r="M655" s="113"/>
      <c r="N655" s="113"/>
      <c r="P655" s="113"/>
      <c r="Q655" s="113"/>
      <c r="R655" s="113"/>
      <c r="T655" s="113"/>
      <c r="U655" s="113"/>
      <c r="V655" s="113"/>
    </row>
    <row r="656" customFormat="false" ht="15" hidden="false" customHeight="true" outlineLevel="0" collapsed="false">
      <c r="H656" s="113"/>
      <c r="I656" s="113"/>
      <c r="J656" s="113"/>
      <c r="L656" s="113"/>
      <c r="M656" s="113"/>
      <c r="N656" s="113"/>
      <c r="P656" s="113"/>
      <c r="Q656" s="113"/>
      <c r="R656" s="113"/>
      <c r="T656" s="113"/>
      <c r="U656" s="113"/>
      <c r="V656" s="113"/>
    </row>
    <row r="657" customFormat="false" ht="15" hidden="false" customHeight="true" outlineLevel="0" collapsed="false">
      <c r="H657" s="113"/>
      <c r="I657" s="113"/>
      <c r="J657" s="113"/>
      <c r="L657" s="113"/>
      <c r="M657" s="113"/>
      <c r="N657" s="113"/>
      <c r="P657" s="113"/>
      <c r="Q657" s="113"/>
      <c r="R657" s="113"/>
      <c r="T657" s="113"/>
      <c r="U657" s="113"/>
      <c r="V657" s="113"/>
    </row>
    <row r="658" customFormat="false" ht="15" hidden="false" customHeight="true" outlineLevel="0" collapsed="false">
      <c r="H658" s="113"/>
      <c r="I658" s="113"/>
      <c r="J658" s="113"/>
      <c r="L658" s="113"/>
      <c r="M658" s="113"/>
      <c r="N658" s="113"/>
      <c r="P658" s="113"/>
      <c r="Q658" s="113"/>
      <c r="R658" s="113"/>
      <c r="T658" s="113"/>
      <c r="U658" s="113"/>
      <c r="V658" s="113"/>
    </row>
    <row r="659" customFormat="false" ht="15" hidden="false" customHeight="true" outlineLevel="0" collapsed="false">
      <c r="H659" s="113"/>
      <c r="I659" s="113"/>
      <c r="J659" s="113"/>
      <c r="L659" s="113"/>
      <c r="M659" s="113"/>
      <c r="N659" s="113"/>
      <c r="P659" s="113"/>
      <c r="Q659" s="113"/>
      <c r="R659" s="113"/>
      <c r="T659" s="113"/>
      <c r="U659" s="113"/>
      <c r="V659" s="113"/>
    </row>
    <row r="660" customFormat="false" ht="15" hidden="false" customHeight="true" outlineLevel="0" collapsed="false">
      <c r="H660" s="113"/>
      <c r="I660" s="113"/>
      <c r="J660" s="113"/>
      <c r="L660" s="113"/>
      <c r="M660" s="113"/>
      <c r="N660" s="113"/>
      <c r="P660" s="113"/>
      <c r="Q660" s="113"/>
      <c r="R660" s="113"/>
      <c r="T660" s="113"/>
      <c r="U660" s="113"/>
      <c r="V660" s="113"/>
    </row>
    <row r="661" customFormat="false" ht="15" hidden="false" customHeight="true" outlineLevel="0" collapsed="false">
      <c r="H661" s="113"/>
      <c r="I661" s="113"/>
      <c r="J661" s="113"/>
      <c r="L661" s="113"/>
      <c r="M661" s="113"/>
      <c r="N661" s="113"/>
      <c r="P661" s="113"/>
      <c r="Q661" s="113"/>
      <c r="R661" s="113"/>
      <c r="T661" s="113"/>
      <c r="U661" s="113"/>
      <c r="V661" s="113"/>
    </row>
    <row r="662" customFormat="false" ht="15" hidden="false" customHeight="true" outlineLevel="0" collapsed="false">
      <c r="H662" s="113"/>
      <c r="I662" s="113"/>
      <c r="J662" s="113"/>
      <c r="L662" s="113"/>
      <c r="M662" s="113"/>
      <c r="N662" s="113"/>
      <c r="P662" s="113"/>
      <c r="Q662" s="113"/>
      <c r="R662" s="113"/>
      <c r="T662" s="113"/>
      <c r="U662" s="113"/>
      <c r="V662" s="113"/>
    </row>
    <row r="663" customFormat="false" ht="15" hidden="false" customHeight="true" outlineLevel="0" collapsed="false">
      <c r="H663" s="113"/>
      <c r="I663" s="113"/>
      <c r="J663" s="113"/>
      <c r="L663" s="113"/>
      <c r="M663" s="113"/>
      <c r="N663" s="113"/>
      <c r="P663" s="113"/>
      <c r="Q663" s="113"/>
      <c r="R663" s="113"/>
      <c r="T663" s="113"/>
      <c r="U663" s="113"/>
      <c r="V663" s="113"/>
    </row>
    <row r="664" customFormat="false" ht="15" hidden="false" customHeight="true" outlineLevel="0" collapsed="false">
      <c r="H664" s="113"/>
      <c r="I664" s="113"/>
      <c r="J664" s="113"/>
      <c r="L664" s="113"/>
      <c r="M664" s="113"/>
      <c r="N664" s="113"/>
      <c r="P664" s="113"/>
      <c r="Q664" s="113"/>
      <c r="R664" s="113"/>
      <c r="T664" s="113"/>
      <c r="U664" s="113"/>
      <c r="V664" s="113"/>
    </row>
    <row r="665" customFormat="false" ht="15" hidden="false" customHeight="true" outlineLevel="0" collapsed="false">
      <c r="H665" s="113"/>
      <c r="I665" s="113"/>
      <c r="J665" s="113"/>
      <c r="L665" s="113"/>
      <c r="M665" s="113"/>
      <c r="N665" s="113"/>
      <c r="P665" s="113"/>
      <c r="Q665" s="113"/>
      <c r="R665" s="113"/>
      <c r="T665" s="113"/>
      <c r="U665" s="113"/>
      <c r="V665" s="113"/>
    </row>
    <row r="666" customFormat="false" ht="15" hidden="false" customHeight="true" outlineLevel="0" collapsed="false">
      <c r="H666" s="113"/>
      <c r="I666" s="113"/>
      <c r="J666" s="113"/>
      <c r="L666" s="113"/>
      <c r="M666" s="113"/>
      <c r="N666" s="113"/>
      <c r="P666" s="113"/>
      <c r="Q666" s="113"/>
      <c r="R666" s="113"/>
      <c r="T666" s="113"/>
      <c r="U666" s="113"/>
      <c r="V666" s="113"/>
    </row>
    <row r="667" customFormat="false" ht="15" hidden="false" customHeight="true" outlineLevel="0" collapsed="false">
      <c r="H667" s="113"/>
      <c r="I667" s="113"/>
      <c r="J667" s="113"/>
      <c r="L667" s="113"/>
      <c r="M667" s="113"/>
      <c r="N667" s="113"/>
      <c r="P667" s="113"/>
      <c r="Q667" s="113"/>
      <c r="R667" s="113"/>
      <c r="T667" s="113"/>
      <c r="U667" s="113"/>
      <c r="V667" s="113"/>
    </row>
    <row r="668" customFormat="false" ht="15" hidden="false" customHeight="true" outlineLevel="0" collapsed="false">
      <c r="H668" s="113"/>
      <c r="I668" s="113"/>
      <c r="J668" s="113"/>
      <c r="L668" s="113"/>
      <c r="M668" s="113"/>
      <c r="N668" s="113"/>
      <c r="P668" s="113"/>
      <c r="Q668" s="113"/>
      <c r="R668" s="113"/>
      <c r="T668" s="113"/>
      <c r="U668" s="113"/>
      <c r="V668" s="113"/>
    </row>
    <row r="669" customFormat="false" ht="15" hidden="false" customHeight="true" outlineLevel="0" collapsed="false">
      <c r="H669" s="113"/>
      <c r="I669" s="113"/>
      <c r="J669" s="113"/>
      <c r="L669" s="113"/>
      <c r="M669" s="113"/>
      <c r="N669" s="113"/>
      <c r="P669" s="113"/>
      <c r="Q669" s="113"/>
      <c r="R669" s="113"/>
      <c r="T669" s="113"/>
      <c r="U669" s="113"/>
      <c r="V669" s="113"/>
    </row>
    <row r="670" customFormat="false" ht="15" hidden="false" customHeight="true" outlineLevel="0" collapsed="false">
      <c r="H670" s="113"/>
      <c r="I670" s="113"/>
      <c r="J670" s="113"/>
      <c r="L670" s="113"/>
      <c r="M670" s="113"/>
      <c r="N670" s="113"/>
      <c r="P670" s="113"/>
      <c r="Q670" s="113"/>
      <c r="R670" s="113"/>
      <c r="T670" s="113"/>
      <c r="U670" s="113"/>
      <c r="V670" s="113"/>
    </row>
    <row r="671" customFormat="false" ht="15" hidden="false" customHeight="true" outlineLevel="0" collapsed="false">
      <c r="H671" s="113"/>
      <c r="I671" s="113"/>
      <c r="J671" s="113"/>
      <c r="L671" s="113"/>
      <c r="M671" s="113"/>
      <c r="N671" s="113"/>
      <c r="P671" s="113"/>
      <c r="Q671" s="113"/>
      <c r="R671" s="113"/>
      <c r="T671" s="113"/>
      <c r="U671" s="113"/>
      <c r="V671" s="113"/>
    </row>
    <row r="672" customFormat="false" ht="15" hidden="false" customHeight="true" outlineLevel="0" collapsed="false">
      <c r="H672" s="113"/>
      <c r="I672" s="113"/>
      <c r="J672" s="113"/>
      <c r="L672" s="113"/>
      <c r="M672" s="113"/>
      <c r="N672" s="113"/>
      <c r="P672" s="113"/>
      <c r="Q672" s="113"/>
      <c r="R672" s="113"/>
      <c r="T672" s="113"/>
      <c r="U672" s="113"/>
      <c r="V672" s="113"/>
    </row>
    <row r="673" customFormat="false" ht="15" hidden="false" customHeight="true" outlineLevel="0" collapsed="false">
      <c r="H673" s="113"/>
      <c r="I673" s="113"/>
      <c r="J673" s="113"/>
      <c r="L673" s="113"/>
      <c r="M673" s="113"/>
      <c r="N673" s="113"/>
      <c r="P673" s="113"/>
      <c r="Q673" s="113"/>
      <c r="R673" s="113"/>
      <c r="T673" s="113"/>
      <c r="U673" s="113"/>
      <c r="V673" s="113"/>
    </row>
    <row r="674" customFormat="false" ht="15" hidden="false" customHeight="true" outlineLevel="0" collapsed="false">
      <c r="H674" s="113"/>
      <c r="I674" s="113"/>
      <c r="J674" s="113"/>
      <c r="L674" s="113"/>
      <c r="M674" s="113"/>
      <c r="N674" s="113"/>
      <c r="P674" s="113"/>
      <c r="Q674" s="113"/>
      <c r="R674" s="113"/>
      <c r="T674" s="113"/>
      <c r="U674" s="113"/>
      <c r="V674" s="113"/>
    </row>
    <row r="675" customFormat="false" ht="15" hidden="false" customHeight="true" outlineLevel="0" collapsed="false">
      <c r="H675" s="113"/>
      <c r="I675" s="113"/>
      <c r="J675" s="113"/>
      <c r="L675" s="113"/>
      <c r="M675" s="113"/>
      <c r="N675" s="113"/>
      <c r="P675" s="113"/>
      <c r="Q675" s="113"/>
      <c r="R675" s="113"/>
      <c r="T675" s="113"/>
      <c r="U675" s="113"/>
      <c r="V675" s="113"/>
    </row>
    <row r="676" customFormat="false" ht="15" hidden="false" customHeight="true" outlineLevel="0" collapsed="false">
      <c r="H676" s="113"/>
      <c r="I676" s="113"/>
      <c r="J676" s="113"/>
      <c r="L676" s="113"/>
      <c r="M676" s="113"/>
      <c r="N676" s="113"/>
      <c r="P676" s="113"/>
      <c r="Q676" s="113"/>
      <c r="R676" s="113"/>
      <c r="T676" s="113"/>
      <c r="U676" s="113"/>
      <c r="V676" s="113"/>
    </row>
    <row r="677" customFormat="false" ht="15" hidden="false" customHeight="true" outlineLevel="0" collapsed="false">
      <c r="H677" s="113"/>
      <c r="I677" s="113"/>
      <c r="J677" s="113"/>
      <c r="L677" s="113"/>
      <c r="M677" s="113"/>
      <c r="N677" s="113"/>
      <c r="P677" s="113"/>
      <c r="Q677" s="113"/>
      <c r="R677" s="113"/>
      <c r="T677" s="113"/>
      <c r="U677" s="113"/>
      <c r="V677" s="113"/>
    </row>
    <row r="678" customFormat="false" ht="15" hidden="false" customHeight="true" outlineLevel="0" collapsed="false">
      <c r="H678" s="113"/>
      <c r="I678" s="113"/>
      <c r="J678" s="113"/>
      <c r="L678" s="113"/>
      <c r="M678" s="113"/>
      <c r="N678" s="113"/>
      <c r="P678" s="113"/>
      <c r="Q678" s="113"/>
      <c r="R678" s="113"/>
      <c r="T678" s="113"/>
      <c r="U678" s="113"/>
      <c r="V678" s="113"/>
    </row>
    <row r="679" customFormat="false" ht="15" hidden="false" customHeight="true" outlineLevel="0" collapsed="false">
      <c r="H679" s="113"/>
      <c r="I679" s="113"/>
      <c r="J679" s="113"/>
      <c r="L679" s="113"/>
      <c r="M679" s="113"/>
      <c r="N679" s="113"/>
      <c r="P679" s="113"/>
      <c r="Q679" s="113"/>
      <c r="R679" s="113"/>
      <c r="T679" s="113"/>
      <c r="U679" s="113"/>
      <c r="V679" s="113"/>
    </row>
    <row r="680" customFormat="false" ht="15" hidden="false" customHeight="true" outlineLevel="0" collapsed="false">
      <c r="H680" s="113"/>
      <c r="I680" s="113"/>
      <c r="J680" s="113"/>
      <c r="L680" s="113"/>
      <c r="M680" s="113"/>
      <c r="N680" s="113"/>
      <c r="P680" s="113"/>
      <c r="Q680" s="113"/>
      <c r="R680" s="113"/>
      <c r="T680" s="113"/>
      <c r="U680" s="113"/>
      <c r="V680" s="113"/>
    </row>
    <row r="681" customFormat="false" ht="15" hidden="false" customHeight="true" outlineLevel="0" collapsed="false">
      <c r="H681" s="113"/>
      <c r="I681" s="113"/>
      <c r="J681" s="113"/>
      <c r="L681" s="113"/>
      <c r="M681" s="113"/>
      <c r="N681" s="113"/>
      <c r="P681" s="113"/>
      <c r="Q681" s="113"/>
      <c r="R681" s="113"/>
      <c r="T681" s="113"/>
      <c r="U681" s="113"/>
      <c r="V681" s="113"/>
    </row>
    <row r="682" customFormat="false" ht="15" hidden="false" customHeight="true" outlineLevel="0" collapsed="false">
      <c r="H682" s="113"/>
      <c r="I682" s="113"/>
      <c r="J682" s="113"/>
      <c r="L682" s="113"/>
      <c r="M682" s="113"/>
      <c r="N682" s="113"/>
      <c r="P682" s="113"/>
      <c r="Q682" s="113"/>
      <c r="R682" s="113"/>
      <c r="T682" s="113"/>
      <c r="U682" s="113"/>
      <c r="V682" s="113"/>
    </row>
    <row r="683" customFormat="false" ht="15" hidden="false" customHeight="true" outlineLevel="0" collapsed="false">
      <c r="H683" s="113"/>
      <c r="I683" s="113"/>
      <c r="J683" s="113"/>
      <c r="L683" s="113"/>
      <c r="M683" s="113"/>
      <c r="N683" s="113"/>
      <c r="P683" s="113"/>
      <c r="Q683" s="113"/>
      <c r="R683" s="113"/>
      <c r="T683" s="113"/>
      <c r="U683" s="113"/>
      <c r="V683" s="113"/>
    </row>
    <row r="684" customFormat="false" ht="15" hidden="false" customHeight="true" outlineLevel="0" collapsed="false">
      <c r="H684" s="113"/>
      <c r="I684" s="113"/>
      <c r="J684" s="113"/>
      <c r="L684" s="113"/>
      <c r="M684" s="113"/>
      <c r="N684" s="113"/>
      <c r="P684" s="113"/>
      <c r="Q684" s="113"/>
      <c r="R684" s="113"/>
      <c r="T684" s="113"/>
      <c r="U684" s="113"/>
      <c r="V684" s="113"/>
    </row>
    <row r="685" customFormat="false" ht="15" hidden="false" customHeight="true" outlineLevel="0" collapsed="false">
      <c r="H685" s="113"/>
      <c r="I685" s="113"/>
      <c r="J685" s="113"/>
      <c r="L685" s="113"/>
      <c r="M685" s="113"/>
      <c r="N685" s="113"/>
      <c r="P685" s="113"/>
      <c r="Q685" s="113"/>
      <c r="R685" s="113"/>
      <c r="T685" s="113"/>
      <c r="U685" s="113"/>
      <c r="V685" s="113"/>
    </row>
    <row r="686" customFormat="false" ht="15" hidden="false" customHeight="true" outlineLevel="0" collapsed="false">
      <c r="H686" s="113"/>
      <c r="I686" s="113"/>
      <c r="J686" s="113"/>
      <c r="L686" s="113"/>
      <c r="M686" s="113"/>
      <c r="N686" s="113"/>
      <c r="P686" s="113"/>
      <c r="Q686" s="113"/>
      <c r="R686" s="113"/>
      <c r="T686" s="113"/>
      <c r="U686" s="113"/>
      <c r="V686" s="113"/>
    </row>
    <row r="687" customFormat="false" ht="15" hidden="false" customHeight="true" outlineLevel="0" collapsed="false">
      <c r="H687" s="113"/>
      <c r="I687" s="113"/>
      <c r="J687" s="113"/>
      <c r="L687" s="113"/>
      <c r="M687" s="113"/>
      <c r="N687" s="113"/>
      <c r="P687" s="113"/>
      <c r="Q687" s="113"/>
      <c r="R687" s="113"/>
      <c r="T687" s="113"/>
      <c r="U687" s="113"/>
      <c r="V687" s="113"/>
    </row>
    <row r="688" customFormat="false" ht="15" hidden="false" customHeight="true" outlineLevel="0" collapsed="false">
      <c r="H688" s="113"/>
      <c r="I688" s="113"/>
      <c r="J688" s="113"/>
      <c r="L688" s="113"/>
      <c r="M688" s="113"/>
      <c r="N688" s="113"/>
      <c r="P688" s="113"/>
      <c r="Q688" s="113"/>
      <c r="R688" s="113"/>
      <c r="T688" s="113"/>
      <c r="U688" s="113"/>
      <c r="V688" s="113"/>
    </row>
    <row r="689" customFormat="false" ht="15" hidden="false" customHeight="true" outlineLevel="0" collapsed="false">
      <c r="H689" s="113"/>
      <c r="I689" s="113"/>
      <c r="J689" s="113"/>
      <c r="L689" s="113"/>
      <c r="M689" s="113"/>
      <c r="N689" s="113"/>
      <c r="P689" s="113"/>
      <c r="Q689" s="113"/>
      <c r="R689" s="113"/>
      <c r="T689" s="113"/>
      <c r="U689" s="113"/>
      <c r="V689" s="113"/>
    </row>
    <row r="690" customFormat="false" ht="15" hidden="false" customHeight="true" outlineLevel="0" collapsed="false">
      <c r="H690" s="113"/>
      <c r="I690" s="113"/>
      <c r="J690" s="113"/>
      <c r="L690" s="113"/>
      <c r="M690" s="113"/>
      <c r="N690" s="113"/>
      <c r="P690" s="113"/>
      <c r="Q690" s="113"/>
      <c r="R690" s="113"/>
      <c r="T690" s="113"/>
      <c r="U690" s="113"/>
      <c r="V690" s="113"/>
    </row>
    <row r="691" customFormat="false" ht="15" hidden="false" customHeight="true" outlineLevel="0" collapsed="false">
      <c r="H691" s="113"/>
      <c r="I691" s="113"/>
      <c r="J691" s="113"/>
      <c r="L691" s="113"/>
      <c r="M691" s="113"/>
      <c r="N691" s="113"/>
      <c r="P691" s="113"/>
      <c r="Q691" s="113"/>
      <c r="R691" s="113"/>
      <c r="T691" s="113"/>
      <c r="U691" s="113"/>
      <c r="V691" s="113"/>
    </row>
    <row r="692" customFormat="false" ht="15" hidden="false" customHeight="true" outlineLevel="0" collapsed="false">
      <c r="H692" s="113"/>
      <c r="I692" s="113"/>
      <c r="J692" s="113"/>
      <c r="L692" s="113"/>
      <c r="M692" s="113"/>
      <c r="N692" s="113"/>
      <c r="P692" s="113"/>
      <c r="Q692" s="113"/>
      <c r="R692" s="113"/>
      <c r="T692" s="113"/>
      <c r="U692" s="113"/>
      <c r="V692" s="113"/>
    </row>
    <row r="693" customFormat="false" ht="15" hidden="false" customHeight="true" outlineLevel="0" collapsed="false">
      <c r="H693" s="113"/>
      <c r="I693" s="113"/>
      <c r="J693" s="113"/>
      <c r="L693" s="113"/>
      <c r="M693" s="113"/>
      <c r="N693" s="113"/>
      <c r="P693" s="113"/>
      <c r="Q693" s="113"/>
      <c r="R693" s="113"/>
      <c r="T693" s="113"/>
      <c r="U693" s="113"/>
      <c r="V693" s="113"/>
    </row>
    <row r="694" customFormat="false" ht="15" hidden="false" customHeight="true" outlineLevel="0" collapsed="false">
      <c r="H694" s="113"/>
      <c r="I694" s="113"/>
      <c r="J694" s="113"/>
      <c r="L694" s="113"/>
      <c r="M694" s="113"/>
      <c r="N694" s="113"/>
      <c r="P694" s="113"/>
      <c r="Q694" s="113"/>
      <c r="R694" s="113"/>
      <c r="T694" s="113"/>
      <c r="U694" s="113"/>
      <c r="V694" s="113"/>
    </row>
    <row r="695" customFormat="false" ht="15" hidden="false" customHeight="true" outlineLevel="0" collapsed="false">
      <c r="H695" s="113"/>
      <c r="I695" s="113"/>
      <c r="J695" s="113"/>
      <c r="L695" s="113"/>
      <c r="M695" s="113"/>
      <c r="N695" s="113"/>
      <c r="P695" s="113"/>
      <c r="Q695" s="113"/>
      <c r="R695" s="113"/>
      <c r="T695" s="113"/>
      <c r="U695" s="113"/>
      <c r="V695" s="113"/>
    </row>
    <row r="696" customFormat="false" ht="15" hidden="false" customHeight="true" outlineLevel="0" collapsed="false">
      <c r="H696" s="113"/>
      <c r="I696" s="113"/>
      <c r="J696" s="113"/>
      <c r="L696" s="113"/>
      <c r="M696" s="113"/>
      <c r="N696" s="113"/>
      <c r="P696" s="113"/>
      <c r="Q696" s="113"/>
      <c r="R696" s="113"/>
      <c r="T696" s="113"/>
      <c r="U696" s="113"/>
      <c r="V696" s="113"/>
    </row>
    <row r="697" customFormat="false" ht="15" hidden="false" customHeight="true" outlineLevel="0" collapsed="false">
      <c r="H697" s="113"/>
      <c r="I697" s="113"/>
      <c r="J697" s="113"/>
      <c r="L697" s="113"/>
      <c r="M697" s="113"/>
      <c r="N697" s="113"/>
      <c r="P697" s="113"/>
      <c r="Q697" s="113"/>
      <c r="R697" s="113"/>
      <c r="T697" s="113"/>
      <c r="U697" s="113"/>
      <c r="V697" s="113"/>
    </row>
    <row r="698" customFormat="false" ht="15" hidden="false" customHeight="true" outlineLevel="0" collapsed="false">
      <c r="H698" s="113"/>
      <c r="I698" s="113"/>
      <c r="J698" s="113"/>
      <c r="L698" s="113"/>
      <c r="M698" s="113"/>
      <c r="N698" s="113"/>
      <c r="P698" s="113"/>
      <c r="Q698" s="113"/>
      <c r="R698" s="113"/>
      <c r="T698" s="113"/>
      <c r="U698" s="113"/>
      <c r="V698" s="113"/>
    </row>
    <row r="699" customFormat="false" ht="15" hidden="false" customHeight="true" outlineLevel="0" collapsed="false">
      <c r="H699" s="113"/>
      <c r="I699" s="113"/>
      <c r="J699" s="113"/>
      <c r="L699" s="113"/>
      <c r="M699" s="113"/>
      <c r="N699" s="113"/>
      <c r="P699" s="113"/>
      <c r="Q699" s="113"/>
      <c r="R699" s="113"/>
      <c r="T699" s="113"/>
      <c r="U699" s="113"/>
      <c r="V699" s="113"/>
    </row>
    <row r="700" customFormat="false" ht="15" hidden="false" customHeight="true" outlineLevel="0" collapsed="false">
      <c r="H700" s="113"/>
      <c r="I700" s="113"/>
      <c r="J700" s="113"/>
      <c r="L700" s="113"/>
      <c r="M700" s="113"/>
      <c r="N700" s="113"/>
      <c r="P700" s="113"/>
      <c r="Q700" s="113"/>
      <c r="R700" s="113"/>
      <c r="T700" s="113"/>
      <c r="U700" s="113"/>
      <c r="V700" s="113"/>
    </row>
    <row r="701" customFormat="false" ht="15" hidden="false" customHeight="true" outlineLevel="0" collapsed="false">
      <c r="H701" s="113"/>
      <c r="I701" s="113"/>
      <c r="J701" s="113"/>
      <c r="L701" s="113"/>
      <c r="M701" s="113"/>
      <c r="N701" s="113"/>
      <c r="P701" s="113"/>
      <c r="Q701" s="113"/>
      <c r="R701" s="113"/>
      <c r="T701" s="113"/>
      <c r="U701" s="113"/>
      <c r="V701" s="113"/>
    </row>
    <row r="702" customFormat="false" ht="15" hidden="false" customHeight="true" outlineLevel="0" collapsed="false">
      <c r="H702" s="113"/>
      <c r="I702" s="113"/>
      <c r="J702" s="113"/>
      <c r="L702" s="113"/>
      <c r="M702" s="113"/>
      <c r="N702" s="113"/>
      <c r="P702" s="113"/>
      <c r="Q702" s="113"/>
      <c r="R702" s="113"/>
      <c r="T702" s="113"/>
      <c r="U702" s="113"/>
      <c r="V702" s="113"/>
    </row>
    <row r="703" customFormat="false" ht="15" hidden="false" customHeight="true" outlineLevel="0" collapsed="false"/>
  </sheetData>
  <mergeCells count="62">
    <mergeCell ref="A7:Y7"/>
    <mergeCell ref="B9:I9"/>
    <mergeCell ref="K9:R9"/>
    <mergeCell ref="B10:C10"/>
    <mergeCell ref="D10:E10"/>
    <mergeCell ref="F10:G10"/>
    <mergeCell ref="H10:I10"/>
    <mergeCell ref="K10:L10"/>
    <mergeCell ref="M10:N10"/>
    <mergeCell ref="O10:P10"/>
    <mergeCell ref="Q10:R10"/>
    <mergeCell ref="B11:C11"/>
    <mergeCell ref="D11:E11"/>
    <mergeCell ref="F11:G11"/>
    <mergeCell ref="H11:I11"/>
    <mergeCell ref="K11:L11"/>
    <mergeCell ref="M11:N11"/>
    <mergeCell ref="O11:P11"/>
    <mergeCell ref="Q11:R11"/>
    <mergeCell ref="B12:C13"/>
    <mergeCell ref="D12:E13"/>
    <mergeCell ref="F12:G13"/>
    <mergeCell ref="H12:I13"/>
    <mergeCell ref="K12:L13"/>
    <mergeCell ref="M12:N13"/>
    <mergeCell ref="O12:P13"/>
    <mergeCell ref="Q12:R13"/>
    <mergeCell ref="B14:C14"/>
    <mergeCell ref="D14:E14"/>
    <mergeCell ref="F14:G14"/>
    <mergeCell ref="H14:I14"/>
    <mergeCell ref="K14:L14"/>
    <mergeCell ref="M14:N14"/>
    <mergeCell ref="O14:P14"/>
    <mergeCell ref="Q14:R14"/>
    <mergeCell ref="B16:R16"/>
    <mergeCell ref="B17:D17"/>
    <mergeCell ref="E17:G17"/>
    <mergeCell ref="I17:K17"/>
    <mergeCell ref="M17:O17"/>
    <mergeCell ref="Q17:S17"/>
    <mergeCell ref="B18:D18"/>
    <mergeCell ref="E18:G18"/>
    <mergeCell ref="I18:K18"/>
    <mergeCell ref="M18:O18"/>
    <mergeCell ref="Q18:S18"/>
    <mergeCell ref="B19:D20"/>
    <mergeCell ref="E19:G20"/>
    <mergeCell ref="I19:K20"/>
    <mergeCell ref="M19:O20"/>
    <mergeCell ref="Q19:S20"/>
    <mergeCell ref="B21:D21"/>
    <mergeCell ref="E21:G21"/>
    <mergeCell ref="I21:K21"/>
    <mergeCell ref="M21:O21"/>
    <mergeCell ref="Q21:S21"/>
    <mergeCell ref="B22:D22"/>
    <mergeCell ref="E22:G22"/>
    <mergeCell ref="I22:K22"/>
    <mergeCell ref="M22:O22"/>
    <mergeCell ref="Q22:S22"/>
    <mergeCell ref="B23:S23"/>
  </mergeCells>
  <conditionalFormatting sqref="M48">
    <cfRule type="expression" priority="2" aboveAverage="0" equalAverage="0" bottom="0" percent="0" rank="0" text="" dxfId="0">
      <formula>AND(ISNUMBER(M48),ISNUMBER($G48),OR(AND($D48="P",M48&gt;=$G48),AND($D48="N",M48&lt;=$G48)))</formula>
    </cfRule>
    <cfRule type="expression" priority="3" aboveAverage="0" equalAverage="0" bottom="0" percent="0" rank="0" text="" dxfId="1">
      <formula>AND(ISNUMBER(M48),ISNUMBER($G48),OR(AND($D48="P",M48&lt;$G48),AND($D48="N",M48&gt;$G48)))</formula>
    </cfRule>
  </conditionalFormatting>
  <conditionalFormatting sqref="L48">
    <cfRule type="expression" priority="4" aboveAverage="0" equalAverage="0" bottom="0" percent="0" rank="0" text="" dxfId="0">
      <formula>AND(ISNUMBER(L48),ISNUMBER($G48),OR(AND($D48="P",L48&gt;=$G48),AND($D48="N",L48&lt;=$G48)))</formula>
    </cfRule>
    <cfRule type="expression" priority="5" aboveAverage="0" equalAverage="0" bottom="0" percent="0" rank="0" text="" dxfId="1">
      <formula>AND(ISNUMBER(L48),ISNUMBER($G48),OR(AND($D48="P",L48&lt;$G48),AND($D48="N",L48&gt;$G48)))</formula>
    </cfRule>
  </conditionalFormatting>
  <conditionalFormatting sqref="X36:X110">
    <cfRule type="expression" priority="6" aboveAverage="0" equalAverage="0" bottom="0" percent="0" rank="0" text="" dxfId="0">
      <formula>$Y36="✓ On Target"</formula>
    </cfRule>
    <cfRule type="expression" priority="7" aboveAverage="0" equalAverage="0" bottom="0" percent="0" rank="0" text="" dxfId="1">
      <formula>$Y36="✗ Off Target"</formula>
    </cfRule>
    <cfRule type="expression" priority="8" aboveAverage="0" equalAverage="0" bottom="0" percent="0" rank="0" text="" dxfId="2">
      <formula>$Y36="— No Data"</formula>
    </cfRule>
  </conditionalFormatting>
  <conditionalFormatting sqref="Y36:Y110">
    <cfRule type="expression" priority="9" aboveAverage="0" equalAverage="0" bottom="0" percent="0" rank="0" text="" dxfId="0">
      <formula>Y36="✓ On Target"</formula>
    </cfRule>
    <cfRule type="expression" priority="10" aboveAverage="0" equalAverage="0" bottom="0" percent="0" rank="0" text="" dxfId="1">
      <formula>Y36="✗ Off Target"</formula>
    </cfRule>
    <cfRule type="expression" priority="11" aboveAverage="0" equalAverage="0" bottom="0" percent="0" rank="0" text="" dxfId="2">
      <formula>Y36="— No Data"</formula>
    </cfRule>
  </conditionalFormatting>
  <conditionalFormatting sqref="H36:W47 H48:K48 H49:W110 N48:W48">
    <cfRule type="expression" priority="12" aboveAverage="0" equalAverage="0" bottom="0" percent="0" rank="0" text="" dxfId="0">
      <formula>AND(ISNUMBER(H36),ISNUMBER($G36),OR(AND($D36="P",H36&gt;=$G36),AND($D36="N",H36&lt;=$G36)))</formula>
    </cfRule>
    <cfRule type="expression" priority="13" aboveAverage="0" equalAverage="0" bottom="0" percent="0" rank="0" text="" dxfId="1">
      <formula>AND(ISNUMBER(H36),ISNUMBER($G36),OR(AND($D36="P",H36&lt;$G36),AND($D36="N",H36&gt;$G36)))</formula>
    </cfRule>
  </conditionalFormatting>
  <conditionalFormatting sqref="Y36:Y107">
    <cfRule type="expression" priority="14" aboveAverage="0" equalAverage="0" bottom="0" percent="0" rank="0" text="" dxfId="3">
      <formula>Y36="⊘ Non Target"</formula>
    </cfRule>
  </conditionalFormatting>
  <conditionalFormatting sqref="X36:X107">
    <cfRule type="expression" priority="15" aboveAverage="0" equalAverage="0" bottom="0" percent="0" rank="0" text="" dxfId="3">
      <formula>$Y36="⊘ Non Target"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09"/>
  <sheetViews>
    <sheetView showFormulas="false" showGridLines="fals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J63" activeCellId="0" sqref="J6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8"/>
    <col collapsed="false" customWidth="true" hidden="false" outlineLevel="0" max="3" min="3" style="1" width="13"/>
    <col collapsed="false" customWidth="true" hidden="true" outlineLevel="0" max="4" min="4" style="1" width="3"/>
    <col collapsed="false" customWidth="true" hidden="false" outlineLevel="0" max="5" min="5" style="1" width="9"/>
    <col collapsed="false" customWidth="true" hidden="false" outlineLevel="0" max="7" min="6" style="1" width="10"/>
    <col collapsed="false" customWidth="true" hidden="false" outlineLevel="0" max="10" min="8" style="1" width="7"/>
    <col collapsed="false" customWidth="true" hidden="false" outlineLevel="0" max="11" min="11" style="1" width="8"/>
    <col collapsed="false" customWidth="true" hidden="false" outlineLevel="0" max="14" min="12" style="1" width="7"/>
    <col collapsed="false" customWidth="true" hidden="false" outlineLevel="0" max="15" min="15" style="1" width="8"/>
    <col collapsed="false" customWidth="true" hidden="false" outlineLevel="0" max="18" min="16" style="1" width="7"/>
    <col collapsed="false" customWidth="true" hidden="false" outlineLevel="0" max="19" min="19" style="1" width="8"/>
    <col collapsed="false" customWidth="true" hidden="false" outlineLevel="0" max="22" min="20" style="1" width="7"/>
    <col collapsed="false" customWidth="true" hidden="false" outlineLevel="0" max="23" min="23" style="1" width="8"/>
    <col collapsed="false" customWidth="true" hidden="false" outlineLevel="0" max="24" min="24" style="1" width="10"/>
    <col collapsed="false" customWidth="true" hidden="false" outlineLevel="0" max="25" min="25" style="1" width="14"/>
    <col collapsed="false" customWidth="true" hidden="false" outlineLevel="0" max="26" min="26" style="1" width="16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30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30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30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2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21.75" hidden="false" customHeight="true" outlineLevel="0" collapsed="false">
      <c r="A7" s="3" t="s">
        <v>520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9" customFormat="false" ht="24" hidden="false" customHeight="true" outlineLevel="0" collapsed="false">
      <c r="B9" s="159" t="s">
        <v>486</v>
      </c>
      <c r="C9" s="159"/>
      <c r="D9" s="159"/>
      <c r="E9" s="159"/>
      <c r="F9" s="159"/>
      <c r="G9" s="159"/>
      <c r="H9" s="159"/>
      <c r="I9" s="159"/>
      <c r="K9" s="159" t="s">
        <v>487</v>
      </c>
      <c r="L9" s="159"/>
      <c r="M9" s="159"/>
      <c r="N9" s="159"/>
      <c r="O9" s="159"/>
      <c r="P9" s="159"/>
      <c r="Q9" s="159"/>
      <c r="R9" s="159"/>
    </row>
    <row r="10" customFormat="false" ht="6" hidden="false" customHeight="true" outlineLevel="0" collapsed="false">
      <c r="B10" s="4"/>
      <c r="C10" s="4"/>
      <c r="D10" s="5"/>
      <c r="E10" s="5"/>
      <c r="F10" s="6"/>
      <c r="G10" s="6"/>
      <c r="H10" s="7"/>
      <c r="I10" s="7"/>
      <c r="K10" s="4"/>
      <c r="L10" s="4"/>
      <c r="M10" s="5"/>
      <c r="N10" s="5"/>
      <c r="O10" s="6"/>
      <c r="P10" s="6"/>
      <c r="Q10" s="7"/>
      <c r="R10" s="7"/>
    </row>
    <row r="11" customFormat="false" ht="19.5" hidden="false" customHeight="true" outlineLevel="0" collapsed="false">
      <c r="B11" s="9" t="s">
        <v>488</v>
      </c>
      <c r="C11" s="9"/>
      <c r="D11" s="9" t="s">
        <v>489</v>
      </c>
      <c r="E11" s="9"/>
      <c r="F11" s="9" t="s">
        <v>490</v>
      </c>
      <c r="G11" s="9"/>
      <c r="H11" s="9" t="s">
        <v>248</v>
      </c>
      <c r="I11" s="9"/>
      <c r="K11" s="9" t="s">
        <v>488</v>
      </c>
      <c r="L11" s="9"/>
      <c r="M11" s="9" t="s">
        <v>489</v>
      </c>
      <c r="N11" s="9"/>
      <c r="O11" s="9" t="s">
        <v>490</v>
      </c>
      <c r="P11" s="9"/>
      <c r="Q11" s="9" t="s">
        <v>248</v>
      </c>
      <c r="R11" s="9"/>
    </row>
    <row r="12" customFormat="false" ht="24" hidden="false" customHeight="true" outlineLevel="0" collapsed="false">
      <c r="B12" s="160" t="n">
        <v>29</v>
      </c>
      <c r="C12" s="160"/>
      <c r="D12" s="161" t="n">
        <v>17</v>
      </c>
      <c r="E12" s="161"/>
      <c r="F12" s="162" t="n">
        <v>6</v>
      </c>
      <c r="G12" s="162"/>
      <c r="H12" s="163" t="n">
        <v>1</v>
      </c>
      <c r="I12" s="163"/>
      <c r="K12" s="160" t="n">
        <v>48</v>
      </c>
      <c r="L12" s="160"/>
      <c r="M12" s="161" t="n">
        <v>30</v>
      </c>
      <c r="N12" s="161"/>
      <c r="O12" s="162" t="n">
        <v>10</v>
      </c>
      <c r="P12" s="162"/>
      <c r="Q12" s="163" t="n">
        <v>3</v>
      </c>
      <c r="R12" s="163"/>
    </row>
    <row r="13" customFormat="false" ht="24" hidden="false" customHeight="true" outlineLevel="0" collapsed="false">
      <c r="B13" s="160"/>
      <c r="C13" s="160"/>
      <c r="D13" s="161"/>
      <c r="E13" s="161"/>
      <c r="F13" s="162"/>
      <c r="G13" s="162"/>
      <c r="H13" s="163"/>
      <c r="I13" s="163"/>
      <c r="K13" s="160"/>
      <c r="L13" s="160"/>
      <c r="M13" s="161"/>
      <c r="N13" s="161"/>
      <c r="O13" s="162"/>
      <c r="P13" s="162"/>
      <c r="Q13" s="163"/>
      <c r="R13" s="163"/>
    </row>
    <row r="14" customFormat="false" ht="3.75" hidden="false" customHeight="true" outlineLevel="0" collapsed="false">
      <c r="B14" s="18"/>
      <c r="C14" s="18"/>
      <c r="D14" s="18"/>
      <c r="E14" s="18"/>
      <c r="F14" s="18"/>
      <c r="G14" s="18"/>
      <c r="H14" s="18"/>
      <c r="I14" s="18"/>
      <c r="K14" s="18"/>
      <c r="L14" s="18"/>
      <c r="M14" s="18"/>
      <c r="N14" s="18"/>
      <c r="O14" s="18"/>
      <c r="P14" s="18"/>
      <c r="Q14" s="18"/>
      <c r="R14" s="18"/>
    </row>
    <row r="16" customFormat="false" ht="25.5" hidden="false" customHeight="true" outlineLevel="0" collapsed="false">
      <c r="B16" s="164" t="s">
        <v>521</v>
      </c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</row>
    <row r="17" customFormat="false" ht="6" hidden="false" customHeight="true" outlineLevel="0" collapsed="false">
      <c r="B17" s="165"/>
      <c r="C17" s="165"/>
      <c r="D17" s="165"/>
      <c r="E17" s="5"/>
      <c r="F17" s="5"/>
      <c r="G17" s="5"/>
      <c r="I17" s="6"/>
      <c r="J17" s="6"/>
      <c r="K17" s="6"/>
      <c r="M17" s="7"/>
      <c r="N17" s="7"/>
      <c r="O17" s="7"/>
      <c r="Q17" s="8"/>
      <c r="R17" s="8"/>
      <c r="S17" s="8"/>
    </row>
    <row r="18" customFormat="false" ht="21.75" hidden="false" customHeight="true" outlineLevel="0" collapsed="false">
      <c r="B18" s="9" t="s">
        <v>492</v>
      </c>
      <c r="C18" s="9"/>
      <c r="D18" s="9"/>
      <c r="E18" s="9" t="s">
        <v>489</v>
      </c>
      <c r="F18" s="9"/>
      <c r="G18" s="9"/>
      <c r="I18" s="9" t="s">
        <v>490</v>
      </c>
      <c r="J18" s="9"/>
      <c r="K18" s="9"/>
      <c r="M18" s="9" t="s">
        <v>248</v>
      </c>
      <c r="N18" s="9"/>
      <c r="O18" s="9"/>
      <c r="Q18" s="166" t="s">
        <v>5</v>
      </c>
      <c r="R18" s="166"/>
      <c r="S18" s="166"/>
    </row>
    <row r="19" customFormat="false" ht="27.75" hidden="false" customHeight="true" outlineLevel="0" collapsed="false">
      <c r="B19" s="167" t="n">
        <v>78</v>
      </c>
      <c r="C19" s="167"/>
      <c r="D19" s="167"/>
      <c r="E19" s="168" t="n">
        <v>47</v>
      </c>
      <c r="F19" s="168"/>
      <c r="G19" s="168"/>
      <c r="I19" s="169" t="n">
        <v>16</v>
      </c>
      <c r="J19" s="169"/>
      <c r="K19" s="169"/>
      <c r="M19" s="170" t="n">
        <v>5</v>
      </c>
      <c r="N19" s="170"/>
      <c r="O19" s="170"/>
      <c r="Q19" s="171" t="n">
        <v>31</v>
      </c>
      <c r="R19" s="171"/>
      <c r="S19" s="171"/>
    </row>
    <row r="20" customFormat="false" ht="27.75" hidden="false" customHeight="true" outlineLevel="0" collapsed="false">
      <c r="B20" s="167"/>
      <c r="C20" s="167"/>
      <c r="D20" s="167"/>
      <c r="E20" s="168"/>
      <c r="F20" s="168"/>
      <c r="G20" s="168"/>
      <c r="I20" s="169"/>
      <c r="J20" s="169"/>
      <c r="K20" s="169"/>
      <c r="M20" s="170"/>
      <c r="N20" s="170"/>
      <c r="O20" s="170"/>
      <c r="Q20" s="171"/>
      <c r="R20" s="171"/>
      <c r="S20" s="171"/>
    </row>
    <row r="21" customFormat="false" ht="21.75" hidden="false" customHeight="true" outlineLevel="0" collapsed="false">
      <c r="B21" s="15" t="s">
        <v>493</v>
      </c>
      <c r="C21" s="15"/>
      <c r="D21" s="15"/>
      <c r="E21" s="15" t="s">
        <v>507</v>
      </c>
      <c r="F21" s="15"/>
      <c r="G21" s="15"/>
      <c r="I21" s="15" t="s">
        <v>508</v>
      </c>
      <c r="J21" s="15"/>
      <c r="K21" s="15"/>
      <c r="M21" s="15" t="s">
        <v>522</v>
      </c>
      <c r="N21" s="15"/>
      <c r="O21" s="15"/>
      <c r="Q21" s="172" t="s">
        <v>523</v>
      </c>
      <c r="R21" s="172"/>
      <c r="S21" s="172"/>
    </row>
    <row r="22" customFormat="false" ht="3.75" hidden="false" customHeight="true" outlineLevel="0" collapsed="false">
      <c r="B22" s="18"/>
      <c r="C22" s="18"/>
      <c r="D22" s="18"/>
      <c r="E22" s="18"/>
      <c r="F22" s="18"/>
      <c r="G22" s="18"/>
      <c r="I22" s="18"/>
      <c r="J22" s="18"/>
      <c r="K22" s="18"/>
      <c r="M22" s="18"/>
      <c r="N22" s="18"/>
      <c r="O22" s="18"/>
      <c r="Q22" s="18"/>
      <c r="R22" s="18"/>
      <c r="S22" s="18"/>
    </row>
    <row r="23" customFormat="false" ht="24" hidden="false" customHeight="true" outlineLevel="0" collapsed="false">
      <c r="B23" s="47" t="s">
        <v>524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</row>
    <row r="24" customFormat="false" ht="24" hidden="false" customHeight="true" outlineLevel="0" collapsed="false">
      <c r="B24" s="48" t="s">
        <v>23</v>
      </c>
      <c r="C24" s="48" t="s">
        <v>29</v>
      </c>
      <c r="D24" s="48" t="s">
        <v>65</v>
      </c>
      <c r="E24" s="48" t="s">
        <v>66</v>
      </c>
      <c r="F24" s="48" t="s">
        <v>67</v>
      </c>
      <c r="G24" s="48" t="s">
        <v>30</v>
      </c>
    </row>
    <row r="25" customFormat="false" ht="21.75" hidden="false" customHeight="true" outlineLevel="0" collapsed="false">
      <c r="B25" s="55" t="s">
        <v>35</v>
      </c>
      <c r="C25" s="65" t="n">
        <v>17</v>
      </c>
      <c r="D25" s="57" t="n">
        <v>7</v>
      </c>
      <c r="E25" s="58" t="n">
        <v>3</v>
      </c>
      <c r="F25" s="59" t="n">
        <v>2</v>
      </c>
      <c r="G25" s="60" t="n">
        <v>0.7</v>
      </c>
    </row>
    <row r="26" customFormat="false" ht="21.75" hidden="false" customHeight="true" outlineLevel="0" collapsed="false">
      <c r="B26" s="49" t="s">
        <v>34</v>
      </c>
      <c r="C26" s="66" t="n">
        <v>28</v>
      </c>
      <c r="D26" s="51" t="n">
        <v>20</v>
      </c>
      <c r="E26" s="52" t="n">
        <v>6</v>
      </c>
      <c r="F26" s="53" t="n">
        <v>0</v>
      </c>
      <c r="G26" s="54" t="n">
        <v>0.769230769230769</v>
      </c>
    </row>
    <row r="27" customFormat="false" ht="21.75" hidden="false" customHeight="true" outlineLevel="0" collapsed="false">
      <c r="B27" s="55" t="s">
        <v>36</v>
      </c>
      <c r="C27" s="65" t="n">
        <v>28</v>
      </c>
      <c r="D27" s="57" t="n">
        <v>20</v>
      </c>
      <c r="E27" s="58" t="n">
        <v>5</v>
      </c>
      <c r="F27" s="59" t="n">
        <v>2</v>
      </c>
      <c r="G27" s="60" t="n">
        <v>0.8</v>
      </c>
    </row>
    <row r="28" customFormat="false" ht="21.75" hidden="false" customHeight="true" outlineLevel="0" collapsed="false">
      <c r="B28" s="49" t="s">
        <v>39</v>
      </c>
      <c r="C28" s="66" t="n">
        <v>0</v>
      </c>
      <c r="D28" s="51" t="n">
        <v>0</v>
      </c>
      <c r="E28" s="52" t="n">
        <v>0</v>
      </c>
      <c r="F28" s="53" t="n">
        <v>0</v>
      </c>
      <c r="G28" s="54" t="s">
        <v>32</v>
      </c>
    </row>
    <row r="29" customFormat="false" ht="21.75" hidden="false" customHeight="true" outlineLevel="0" collapsed="false">
      <c r="B29" s="55" t="s">
        <v>37</v>
      </c>
      <c r="C29" s="65" t="n">
        <v>4</v>
      </c>
      <c r="D29" s="57" t="n">
        <v>0</v>
      </c>
      <c r="E29" s="58" t="n">
        <v>2</v>
      </c>
      <c r="F29" s="59" t="n">
        <v>1</v>
      </c>
      <c r="G29" s="60" t="n">
        <v>0</v>
      </c>
    </row>
    <row r="30" customFormat="false" ht="25.5" hidden="false" customHeight="true" outlineLevel="0" collapsed="false">
      <c r="B30" s="61" t="s">
        <v>50</v>
      </c>
      <c r="C30" s="63" t="n">
        <v>78</v>
      </c>
      <c r="D30" s="63" t="n">
        <v>47</v>
      </c>
      <c r="E30" s="63" t="n">
        <v>16</v>
      </c>
      <c r="F30" s="63" t="n">
        <v>5</v>
      </c>
      <c r="G30" s="64" t="n">
        <v>0.746031746031746</v>
      </c>
    </row>
    <row r="31" customFormat="false" ht="15.75" hidden="false" customHeight="true" outlineLevel="0" collapsed="false"/>
    <row r="32" customFormat="false" ht="15.75" hidden="false" customHeight="true" outlineLevel="0" collapsed="false"/>
    <row r="35" customFormat="false" ht="25.5" hidden="false" customHeight="true" outlineLevel="0" collapsed="false">
      <c r="A35" s="67" t="s">
        <v>69</v>
      </c>
      <c r="B35" s="67" t="s">
        <v>70</v>
      </c>
      <c r="C35" s="67" t="s">
        <v>71</v>
      </c>
      <c r="D35" s="67" t="s">
        <v>72</v>
      </c>
      <c r="E35" s="67" t="s">
        <v>499</v>
      </c>
      <c r="F35" s="67" t="s">
        <v>500</v>
      </c>
      <c r="G35" s="67" t="s">
        <v>74</v>
      </c>
      <c r="H35" s="67" t="s">
        <v>75</v>
      </c>
      <c r="I35" s="67" t="s">
        <v>76</v>
      </c>
      <c r="J35" s="67" t="s">
        <v>77</v>
      </c>
      <c r="K35" s="173" t="s">
        <v>78</v>
      </c>
      <c r="L35" s="67" t="s">
        <v>79</v>
      </c>
      <c r="M35" s="67" t="s">
        <v>80</v>
      </c>
      <c r="N35" s="67" t="s">
        <v>81</v>
      </c>
      <c r="O35" s="173" t="s">
        <v>82</v>
      </c>
      <c r="P35" s="67" t="s">
        <v>83</v>
      </c>
      <c r="Q35" s="67" t="s">
        <v>84</v>
      </c>
      <c r="R35" s="67" t="s">
        <v>85</v>
      </c>
      <c r="S35" s="173" t="s">
        <v>86</v>
      </c>
      <c r="T35" s="67" t="s">
        <v>87</v>
      </c>
      <c r="U35" s="67" t="s">
        <v>88</v>
      </c>
      <c r="V35" s="67" t="s">
        <v>89</v>
      </c>
      <c r="W35" s="173" t="s">
        <v>90</v>
      </c>
      <c r="X35" s="67" t="s">
        <v>91</v>
      </c>
      <c r="Y35" s="67" t="s">
        <v>92</v>
      </c>
      <c r="Z35" s="68" t="s">
        <v>93</v>
      </c>
    </row>
    <row r="36" customFormat="false" ht="25.5" hidden="false" customHeight="true" outlineLevel="0" collapsed="false">
      <c r="A36" s="69" t="s">
        <v>111</v>
      </c>
      <c r="B36" s="70" t="s">
        <v>112</v>
      </c>
      <c r="C36" s="71" t="s">
        <v>35</v>
      </c>
      <c r="D36" s="71" t="s">
        <v>97</v>
      </c>
      <c r="E36" s="69" t="s">
        <v>501</v>
      </c>
      <c r="F36" s="87" t="n">
        <v>0.017</v>
      </c>
      <c r="G36" s="88" t="n">
        <v>0.0145</v>
      </c>
      <c r="H36" s="89" t="n">
        <v>0.00118906064209275</v>
      </c>
      <c r="I36" s="89" t="n">
        <v>0.00158730158730159</v>
      </c>
      <c r="J36" s="89" t="n">
        <v>0.00336134453781513</v>
      </c>
      <c r="K36" s="174" t="n">
        <f aca="false">IF(COUNT(H36:J36)=0,"",AVERAGE(H36:J36))</f>
        <v>0.00204590225573649</v>
      </c>
      <c r="L36" s="90" t="n">
        <v>0.00333333333333333</v>
      </c>
      <c r="M36" s="90" t="n">
        <v>0.00454545454545455</v>
      </c>
      <c r="N36" s="90" t="n">
        <v>0.00709219858156028</v>
      </c>
      <c r="O36" s="174" t="n">
        <f aca="false">IF(COUNT(L36:N36)=0,"",AVERAGE(L36:N36))</f>
        <v>0.00499032882011605</v>
      </c>
      <c r="P36" s="90" t="n">
        <v>0.00434153400868307</v>
      </c>
      <c r="Q36" s="90"/>
      <c r="R36" s="90"/>
      <c r="S36" s="174" t="n">
        <f aca="false">IF(COUNT(P36:R36)=0,"",AVERAGE(P36:R36))</f>
        <v>0.00434153400868307</v>
      </c>
      <c r="T36" s="90"/>
      <c r="U36" s="90"/>
      <c r="V36" s="90"/>
      <c r="W36" s="174" t="str">
        <f aca="false">IF(COUNT(T36:V36)=0,"",AVERAGE(T36:V36))</f>
        <v/>
      </c>
      <c r="X36" s="92" t="n">
        <v>0.00268961779453491</v>
      </c>
      <c r="Y36" s="114" t="s">
        <v>104</v>
      </c>
      <c r="Z36" s="78" t="s">
        <v>100</v>
      </c>
    </row>
    <row r="37" customFormat="false" ht="25.5" hidden="false" customHeight="true" outlineLevel="0" collapsed="false">
      <c r="A37" s="69" t="s">
        <v>116</v>
      </c>
      <c r="B37" s="70" t="s">
        <v>117</v>
      </c>
      <c r="C37" s="71" t="s">
        <v>35</v>
      </c>
      <c r="D37" s="71" t="s">
        <v>97</v>
      </c>
      <c r="E37" s="69" t="s">
        <v>501</v>
      </c>
      <c r="F37" s="94" t="n">
        <v>0.0054</v>
      </c>
      <c r="G37" s="88" t="n">
        <v>0.0046</v>
      </c>
      <c r="H37" s="89" t="n">
        <v>0</v>
      </c>
      <c r="I37" s="89" t="n">
        <v>0</v>
      </c>
      <c r="J37" s="89" t="n">
        <v>0</v>
      </c>
      <c r="K37" s="174" t="n">
        <f aca="false">IF(COUNT(H37:J37)=0,"",AVERAGE(H37:J37))</f>
        <v>0</v>
      </c>
      <c r="L37" s="90" t="n">
        <v>0</v>
      </c>
      <c r="M37" s="90" t="n">
        <v>0</v>
      </c>
      <c r="N37" s="90" t="n">
        <v>0</v>
      </c>
      <c r="O37" s="175" t="n">
        <f aca="false">IF(COUNT(L37:N37)=0,"",AVERAGE(L37:N37))</f>
        <v>0</v>
      </c>
      <c r="P37" s="124" t="n">
        <v>0</v>
      </c>
      <c r="Q37" s="124"/>
      <c r="R37" s="124"/>
      <c r="S37" s="175" t="n">
        <f aca="false">IF(COUNT(P37:R37)=0,"",AVERAGE(P37:R37))</f>
        <v>0</v>
      </c>
      <c r="T37" s="124"/>
      <c r="U37" s="124"/>
      <c r="V37" s="124"/>
      <c r="W37" s="175" t="str">
        <f aca="false">IF(COUNT(T37:V37)=0,"",AVERAGE(T37:V37))</f>
        <v/>
      </c>
      <c r="X37" s="125" t="n">
        <v>0</v>
      </c>
      <c r="Y37" s="114" t="s">
        <v>104</v>
      </c>
      <c r="Z37" s="78" t="s">
        <v>100</v>
      </c>
    </row>
    <row r="38" customFormat="false" ht="25.5" hidden="false" customHeight="true" outlineLevel="0" collapsed="false">
      <c r="A38" s="69" t="s">
        <v>118</v>
      </c>
      <c r="B38" s="70" t="s">
        <v>119</v>
      </c>
      <c r="C38" s="71" t="s">
        <v>35</v>
      </c>
      <c r="D38" s="71" t="s">
        <v>97</v>
      </c>
      <c r="E38" s="69" t="s">
        <v>501</v>
      </c>
      <c r="F38" s="87" t="s">
        <v>32</v>
      </c>
      <c r="G38" s="91" t="s">
        <v>32</v>
      </c>
      <c r="H38" s="89" t="n">
        <v>0.0461211759240826</v>
      </c>
      <c r="I38" s="89" t="n">
        <v>0.0303504380475595</v>
      </c>
      <c r="J38" s="89" t="n">
        <v>0.0182976973684211</v>
      </c>
      <c r="K38" s="174" t="n">
        <f aca="false">IF(COUNT(H38:J38)=0,"",AVERAGE(H38:J38))</f>
        <v>0.0315897704466877</v>
      </c>
      <c r="L38" s="90" t="n">
        <v>0.0363212063188128</v>
      </c>
      <c r="M38" s="90" t="n">
        <v>0.047714</v>
      </c>
      <c r="N38" s="90" t="n">
        <v>0.0506338128471728</v>
      </c>
      <c r="O38" s="174" t="n">
        <f aca="false">IF(COUNT(L38:N38)=0,"",AVERAGE(L38:N38))</f>
        <v>0.0448896730553285</v>
      </c>
      <c r="P38" s="90" t="n">
        <v>0.0516840447078239</v>
      </c>
      <c r="Q38" s="90"/>
      <c r="R38" s="90"/>
      <c r="S38" s="174" t="n">
        <f aca="false">IF(COUNT(P38:R38)=0,"",AVERAGE(P38:R38))</f>
        <v>0.0516840447078239</v>
      </c>
      <c r="T38" s="90"/>
      <c r="U38" s="90"/>
      <c r="V38" s="90"/>
      <c r="W38" s="174" t="str">
        <f aca="false">IF(COUNT(T38:V38)=0,"",AVERAGE(T38:V38))</f>
        <v/>
      </c>
      <c r="X38" s="92" t="n">
        <v>0.0339554883827503</v>
      </c>
      <c r="Y38" s="114" t="s">
        <v>120</v>
      </c>
      <c r="Z38" s="78" t="s">
        <v>100</v>
      </c>
    </row>
    <row r="39" customFormat="false" ht="25.5" hidden="false" customHeight="true" outlineLevel="0" collapsed="false">
      <c r="A39" s="69" t="s">
        <v>127</v>
      </c>
      <c r="B39" s="70" t="s">
        <v>128</v>
      </c>
      <c r="C39" s="71" t="s">
        <v>35</v>
      </c>
      <c r="D39" s="71" t="s">
        <v>110</v>
      </c>
      <c r="E39" s="69" t="s">
        <v>501</v>
      </c>
      <c r="F39" s="102" t="s">
        <v>32</v>
      </c>
      <c r="G39" s="75" t="s">
        <v>32</v>
      </c>
      <c r="H39" s="81" t="n">
        <v>0.00294117647058824</v>
      </c>
      <c r="I39" s="81" t="n">
        <v>0.0042724899121766</v>
      </c>
      <c r="J39" s="81" t="n">
        <v>0.00583090379008746</v>
      </c>
      <c r="K39" s="176" t="n">
        <f aca="false">IF(COUNT(H39:J39)=0,"",AVERAGE(H39:J39))</f>
        <v>0.00434819005761743</v>
      </c>
      <c r="L39" s="103" t="n">
        <v>0.00339046901488039</v>
      </c>
      <c r="M39" s="103" t="n">
        <v>0.00492072170585019</v>
      </c>
      <c r="N39" s="103" t="n">
        <v>0.00492072170585019</v>
      </c>
      <c r="O39" s="176" t="n">
        <f aca="false">IF(COUNT(L39:N39)=0,"",AVERAGE(L39:N39))</f>
        <v>0.00441063747552692</v>
      </c>
      <c r="P39" s="103" t="n">
        <v>0.00437211561816857</v>
      </c>
      <c r="Q39" s="103"/>
      <c r="R39" s="103"/>
      <c r="S39" s="176" t="n">
        <f aca="false">IF(COUNT(P39:R39)=0,"",AVERAGE(P39:R39))</f>
        <v>0.00437211561816857</v>
      </c>
      <c r="T39" s="103"/>
      <c r="U39" s="103"/>
      <c r="V39" s="103"/>
      <c r="W39" s="176" t="str">
        <f aca="false">IF(COUNT(T39:V39)=0,"",AVERAGE(T39:V39))</f>
        <v/>
      </c>
      <c r="X39" s="104" t="n">
        <v>0.00386932953624891</v>
      </c>
      <c r="Y39" s="114" t="s">
        <v>120</v>
      </c>
      <c r="Z39" s="78" t="s">
        <v>100</v>
      </c>
    </row>
    <row r="40" customFormat="false" ht="25.5" hidden="false" customHeight="true" outlineLevel="0" collapsed="false">
      <c r="A40" s="69" t="s">
        <v>129</v>
      </c>
      <c r="B40" s="70" t="s">
        <v>130</v>
      </c>
      <c r="C40" s="71" t="s">
        <v>35</v>
      </c>
      <c r="D40" s="71" t="s">
        <v>110</v>
      </c>
      <c r="E40" s="69" t="s">
        <v>501</v>
      </c>
      <c r="F40" s="102" t="s">
        <v>32</v>
      </c>
      <c r="G40" s="75" t="s">
        <v>32</v>
      </c>
      <c r="H40" s="81" t="n">
        <v>0.00302218167303416</v>
      </c>
      <c r="I40" s="81" t="n">
        <v>0.00321894928636502</v>
      </c>
      <c r="J40" s="81" t="n">
        <v>0.00356686183457837</v>
      </c>
      <c r="K40" s="176" t="n">
        <f aca="false">IF(COUNT(H40:J40)=0,"",AVERAGE(H40:J40))</f>
        <v>0.00326933093132585</v>
      </c>
      <c r="L40" s="103" t="n">
        <v>0.0030602228766095</v>
      </c>
      <c r="M40" s="103" t="n">
        <v>0.00360250135943448</v>
      </c>
      <c r="N40" s="103" t="n">
        <v>0.00360250135943448</v>
      </c>
      <c r="O40" s="176" t="n">
        <f aca="false">IF(COUNT(L40:N40)=0,"",AVERAGE(L40:N40))</f>
        <v>0.00342174186515949</v>
      </c>
      <c r="P40" s="103" t="n">
        <v>0.00342368045649073</v>
      </c>
      <c r="Q40" s="103"/>
      <c r="R40" s="103"/>
      <c r="S40" s="176" t="n">
        <f aca="false">IF(COUNT(P40:R40)=0,"",AVERAGE(P40:R40))</f>
        <v>0.00342368045649073</v>
      </c>
      <c r="T40" s="103"/>
      <c r="U40" s="103"/>
      <c r="V40" s="103"/>
      <c r="W40" s="176" t="str">
        <f aca="false">IF(COUNT(T40:V40)=0,"",AVERAGE(T40:V40))</f>
        <v/>
      </c>
      <c r="X40" s="104" t="n">
        <v>0.00316477690396768</v>
      </c>
      <c r="Y40" s="114" t="s">
        <v>120</v>
      </c>
      <c r="Z40" s="78" t="s">
        <v>100</v>
      </c>
    </row>
    <row r="41" customFormat="false" ht="25.5" hidden="false" customHeight="true" outlineLevel="0" collapsed="false">
      <c r="A41" s="69" t="s">
        <v>139</v>
      </c>
      <c r="B41" s="70" t="s">
        <v>140</v>
      </c>
      <c r="C41" s="71" t="s">
        <v>35</v>
      </c>
      <c r="D41" s="71" t="s">
        <v>97</v>
      </c>
      <c r="E41" s="69" t="s">
        <v>501</v>
      </c>
      <c r="F41" s="87" t="n">
        <v>0.646</v>
      </c>
      <c r="G41" s="88" t="s">
        <v>141</v>
      </c>
      <c r="H41" s="89" t="n">
        <v>0.899354838709678</v>
      </c>
      <c r="I41" s="89" t="n">
        <v>0.787857142857143</v>
      </c>
      <c r="J41" s="89" t="n">
        <v>0.608824619948091</v>
      </c>
      <c r="K41" s="174" t="n">
        <f aca="false">IF(COUNT(H41:J41)=0,"",AVERAGE(H41:J41))</f>
        <v>0.765345533838304</v>
      </c>
      <c r="L41" s="90" t="n">
        <v>0.780459770114943</v>
      </c>
      <c r="M41" s="90" t="n">
        <v>0.791991101223582</v>
      </c>
      <c r="N41" s="90" t="n">
        <v>0.944444444444444</v>
      </c>
      <c r="O41" s="174" t="n">
        <f aca="false">IF(COUNT(L41:N41)=0,"",AVERAGE(L41:N41))</f>
        <v>0.83896510526099</v>
      </c>
      <c r="P41" s="90" t="n">
        <v>0.777530589543938</v>
      </c>
      <c r="Q41" s="90"/>
      <c r="R41" s="90"/>
      <c r="S41" s="174" t="n">
        <f aca="false">IF(COUNT(P41:R41)=0,"",AVERAGE(P41:R41))</f>
        <v>0.777530589543938</v>
      </c>
      <c r="T41" s="90"/>
      <c r="U41" s="90"/>
      <c r="V41" s="90"/>
      <c r="W41" s="174" t="str">
        <f aca="false">IF(COUNT(T41:V41)=0,"",AVERAGE(T41:V41))</f>
        <v/>
      </c>
      <c r="X41" s="92" t="n">
        <v>0.772902651976624</v>
      </c>
      <c r="Y41" s="114" t="s">
        <v>113</v>
      </c>
      <c r="Z41" s="78" t="s">
        <v>100</v>
      </c>
    </row>
    <row r="42" customFormat="false" ht="25.5" hidden="false" customHeight="true" outlineLevel="0" collapsed="false">
      <c r="A42" s="69" t="s">
        <v>142</v>
      </c>
      <c r="B42" s="70" t="s">
        <v>143</v>
      </c>
      <c r="C42" s="71" t="s">
        <v>35</v>
      </c>
      <c r="D42" s="71" t="s">
        <v>97</v>
      </c>
      <c r="E42" s="69" t="s">
        <v>501</v>
      </c>
      <c r="F42" s="96" t="n">
        <v>3.9</v>
      </c>
      <c r="G42" s="97" t="n">
        <v>3.77</v>
      </c>
      <c r="H42" s="120" t="n">
        <v>3.89556962025316</v>
      </c>
      <c r="I42" s="120" t="n">
        <v>4.08333333333333</v>
      </c>
      <c r="J42" s="120" t="n">
        <v>7.87383177570094</v>
      </c>
      <c r="K42" s="180" t="n">
        <f aca="false">IF(COUNT(H42:J42)=0,"",AVERAGE(H42:J42))</f>
        <v>5.28424490976248</v>
      </c>
      <c r="L42" s="98" t="n">
        <v>3.75123558484349</v>
      </c>
      <c r="M42" s="98" t="n">
        <v>3.74626865671642</v>
      </c>
      <c r="N42" s="98" t="n">
        <v>3.9592123769339</v>
      </c>
      <c r="O42" s="180" t="n">
        <f aca="false">IF(COUNT(L42:N42)=0,"",AVERAGE(L42:N42))</f>
        <v>3.81890553949794</v>
      </c>
      <c r="P42" s="98" t="n">
        <v>3.60232220609579</v>
      </c>
      <c r="Q42" s="98"/>
      <c r="R42" s="98"/>
      <c r="S42" s="180" t="n">
        <f aca="false">IF(COUNT(P42:R42)=0,"",AVERAGE(P42:R42))</f>
        <v>3.60232220609579</v>
      </c>
      <c r="T42" s="98"/>
      <c r="U42" s="98"/>
      <c r="V42" s="98"/>
      <c r="W42" s="180" t="str">
        <f aca="false">IF(COUNT(T42:V42)=0,"",AVERAGE(T42:V42))</f>
        <v/>
      </c>
      <c r="X42" s="100" t="n">
        <v>4.51774024730298</v>
      </c>
      <c r="Y42" s="114" t="s">
        <v>113</v>
      </c>
      <c r="Z42" s="78" t="s">
        <v>100</v>
      </c>
    </row>
    <row r="43" customFormat="false" ht="25.5" hidden="false" customHeight="true" outlineLevel="0" collapsed="false">
      <c r="A43" s="69" t="s">
        <v>152</v>
      </c>
      <c r="B43" s="70" t="s">
        <v>153</v>
      </c>
      <c r="C43" s="71" t="s">
        <v>34</v>
      </c>
      <c r="D43" s="71" t="s">
        <v>97</v>
      </c>
      <c r="E43" s="69" t="s">
        <v>501</v>
      </c>
      <c r="F43" s="87" t="n">
        <v>0.253</v>
      </c>
      <c r="G43" s="88" t="n">
        <v>0.2</v>
      </c>
      <c r="H43" s="89" t="n">
        <v>0.176136363636364</v>
      </c>
      <c r="I43" s="89" t="n">
        <v>0.171641791044776</v>
      </c>
      <c r="J43" s="89" t="n">
        <v>0.29559748427673</v>
      </c>
      <c r="K43" s="174" t="n">
        <f aca="false">IF(COUNT(H43:J43)=0,"",AVERAGE(H43:J43))</f>
        <v>0.21445854631929</v>
      </c>
      <c r="L43" s="90" t="n">
        <v>0.16551724137931</v>
      </c>
      <c r="M43" s="90" t="n">
        <v>0.202247191011236</v>
      </c>
      <c r="N43" s="90" t="n">
        <v>0.231182795698925</v>
      </c>
      <c r="O43" s="174" t="n">
        <f aca="false">IF(COUNT(L43:N43)=0,"",AVERAGE(L43:N43))</f>
        <v>0.199649076029824</v>
      </c>
      <c r="P43" s="90" t="n">
        <v>0.225806451612903</v>
      </c>
      <c r="Q43" s="90"/>
      <c r="R43" s="90"/>
      <c r="S43" s="174" t="n">
        <f aca="false">IF(COUNT(P43:R43)=0,"",AVERAGE(P43:R43))</f>
        <v>0.225806451612903</v>
      </c>
      <c r="T43" s="90"/>
      <c r="U43" s="90"/>
      <c r="V43" s="90"/>
      <c r="W43" s="174" t="str">
        <f aca="false">IF(COUNT(T43:V43)=0,"",AVERAGE(T43:V43))</f>
        <v/>
      </c>
      <c r="X43" s="92" t="n">
        <v>0.1899878938493</v>
      </c>
      <c r="Y43" s="114" t="s">
        <v>113</v>
      </c>
      <c r="Z43" s="78" t="s">
        <v>100</v>
      </c>
    </row>
    <row r="44" customFormat="false" ht="25.5" hidden="false" customHeight="true" outlineLevel="0" collapsed="false">
      <c r="A44" s="69" t="s">
        <v>154</v>
      </c>
      <c r="B44" s="70" t="s">
        <v>155</v>
      </c>
      <c r="C44" s="71" t="s">
        <v>34</v>
      </c>
      <c r="D44" s="71" t="s">
        <v>97</v>
      </c>
      <c r="E44" s="69" t="s">
        <v>501</v>
      </c>
      <c r="F44" s="102" t="n">
        <v>0.18</v>
      </c>
      <c r="G44" s="82" t="n">
        <v>0</v>
      </c>
      <c r="H44" s="103"/>
      <c r="I44" s="81" t="n">
        <v>1</v>
      </c>
      <c r="J44" s="81" t="n">
        <v>0</v>
      </c>
      <c r="K44" s="176" t="n">
        <f aca="false">IF(COUNT(H44:J44)=0,"",SUM(H44:J44))</f>
        <v>1</v>
      </c>
      <c r="L44" s="74" t="n">
        <v>0</v>
      </c>
      <c r="M44" s="103" t="n">
        <v>0</v>
      </c>
      <c r="N44" s="103" t="n">
        <v>0</v>
      </c>
      <c r="O44" s="176" t="n">
        <f aca="false">IF(COUNT(L44:N44)=0,"",SUM(L44:N44))</f>
        <v>0</v>
      </c>
      <c r="P44" s="103" t="n">
        <v>0</v>
      </c>
      <c r="Q44" s="103"/>
      <c r="R44" s="103"/>
      <c r="S44" s="176" t="n">
        <v>0</v>
      </c>
      <c r="T44" s="103"/>
      <c r="U44" s="103"/>
      <c r="V44" s="103"/>
      <c r="W44" s="176" t="n">
        <v>0</v>
      </c>
      <c r="X44" s="104" t="n">
        <v>0</v>
      </c>
      <c r="Y44" s="114" t="s">
        <v>104</v>
      </c>
      <c r="Z44" s="78" t="s">
        <v>100</v>
      </c>
    </row>
    <row r="45" customFormat="false" ht="25.5" hidden="false" customHeight="true" outlineLevel="0" collapsed="false">
      <c r="A45" s="69" t="s">
        <v>156</v>
      </c>
      <c r="B45" s="70" t="s">
        <v>157</v>
      </c>
      <c r="C45" s="71" t="s">
        <v>34</v>
      </c>
      <c r="D45" s="71" t="s">
        <v>110</v>
      </c>
      <c r="E45" s="69" t="s">
        <v>501</v>
      </c>
      <c r="F45" s="87" t="n">
        <v>0.974</v>
      </c>
      <c r="G45" s="88" t="n">
        <v>0.98</v>
      </c>
      <c r="H45" s="89" t="n">
        <v>0.994594594594595</v>
      </c>
      <c r="I45" s="89" t="n">
        <v>0.992636229749632</v>
      </c>
      <c r="J45" s="89" t="n">
        <v>0.993957703927493</v>
      </c>
      <c r="K45" s="174" t="n">
        <f aca="false">IF(COUNT(H45:J45)=0,"",AVERAGE(H45:J45))</f>
        <v>0.993729509423907</v>
      </c>
      <c r="L45" s="90" t="n">
        <v>0.964960390006094</v>
      </c>
      <c r="M45" s="90" t="n">
        <v>0.99596869812663</v>
      </c>
      <c r="N45" s="90" t="n">
        <v>0.995863970588235</v>
      </c>
      <c r="O45" s="174" t="n">
        <f aca="false">IF(COUNT(L45:N45)=0,"",AVERAGE(L45:N45))</f>
        <v>0.98559768624032</v>
      </c>
      <c r="P45" s="90" t="n">
        <v>0.996132463137539</v>
      </c>
      <c r="Q45" s="90"/>
      <c r="R45" s="90"/>
      <c r="S45" s="174" t="n">
        <f aca="false">IF(COUNT(P45:R45)=0,"",AVERAGE(P45:R45))</f>
        <v>0.996132463137539</v>
      </c>
      <c r="T45" s="90"/>
      <c r="U45" s="90"/>
      <c r="V45" s="90"/>
      <c r="W45" s="174" t="str">
        <f aca="false">IF(COUNT(T45:V45)=0,"",AVERAGE(T45:V45))</f>
        <v/>
      </c>
      <c r="X45" s="92" t="n">
        <v>0.979344949715</v>
      </c>
      <c r="Y45" s="114" t="s">
        <v>104</v>
      </c>
      <c r="Z45" s="78" t="s">
        <v>100</v>
      </c>
    </row>
    <row r="46" customFormat="false" ht="25.5" hidden="false" customHeight="true" outlineLevel="0" collapsed="false">
      <c r="A46" s="69" t="s">
        <v>160</v>
      </c>
      <c r="B46" s="70" t="s">
        <v>161</v>
      </c>
      <c r="C46" s="71" t="s">
        <v>34</v>
      </c>
      <c r="D46" s="71" t="s">
        <v>110</v>
      </c>
      <c r="E46" s="69" t="s">
        <v>501</v>
      </c>
      <c r="F46" s="87" t="n">
        <v>1</v>
      </c>
      <c r="G46" s="88" t="n">
        <v>1</v>
      </c>
      <c r="H46" s="89" t="n">
        <v>1</v>
      </c>
      <c r="I46" s="89" t="n">
        <v>1</v>
      </c>
      <c r="J46" s="89" t="n">
        <v>1</v>
      </c>
      <c r="K46" s="174" t="n">
        <f aca="false">IF(COUNT(H46:J46)=0,"",AVERAGE(H46:J46))</f>
        <v>1</v>
      </c>
      <c r="L46" s="90" t="n">
        <v>1</v>
      </c>
      <c r="M46" s="90" t="n">
        <v>1</v>
      </c>
      <c r="N46" s="90" t="n">
        <v>1</v>
      </c>
      <c r="O46" s="174" t="n">
        <f aca="false">IF(COUNT(L46:N46)=0,"",AVERAGE(L46:N46))</f>
        <v>1</v>
      </c>
      <c r="P46" s="90" t="n">
        <v>1</v>
      </c>
      <c r="Q46" s="90"/>
      <c r="R46" s="90"/>
      <c r="S46" s="174" t="n">
        <f aca="false">IF(COUNT(P46:R46)=0,"",AVERAGE(P46:R46))</f>
        <v>1</v>
      </c>
      <c r="T46" s="90"/>
      <c r="U46" s="90"/>
      <c r="V46" s="90"/>
      <c r="W46" s="174" t="str">
        <f aca="false">IF(COUNT(T46:V46)=0,"",AVERAGE(T46:V46))</f>
        <v/>
      </c>
      <c r="X46" s="92" t="n">
        <v>1</v>
      </c>
      <c r="Y46" s="114" t="s">
        <v>104</v>
      </c>
      <c r="Z46" s="78" t="s">
        <v>100</v>
      </c>
    </row>
    <row r="47" customFormat="false" ht="25.5" hidden="false" customHeight="true" outlineLevel="0" collapsed="false">
      <c r="A47" s="69" t="s">
        <v>162</v>
      </c>
      <c r="B47" s="70" t="s">
        <v>163</v>
      </c>
      <c r="C47" s="71" t="s">
        <v>34</v>
      </c>
      <c r="D47" s="71" t="s">
        <v>97</v>
      </c>
      <c r="E47" s="69" t="s">
        <v>501</v>
      </c>
      <c r="F47" s="87" t="n">
        <v>0.01</v>
      </c>
      <c r="G47" s="88" t="n">
        <v>0.012</v>
      </c>
      <c r="H47" s="89" t="n">
        <v>0.00592532467532468</v>
      </c>
      <c r="I47" s="89" t="n">
        <v>0.00592532467532468</v>
      </c>
      <c r="J47" s="89" t="n">
        <v>0.00365058670143416</v>
      </c>
      <c r="K47" s="174" t="n">
        <f aca="false">IF(COUNT(H47:J47)=0,"",AVERAGE(H47:J47))</f>
        <v>0.00516707868402784</v>
      </c>
      <c r="L47" s="90" t="n">
        <v>0.00377093747259493</v>
      </c>
      <c r="M47" s="90" t="n">
        <v>0.0051040061633282</v>
      </c>
      <c r="N47" s="90" t="n">
        <v>0.00644042605895467</v>
      </c>
      <c r="O47" s="174" t="n">
        <f aca="false">IF(COUNT(L47:N47)=0,"",AVERAGE(L47:N47))</f>
        <v>0.00510512323162593</v>
      </c>
      <c r="P47" s="90" t="n">
        <v>0.00613573754069622</v>
      </c>
      <c r="Q47" s="90"/>
      <c r="R47" s="90"/>
      <c r="S47" s="174" t="n">
        <f aca="false">IF(COUNT(P47:R47)=0,"",AVERAGE(P47:R47))</f>
        <v>0.00613573754069622</v>
      </c>
      <c r="T47" s="90"/>
      <c r="U47" s="90"/>
      <c r="V47" s="90"/>
      <c r="W47" s="174" t="str">
        <f aca="false">IF(COUNT(T47:V47)=0,"",AVERAGE(T47:V47))</f>
        <v/>
      </c>
      <c r="X47" s="92" t="n">
        <v>0.00446900807831139</v>
      </c>
      <c r="Y47" s="114" t="s">
        <v>104</v>
      </c>
      <c r="Z47" s="78" t="s">
        <v>100</v>
      </c>
    </row>
    <row r="48" customFormat="false" ht="25.5" hidden="false" customHeight="true" outlineLevel="0" collapsed="false">
      <c r="A48" s="69" t="s">
        <v>164</v>
      </c>
      <c r="B48" s="70" t="s">
        <v>165</v>
      </c>
      <c r="C48" s="71" t="s">
        <v>166</v>
      </c>
      <c r="D48" s="71" t="s">
        <v>110</v>
      </c>
      <c r="E48" s="69" t="s">
        <v>501</v>
      </c>
      <c r="F48" s="87" t="n">
        <v>0.788</v>
      </c>
      <c r="G48" s="88" t="n">
        <v>0.9</v>
      </c>
      <c r="H48" s="89" t="n">
        <v>0.8578</v>
      </c>
      <c r="I48" s="90" t="n">
        <v>0.929752066115703</v>
      </c>
      <c r="J48" s="90" t="n">
        <v>0.8327</v>
      </c>
      <c r="K48" s="174" t="n">
        <f aca="false">IF(COUNT(H48:J48)=0,"",AVERAGE(H48:J48))</f>
        <v>0.873417355371901</v>
      </c>
      <c r="L48" s="90" t="n">
        <v>0.8526</v>
      </c>
      <c r="M48" s="90" t="n">
        <v>0.854</v>
      </c>
      <c r="N48" s="90" t="n">
        <v>0.9312</v>
      </c>
      <c r="O48" s="174" t="n">
        <f aca="false">IF(COUNT(L48:N48)=0,"",AVERAGE(L48:N48))</f>
        <v>0.879266666666667</v>
      </c>
      <c r="P48" s="90" t="n">
        <v>0.962</v>
      </c>
      <c r="Q48" s="90"/>
      <c r="R48" s="90"/>
      <c r="S48" s="174" t="n">
        <f aca="false">IF(COUNT(P48:R48)=0,"",AVERAGE(P48:R48))</f>
        <v>0.962</v>
      </c>
      <c r="T48" s="90"/>
      <c r="U48" s="90"/>
      <c r="V48" s="90"/>
      <c r="W48" s="174" t="str">
        <f aca="false">IF(COUNT(T48:V48)=0,"",AVERAGE(T48:V48))</f>
        <v/>
      </c>
      <c r="X48" s="92" t="n">
        <v>0.8578</v>
      </c>
      <c r="Y48" s="114" t="s">
        <v>113</v>
      </c>
      <c r="Z48" s="78" t="s">
        <v>105</v>
      </c>
    </row>
    <row r="49" customFormat="false" ht="25.5" hidden="false" customHeight="true" outlineLevel="0" collapsed="false">
      <c r="A49" s="69" t="s">
        <v>167</v>
      </c>
      <c r="B49" s="70" t="s">
        <v>168</v>
      </c>
      <c r="C49" s="71" t="s">
        <v>166</v>
      </c>
      <c r="D49" s="71" t="s">
        <v>110</v>
      </c>
      <c r="E49" s="69" t="s">
        <v>501</v>
      </c>
      <c r="F49" s="87" t="n">
        <v>0.988</v>
      </c>
      <c r="G49" s="88" t="n">
        <v>0.99</v>
      </c>
      <c r="H49" s="89" t="n">
        <v>1</v>
      </c>
      <c r="I49" s="89" t="n">
        <v>1</v>
      </c>
      <c r="J49" s="89" t="n">
        <v>1</v>
      </c>
      <c r="K49" s="174" t="n">
        <f aca="false">IF(COUNT(H49:J49)=0,"",AVERAGE(H49:J49))</f>
        <v>1</v>
      </c>
      <c r="L49" s="174" t="n">
        <f aca="false">IF(COUNT(I49:K49)=0,"",AVERAGE(I49:K49))</f>
        <v>1</v>
      </c>
      <c r="M49" s="174" t="n">
        <f aca="false">IF(COUNT(J49:L49)=0,"",AVERAGE(J49:L49))</f>
        <v>1</v>
      </c>
      <c r="N49" s="90"/>
      <c r="O49" s="174" t="n">
        <f aca="false">IF(COUNT(L49:N49)=0,"",AVERAGE(L49:N49))</f>
        <v>1</v>
      </c>
      <c r="P49" s="90"/>
      <c r="Q49" s="90"/>
      <c r="R49" s="90"/>
      <c r="S49" s="174" t="str">
        <f aca="false">IF(COUNT(P49:R49)=0,"",AVERAGE(P49:R49))</f>
        <v/>
      </c>
      <c r="T49" s="90"/>
      <c r="U49" s="90"/>
      <c r="V49" s="90"/>
      <c r="W49" s="174" t="str">
        <f aca="false">IF(COUNT(T49:V49)=0,"",AVERAGE(T49:V49))</f>
        <v/>
      </c>
      <c r="X49" s="92" t="n">
        <v>1</v>
      </c>
      <c r="Y49" s="114" t="s">
        <v>104</v>
      </c>
      <c r="Z49" s="78" t="s">
        <v>100</v>
      </c>
    </row>
    <row r="50" customFormat="false" ht="25.5" hidden="false" customHeight="true" outlineLevel="0" collapsed="false">
      <c r="A50" s="69" t="s">
        <v>169</v>
      </c>
      <c r="B50" s="70" t="s">
        <v>170</v>
      </c>
      <c r="C50" s="71" t="s">
        <v>166</v>
      </c>
      <c r="D50" s="71" t="s">
        <v>110</v>
      </c>
      <c r="E50" s="69" t="s">
        <v>501</v>
      </c>
      <c r="F50" s="87" t="n">
        <v>0.92</v>
      </c>
      <c r="G50" s="88" t="n">
        <v>0.93</v>
      </c>
      <c r="H50" s="89" t="n">
        <v>0.996753246753247</v>
      </c>
      <c r="I50" s="89" t="n">
        <v>0.994460260060014</v>
      </c>
      <c r="J50" s="89" t="n">
        <v>0.97896566710126</v>
      </c>
      <c r="K50" s="174" t="n">
        <f aca="false">IF(COUNT(H50:J50)=0,"",AVERAGE(H50:J50))</f>
        <v>0.990059724638174</v>
      </c>
      <c r="L50" s="90" t="n">
        <v>0.981408401297904</v>
      </c>
      <c r="M50" s="90" t="n">
        <v>0.9989</v>
      </c>
      <c r="N50" s="90" t="n">
        <v>1</v>
      </c>
      <c r="O50" s="174" t="n">
        <f aca="false">IF(COUNT(L50:N50)=0,"",AVERAGE(L50:N50))</f>
        <v>0.993436133765968</v>
      </c>
      <c r="P50" s="90" t="n">
        <v>0.9995</v>
      </c>
      <c r="Q50" s="90"/>
      <c r="R50" s="90"/>
      <c r="S50" s="174" t="n">
        <f aca="false">IF(COUNT(P50:R50)=0,"",AVERAGE(P50:R50))</f>
        <v>0.9995</v>
      </c>
      <c r="T50" s="90"/>
      <c r="U50" s="90"/>
      <c r="V50" s="90"/>
      <c r="W50" s="174" t="str">
        <f aca="false">IF(COUNT(T50:V50)=0,"",AVERAGE(T50:V50))</f>
        <v/>
      </c>
      <c r="X50" s="92" t="n">
        <v>0.985897291735802</v>
      </c>
      <c r="Y50" s="114" t="s">
        <v>104</v>
      </c>
      <c r="Z50" s="78" t="s">
        <v>100</v>
      </c>
    </row>
    <row r="51" customFormat="false" ht="25.5" hidden="false" customHeight="true" outlineLevel="0" collapsed="false">
      <c r="A51" s="69" t="s">
        <v>171</v>
      </c>
      <c r="B51" s="70" t="s">
        <v>172</v>
      </c>
      <c r="C51" s="71" t="s">
        <v>166</v>
      </c>
      <c r="D51" s="71" t="s">
        <v>97</v>
      </c>
      <c r="E51" s="69" t="s">
        <v>501</v>
      </c>
      <c r="F51" s="72" t="n">
        <v>0.55</v>
      </c>
      <c r="G51" s="73" t="s">
        <v>32</v>
      </c>
      <c r="H51" s="106" t="n">
        <v>0</v>
      </c>
      <c r="I51" s="106" t="n">
        <v>0</v>
      </c>
      <c r="J51" s="106" t="n">
        <v>0</v>
      </c>
      <c r="K51" s="182" t="n">
        <f aca="false">IF(COUNT(H51:J51)=0,"",SUM(H51:J51))</f>
        <v>0</v>
      </c>
      <c r="L51" s="74" t="n">
        <v>0</v>
      </c>
      <c r="M51" s="74" t="n">
        <v>0</v>
      </c>
      <c r="N51" s="74" t="n">
        <v>0</v>
      </c>
      <c r="O51" s="182" t="n">
        <f aca="false">IF(COUNT(L51:N51)=0,"",SUM(L51:N51))</f>
        <v>0</v>
      </c>
      <c r="P51" s="74" t="n">
        <v>0</v>
      </c>
      <c r="Q51" s="74"/>
      <c r="R51" s="74"/>
      <c r="S51" s="182" t="n">
        <v>0</v>
      </c>
      <c r="T51" s="74"/>
      <c r="U51" s="74"/>
      <c r="V51" s="74"/>
      <c r="W51" s="182" t="n">
        <v>0</v>
      </c>
      <c r="X51" s="76" t="n">
        <v>0</v>
      </c>
      <c r="Y51" s="114" t="s">
        <v>120</v>
      </c>
      <c r="Z51" s="78" t="s">
        <v>100</v>
      </c>
    </row>
    <row r="52" customFormat="false" ht="25.5" hidden="false" customHeight="true" outlineLevel="0" collapsed="false">
      <c r="A52" s="69" t="s">
        <v>174</v>
      </c>
      <c r="B52" s="70" t="s">
        <v>175</v>
      </c>
      <c r="C52" s="71" t="s">
        <v>166</v>
      </c>
      <c r="D52" s="71" t="s">
        <v>110</v>
      </c>
      <c r="E52" s="69" t="s">
        <v>501</v>
      </c>
      <c r="F52" s="87" t="n">
        <v>0.828</v>
      </c>
      <c r="G52" s="88" t="n">
        <v>0.8538</v>
      </c>
      <c r="H52" s="89" t="n">
        <v>0.91</v>
      </c>
      <c r="I52" s="89" t="n">
        <v>0.87</v>
      </c>
      <c r="J52" s="89" t="n">
        <v>0.83</v>
      </c>
      <c r="K52" s="174" t="n">
        <f aca="false">IF(COUNT(H52:J52)=0,"",AVERAGE(H52:J52))</f>
        <v>0.87</v>
      </c>
      <c r="L52" s="90" t="n">
        <v>0.88125</v>
      </c>
      <c r="M52" s="90" t="n">
        <v>0.93125</v>
      </c>
      <c r="N52" s="90" t="n">
        <v>0.865</v>
      </c>
      <c r="O52" s="174" t="n">
        <f aca="false">IF(COUNT(L52:N52)=0,"",AVERAGE(L52:N52))</f>
        <v>0.8925</v>
      </c>
      <c r="P52" s="90" t="n">
        <v>0.875</v>
      </c>
      <c r="Q52" s="90"/>
      <c r="R52" s="90"/>
      <c r="S52" s="174" t="n">
        <f aca="false">IF(COUNT(P52:R52)=0,"",AVERAGE(P52:R52))</f>
        <v>0.875</v>
      </c>
      <c r="T52" s="90"/>
      <c r="U52" s="90"/>
      <c r="V52" s="90"/>
      <c r="W52" s="174" t="str">
        <f aca="false">IF(COUNT(T52:V52)=0,"",AVERAGE(T52:V52))</f>
        <v/>
      </c>
      <c r="X52" s="92" t="n">
        <v>0.875625</v>
      </c>
      <c r="Y52" s="114" t="s">
        <v>104</v>
      </c>
      <c r="Z52" s="78" t="s">
        <v>100</v>
      </c>
    </row>
    <row r="53" customFormat="false" ht="25.5" hidden="false" customHeight="true" outlineLevel="0" collapsed="false">
      <c r="A53" s="69" t="s">
        <v>176</v>
      </c>
      <c r="B53" s="70" t="s">
        <v>177</v>
      </c>
      <c r="C53" s="71" t="s">
        <v>166</v>
      </c>
      <c r="D53" s="71" t="s">
        <v>97</v>
      </c>
      <c r="E53" s="69" t="s">
        <v>501</v>
      </c>
      <c r="F53" s="87" t="n">
        <v>0.017</v>
      </c>
      <c r="G53" s="88" t="n">
        <v>0.0145</v>
      </c>
      <c r="H53" s="89" t="n">
        <v>0.01</v>
      </c>
      <c r="I53" s="89" t="n">
        <v>0</v>
      </c>
      <c r="J53" s="89" t="n">
        <v>0.014</v>
      </c>
      <c r="K53" s="174" t="n">
        <f aca="false">IF(COUNT(H53:J53)=0,"",AVERAGE(H53:J53))</f>
        <v>0.008</v>
      </c>
      <c r="L53" s="90" t="n">
        <v>0.0111731843575419</v>
      </c>
      <c r="M53" s="90" t="n">
        <v>0.0056</v>
      </c>
      <c r="N53" s="90" t="n">
        <v>0</v>
      </c>
      <c r="O53" s="174" t="n">
        <f aca="false">IF(COUNT(L53:N53)=0,"",AVERAGE(L53:N53))</f>
        <v>0.00559106145251397</v>
      </c>
      <c r="P53" s="90" t="n">
        <v>0.0094</v>
      </c>
      <c r="Q53" s="90"/>
      <c r="R53" s="90"/>
      <c r="S53" s="174" t="n">
        <f aca="false">IF(COUNT(P53:R53)=0,"",AVERAGE(P53:R53))</f>
        <v>0.0094</v>
      </c>
      <c r="T53" s="90"/>
      <c r="U53" s="90"/>
      <c r="V53" s="90"/>
      <c r="W53" s="174" t="str">
        <f aca="false">IF(COUNT(T53:V53)=0,"",AVERAGE(T53:V53))</f>
        <v/>
      </c>
      <c r="X53" s="92" t="n">
        <v>0.00958659217877095</v>
      </c>
      <c r="Y53" s="114" t="s">
        <v>104</v>
      </c>
      <c r="Z53" s="78" t="s">
        <v>100</v>
      </c>
    </row>
    <row r="54" customFormat="false" ht="25.5" hidden="false" customHeight="true" outlineLevel="0" collapsed="false">
      <c r="A54" s="69" t="s">
        <v>178</v>
      </c>
      <c r="B54" s="70" t="s">
        <v>179</v>
      </c>
      <c r="C54" s="71" t="s">
        <v>166</v>
      </c>
      <c r="D54" s="71" t="s">
        <v>97</v>
      </c>
      <c r="E54" s="69" t="s">
        <v>501</v>
      </c>
      <c r="F54" s="87" t="n">
        <v>0.019</v>
      </c>
      <c r="G54" s="88" t="n">
        <v>0.0162</v>
      </c>
      <c r="H54" s="89" t="n">
        <v>0</v>
      </c>
      <c r="I54" s="89" t="n">
        <v>0.000846349157497884</v>
      </c>
      <c r="J54" s="89" t="n">
        <v>0.00173837461973055</v>
      </c>
      <c r="K54" s="174" t="n">
        <f aca="false">IF(COUNT(H54:J54)=0,"",AVERAGE(H54:J54))</f>
        <v>0.000861574592409478</v>
      </c>
      <c r="L54" s="90" t="n">
        <v>0.000701569762343243</v>
      </c>
      <c r="M54" s="90" t="n">
        <v>0.0006</v>
      </c>
      <c r="N54" s="90" t="n">
        <v>0.00102448519618892</v>
      </c>
      <c r="O54" s="174" t="n">
        <f aca="false">IF(COUNT(L54:N54)=0,"",AVERAGE(L54:N54))</f>
        <v>0.000775351652844054</v>
      </c>
      <c r="P54" s="90" t="n">
        <v>0.0011</v>
      </c>
      <c r="Q54" s="90"/>
      <c r="R54" s="90"/>
      <c r="S54" s="174" t="n">
        <f aca="false">IF(COUNT(P54:R54)=0,"",AVERAGE(P54:R54))</f>
        <v>0.0011</v>
      </c>
      <c r="T54" s="90"/>
      <c r="U54" s="90"/>
      <c r="V54" s="90"/>
      <c r="W54" s="174" t="str">
        <f aca="false">IF(COUNT(T54:V54)=0,"",AVERAGE(T54:V54))</f>
        <v/>
      </c>
      <c r="X54" s="92" t="n">
        <v>0.000781572177376361</v>
      </c>
      <c r="Y54" s="114" t="s">
        <v>104</v>
      </c>
      <c r="Z54" s="78" t="s">
        <v>100</v>
      </c>
    </row>
    <row r="55" customFormat="false" ht="25.5" hidden="false" customHeight="true" outlineLevel="0" collapsed="false">
      <c r="A55" s="69" t="s">
        <v>180</v>
      </c>
      <c r="B55" s="70" t="s">
        <v>181</v>
      </c>
      <c r="C55" s="71" t="s">
        <v>166</v>
      </c>
      <c r="D55" s="71" t="s">
        <v>97</v>
      </c>
      <c r="E55" s="69" t="s">
        <v>501</v>
      </c>
      <c r="F55" s="102" t="n">
        <v>0.01</v>
      </c>
      <c r="G55" s="82" t="n">
        <v>0.0085</v>
      </c>
      <c r="H55" s="81" t="n">
        <v>0</v>
      </c>
      <c r="I55" s="81" t="n">
        <v>0</v>
      </c>
      <c r="J55" s="81" t="n">
        <v>0</v>
      </c>
      <c r="K55" s="176" t="n">
        <f aca="false">IF(COUNT(H55:J55)=0,"",AVERAGE(H55:J55))</f>
        <v>0</v>
      </c>
      <c r="L55" s="103" t="n">
        <v>0</v>
      </c>
      <c r="M55" s="103" t="n">
        <v>0</v>
      </c>
      <c r="N55" s="103" t="n">
        <v>0</v>
      </c>
      <c r="O55" s="176" t="n">
        <f aca="false">IF(COUNT(L55:N55)=0,"",AVERAGE(L55:N55))</f>
        <v>0</v>
      </c>
      <c r="P55" s="103"/>
      <c r="Q55" s="103"/>
      <c r="R55" s="103"/>
      <c r="S55" s="176" t="str">
        <f aca="false">IF(COUNT(P55:R55)=0,"",AVERAGE(P55:R55))</f>
        <v/>
      </c>
      <c r="T55" s="103"/>
      <c r="U55" s="103"/>
      <c r="V55" s="103"/>
      <c r="W55" s="176" t="str">
        <f aca="false">IF(COUNT(T55:V55)=0,"",AVERAGE(T55:V55))</f>
        <v/>
      </c>
      <c r="X55" s="104" t="n">
        <v>0</v>
      </c>
      <c r="Y55" s="114" t="s">
        <v>104</v>
      </c>
      <c r="Z55" s="78" t="s">
        <v>100</v>
      </c>
    </row>
    <row r="56" customFormat="false" ht="25.5" hidden="false" customHeight="true" outlineLevel="0" collapsed="false">
      <c r="A56" s="69" t="s">
        <v>182</v>
      </c>
      <c r="B56" s="70" t="s">
        <v>183</v>
      </c>
      <c r="C56" s="71" t="s">
        <v>166</v>
      </c>
      <c r="D56" s="71" t="s">
        <v>97</v>
      </c>
      <c r="E56" s="69" t="s">
        <v>501</v>
      </c>
      <c r="F56" s="87" t="n">
        <v>0.072</v>
      </c>
      <c r="G56" s="88" t="n">
        <v>0.0612</v>
      </c>
      <c r="H56" s="89" t="n">
        <v>0.024390243902439</v>
      </c>
      <c r="I56" s="89" t="n">
        <v>0.0476190476190476</v>
      </c>
      <c r="J56" s="89" t="n">
        <v>0.0476190476190476</v>
      </c>
      <c r="K56" s="174" t="n">
        <f aca="false">IF(COUNT(H56:J56)=0,"",AVERAGE(H56:J56))</f>
        <v>0.0398761130468447</v>
      </c>
      <c r="L56" s="90" t="n">
        <v>0.0487804878048781</v>
      </c>
      <c r="M56" s="90" t="n">
        <v>0</v>
      </c>
      <c r="N56" s="90"/>
      <c r="O56" s="174" t="n">
        <f aca="false">IF(COUNT(L56:N56)=0,"",AVERAGE(L56:N56))</f>
        <v>0.0243902439024391</v>
      </c>
      <c r="P56" s="90" t="n">
        <v>0.0166666666666667</v>
      </c>
      <c r="Q56" s="90"/>
      <c r="R56" s="90"/>
      <c r="S56" s="174" t="n">
        <f aca="false">IF(COUNT(P56:R56)=0,"",AVERAGE(P56:R56))</f>
        <v>0.0166666666666667</v>
      </c>
      <c r="T56" s="90"/>
      <c r="U56" s="90"/>
      <c r="V56" s="90"/>
      <c r="W56" s="174" t="str">
        <f aca="false">IF(COUNT(T56:V56)=0,"",AVERAGE(T56:V56))</f>
        <v/>
      </c>
      <c r="X56" s="92" t="n">
        <v>0.0443283004258614</v>
      </c>
      <c r="Y56" s="114" t="s">
        <v>104</v>
      </c>
      <c r="Z56" s="78" t="s">
        <v>100</v>
      </c>
    </row>
    <row r="57" customFormat="false" ht="25.5" hidden="false" customHeight="true" outlineLevel="0" collapsed="false">
      <c r="A57" s="69" t="s">
        <v>184</v>
      </c>
      <c r="B57" s="70" t="s">
        <v>185</v>
      </c>
      <c r="C57" s="71" t="s">
        <v>166</v>
      </c>
      <c r="D57" s="71" t="s">
        <v>110</v>
      </c>
      <c r="E57" s="69" t="s">
        <v>501</v>
      </c>
      <c r="F57" s="87" t="n">
        <v>1</v>
      </c>
      <c r="G57" s="88" t="n">
        <v>1</v>
      </c>
      <c r="H57" s="89" t="n">
        <v>1</v>
      </c>
      <c r="I57" s="89" t="n">
        <v>1</v>
      </c>
      <c r="J57" s="89" t="n">
        <v>1</v>
      </c>
      <c r="K57" s="174" t="n">
        <f aca="false">IF(COUNT(H57:J57)=0,"",AVERAGE(H57:J57))</f>
        <v>1</v>
      </c>
      <c r="L57" s="90" t="n">
        <v>1</v>
      </c>
      <c r="M57" s="90" t="n">
        <v>1</v>
      </c>
      <c r="N57" s="90" t="n">
        <v>1</v>
      </c>
      <c r="O57" s="174" t="n">
        <f aca="false">IF(COUNT(L57:N57)=0,"",AVERAGE(L57:N57))</f>
        <v>1</v>
      </c>
      <c r="P57" s="90" t="n">
        <v>1</v>
      </c>
      <c r="Q57" s="90"/>
      <c r="R57" s="90"/>
      <c r="S57" s="174" t="n">
        <f aca="false">IF(COUNT(P57:R57)=0,"",AVERAGE(P57:R57))</f>
        <v>1</v>
      </c>
      <c r="T57" s="90"/>
      <c r="U57" s="90"/>
      <c r="V57" s="90"/>
      <c r="W57" s="174" t="str">
        <f aca="false">IF(COUNT(T57:V57)=0,"",AVERAGE(T57:V57))</f>
        <v/>
      </c>
      <c r="X57" s="92" t="n">
        <v>1</v>
      </c>
      <c r="Y57" s="114" t="s">
        <v>104</v>
      </c>
      <c r="Z57" s="78" t="s">
        <v>100</v>
      </c>
    </row>
    <row r="58" customFormat="false" ht="25.5" hidden="false" customHeight="true" outlineLevel="0" collapsed="false">
      <c r="A58" s="69" t="s">
        <v>186</v>
      </c>
      <c r="B58" s="70" t="s">
        <v>187</v>
      </c>
      <c r="C58" s="71" t="s">
        <v>166</v>
      </c>
      <c r="D58" s="71" t="s">
        <v>97</v>
      </c>
      <c r="E58" s="69" t="s">
        <v>501</v>
      </c>
      <c r="F58" s="102" t="n">
        <v>0.027</v>
      </c>
      <c r="G58" s="82" t="n">
        <v>0.0135</v>
      </c>
      <c r="H58" s="81" t="n">
        <v>0.0316455696202532</v>
      </c>
      <c r="I58" s="81" t="n">
        <v>0.0510948905109489</v>
      </c>
      <c r="J58" s="81" t="n">
        <v>0.112299465240642</v>
      </c>
      <c r="K58" s="176" t="n">
        <f aca="false">IF(COUNT(H58:J58)=0,"",AVERAGE(H58:J58))</f>
        <v>0.0650133084572814</v>
      </c>
      <c r="L58" s="103" t="n">
        <v>0.0731707317073171</v>
      </c>
      <c r="M58" s="103" t="n">
        <v>0.0313588850174216</v>
      </c>
      <c r="N58" s="103" t="n">
        <v>0.0364842454394693</v>
      </c>
      <c r="O58" s="176" t="n">
        <f aca="false">IF(COUNT(L58:N58)=0,"",AVERAGE(L58:N58))</f>
        <v>0.0470046207214027</v>
      </c>
      <c r="P58" s="103" t="n">
        <v>0.00578871201157742</v>
      </c>
      <c r="Q58" s="103"/>
      <c r="R58" s="103"/>
      <c r="S58" s="176" t="n">
        <f aca="false">IF(COUNT(P58:R58)=0,"",AVERAGE(P58:R58))</f>
        <v>0.00578871201157742</v>
      </c>
      <c r="T58" s="103"/>
      <c r="U58" s="103"/>
      <c r="V58" s="103"/>
      <c r="W58" s="176" t="str">
        <f aca="false">IF(COUNT(T58:V58)=0,"",AVERAGE(T58:V58))</f>
        <v/>
      </c>
      <c r="X58" s="104" t="n">
        <v>0.0690920200822992</v>
      </c>
      <c r="Y58" s="114" t="s">
        <v>113</v>
      </c>
      <c r="Z58" s="78" t="s">
        <v>100</v>
      </c>
    </row>
    <row r="59" customFormat="false" ht="25.5" hidden="false" customHeight="true" outlineLevel="0" collapsed="false">
      <c r="A59" s="69" t="s">
        <v>191</v>
      </c>
      <c r="B59" s="70" t="s">
        <v>192</v>
      </c>
      <c r="C59" s="71" t="s">
        <v>166</v>
      </c>
      <c r="D59" s="71" t="s">
        <v>110</v>
      </c>
      <c r="E59" s="69" t="s">
        <v>501</v>
      </c>
      <c r="F59" s="87" t="n">
        <v>0.8863</v>
      </c>
      <c r="G59" s="88" t="n">
        <v>0.8938</v>
      </c>
      <c r="H59" s="89" t="n">
        <v>0.9059</v>
      </c>
      <c r="I59" s="89" t="n">
        <v>1</v>
      </c>
      <c r="J59" s="89" t="n">
        <v>0.9892</v>
      </c>
      <c r="K59" s="174" t="n">
        <f aca="false">IF(COUNT(H59:J59)=0,"",AVERAGE(H59:J59))</f>
        <v>0.965033333333333</v>
      </c>
      <c r="L59" s="90" t="n">
        <v>0.9978</v>
      </c>
      <c r="M59" s="90" t="n">
        <v>1</v>
      </c>
      <c r="N59" s="90" t="n">
        <v>0.9429</v>
      </c>
      <c r="O59" s="174" t="n">
        <f aca="false">IF(COUNT(L59:N59)=0,"",AVERAGE(L59:N59))</f>
        <v>0.980233333333333</v>
      </c>
      <c r="P59" s="90" t="n">
        <v>0.9666</v>
      </c>
      <c r="Q59" s="90"/>
      <c r="R59" s="90"/>
      <c r="S59" s="174" t="n">
        <f aca="false">IF(COUNT(P59:R59)=0,"",AVERAGE(P59:R59))</f>
        <v>0.9666</v>
      </c>
      <c r="T59" s="90"/>
      <c r="U59" s="90"/>
      <c r="V59" s="90"/>
      <c r="W59" s="174" t="str">
        <f aca="false">IF(COUNT(T59:V59)=0,"",AVERAGE(T59:V59))</f>
        <v/>
      </c>
      <c r="X59" s="92" t="n">
        <v>0.9978</v>
      </c>
      <c r="Y59" s="114" t="s">
        <v>104</v>
      </c>
      <c r="Z59" s="78" t="s">
        <v>100</v>
      </c>
    </row>
    <row r="60" customFormat="false" ht="25.5" hidden="false" customHeight="true" outlineLevel="0" collapsed="false">
      <c r="A60" s="69" t="s">
        <v>193</v>
      </c>
      <c r="B60" s="70" t="s">
        <v>194</v>
      </c>
      <c r="C60" s="71" t="s">
        <v>166</v>
      </c>
      <c r="D60" s="71" t="s">
        <v>110</v>
      </c>
      <c r="E60" s="69" t="s">
        <v>501</v>
      </c>
      <c r="F60" s="87" t="n">
        <v>0.9024</v>
      </c>
      <c r="G60" s="88" t="n">
        <v>0.8658</v>
      </c>
      <c r="H60" s="89" t="n">
        <v>0.8166</v>
      </c>
      <c r="I60" s="90"/>
      <c r="J60" s="90"/>
      <c r="K60" s="174" t="n">
        <f aca="false">IF(COUNT(H60:J60)=0,"",AVERAGE(H60:J60))</f>
        <v>0.8166</v>
      </c>
      <c r="L60" s="90"/>
      <c r="M60" s="90"/>
      <c r="N60" s="90" t="s">
        <v>195</v>
      </c>
      <c r="O60" s="174" t="str">
        <f aca="false">IF(COUNT(L60:N60)=0,"",AVERAGE(L60:N60))</f>
        <v/>
      </c>
      <c r="P60" s="90"/>
      <c r="Q60" s="90"/>
      <c r="R60" s="90"/>
      <c r="S60" s="174" t="str">
        <f aca="false">IF(COUNT(P60:R60)=0,"",AVERAGE(P60:R60))</f>
        <v/>
      </c>
      <c r="T60" s="90"/>
      <c r="U60" s="90"/>
      <c r="V60" s="90"/>
      <c r="W60" s="174" t="str">
        <f aca="false">IF(COUNT(T60:V60)=0,"",AVERAGE(T60:V60))</f>
        <v/>
      </c>
      <c r="X60" s="92" t="n">
        <v>0.8166</v>
      </c>
      <c r="Y60" s="114" t="s">
        <v>113</v>
      </c>
      <c r="Z60" s="78" t="s">
        <v>100</v>
      </c>
    </row>
    <row r="61" customFormat="false" ht="25.5" hidden="false" customHeight="true" outlineLevel="0" collapsed="false">
      <c r="A61" s="69" t="s">
        <v>196</v>
      </c>
      <c r="B61" s="70" t="s">
        <v>197</v>
      </c>
      <c r="C61" s="71" t="s">
        <v>166</v>
      </c>
      <c r="D61" s="71" t="s">
        <v>110</v>
      </c>
      <c r="E61" s="69" t="s">
        <v>501</v>
      </c>
      <c r="F61" s="87" t="n">
        <v>0.782</v>
      </c>
      <c r="G61" s="88" t="n">
        <v>0.807</v>
      </c>
      <c r="H61" s="89" t="n">
        <v>0.9902</v>
      </c>
      <c r="I61" s="89" t="n">
        <v>1</v>
      </c>
      <c r="J61" s="89" t="n">
        <v>0.999</v>
      </c>
      <c r="K61" s="174" t="n">
        <f aca="false">IF(COUNT(H61:J61)=0,"",AVERAGE(H61:J61))</f>
        <v>0.9964</v>
      </c>
      <c r="L61" s="90" t="n">
        <v>0.994</v>
      </c>
      <c r="M61" s="90" t="n">
        <v>1</v>
      </c>
      <c r="N61" s="90" t="n">
        <v>0.9966</v>
      </c>
      <c r="O61" s="174" t="n">
        <f aca="false">IF(COUNT(L61:N61)=0,"",AVERAGE(L61:N61))</f>
        <v>0.996866666666667</v>
      </c>
      <c r="P61" s="90" t="n">
        <v>0.9944</v>
      </c>
      <c r="Q61" s="90"/>
      <c r="R61" s="90"/>
      <c r="S61" s="174" t="n">
        <f aca="false">IF(COUNT(P61:R61)=0,"",AVERAGE(P61:R61))</f>
        <v>0.9944</v>
      </c>
      <c r="T61" s="90"/>
      <c r="U61" s="90"/>
      <c r="V61" s="90"/>
      <c r="W61" s="174" t="str">
        <f aca="false">IF(COUNT(T61:V61)=0,"",AVERAGE(T61:V61))</f>
        <v/>
      </c>
      <c r="X61" s="92" t="n">
        <v>0.994</v>
      </c>
      <c r="Y61" s="114" t="s">
        <v>104</v>
      </c>
      <c r="Z61" s="78" t="s">
        <v>100</v>
      </c>
    </row>
    <row r="62" customFormat="false" ht="25.5" hidden="false" customHeight="true" outlineLevel="0" collapsed="false">
      <c r="A62" s="69" t="s">
        <v>198</v>
      </c>
      <c r="B62" s="70" t="s">
        <v>199</v>
      </c>
      <c r="C62" s="71" t="s">
        <v>166</v>
      </c>
      <c r="D62" s="71" t="s">
        <v>110</v>
      </c>
      <c r="E62" s="69" t="s">
        <v>501</v>
      </c>
      <c r="F62" s="87" t="n">
        <v>0.821</v>
      </c>
      <c r="G62" s="88" t="n">
        <v>0.848</v>
      </c>
      <c r="H62" s="89" t="n">
        <v>0.925</v>
      </c>
      <c r="I62" s="89" t="n">
        <v>0.9167</v>
      </c>
      <c r="J62" s="90" t="n">
        <v>0.9758</v>
      </c>
      <c r="K62" s="174" t="n">
        <f aca="false">IF(COUNT(H62:J62)=0,"",AVERAGE(H62:J62))</f>
        <v>0.939166666666667</v>
      </c>
      <c r="L62" s="90" t="n">
        <v>0.9286</v>
      </c>
      <c r="M62" s="90" t="n">
        <v>0.9222</v>
      </c>
      <c r="N62" s="90" t="n">
        <v>0.9091</v>
      </c>
      <c r="O62" s="174" t="n">
        <f aca="false">IF(COUNT(L62:N62)=0,"",AVERAGE(L62:N62))</f>
        <v>0.919966666666667</v>
      </c>
      <c r="P62" s="90" t="n">
        <v>0.9694</v>
      </c>
      <c r="Q62" s="90"/>
      <c r="R62" s="90"/>
      <c r="S62" s="174" t="n">
        <f aca="false">IF(COUNT(P62:R62)=0,"",AVERAGE(P62:R62))</f>
        <v>0.9694</v>
      </c>
      <c r="T62" s="90"/>
      <c r="U62" s="90"/>
      <c r="V62" s="90"/>
      <c r="W62" s="174" t="str">
        <f aca="false">IF(COUNT(T62:V62)=0,"",AVERAGE(T62:V62))</f>
        <v/>
      </c>
      <c r="X62" s="92" t="n">
        <v>0.9286</v>
      </c>
      <c r="Y62" s="114" t="s">
        <v>104</v>
      </c>
      <c r="Z62" s="78" t="s">
        <v>190</v>
      </c>
    </row>
    <row r="63" customFormat="false" ht="25.5" hidden="false" customHeight="true" outlineLevel="0" collapsed="false">
      <c r="A63" s="69" t="s">
        <v>211</v>
      </c>
      <c r="B63" s="70" t="s">
        <v>212</v>
      </c>
      <c r="C63" s="71" t="s">
        <v>213</v>
      </c>
      <c r="D63" s="71" t="s">
        <v>110</v>
      </c>
      <c r="E63" s="69" t="s">
        <v>501</v>
      </c>
      <c r="F63" s="87" t="s">
        <v>32</v>
      </c>
      <c r="G63" s="91" t="n">
        <v>1</v>
      </c>
      <c r="H63" s="89" t="n">
        <v>0</v>
      </c>
      <c r="I63" s="89" t="n">
        <v>1</v>
      </c>
      <c r="J63" s="89" t="n">
        <v>1</v>
      </c>
      <c r="K63" s="174" t="n">
        <f aca="false">IF(COUNT(H63:J63)=0,"",LOOKUP(2,1/(H63:J63&lt;&gt;""),H63:J63))</f>
        <v>1</v>
      </c>
      <c r="L63" s="90" t="n">
        <v>1</v>
      </c>
      <c r="M63" s="90" t="n">
        <v>1</v>
      </c>
      <c r="N63" s="90" t="n">
        <v>1</v>
      </c>
      <c r="O63" s="174" t="n">
        <f aca="false">IF(COUNT(L63:N63)=0,"",LOOKUP(2,1/(L63:N63&lt;&gt;""),L63:N63))</f>
        <v>1</v>
      </c>
      <c r="P63" s="90" t="n">
        <v>1</v>
      </c>
      <c r="Q63" s="90"/>
      <c r="R63" s="90"/>
      <c r="S63" s="174" t="n">
        <f aca="false">IF(COUNT(P63:R63)=0,"",LOOKUP(2,1/(P63:R63&lt;&gt;""),P63:R63))</f>
        <v>1</v>
      </c>
      <c r="T63" s="90"/>
      <c r="U63" s="90"/>
      <c r="V63" s="90"/>
      <c r="W63" s="174" t="str">
        <f aca="false">IF(COUNT(T63:V63)=0,"",LOOKUP(2,1/(T63:V63&lt;&gt;""),T63:V63))</f>
        <v/>
      </c>
      <c r="X63" s="92" t="n">
        <v>0.805555555555556</v>
      </c>
      <c r="Y63" s="114" t="s">
        <v>120</v>
      </c>
      <c r="Z63" s="78" t="s">
        <v>214</v>
      </c>
    </row>
    <row r="64" customFormat="false" ht="25.5" hidden="false" customHeight="true" outlineLevel="0" collapsed="false">
      <c r="A64" s="69" t="s">
        <v>255</v>
      </c>
      <c r="B64" s="70" t="s">
        <v>256</v>
      </c>
      <c r="C64" s="71" t="s">
        <v>35</v>
      </c>
      <c r="D64" s="71" t="s">
        <v>110</v>
      </c>
      <c r="E64" s="183" t="s">
        <v>502</v>
      </c>
      <c r="F64" s="87" t="n">
        <v>0.33</v>
      </c>
      <c r="G64" s="88" t="n">
        <v>0.2</v>
      </c>
      <c r="H64" s="184"/>
      <c r="I64" s="184"/>
      <c r="J64" s="184"/>
      <c r="K64" s="185" t="n">
        <v>0.447</v>
      </c>
      <c r="L64" s="184"/>
      <c r="M64" s="184"/>
      <c r="N64" s="184"/>
      <c r="O64" s="186" t="n">
        <v>0.8</v>
      </c>
      <c r="P64" s="184"/>
      <c r="Q64" s="184"/>
      <c r="R64" s="184"/>
      <c r="S64" s="186"/>
      <c r="T64" s="184"/>
      <c r="U64" s="184"/>
      <c r="V64" s="184"/>
      <c r="W64" s="186"/>
      <c r="X64" s="92" t="n">
        <v>0.447</v>
      </c>
      <c r="Y64" s="114" t="s">
        <v>104</v>
      </c>
      <c r="Z64" s="78" t="s">
        <v>257</v>
      </c>
    </row>
    <row r="65" customFormat="false" ht="25.5" hidden="false" customHeight="true" outlineLevel="0" collapsed="false">
      <c r="A65" s="69" t="s">
        <v>258</v>
      </c>
      <c r="B65" s="70" t="s">
        <v>259</v>
      </c>
      <c r="C65" s="71" t="s">
        <v>35</v>
      </c>
      <c r="D65" s="71" t="s">
        <v>97</v>
      </c>
      <c r="E65" s="183" t="s">
        <v>502</v>
      </c>
      <c r="F65" s="115" t="n">
        <v>20.7</v>
      </c>
      <c r="G65" s="116" t="n">
        <v>21</v>
      </c>
      <c r="H65" s="184"/>
      <c r="I65" s="184"/>
      <c r="J65" s="184"/>
      <c r="K65" s="187" t="n">
        <v>10</v>
      </c>
      <c r="L65" s="184"/>
      <c r="M65" s="184"/>
      <c r="N65" s="184"/>
      <c r="O65" s="187" t="s">
        <v>173</v>
      </c>
      <c r="P65" s="184"/>
      <c r="Q65" s="184"/>
      <c r="R65" s="184"/>
      <c r="S65" s="187"/>
      <c r="T65" s="184"/>
      <c r="U65" s="184"/>
      <c r="V65" s="184"/>
      <c r="W65" s="187"/>
      <c r="X65" s="118" t="n">
        <v>10</v>
      </c>
      <c r="Y65" s="114" t="s">
        <v>104</v>
      </c>
      <c r="Z65" s="78" t="s">
        <v>257</v>
      </c>
    </row>
    <row r="66" customFormat="false" ht="25.5" hidden="false" customHeight="true" outlineLevel="0" collapsed="false">
      <c r="A66" s="69" t="s">
        <v>262</v>
      </c>
      <c r="B66" s="70" t="s">
        <v>263</v>
      </c>
      <c r="C66" s="71" t="s">
        <v>35</v>
      </c>
      <c r="D66" s="71" t="s">
        <v>110</v>
      </c>
      <c r="E66" s="183" t="s">
        <v>502</v>
      </c>
      <c r="F66" s="87" t="s">
        <v>32</v>
      </c>
      <c r="G66" s="91" t="s">
        <v>32</v>
      </c>
      <c r="H66" s="184"/>
      <c r="I66" s="184"/>
      <c r="J66" s="184"/>
      <c r="K66" s="185" t="n">
        <v>0.9</v>
      </c>
      <c r="L66" s="184"/>
      <c r="M66" s="184"/>
      <c r="N66" s="184"/>
      <c r="O66" s="186"/>
      <c r="P66" s="184"/>
      <c r="Q66" s="184"/>
      <c r="R66" s="184"/>
      <c r="S66" s="186"/>
      <c r="T66" s="184"/>
      <c r="U66" s="184"/>
      <c r="V66" s="184"/>
      <c r="W66" s="186"/>
      <c r="X66" s="92" t="n">
        <v>0.9</v>
      </c>
      <c r="Y66" s="114" t="s">
        <v>120</v>
      </c>
      <c r="Z66" s="78" t="s">
        <v>264</v>
      </c>
    </row>
    <row r="67" customFormat="false" ht="25.5" hidden="false" customHeight="true" outlineLevel="0" collapsed="false">
      <c r="A67" s="69" t="s">
        <v>265</v>
      </c>
      <c r="B67" s="70" t="s">
        <v>266</v>
      </c>
      <c r="C67" s="71" t="s">
        <v>35</v>
      </c>
      <c r="D67" s="71" t="s">
        <v>97</v>
      </c>
      <c r="E67" s="183" t="s">
        <v>502</v>
      </c>
      <c r="F67" s="87" t="n">
        <v>0.52</v>
      </c>
      <c r="G67" s="88" t="n">
        <v>0.84</v>
      </c>
      <c r="H67" s="184"/>
      <c r="I67" s="184"/>
      <c r="J67" s="184"/>
      <c r="K67" s="185" t="n">
        <v>0.483</v>
      </c>
      <c r="L67" s="184"/>
      <c r="M67" s="184"/>
      <c r="N67" s="184"/>
      <c r="O67" s="186"/>
      <c r="P67" s="184"/>
      <c r="Q67" s="184"/>
      <c r="R67" s="184"/>
      <c r="S67" s="186"/>
      <c r="T67" s="184"/>
      <c r="U67" s="184"/>
      <c r="V67" s="184"/>
      <c r="W67" s="186"/>
      <c r="X67" s="92" t="n">
        <v>0.483</v>
      </c>
      <c r="Y67" s="114" t="s">
        <v>104</v>
      </c>
      <c r="Z67" s="78" t="s">
        <v>257</v>
      </c>
    </row>
    <row r="68" customFormat="false" ht="25.5" hidden="false" customHeight="true" outlineLevel="0" collapsed="false">
      <c r="A68" s="69" t="s">
        <v>270</v>
      </c>
      <c r="B68" s="70" t="s">
        <v>271</v>
      </c>
      <c r="C68" s="71" t="s">
        <v>35</v>
      </c>
      <c r="D68" s="71" t="s">
        <v>97</v>
      </c>
      <c r="E68" s="183" t="s">
        <v>502</v>
      </c>
      <c r="F68" s="96" t="n">
        <v>4.7</v>
      </c>
      <c r="G68" s="119" t="n">
        <v>9.8</v>
      </c>
      <c r="H68" s="188"/>
      <c r="I68" s="188"/>
      <c r="J68" s="188"/>
      <c r="K68" s="189" t="n">
        <v>4.6</v>
      </c>
      <c r="L68" s="188"/>
      <c r="M68" s="188"/>
      <c r="N68" s="188"/>
      <c r="O68" s="190"/>
      <c r="P68" s="188"/>
      <c r="Q68" s="188"/>
      <c r="R68" s="188"/>
      <c r="S68" s="190"/>
      <c r="T68" s="188"/>
      <c r="U68" s="188"/>
      <c r="V68" s="188"/>
      <c r="W68" s="190"/>
      <c r="X68" s="100" t="n">
        <v>4.6</v>
      </c>
      <c r="Y68" s="114" t="s">
        <v>104</v>
      </c>
      <c r="Z68" s="78" t="s">
        <v>257</v>
      </c>
    </row>
    <row r="69" customFormat="false" ht="25.5" hidden="false" customHeight="true" outlineLevel="0" collapsed="false">
      <c r="A69" s="69" t="s">
        <v>272</v>
      </c>
      <c r="B69" s="70" t="s">
        <v>273</v>
      </c>
      <c r="C69" s="71" t="s">
        <v>35</v>
      </c>
      <c r="D69" s="71" t="s">
        <v>97</v>
      </c>
      <c r="E69" s="183" t="s">
        <v>502</v>
      </c>
      <c r="F69" s="87" t="n">
        <v>0.025</v>
      </c>
      <c r="G69" s="88" t="n">
        <v>0.04</v>
      </c>
      <c r="H69" s="184"/>
      <c r="I69" s="184"/>
      <c r="J69" s="184"/>
      <c r="K69" s="185" t="n">
        <v>0.002</v>
      </c>
      <c r="L69" s="184"/>
      <c r="M69" s="184"/>
      <c r="N69" s="184"/>
      <c r="O69" s="186"/>
      <c r="P69" s="184"/>
      <c r="Q69" s="184"/>
      <c r="R69" s="184"/>
      <c r="S69" s="186"/>
      <c r="T69" s="184"/>
      <c r="U69" s="184"/>
      <c r="V69" s="184"/>
      <c r="W69" s="186"/>
      <c r="X69" s="92" t="n">
        <v>0.002</v>
      </c>
      <c r="Y69" s="114" t="s">
        <v>104</v>
      </c>
      <c r="Z69" s="78" t="s">
        <v>257</v>
      </c>
    </row>
    <row r="70" customFormat="false" ht="25.5" hidden="false" customHeight="true" outlineLevel="0" collapsed="false">
      <c r="A70" s="69" t="s">
        <v>274</v>
      </c>
      <c r="B70" s="70" t="s">
        <v>275</v>
      </c>
      <c r="C70" s="71" t="s">
        <v>35</v>
      </c>
      <c r="D70" s="71" t="s">
        <v>110</v>
      </c>
      <c r="E70" s="183" t="s">
        <v>502</v>
      </c>
      <c r="F70" s="102" t="n">
        <v>0.3</v>
      </c>
      <c r="G70" s="82" t="n">
        <v>0.9</v>
      </c>
      <c r="H70" s="191"/>
      <c r="I70" s="191"/>
      <c r="J70" s="191"/>
      <c r="K70" s="192" t="n">
        <v>0.5</v>
      </c>
      <c r="L70" s="191"/>
      <c r="M70" s="191"/>
      <c r="N70" s="191"/>
      <c r="O70" s="193" t="s">
        <v>525</v>
      </c>
      <c r="P70" s="191"/>
      <c r="Q70" s="191"/>
      <c r="R70" s="191"/>
      <c r="S70" s="193"/>
      <c r="T70" s="191"/>
      <c r="U70" s="191"/>
      <c r="V70" s="191"/>
      <c r="W70" s="193"/>
      <c r="X70" s="104" t="n">
        <v>0.5</v>
      </c>
      <c r="Y70" s="114" t="s">
        <v>113</v>
      </c>
      <c r="Z70" s="78" t="s">
        <v>257</v>
      </c>
    </row>
    <row r="71" customFormat="false" ht="25.5" hidden="false" customHeight="true" outlineLevel="0" collapsed="false">
      <c r="A71" s="69" t="s">
        <v>277</v>
      </c>
      <c r="B71" s="70" t="s">
        <v>278</v>
      </c>
      <c r="C71" s="71" t="s">
        <v>35</v>
      </c>
      <c r="D71" s="71" t="s">
        <v>110</v>
      </c>
      <c r="E71" s="183" t="s">
        <v>502</v>
      </c>
      <c r="F71" s="87" t="n">
        <v>0.5879</v>
      </c>
      <c r="G71" s="91" t="s">
        <v>32</v>
      </c>
      <c r="H71" s="184"/>
      <c r="I71" s="184"/>
      <c r="J71" s="184"/>
      <c r="K71" s="185" t="n">
        <v>0.7187</v>
      </c>
      <c r="L71" s="184"/>
      <c r="M71" s="184"/>
      <c r="N71" s="184"/>
      <c r="O71" s="186" t="n">
        <v>0.8394</v>
      </c>
      <c r="P71" s="184"/>
      <c r="Q71" s="184"/>
      <c r="R71" s="184"/>
      <c r="S71" s="186"/>
      <c r="T71" s="184"/>
      <c r="U71" s="184"/>
      <c r="V71" s="184"/>
      <c r="W71" s="186"/>
      <c r="X71" s="92" t="n">
        <v>0.7187</v>
      </c>
      <c r="Y71" s="114" t="s">
        <v>120</v>
      </c>
      <c r="Z71" s="78" t="s">
        <v>190</v>
      </c>
    </row>
    <row r="72" customFormat="false" ht="25.5" hidden="false" customHeight="true" outlineLevel="0" collapsed="false">
      <c r="A72" s="69" t="s">
        <v>283</v>
      </c>
      <c r="B72" s="70" t="s">
        <v>284</v>
      </c>
      <c r="C72" s="71" t="s">
        <v>34</v>
      </c>
      <c r="D72" s="71" t="s">
        <v>110</v>
      </c>
      <c r="E72" s="183" t="s">
        <v>502</v>
      </c>
      <c r="F72" s="87" t="n">
        <v>0.767</v>
      </c>
      <c r="G72" s="88" t="n">
        <v>0.5</v>
      </c>
      <c r="H72" s="184"/>
      <c r="I72" s="184"/>
      <c r="J72" s="184"/>
      <c r="K72" s="186" t="n">
        <v>0.979222797927461</v>
      </c>
      <c r="L72" s="184"/>
      <c r="M72" s="184"/>
      <c r="N72" s="184"/>
      <c r="O72" s="186"/>
      <c r="P72" s="184"/>
      <c r="Q72" s="184"/>
      <c r="R72" s="184"/>
      <c r="S72" s="186"/>
      <c r="T72" s="184"/>
      <c r="U72" s="184"/>
      <c r="V72" s="184"/>
      <c r="W72" s="186"/>
      <c r="X72" s="92" t="n">
        <v>0.979222797927461</v>
      </c>
      <c r="Y72" s="114" t="s">
        <v>104</v>
      </c>
      <c r="Z72" s="78" t="s">
        <v>257</v>
      </c>
    </row>
    <row r="73" customFormat="false" ht="25.5" hidden="false" customHeight="true" outlineLevel="0" collapsed="false">
      <c r="A73" s="69" t="s">
        <v>285</v>
      </c>
      <c r="B73" s="70" t="s">
        <v>286</v>
      </c>
      <c r="C73" s="71" t="s">
        <v>34</v>
      </c>
      <c r="D73" s="71" t="s">
        <v>110</v>
      </c>
      <c r="E73" s="183" t="s">
        <v>502</v>
      </c>
      <c r="F73" s="87" t="n">
        <v>0.776</v>
      </c>
      <c r="G73" s="88" t="n">
        <v>0.5</v>
      </c>
      <c r="H73" s="184"/>
      <c r="I73" s="184"/>
      <c r="J73" s="184"/>
      <c r="K73" s="186" t="n">
        <v>0.983056994818653</v>
      </c>
      <c r="L73" s="184"/>
      <c r="M73" s="184"/>
      <c r="N73" s="184"/>
      <c r="O73" s="186"/>
      <c r="P73" s="184"/>
      <c r="Q73" s="184"/>
      <c r="R73" s="184"/>
      <c r="S73" s="186"/>
      <c r="T73" s="184"/>
      <c r="U73" s="184"/>
      <c r="V73" s="184"/>
      <c r="W73" s="186"/>
      <c r="X73" s="92" t="n">
        <v>0.983056994818653</v>
      </c>
      <c r="Y73" s="114" t="s">
        <v>104</v>
      </c>
      <c r="Z73" s="78" t="s">
        <v>257</v>
      </c>
    </row>
    <row r="74" customFormat="false" ht="25.5" hidden="false" customHeight="true" outlineLevel="0" collapsed="false">
      <c r="A74" s="69" t="s">
        <v>287</v>
      </c>
      <c r="B74" s="70" t="s">
        <v>288</v>
      </c>
      <c r="C74" s="71" t="s">
        <v>34</v>
      </c>
      <c r="D74" s="71" t="s">
        <v>110</v>
      </c>
      <c r="E74" s="183" t="s">
        <v>502</v>
      </c>
      <c r="F74" s="87" t="n">
        <v>0.454</v>
      </c>
      <c r="G74" s="88" t="n">
        <v>0.3</v>
      </c>
      <c r="H74" s="184"/>
      <c r="I74" s="184"/>
      <c r="J74" s="184"/>
      <c r="K74" s="186" t="n">
        <v>0.839603046388184</v>
      </c>
      <c r="L74" s="184"/>
      <c r="M74" s="184"/>
      <c r="N74" s="184"/>
      <c r="O74" s="186"/>
      <c r="P74" s="184"/>
      <c r="Q74" s="184"/>
      <c r="R74" s="184"/>
      <c r="S74" s="186"/>
      <c r="T74" s="184"/>
      <c r="U74" s="184"/>
      <c r="V74" s="184"/>
      <c r="W74" s="186"/>
      <c r="X74" s="92" t="n">
        <v>0.839603046388184</v>
      </c>
      <c r="Y74" s="114" t="s">
        <v>104</v>
      </c>
      <c r="Z74" s="78" t="s">
        <v>257</v>
      </c>
    </row>
    <row r="75" customFormat="false" ht="25.5" hidden="false" customHeight="true" outlineLevel="0" collapsed="false">
      <c r="A75" s="69" t="s">
        <v>289</v>
      </c>
      <c r="B75" s="70" t="s">
        <v>290</v>
      </c>
      <c r="C75" s="71" t="s">
        <v>34</v>
      </c>
      <c r="D75" s="71" t="s">
        <v>110</v>
      </c>
      <c r="E75" s="183" t="s">
        <v>502</v>
      </c>
      <c r="F75" s="87" t="n">
        <v>0.637</v>
      </c>
      <c r="G75" s="88" t="n">
        <v>0.5</v>
      </c>
      <c r="H75" s="184"/>
      <c r="I75" s="184"/>
      <c r="J75" s="184"/>
      <c r="K75" s="186" t="n">
        <v>1.04201101928375</v>
      </c>
      <c r="L75" s="184"/>
      <c r="M75" s="184"/>
      <c r="N75" s="184"/>
      <c r="O75" s="186"/>
      <c r="P75" s="184"/>
      <c r="Q75" s="184"/>
      <c r="R75" s="184"/>
      <c r="S75" s="186"/>
      <c r="T75" s="184"/>
      <c r="U75" s="184"/>
      <c r="V75" s="184"/>
      <c r="W75" s="186"/>
      <c r="X75" s="92" t="n">
        <v>1.04201101928375</v>
      </c>
      <c r="Y75" s="114" t="s">
        <v>104</v>
      </c>
      <c r="Z75" s="78" t="s">
        <v>257</v>
      </c>
    </row>
    <row r="76" customFormat="false" ht="25.5" hidden="false" customHeight="true" outlineLevel="0" collapsed="false">
      <c r="A76" s="69" t="s">
        <v>291</v>
      </c>
      <c r="B76" s="70" t="s">
        <v>292</v>
      </c>
      <c r="C76" s="71" t="s">
        <v>34</v>
      </c>
      <c r="D76" s="71" t="s">
        <v>110</v>
      </c>
      <c r="E76" s="183" t="s">
        <v>502</v>
      </c>
      <c r="F76" s="87" t="n">
        <v>0.92</v>
      </c>
      <c r="G76" s="88" t="n">
        <v>0.3</v>
      </c>
      <c r="H76" s="184"/>
      <c r="I76" s="184"/>
      <c r="J76" s="184"/>
      <c r="K76" s="186" t="n">
        <v>1.35135135135135</v>
      </c>
      <c r="L76" s="184"/>
      <c r="M76" s="184"/>
      <c r="N76" s="184"/>
      <c r="O76" s="186"/>
      <c r="P76" s="184"/>
      <c r="Q76" s="184"/>
      <c r="R76" s="184"/>
      <c r="S76" s="186"/>
      <c r="T76" s="184"/>
      <c r="U76" s="184"/>
      <c r="V76" s="184"/>
      <c r="W76" s="186"/>
      <c r="X76" s="92" t="n">
        <v>1.35135135135135</v>
      </c>
      <c r="Y76" s="114" t="s">
        <v>104</v>
      </c>
      <c r="Z76" s="78" t="s">
        <v>257</v>
      </c>
    </row>
    <row r="77" customFormat="false" ht="25.5" hidden="false" customHeight="true" outlineLevel="0" collapsed="false">
      <c r="A77" s="69" t="s">
        <v>293</v>
      </c>
      <c r="B77" s="70" t="s">
        <v>294</v>
      </c>
      <c r="C77" s="71" t="s">
        <v>34</v>
      </c>
      <c r="D77" s="71" t="s">
        <v>110</v>
      </c>
      <c r="E77" s="183" t="s">
        <v>502</v>
      </c>
      <c r="F77" s="87" t="n">
        <v>0.88</v>
      </c>
      <c r="G77" s="88" t="n">
        <v>0.3</v>
      </c>
      <c r="H77" s="184"/>
      <c r="I77" s="184"/>
      <c r="J77" s="184"/>
      <c r="K77" s="186" t="n">
        <v>1.03454545454545</v>
      </c>
      <c r="L77" s="184"/>
      <c r="M77" s="184"/>
      <c r="N77" s="184"/>
      <c r="O77" s="186"/>
      <c r="P77" s="184"/>
      <c r="Q77" s="184"/>
      <c r="R77" s="184"/>
      <c r="S77" s="186"/>
      <c r="T77" s="184"/>
      <c r="U77" s="184"/>
      <c r="V77" s="184"/>
      <c r="W77" s="186"/>
      <c r="X77" s="92" t="n">
        <v>1.03454545454545</v>
      </c>
      <c r="Y77" s="114" t="s">
        <v>104</v>
      </c>
      <c r="Z77" s="78" t="s">
        <v>257</v>
      </c>
    </row>
    <row r="78" customFormat="false" ht="25.5" hidden="false" customHeight="true" outlineLevel="0" collapsed="false">
      <c r="A78" s="69" t="s">
        <v>295</v>
      </c>
      <c r="B78" s="70" t="s">
        <v>296</v>
      </c>
      <c r="C78" s="71" t="s">
        <v>34</v>
      </c>
      <c r="D78" s="71" t="s">
        <v>110</v>
      </c>
      <c r="E78" s="183" t="s">
        <v>502</v>
      </c>
      <c r="F78" s="87" t="n">
        <v>0.841</v>
      </c>
      <c r="G78" s="88" t="n">
        <v>0.3</v>
      </c>
      <c r="H78" s="184"/>
      <c r="I78" s="184"/>
      <c r="J78" s="184"/>
      <c r="K78" s="186" t="n">
        <v>0.914</v>
      </c>
      <c r="L78" s="184"/>
      <c r="M78" s="184"/>
      <c r="N78" s="184"/>
      <c r="O78" s="186"/>
      <c r="P78" s="184"/>
      <c r="Q78" s="184"/>
      <c r="R78" s="184"/>
      <c r="S78" s="186"/>
      <c r="T78" s="184"/>
      <c r="U78" s="184"/>
      <c r="V78" s="184"/>
      <c r="W78" s="186"/>
      <c r="X78" s="92" t="n">
        <v>0.914</v>
      </c>
      <c r="Y78" s="114" t="s">
        <v>104</v>
      </c>
      <c r="Z78" s="78" t="s">
        <v>257</v>
      </c>
    </row>
    <row r="79" customFormat="false" ht="25.5" hidden="false" customHeight="true" outlineLevel="0" collapsed="false">
      <c r="A79" s="69" t="s">
        <v>297</v>
      </c>
      <c r="B79" s="70" t="s">
        <v>298</v>
      </c>
      <c r="C79" s="71" t="s">
        <v>34</v>
      </c>
      <c r="D79" s="71" t="s">
        <v>110</v>
      </c>
      <c r="E79" s="183" t="s">
        <v>502</v>
      </c>
      <c r="F79" s="87" t="n">
        <v>1</v>
      </c>
      <c r="G79" s="88" t="n">
        <v>0.9</v>
      </c>
      <c r="H79" s="184"/>
      <c r="I79" s="184"/>
      <c r="J79" s="184"/>
      <c r="K79" s="186" t="n">
        <v>0.880819366852886</v>
      </c>
      <c r="L79" s="184"/>
      <c r="M79" s="184"/>
      <c r="N79" s="184"/>
      <c r="O79" s="186"/>
      <c r="P79" s="184"/>
      <c r="Q79" s="184"/>
      <c r="R79" s="184"/>
      <c r="S79" s="186"/>
      <c r="T79" s="184"/>
      <c r="U79" s="184"/>
      <c r="V79" s="184"/>
      <c r="W79" s="186"/>
      <c r="X79" s="92" t="n">
        <v>0.880819366852886</v>
      </c>
      <c r="Y79" s="114" t="s">
        <v>113</v>
      </c>
      <c r="Z79" s="78" t="s">
        <v>257</v>
      </c>
    </row>
    <row r="80" customFormat="false" ht="25.5" hidden="false" customHeight="true" outlineLevel="0" collapsed="false">
      <c r="A80" s="69" t="s">
        <v>299</v>
      </c>
      <c r="B80" s="70" t="s">
        <v>300</v>
      </c>
      <c r="C80" s="71" t="s">
        <v>34</v>
      </c>
      <c r="D80" s="71" t="s">
        <v>110</v>
      </c>
      <c r="E80" s="183" t="s">
        <v>502</v>
      </c>
      <c r="F80" s="87" t="n">
        <v>0.938</v>
      </c>
      <c r="G80" s="88" t="n">
        <v>0.9</v>
      </c>
      <c r="H80" s="184"/>
      <c r="I80" s="184"/>
      <c r="J80" s="184"/>
      <c r="K80" s="186" t="n">
        <v>0.956937799043062</v>
      </c>
      <c r="L80" s="184"/>
      <c r="M80" s="184"/>
      <c r="N80" s="184"/>
      <c r="O80" s="186"/>
      <c r="P80" s="184"/>
      <c r="Q80" s="184"/>
      <c r="R80" s="184"/>
      <c r="S80" s="186"/>
      <c r="T80" s="184"/>
      <c r="U80" s="184"/>
      <c r="V80" s="184"/>
      <c r="W80" s="186"/>
      <c r="X80" s="92" t="n">
        <v>0.956937799043062</v>
      </c>
      <c r="Y80" s="114" t="s">
        <v>104</v>
      </c>
      <c r="Z80" s="78" t="s">
        <v>257</v>
      </c>
    </row>
    <row r="81" customFormat="false" ht="25.5" hidden="false" customHeight="true" outlineLevel="0" collapsed="false">
      <c r="A81" s="69" t="s">
        <v>301</v>
      </c>
      <c r="B81" s="70" t="s">
        <v>302</v>
      </c>
      <c r="C81" s="71" t="s">
        <v>34</v>
      </c>
      <c r="D81" s="71" t="s">
        <v>110</v>
      </c>
      <c r="E81" s="183" t="s">
        <v>502</v>
      </c>
      <c r="F81" s="87" t="n">
        <v>0.995</v>
      </c>
      <c r="G81" s="91" t="n">
        <v>0.6</v>
      </c>
      <c r="H81" s="184"/>
      <c r="I81" s="184"/>
      <c r="J81" s="184"/>
      <c r="K81" s="185" t="n">
        <v>1.0096</v>
      </c>
      <c r="L81" s="184"/>
      <c r="M81" s="184"/>
      <c r="N81" s="184"/>
      <c r="O81" s="186" t="n">
        <v>1.04</v>
      </c>
      <c r="P81" s="184"/>
      <c r="Q81" s="184"/>
      <c r="R81" s="184"/>
      <c r="S81" s="186"/>
      <c r="T81" s="184"/>
      <c r="U81" s="184"/>
      <c r="V81" s="184"/>
      <c r="W81" s="186" t="n">
        <v>1.12825</v>
      </c>
      <c r="X81" s="92" t="n">
        <v>1.0096</v>
      </c>
      <c r="Y81" s="114" t="s">
        <v>104</v>
      </c>
      <c r="Z81" s="78" t="s">
        <v>257</v>
      </c>
    </row>
    <row r="82" customFormat="false" ht="25.5" hidden="false" customHeight="true" outlineLevel="0" collapsed="false">
      <c r="A82" s="69" t="s">
        <v>305</v>
      </c>
      <c r="B82" s="70" t="s">
        <v>306</v>
      </c>
      <c r="C82" s="71" t="s">
        <v>34</v>
      </c>
      <c r="D82" s="71" t="s">
        <v>97</v>
      </c>
      <c r="E82" s="183" t="s">
        <v>502</v>
      </c>
      <c r="F82" s="87" t="s">
        <v>32</v>
      </c>
      <c r="G82" s="91" t="s">
        <v>32</v>
      </c>
      <c r="H82" s="184"/>
      <c r="I82" s="184"/>
      <c r="J82" s="184"/>
      <c r="K82" s="185" t="n">
        <v>0.255230125523013</v>
      </c>
      <c r="L82" s="184"/>
      <c r="M82" s="184"/>
      <c r="N82" s="184"/>
      <c r="O82" s="186" t="n">
        <v>274</v>
      </c>
      <c r="P82" s="184"/>
      <c r="Q82" s="184"/>
      <c r="R82" s="184"/>
      <c r="S82" s="186"/>
      <c r="T82" s="184"/>
      <c r="U82" s="184"/>
      <c r="V82" s="184"/>
      <c r="W82" s="186"/>
      <c r="X82" s="92" t="n">
        <v>0.255230125523013</v>
      </c>
      <c r="Y82" s="114" t="s">
        <v>120</v>
      </c>
      <c r="Z82" s="78" t="s">
        <v>307</v>
      </c>
    </row>
    <row r="83" customFormat="false" ht="25.5" hidden="false" customHeight="true" outlineLevel="0" collapsed="false">
      <c r="A83" s="69" t="s">
        <v>308</v>
      </c>
      <c r="B83" s="70" t="s">
        <v>309</v>
      </c>
      <c r="C83" s="71" t="s">
        <v>34</v>
      </c>
      <c r="D83" s="71" t="s">
        <v>97</v>
      </c>
      <c r="E83" s="183" t="s">
        <v>502</v>
      </c>
      <c r="F83" s="102" t="n">
        <v>0</v>
      </c>
      <c r="G83" s="121" t="n">
        <v>15</v>
      </c>
      <c r="H83" s="191"/>
      <c r="I83" s="191"/>
      <c r="J83" s="191"/>
      <c r="K83" s="192" t="n">
        <v>0</v>
      </c>
      <c r="L83" s="191"/>
      <c r="M83" s="191"/>
      <c r="N83" s="191"/>
      <c r="O83" s="193" t="n">
        <v>0.1</v>
      </c>
      <c r="P83" s="191"/>
      <c r="Q83" s="191"/>
      <c r="R83" s="191"/>
      <c r="S83" s="193"/>
      <c r="T83" s="191"/>
      <c r="U83" s="191"/>
      <c r="V83" s="191"/>
      <c r="W83" s="193"/>
      <c r="X83" s="104" t="n">
        <v>0</v>
      </c>
      <c r="Y83" s="114" t="s">
        <v>104</v>
      </c>
      <c r="Z83" s="78" t="s">
        <v>257</v>
      </c>
    </row>
    <row r="84" customFormat="false" ht="25.5" hidden="false" customHeight="true" outlineLevel="0" collapsed="false">
      <c r="A84" s="69" t="s">
        <v>311</v>
      </c>
      <c r="B84" s="70" t="s">
        <v>312</v>
      </c>
      <c r="C84" s="71" t="s">
        <v>34</v>
      </c>
      <c r="D84" s="71" t="s">
        <v>97</v>
      </c>
      <c r="E84" s="183" t="s">
        <v>502</v>
      </c>
      <c r="F84" s="102" t="n">
        <v>0.4</v>
      </c>
      <c r="G84" s="75" t="n">
        <v>0.7</v>
      </c>
      <c r="H84" s="191"/>
      <c r="I84" s="191"/>
      <c r="J84" s="191"/>
      <c r="K84" s="192" t="n">
        <v>0</v>
      </c>
      <c r="L84" s="191"/>
      <c r="M84" s="191"/>
      <c r="N84" s="191"/>
      <c r="O84" s="193" t="n">
        <v>0</v>
      </c>
      <c r="P84" s="191"/>
      <c r="Q84" s="191"/>
      <c r="R84" s="191"/>
      <c r="S84" s="193"/>
      <c r="T84" s="191"/>
      <c r="U84" s="191"/>
      <c r="V84" s="191"/>
      <c r="W84" s="193"/>
      <c r="X84" s="104" t="n">
        <v>0</v>
      </c>
      <c r="Y84" s="114" t="s">
        <v>104</v>
      </c>
      <c r="Z84" s="78" t="s">
        <v>257</v>
      </c>
    </row>
    <row r="85" customFormat="false" ht="25.5" hidden="false" customHeight="true" outlineLevel="0" collapsed="false">
      <c r="A85" s="69" t="s">
        <v>313</v>
      </c>
      <c r="B85" s="70" t="s">
        <v>314</v>
      </c>
      <c r="C85" s="71" t="s">
        <v>34</v>
      </c>
      <c r="D85" s="71" t="s">
        <v>97</v>
      </c>
      <c r="E85" s="183" t="s">
        <v>502</v>
      </c>
      <c r="F85" s="102" t="n">
        <v>0.13</v>
      </c>
      <c r="G85" s="122" t="n">
        <v>11</v>
      </c>
      <c r="H85" s="191"/>
      <c r="I85" s="191"/>
      <c r="J85" s="191"/>
      <c r="K85" s="192" t="n">
        <v>0</v>
      </c>
      <c r="L85" s="191"/>
      <c r="M85" s="191"/>
      <c r="N85" s="191"/>
      <c r="O85" s="193" t="n">
        <v>0</v>
      </c>
      <c r="P85" s="191"/>
      <c r="Q85" s="191"/>
      <c r="R85" s="191"/>
      <c r="S85" s="193"/>
      <c r="T85" s="191"/>
      <c r="U85" s="191"/>
      <c r="V85" s="191"/>
      <c r="W85" s="193"/>
      <c r="X85" s="104" t="n">
        <v>0</v>
      </c>
      <c r="Y85" s="114" t="s">
        <v>104</v>
      </c>
      <c r="Z85" s="78" t="s">
        <v>257</v>
      </c>
    </row>
    <row r="86" customFormat="false" ht="25.5" hidden="false" customHeight="true" outlineLevel="0" collapsed="false">
      <c r="A86" s="69" t="s">
        <v>315</v>
      </c>
      <c r="B86" s="70" t="s">
        <v>316</v>
      </c>
      <c r="C86" s="71" t="s">
        <v>34</v>
      </c>
      <c r="D86" s="71" t="s">
        <v>97</v>
      </c>
      <c r="E86" s="183" t="s">
        <v>502</v>
      </c>
      <c r="F86" s="102" t="n">
        <v>0.47</v>
      </c>
      <c r="G86" s="82" t="n">
        <v>0.4</v>
      </c>
      <c r="H86" s="191"/>
      <c r="I86" s="191"/>
      <c r="J86" s="191"/>
      <c r="K86" s="192" t="n">
        <v>0</v>
      </c>
      <c r="L86" s="191"/>
      <c r="M86" s="191"/>
      <c r="N86" s="191"/>
      <c r="O86" s="193" t="n">
        <v>0</v>
      </c>
      <c r="P86" s="191"/>
      <c r="Q86" s="191"/>
      <c r="R86" s="191"/>
      <c r="S86" s="193"/>
      <c r="T86" s="191"/>
      <c r="U86" s="191"/>
      <c r="V86" s="191"/>
      <c r="W86" s="193"/>
      <c r="X86" s="104" t="n">
        <v>0</v>
      </c>
      <c r="Y86" s="114" t="s">
        <v>104</v>
      </c>
      <c r="Z86" s="78" t="s">
        <v>100</v>
      </c>
    </row>
    <row r="87" customFormat="false" ht="25.5" hidden="false" customHeight="true" outlineLevel="0" collapsed="false">
      <c r="A87" s="69" t="s">
        <v>317</v>
      </c>
      <c r="B87" s="70" t="s">
        <v>318</v>
      </c>
      <c r="C87" s="71" t="s">
        <v>34</v>
      </c>
      <c r="D87" s="71" t="s">
        <v>97</v>
      </c>
      <c r="E87" s="183" t="s">
        <v>502</v>
      </c>
      <c r="F87" s="102" t="n">
        <v>0.36</v>
      </c>
      <c r="G87" s="82" t="n">
        <v>0.306</v>
      </c>
      <c r="H87" s="191"/>
      <c r="I87" s="191"/>
      <c r="J87" s="191"/>
      <c r="K87" s="192" t="n">
        <v>0</v>
      </c>
      <c r="L87" s="191"/>
      <c r="M87" s="191"/>
      <c r="N87" s="191"/>
      <c r="O87" s="193" t="n">
        <v>0</v>
      </c>
      <c r="P87" s="191"/>
      <c r="Q87" s="191"/>
      <c r="R87" s="191"/>
      <c r="S87" s="193"/>
      <c r="T87" s="191"/>
      <c r="U87" s="191"/>
      <c r="V87" s="191"/>
      <c r="W87" s="193"/>
      <c r="X87" s="104" t="n">
        <v>0</v>
      </c>
      <c r="Y87" s="114" t="s">
        <v>104</v>
      </c>
      <c r="Z87" s="78" t="s">
        <v>224</v>
      </c>
    </row>
    <row r="88" customFormat="false" ht="25.5" hidden="false" customHeight="true" outlineLevel="0" collapsed="false">
      <c r="A88" s="69" t="s">
        <v>319</v>
      </c>
      <c r="B88" s="70" t="s">
        <v>320</v>
      </c>
      <c r="C88" s="71" t="s">
        <v>34</v>
      </c>
      <c r="D88" s="71" t="s">
        <v>97</v>
      </c>
      <c r="E88" s="183" t="s">
        <v>502</v>
      </c>
      <c r="F88" s="102" t="n">
        <v>4.5</v>
      </c>
      <c r="G88" s="75" t="s">
        <v>32</v>
      </c>
      <c r="H88" s="191"/>
      <c r="I88" s="191"/>
      <c r="J88" s="191"/>
      <c r="K88" s="192" t="n">
        <v>0</v>
      </c>
      <c r="L88" s="191"/>
      <c r="M88" s="191"/>
      <c r="N88" s="191"/>
      <c r="O88" s="193" t="n">
        <v>0</v>
      </c>
      <c r="P88" s="191"/>
      <c r="Q88" s="191"/>
      <c r="R88" s="191"/>
      <c r="S88" s="193"/>
      <c r="T88" s="191"/>
      <c r="U88" s="191"/>
      <c r="V88" s="191"/>
      <c r="W88" s="193"/>
      <c r="X88" s="104" t="n">
        <v>0</v>
      </c>
      <c r="Y88" s="114" t="s">
        <v>120</v>
      </c>
      <c r="Z88" s="78" t="s">
        <v>100</v>
      </c>
    </row>
    <row r="89" customFormat="false" ht="25.5" hidden="false" customHeight="true" outlineLevel="0" collapsed="false">
      <c r="A89" s="69" t="s">
        <v>321</v>
      </c>
      <c r="B89" s="70" t="s">
        <v>322</v>
      </c>
      <c r="C89" s="71" t="s">
        <v>34</v>
      </c>
      <c r="D89" s="71" t="s">
        <v>97</v>
      </c>
      <c r="E89" s="183" t="s">
        <v>502</v>
      </c>
      <c r="F89" s="102" t="n">
        <v>3.1</v>
      </c>
      <c r="G89" s="82" t="n">
        <v>2.64</v>
      </c>
      <c r="H89" s="191"/>
      <c r="I89" s="191"/>
      <c r="J89" s="191"/>
      <c r="K89" s="192" t="n">
        <v>11.6279069767442</v>
      </c>
      <c r="L89" s="191"/>
      <c r="M89" s="191"/>
      <c r="N89" s="191"/>
      <c r="O89" s="193" t="n">
        <v>4.46</v>
      </c>
      <c r="P89" s="191"/>
      <c r="Q89" s="191"/>
      <c r="R89" s="191"/>
      <c r="S89" s="193"/>
      <c r="T89" s="191"/>
      <c r="U89" s="191"/>
      <c r="V89" s="191"/>
      <c r="W89" s="193"/>
      <c r="X89" s="104" t="n">
        <v>11.6279069767442</v>
      </c>
      <c r="Y89" s="114" t="s">
        <v>113</v>
      </c>
      <c r="Z89" s="78" t="s">
        <v>100</v>
      </c>
    </row>
    <row r="90" customFormat="false" ht="25.5" hidden="false" customHeight="true" outlineLevel="0" collapsed="false">
      <c r="A90" s="69" t="s">
        <v>323</v>
      </c>
      <c r="B90" s="70" t="s">
        <v>324</v>
      </c>
      <c r="C90" s="71" t="s">
        <v>34</v>
      </c>
      <c r="D90" s="71" t="s">
        <v>97</v>
      </c>
      <c r="E90" s="183" t="s">
        <v>502</v>
      </c>
      <c r="F90" s="102" t="n">
        <v>0.9</v>
      </c>
      <c r="G90" s="122" t="n">
        <v>1.5</v>
      </c>
      <c r="H90" s="191"/>
      <c r="I90" s="191"/>
      <c r="J90" s="191"/>
      <c r="K90" s="192" t="n">
        <v>0</v>
      </c>
      <c r="L90" s="191"/>
      <c r="M90" s="191"/>
      <c r="N90" s="191"/>
      <c r="O90" s="193" t="n">
        <v>0</v>
      </c>
      <c r="P90" s="191"/>
      <c r="Q90" s="191"/>
      <c r="R90" s="191"/>
      <c r="S90" s="193"/>
      <c r="T90" s="191"/>
      <c r="U90" s="191"/>
      <c r="V90" s="191"/>
      <c r="W90" s="193"/>
      <c r="X90" s="104" t="n">
        <v>0</v>
      </c>
      <c r="Y90" s="114" t="s">
        <v>104</v>
      </c>
      <c r="Z90" s="78" t="s">
        <v>257</v>
      </c>
    </row>
    <row r="91" customFormat="false" ht="25.5" hidden="false" customHeight="true" outlineLevel="0" collapsed="false">
      <c r="A91" s="69" t="s">
        <v>325</v>
      </c>
      <c r="B91" s="70" t="s">
        <v>326</v>
      </c>
      <c r="C91" s="71" t="s">
        <v>34</v>
      </c>
      <c r="D91" s="71" t="s">
        <v>110</v>
      </c>
      <c r="E91" s="183" t="s">
        <v>502</v>
      </c>
      <c r="F91" s="102" t="n">
        <v>0.9</v>
      </c>
      <c r="G91" s="82" t="n">
        <v>3</v>
      </c>
      <c r="H91" s="191"/>
      <c r="I91" s="191"/>
      <c r="J91" s="191"/>
      <c r="K91" s="192" t="n">
        <v>0.6</v>
      </c>
      <c r="L91" s="191"/>
      <c r="M91" s="191"/>
      <c r="N91" s="191"/>
      <c r="O91" s="193" t="n">
        <v>0.6</v>
      </c>
      <c r="P91" s="191"/>
      <c r="Q91" s="191"/>
      <c r="R91" s="191"/>
      <c r="S91" s="193"/>
      <c r="T91" s="191"/>
      <c r="U91" s="191"/>
      <c r="V91" s="191"/>
      <c r="W91" s="193"/>
      <c r="X91" s="104" t="n">
        <v>0.6</v>
      </c>
      <c r="Y91" s="114" t="s">
        <v>113</v>
      </c>
      <c r="Z91" s="78" t="s">
        <v>257</v>
      </c>
    </row>
    <row r="92" customFormat="false" ht="25.5" hidden="false" customHeight="true" outlineLevel="0" collapsed="false">
      <c r="A92" s="69" t="s">
        <v>327</v>
      </c>
      <c r="B92" s="70" t="s">
        <v>328</v>
      </c>
      <c r="C92" s="71" t="s">
        <v>34</v>
      </c>
      <c r="D92" s="71" t="s">
        <v>110</v>
      </c>
      <c r="E92" s="183" t="s">
        <v>502</v>
      </c>
      <c r="F92" s="87" t="n">
        <v>0.777</v>
      </c>
      <c r="G92" s="88" t="n">
        <v>0.7</v>
      </c>
      <c r="H92" s="184"/>
      <c r="I92" s="184"/>
      <c r="J92" s="184"/>
      <c r="K92" s="185" t="n">
        <v>0.696</v>
      </c>
      <c r="L92" s="184"/>
      <c r="M92" s="184"/>
      <c r="N92" s="184"/>
      <c r="O92" s="186" t="n">
        <v>0.7044</v>
      </c>
      <c r="P92" s="184"/>
      <c r="Q92" s="184"/>
      <c r="R92" s="184"/>
      <c r="S92" s="186"/>
      <c r="T92" s="184"/>
      <c r="U92" s="184"/>
      <c r="V92" s="184"/>
      <c r="W92" s="186"/>
      <c r="X92" s="92" t="n">
        <v>0.696</v>
      </c>
      <c r="Y92" s="114" t="s">
        <v>113</v>
      </c>
      <c r="Z92" s="78" t="s">
        <v>257</v>
      </c>
    </row>
    <row r="93" customFormat="false" ht="25.5" hidden="false" customHeight="true" outlineLevel="0" collapsed="false">
      <c r="A93" s="69" t="s">
        <v>329</v>
      </c>
      <c r="B93" s="70" t="s">
        <v>330</v>
      </c>
      <c r="C93" s="71" t="s">
        <v>34</v>
      </c>
      <c r="D93" s="71" t="s">
        <v>97</v>
      </c>
      <c r="E93" s="183" t="s">
        <v>502</v>
      </c>
      <c r="F93" s="102" t="n">
        <v>28.6</v>
      </c>
      <c r="G93" s="122" t="n">
        <v>14.3</v>
      </c>
      <c r="H93" s="191"/>
      <c r="I93" s="191"/>
      <c r="J93" s="191"/>
      <c r="K93" s="192" t="n">
        <v>83.3</v>
      </c>
      <c r="L93" s="191"/>
      <c r="M93" s="191"/>
      <c r="N93" s="191"/>
      <c r="O93" s="193" t="n">
        <v>0.063</v>
      </c>
      <c r="P93" s="191"/>
      <c r="Q93" s="191"/>
      <c r="R93" s="191"/>
      <c r="S93" s="193"/>
      <c r="T93" s="191"/>
      <c r="U93" s="191"/>
      <c r="V93" s="191"/>
      <c r="W93" s="193"/>
      <c r="X93" s="104" t="n">
        <v>83.3</v>
      </c>
      <c r="Y93" s="114" t="s">
        <v>113</v>
      </c>
      <c r="Z93" s="78" t="s">
        <v>257</v>
      </c>
    </row>
    <row r="94" customFormat="false" ht="25.5" hidden="false" customHeight="true" outlineLevel="0" collapsed="false">
      <c r="A94" s="69" t="s">
        <v>333</v>
      </c>
      <c r="B94" s="70" t="s">
        <v>334</v>
      </c>
      <c r="C94" s="71" t="s">
        <v>166</v>
      </c>
      <c r="D94" s="71" t="s">
        <v>110</v>
      </c>
      <c r="E94" s="183" t="s">
        <v>502</v>
      </c>
      <c r="F94" s="87" t="n">
        <v>0.624</v>
      </c>
      <c r="G94" s="91" t="n">
        <v>0.6</v>
      </c>
      <c r="H94" s="184"/>
      <c r="I94" s="184"/>
      <c r="J94" s="184"/>
      <c r="K94" s="186" t="n">
        <v>0.923</v>
      </c>
      <c r="L94" s="184"/>
      <c r="M94" s="184"/>
      <c r="N94" s="184"/>
      <c r="O94" s="186"/>
      <c r="P94" s="184"/>
      <c r="Q94" s="184"/>
      <c r="R94" s="184"/>
      <c r="S94" s="186"/>
      <c r="T94" s="184"/>
      <c r="U94" s="184"/>
      <c r="V94" s="184"/>
      <c r="W94" s="186"/>
      <c r="X94" s="92" t="n">
        <v>0.923</v>
      </c>
      <c r="Y94" s="114" t="s">
        <v>104</v>
      </c>
      <c r="Z94" s="78" t="s">
        <v>257</v>
      </c>
    </row>
    <row r="95" customFormat="false" ht="25.5" hidden="false" customHeight="true" outlineLevel="0" collapsed="false">
      <c r="A95" s="69" t="s">
        <v>335</v>
      </c>
      <c r="B95" s="70" t="s">
        <v>336</v>
      </c>
      <c r="C95" s="71" t="s">
        <v>166</v>
      </c>
      <c r="D95" s="71" t="s">
        <v>110</v>
      </c>
      <c r="E95" s="183" t="s">
        <v>502</v>
      </c>
      <c r="F95" s="87" t="n">
        <v>0.76</v>
      </c>
      <c r="G95" s="91" t="n">
        <v>0.7</v>
      </c>
      <c r="H95" s="184"/>
      <c r="I95" s="184"/>
      <c r="J95" s="184"/>
      <c r="K95" s="186"/>
      <c r="L95" s="184"/>
      <c r="M95" s="184"/>
      <c r="N95" s="184"/>
      <c r="O95" s="186"/>
      <c r="P95" s="184"/>
      <c r="Q95" s="184"/>
      <c r="R95" s="184"/>
      <c r="S95" s="186"/>
      <c r="T95" s="184"/>
      <c r="U95" s="184"/>
      <c r="V95" s="184"/>
      <c r="W95" s="186"/>
      <c r="X95" s="92"/>
      <c r="Y95" s="114" t="s">
        <v>99</v>
      </c>
      <c r="Z95" s="78" t="s">
        <v>257</v>
      </c>
    </row>
    <row r="96" customFormat="false" ht="25.5" hidden="false" customHeight="true" outlineLevel="0" collapsed="false">
      <c r="A96" s="69" t="s">
        <v>337</v>
      </c>
      <c r="B96" s="70" t="s">
        <v>338</v>
      </c>
      <c r="C96" s="71" t="s">
        <v>166</v>
      </c>
      <c r="D96" s="71" t="s">
        <v>110</v>
      </c>
      <c r="E96" s="183" t="s">
        <v>502</v>
      </c>
      <c r="F96" s="87" t="n">
        <v>0.821</v>
      </c>
      <c r="G96" s="91" t="n">
        <v>0.7</v>
      </c>
      <c r="H96" s="184"/>
      <c r="I96" s="184"/>
      <c r="J96" s="184"/>
      <c r="K96" s="186"/>
      <c r="L96" s="184"/>
      <c r="M96" s="184"/>
      <c r="N96" s="184"/>
      <c r="O96" s="186"/>
      <c r="P96" s="184"/>
      <c r="Q96" s="184"/>
      <c r="R96" s="184"/>
      <c r="S96" s="186"/>
      <c r="T96" s="184"/>
      <c r="U96" s="184"/>
      <c r="V96" s="184"/>
      <c r="W96" s="186"/>
      <c r="X96" s="92"/>
      <c r="Y96" s="114" t="s">
        <v>99</v>
      </c>
      <c r="Z96" s="78" t="s">
        <v>257</v>
      </c>
    </row>
    <row r="97" customFormat="false" ht="25.5" hidden="false" customHeight="true" outlineLevel="0" collapsed="false">
      <c r="A97" s="69" t="s">
        <v>339</v>
      </c>
      <c r="B97" s="70" t="s">
        <v>340</v>
      </c>
      <c r="C97" s="71" t="s">
        <v>166</v>
      </c>
      <c r="D97" s="71" t="s">
        <v>110</v>
      </c>
      <c r="E97" s="183" t="s">
        <v>502</v>
      </c>
      <c r="F97" s="87" t="n">
        <v>0.91</v>
      </c>
      <c r="G97" s="88" t="n">
        <v>0.92</v>
      </c>
      <c r="H97" s="184"/>
      <c r="I97" s="184"/>
      <c r="J97" s="184"/>
      <c r="K97" s="185" t="n">
        <v>0.7</v>
      </c>
      <c r="L97" s="184"/>
      <c r="M97" s="184"/>
      <c r="N97" s="184"/>
      <c r="O97" s="186" t="n">
        <v>0.7</v>
      </c>
      <c r="P97" s="184"/>
      <c r="Q97" s="184"/>
      <c r="R97" s="184"/>
      <c r="S97" s="186"/>
      <c r="T97" s="184"/>
      <c r="U97" s="184"/>
      <c r="V97" s="184"/>
      <c r="W97" s="186"/>
      <c r="X97" s="92" t="n">
        <v>0.7</v>
      </c>
      <c r="Y97" s="114" t="s">
        <v>113</v>
      </c>
      <c r="Z97" s="78" t="s">
        <v>341</v>
      </c>
    </row>
    <row r="98" customFormat="false" ht="25.5" hidden="false" customHeight="true" outlineLevel="0" collapsed="false">
      <c r="A98" s="69" t="s">
        <v>342</v>
      </c>
      <c r="B98" s="70" t="s">
        <v>343</v>
      </c>
      <c r="C98" s="71" t="s">
        <v>166</v>
      </c>
      <c r="D98" s="71" t="s">
        <v>110</v>
      </c>
      <c r="E98" s="183" t="s">
        <v>502</v>
      </c>
      <c r="F98" s="87" t="n">
        <v>0.78</v>
      </c>
      <c r="G98" s="91" t="n">
        <v>0.85</v>
      </c>
      <c r="H98" s="184"/>
      <c r="I98" s="184"/>
      <c r="J98" s="184"/>
      <c r="K98" s="185" t="n">
        <v>1</v>
      </c>
      <c r="L98" s="184"/>
      <c r="M98" s="184"/>
      <c r="N98" s="184"/>
      <c r="O98" s="186" t="n">
        <v>1</v>
      </c>
      <c r="P98" s="184"/>
      <c r="Q98" s="184"/>
      <c r="R98" s="184"/>
      <c r="S98" s="186"/>
      <c r="T98" s="184"/>
      <c r="U98" s="184"/>
      <c r="V98" s="184"/>
      <c r="W98" s="186"/>
      <c r="X98" s="92" t="n">
        <v>1</v>
      </c>
      <c r="Y98" s="114" t="s">
        <v>104</v>
      </c>
      <c r="Z98" s="78" t="s">
        <v>344</v>
      </c>
    </row>
    <row r="99" customFormat="false" ht="25.5" hidden="false" customHeight="true" outlineLevel="0" collapsed="false">
      <c r="A99" s="69" t="s">
        <v>345</v>
      </c>
      <c r="B99" s="70" t="s">
        <v>346</v>
      </c>
      <c r="C99" s="71" t="s">
        <v>166</v>
      </c>
      <c r="D99" s="71" t="s">
        <v>110</v>
      </c>
      <c r="E99" s="183" t="s">
        <v>502</v>
      </c>
      <c r="F99" s="87" t="n">
        <v>0.786</v>
      </c>
      <c r="G99" s="88" t="n">
        <v>0.8</v>
      </c>
      <c r="H99" s="184"/>
      <c r="I99" s="184"/>
      <c r="J99" s="184"/>
      <c r="K99" s="185" t="n">
        <v>1</v>
      </c>
      <c r="L99" s="184"/>
      <c r="M99" s="184"/>
      <c r="N99" s="184"/>
      <c r="O99" s="186" t="n">
        <v>1</v>
      </c>
      <c r="P99" s="184"/>
      <c r="Q99" s="184"/>
      <c r="R99" s="184"/>
      <c r="S99" s="186"/>
      <c r="T99" s="184"/>
      <c r="U99" s="184"/>
      <c r="V99" s="184"/>
      <c r="W99" s="186"/>
      <c r="X99" s="92" t="n">
        <v>1</v>
      </c>
      <c r="Y99" s="114" t="s">
        <v>104</v>
      </c>
      <c r="Z99" s="78" t="s">
        <v>257</v>
      </c>
    </row>
    <row r="100" customFormat="false" ht="25.5" hidden="false" customHeight="true" outlineLevel="0" collapsed="false">
      <c r="A100" s="69" t="s">
        <v>347</v>
      </c>
      <c r="B100" s="70" t="s">
        <v>348</v>
      </c>
      <c r="C100" s="71" t="s">
        <v>166</v>
      </c>
      <c r="D100" s="71" t="s">
        <v>110</v>
      </c>
      <c r="E100" s="183" t="s">
        <v>502</v>
      </c>
      <c r="F100" s="87" t="n">
        <v>0.98</v>
      </c>
      <c r="G100" s="88" t="n">
        <v>0.6</v>
      </c>
      <c r="H100" s="184"/>
      <c r="I100" s="184"/>
      <c r="J100" s="184"/>
      <c r="K100" s="185" t="n">
        <v>0.989</v>
      </c>
      <c r="L100" s="184"/>
      <c r="M100" s="184"/>
      <c r="N100" s="184"/>
      <c r="O100" s="186"/>
      <c r="P100" s="184"/>
      <c r="Q100" s="184"/>
      <c r="R100" s="184"/>
      <c r="S100" s="186"/>
      <c r="T100" s="184"/>
      <c r="U100" s="184"/>
      <c r="V100" s="184"/>
      <c r="W100" s="186"/>
      <c r="X100" s="92" t="n">
        <v>0.989</v>
      </c>
      <c r="Y100" s="114" t="s">
        <v>104</v>
      </c>
      <c r="Z100" s="78" t="s">
        <v>257</v>
      </c>
    </row>
    <row r="101" customFormat="false" ht="25.5" hidden="false" customHeight="true" outlineLevel="0" collapsed="false">
      <c r="A101" s="69" t="s">
        <v>349</v>
      </c>
      <c r="B101" s="70" t="s">
        <v>350</v>
      </c>
      <c r="C101" s="71" t="s">
        <v>166</v>
      </c>
      <c r="D101" s="71" t="s">
        <v>97</v>
      </c>
      <c r="E101" s="183" t="s">
        <v>502</v>
      </c>
      <c r="F101" s="94" t="n">
        <v>13.3</v>
      </c>
      <c r="G101" s="109" t="n">
        <v>25</v>
      </c>
      <c r="H101" s="194"/>
      <c r="I101" s="194"/>
      <c r="J101" s="194"/>
      <c r="K101" s="195" t="n">
        <v>16</v>
      </c>
      <c r="L101" s="194"/>
      <c r="M101" s="194"/>
      <c r="N101" s="194"/>
      <c r="O101" s="196"/>
      <c r="P101" s="194"/>
      <c r="Q101" s="194"/>
      <c r="R101" s="194"/>
      <c r="S101" s="196"/>
      <c r="T101" s="194"/>
      <c r="U101" s="194"/>
      <c r="V101" s="194"/>
      <c r="W101" s="196" t="n">
        <v>14.8</v>
      </c>
      <c r="X101" s="125" t="n">
        <v>16</v>
      </c>
      <c r="Y101" s="114" t="s">
        <v>104</v>
      </c>
      <c r="Z101" s="78" t="s">
        <v>257</v>
      </c>
    </row>
    <row r="102" customFormat="false" ht="25.5" hidden="false" customHeight="true" outlineLevel="0" collapsed="false">
      <c r="A102" s="69" t="s">
        <v>351</v>
      </c>
      <c r="B102" s="70" t="s">
        <v>352</v>
      </c>
      <c r="C102" s="71" t="s">
        <v>166</v>
      </c>
      <c r="D102" s="71" t="s">
        <v>97</v>
      </c>
      <c r="E102" s="183" t="s">
        <v>502</v>
      </c>
      <c r="F102" s="102" t="n">
        <v>31.9</v>
      </c>
      <c r="G102" s="122" t="n">
        <v>15.95</v>
      </c>
      <c r="H102" s="191"/>
      <c r="I102" s="191"/>
      <c r="J102" s="191"/>
      <c r="K102" s="192" t="n">
        <v>0</v>
      </c>
      <c r="L102" s="191"/>
      <c r="M102" s="191"/>
      <c r="N102" s="191"/>
      <c r="O102" s="193" t="n">
        <v>0</v>
      </c>
      <c r="P102" s="191"/>
      <c r="Q102" s="191"/>
      <c r="R102" s="191"/>
      <c r="S102" s="193"/>
      <c r="T102" s="191"/>
      <c r="U102" s="191"/>
      <c r="V102" s="191"/>
      <c r="W102" s="193"/>
      <c r="X102" s="104" t="n">
        <v>0</v>
      </c>
      <c r="Y102" s="114" t="s">
        <v>104</v>
      </c>
      <c r="Z102" s="78" t="s">
        <v>257</v>
      </c>
    </row>
    <row r="103" customFormat="false" ht="25.5" hidden="false" customHeight="true" outlineLevel="0" collapsed="false">
      <c r="A103" s="69" t="s">
        <v>353</v>
      </c>
      <c r="B103" s="70" t="s">
        <v>354</v>
      </c>
      <c r="C103" s="71" t="s">
        <v>166</v>
      </c>
      <c r="D103" s="71" t="s">
        <v>97</v>
      </c>
      <c r="E103" s="183" t="s">
        <v>502</v>
      </c>
      <c r="F103" s="102" t="n">
        <v>56.1</v>
      </c>
      <c r="G103" s="122" t="n">
        <v>28.05</v>
      </c>
      <c r="H103" s="191"/>
      <c r="I103" s="191"/>
      <c r="J103" s="191"/>
      <c r="K103" s="192" t="n">
        <v>20</v>
      </c>
      <c r="L103" s="191"/>
      <c r="M103" s="191"/>
      <c r="N103" s="191"/>
      <c r="O103" s="193" t="n">
        <v>13</v>
      </c>
      <c r="P103" s="191"/>
      <c r="Q103" s="191"/>
      <c r="R103" s="191"/>
      <c r="S103" s="193"/>
      <c r="T103" s="191"/>
      <c r="U103" s="191"/>
      <c r="V103" s="191"/>
      <c r="W103" s="193"/>
      <c r="X103" s="104" t="n">
        <v>20</v>
      </c>
      <c r="Y103" s="114" t="s">
        <v>104</v>
      </c>
      <c r="Z103" s="78" t="s">
        <v>257</v>
      </c>
    </row>
    <row r="104" customFormat="false" ht="25.5" hidden="false" customHeight="true" outlineLevel="0" collapsed="false">
      <c r="A104" s="69" t="s">
        <v>355</v>
      </c>
      <c r="B104" s="70" t="s">
        <v>356</v>
      </c>
      <c r="C104" s="71" t="s">
        <v>166</v>
      </c>
      <c r="D104" s="71" t="s">
        <v>97</v>
      </c>
      <c r="E104" s="183" t="s">
        <v>502</v>
      </c>
      <c r="F104" s="102" t="n">
        <v>39.8</v>
      </c>
      <c r="G104" s="122" t="n">
        <v>75</v>
      </c>
      <c r="H104" s="191"/>
      <c r="I104" s="191"/>
      <c r="J104" s="191"/>
      <c r="K104" s="192" t="n">
        <v>0</v>
      </c>
      <c r="L104" s="191"/>
      <c r="M104" s="191"/>
      <c r="N104" s="191"/>
      <c r="O104" s="193" t="n">
        <v>2</v>
      </c>
      <c r="P104" s="191"/>
      <c r="Q104" s="191"/>
      <c r="R104" s="191"/>
      <c r="S104" s="193"/>
      <c r="T104" s="191"/>
      <c r="U104" s="191"/>
      <c r="V104" s="191"/>
      <c r="W104" s="193"/>
      <c r="X104" s="104" t="n">
        <v>0</v>
      </c>
      <c r="Y104" s="114" t="s">
        <v>104</v>
      </c>
      <c r="Z104" s="78" t="s">
        <v>257</v>
      </c>
    </row>
    <row r="105" customFormat="false" ht="25.5" hidden="false" customHeight="true" outlineLevel="0" collapsed="false">
      <c r="A105" s="69" t="s">
        <v>357</v>
      </c>
      <c r="B105" s="70" t="s">
        <v>358</v>
      </c>
      <c r="C105" s="71" t="s">
        <v>166</v>
      </c>
      <c r="D105" s="71" t="s">
        <v>97</v>
      </c>
      <c r="E105" s="183" t="s">
        <v>502</v>
      </c>
      <c r="F105" s="102" t="n">
        <v>15.7</v>
      </c>
      <c r="G105" s="122" t="n">
        <v>7.85</v>
      </c>
      <c r="H105" s="191"/>
      <c r="I105" s="191"/>
      <c r="J105" s="191"/>
      <c r="K105" s="192" t="n">
        <v>0</v>
      </c>
      <c r="L105" s="191"/>
      <c r="M105" s="191"/>
      <c r="N105" s="191"/>
      <c r="O105" s="193" t="n">
        <v>0</v>
      </c>
      <c r="P105" s="191"/>
      <c r="Q105" s="191"/>
      <c r="R105" s="191"/>
      <c r="S105" s="193"/>
      <c r="T105" s="191"/>
      <c r="U105" s="191"/>
      <c r="V105" s="191"/>
      <c r="W105" s="193"/>
      <c r="X105" s="104" t="n">
        <v>0</v>
      </c>
      <c r="Y105" s="114" t="s">
        <v>104</v>
      </c>
      <c r="Z105" s="78" t="s">
        <v>100</v>
      </c>
    </row>
    <row r="106" customFormat="false" ht="25.5" hidden="false" customHeight="true" outlineLevel="0" collapsed="false">
      <c r="A106" s="69" t="s">
        <v>359</v>
      </c>
      <c r="B106" s="70" t="s">
        <v>360</v>
      </c>
      <c r="C106" s="71" t="s">
        <v>166</v>
      </c>
      <c r="D106" s="71" t="s">
        <v>97</v>
      </c>
      <c r="E106" s="183" t="s">
        <v>502</v>
      </c>
      <c r="F106" s="102" t="n">
        <v>11.7</v>
      </c>
      <c r="G106" s="82" t="n">
        <v>5.85</v>
      </c>
      <c r="H106" s="191"/>
      <c r="I106" s="191"/>
      <c r="J106" s="191"/>
      <c r="K106" s="192" t="n">
        <v>12.2</v>
      </c>
      <c r="L106" s="191"/>
      <c r="M106" s="191"/>
      <c r="N106" s="191"/>
      <c r="O106" s="193" t="n">
        <v>5.90551181102362</v>
      </c>
      <c r="P106" s="191"/>
      <c r="Q106" s="191"/>
      <c r="R106" s="191"/>
      <c r="S106" s="193"/>
      <c r="T106" s="191"/>
      <c r="U106" s="191"/>
      <c r="V106" s="191"/>
      <c r="W106" s="193"/>
      <c r="X106" s="104" t="n">
        <v>12.2</v>
      </c>
      <c r="Y106" s="114" t="s">
        <v>113</v>
      </c>
      <c r="Z106" s="78" t="s">
        <v>257</v>
      </c>
    </row>
    <row r="107" customFormat="false" ht="25.5" hidden="false" customHeight="true" outlineLevel="0" collapsed="false">
      <c r="A107" s="69" t="s">
        <v>377</v>
      </c>
      <c r="B107" s="70" t="s">
        <v>378</v>
      </c>
      <c r="C107" s="71" t="s">
        <v>236</v>
      </c>
      <c r="D107" s="71" t="s">
        <v>110</v>
      </c>
      <c r="E107" s="183" t="s">
        <v>502</v>
      </c>
      <c r="F107" s="87" t="n">
        <v>0.483</v>
      </c>
      <c r="G107" s="88" t="n">
        <v>0.5606</v>
      </c>
      <c r="H107" s="184"/>
      <c r="I107" s="184"/>
      <c r="J107" s="184"/>
      <c r="K107" s="185" t="n">
        <v>0.197969543147208</v>
      </c>
      <c r="L107" s="184"/>
      <c r="M107" s="184"/>
      <c r="N107" s="184"/>
      <c r="O107" s="186" t="n">
        <v>0.125541125541126</v>
      </c>
      <c r="P107" s="184"/>
      <c r="Q107" s="184"/>
      <c r="R107" s="184"/>
      <c r="S107" s="186"/>
      <c r="T107" s="184"/>
      <c r="U107" s="184"/>
      <c r="V107" s="184"/>
      <c r="W107" s="186"/>
      <c r="X107" s="92" t="n">
        <v>0.197969543147208</v>
      </c>
      <c r="Y107" s="114" t="s">
        <v>113</v>
      </c>
      <c r="Z107" s="78" t="s">
        <v>190</v>
      </c>
    </row>
    <row r="108" customFormat="false" ht="25.5" hidden="false" customHeight="true" outlineLevel="0" collapsed="false">
      <c r="A108" s="69" t="s">
        <v>379</v>
      </c>
      <c r="B108" s="70" t="s">
        <v>380</v>
      </c>
      <c r="C108" s="71" t="s">
        <v>236</v>
      </c>
      <c r="D108" s="71" t="s">
        <v>97</v>
      </c>
      <c r="E108" s="183" t="s">
        <v>502</v>
      </c>
      <c r="F108" s="87" t="s">
        <v>32</v>
      </c>
      <c r="G108" s="91" t="s">
        <v>32</v>
      </c>
      <c r="H108" s="184"/>
      <c r="I108" s="184"/>
      <c r="J108" s="184"/>
      <c r="K108" s="185" t="n">
        <v>0.25609756097561</v>
      </c>
      <c r="L108" s="184"/>
      <c r="M108" s="184"/>
      <c r="N108" s="184"/>
      <c r="O108" s="186"/>
      <c r="P108" s="184"/>
      <c r="Q108" s="184"/>
      <c r="R108" s="184"/>
      <c r="S108" s="186"/>
      <c r="T108" s="184"/>
      <c r="U108" s="184"/>
      <c r="V108" s="184"/>
      <c r="W108" s="186"/>
      <c r="X108" s="92" t="n">
        <v>0.25609756097561</v>
      </c>
      <c r="Y108" s="114" t="s">
        <v>120</v>
      </c>
      <c r="Z108" s="78" t="s">
        <v>105</v>
      </c>
    </row>
    <row r="109" customFormat="false" ht="25.5" hidden="false" customHeight="true" outlineLevel="0" collapsed="false">
      <c r="A109" s="69" t="s">
        <v>382</v>
      </c>
      <c r="B109" s="70" t="s">
        <v>383</v>
      </c>
      <c r="C109" s="71" t="s">
        <v>236</v>
      </c>
      <c r="D109" s="71" t="s">
        <v>97</v>
      </c>
      <c r="E109" s="183" t="s">
        <v>502</v>
      </c>
      <c r="F109" s="87" t="n">
        <v>0.07</v>
      </c>
      <c r="G109" s="88" t="n">
        <v>0.115</v>
      </c>
      <c r="H109" s="184"/>
      <c r="I109" s="184"/>
      <c r="J109" s="184"/>
      <c r="K109" s="185" t="n">
        <v>0.176</v>
      </c>
      <c r="L109" s="184"/>
      <c r="M109" s="184"/>
      <c r="N109" s="184"/>
      <c r="O109" s="186"/>
      <c r="P109" s="184"/>
      <c r="Q109" s="184"/>
      <c r="R109" s="184"/>
      <c r="S109" s="186"/>
      <c r="T109" s="184"/>
      <c r="U109" s="184"/>
      <c r="V109" s="184"/>
      <c r="W109" s="186"/>
      <c r="X109" s="92" t="n">
        <v>0.176</v>
      </c>
      <c r="Y109" s="114" t="s">
        <v>113</v>
      </c>
      <c r="Z109" s="78" t="s">
        <v>257</v>
      </c>
    </row>
    <row r="110" customFormat="false" ht="25.5" hidden="false" customHeight="true" outlineLevel="0" collapsed="false">
      <c r="A110" s="69" t="s">
        <v>464</v>
      </c>
      <c r="B110" s="70" t="s">
        <v>465</v>
      </c>
      <c r="C110" s="71" t="s">
        <v>236</v>
      </c>
      <c r="D110" s="71" t="s">
        <v>110</v>
      </c>
      <c r="E110" s="183" t="s">
        <v>504</v>
      </c>
      <c r="F110" s="87" t="n">
        <v>0.755</v>
      </c>
      <c r="G110" s="91" t="n">
        <v>0.7</v>
      </c>
      <c r="H110" s="184"/>
      <c r="I110" s="184"/>
      <c r="J110" s="184"/>
      <c r="K110" s="186"/>
      <c r="L110" s="184"/>
      <c r="M110" s="184"/>
      <c r="N110" s="184"/>
      <c r="O110" s="186"/>
      <c r="P110" s="184"/>
      <c r="Q110" s="184"/>
      <c r="R110" s="184"/>
      <c r="S110" s="186"/>
      <c r="T110" s="184"/>
      <c r="U110" s="184"/>
      <c r="V110" s="184"/>
      <c r="W110" s="186"/>
      <c r="X110" s="92"/>
      <c r="Y110" s="114" t="s">
        <v>99</v>
      </c>
      <c r="Z110" s="78" t="s">
        <v>257</v>
      </c>
    </row>
    <row r="111" customFormat="false" ht="25.5" hidden="false" customHeight="true" outlineLevel="0" collapsed="false">
      <c r="A111" s="69" t="s">
        <v>397</v>
      </c>
      <c r="B111" s="70" t="s">
        <v>398</v>
      </c>
      <c r="C111" s="71" t="s">
        <v>35</v>
      </c>
      <c r="D111" s="71" t="s">
        <v>97</v>
      </c>
      <c r="E111" s="183" t="s">
        <v>502</v>
      </c>
      <c r="F111" s="115" t="n">
        <v>20.7</v>
      </c>
      <c r="G111" s="116" t="n">
        <v>21</v>
      </c>
      <c r="H111" s="184"/>
      <c r="I111" s="184"/>
      <c r="J111" s="184"/>
      <c r="K111" s="187"/>
      <c r="L111" s="184"/>
      <c r="M111" s="184"/>
      <c r="N111" s="184"/>
      <c r="O111" s="187"/>
      <c r="P111" s="184"/>
      <c r="Q111" s="184"/>
      <c r="R111" s="184"/>
      <c r="S111" s="187"/>
      <c r="T111" s="184"/>
      <c r="U111" s="184"/>
      <c r="V111" s="184"/>
      <c r="W111" s="187"/>
      <c r="X111" s="118"/>
      <c r="Y111" s="114" t="s">
        <v>99</v>
      </c>
      <c r="Z111" s="78" t="s">
        <v>257</v>
      </c>
    </row>
    <row r="112" customFormat="false" ht="25.5" hidden="false" customHeight="true" outlineLevel="0" collapsed="false">
      <c r="A112" s="69" t="s">
        <v>220</v>
      </c>
      <c r="B112" s="70" t="s">
        <v>221</v>
      </c>
      <c r="C112" s="71" t="s">
        <v>35</v>
      </c>
      <c r="D112" s="71" t="s">
        <v>97</v>
      </c>
      <c r="E112" s="183" t="s">
        <v>501</v>
      </c>
      <c r="F112" s="115" t="n">
        <v>6</v>
      </c>
      <c r="G112" s="116" t="n">
        <v>5</v>
      </c>
      <c r="H112" s="184"/>
      <c r="I112" s="184"/>
      <c r="J112" s="184"/>
      <c r="K112" s="187" t="str">
        <f aca="false">IF(COUNT(H113:J113)=0,"",AVERAGE(H113:J113))</f>
        <v/>
      </c>
      <c r="L112" s="184"/>
      <c r="M112" s="184"/>
      <c r="N112" s="184"/>
      <c r="O112" s="187" t="str">
        <f aca="false">IF(COUNT(L113:N113)=0,"",AVERAGE(L113:N113))</f>
        <v/>
      </c>
      <c r="P112" s="184"/>
      <c r="Q112" s="184"/>
      <c r="R112" s="184"/>
      <c r="S112" s="187" t="str">
        <f aca="false">IF(COUNT(P113:R113)=0,"",AVERAGE(P113:R113))</f>
        <v/>
      </c>
      <c r="T112" s="184"/>
      <c r="U112" s="184"/>
      <c r="V112" s="184"/>
      <c r="W112" s="187" t="str">
        <f aca="false">IF(COUNT(T113:V113)=0,"",AVERAGE(T113:V113))</f>
        <v/>
      </c>
      <c r="X112" s="118"/>
      <c r="Y112" s="114" t="s">
        <v>99</v>
      </c>
      <c r="Z112" s="78" t="s">
        <v>100</v>
      </c>
    </row>
    <row r="113" customFormat="false" ht="25.5" hidden="false" customHeight="true" outlineLevel="0" collapsed="false">
      <c r="H113" s="113"/>
      <c r="I113" s="113"/>
      <c r="J113" s="113"/>
      <c r="L113" s="113"/>
      <c r="M113" s="113"/>
      <c r="N113" s="113"/>
      <c r="P113" s="113"/>
      <c r="Q113" s="113"/>
      <c r="R113" s="113"/>
      <c r="T113" s="113"/>
      <c r="U113" s="113"/>
      <c r="V113" s="113"/>
    </row>
    <row r="114" customFormat="false" ht="15" hidden="false" customHeight="true" outlineLevel="0" collapsed="false">
      <c r="H114" s="113"/>
      <c r="I114" s="113"/>
      <c r="J114" s="113"/>
      <c r="L114" s="113"/>
      <c r="M114" s="113"/>
      <c r="N114" s="113"/>
      <c r="P114" s="113"/>
      <c r="Q114" s="113"/>
      <c r="R114" s="113"/>
      <c r="T114" s="113"/>
      <c r="U114" s="113"/>
      <c r="V114" s="113"/>
    </row>
    <row r="115" customFormat="false" ht="15" hidden="false" customHeight="true" outlineLevel="0" collapsed="false">
      <c r="H115" s="113"/>
      <c r="I115" s="113"/>
      <c r="J115" s="113"/>
      <c r="L115" s="113"/>
      <c r="M115" s="113"/>
      <c r="N115" s="113"/>
      <c r="P115" s="113"/>
      <c r="Q115" s="113"/>
      <c r="R115" s="113"/>
      <c r="T115" s="113"/>
      <c r="U115" s="113"/>
      <c r="V115" s="113"/>
    </row>
    <row r="116" customFormat="false" ht="15" hidden="false" customHeight="true" outlineLevel="0" collapsed="false">
      <c r="H116" s="113"/>
      <c r="I116" s="113"/>
      <c r="J116" s="113"/>
      <c r="L116" s="113"/>
      <c r="M116" s="113"/>
      <c r="N116" s="113"/>
      <c r="P116" s="113"/>
      <c r="Q116" s="113"/>
      <c r="R116" s="113"/>
      <c r="T116" s="113"/>
      <c r="U116" s="113"/>
      <c r="V116" s="113"/>
    </row>
    <row r="117" customFormat="false" ht="15" hidden="false" customHeight="true" outlineLevel="0" collapsed="false">
      <c r="H117" s="113"/>
      <c r="I117" s="113"/>
      <c r="J117" s="113"/>
      <c r="L117" s="113"/>
      <c r="M117" s="113"/>
      <c r="N117" s="113"/>
      <c r="P117" s="113"/>
      <c r="Q117" s="113"/>
      <c r="R117" s="113"/>
      <c r="T117" s="113"/>
      <c r="U117" s="113"/>
      <c r="V117" s="113"/>
    </row>
    <row r="118" customFormat="false" ht="15" hidden="false" customHeight="true" outlineLevel="0" collapsed="false">
      <c r="H118" s="113"/>
      <c r="I118" s="113"/>
      <c r="J118" s="113"/>
      <c r="L118" s="113"/>
      <c r="M118" s="113"/>
      <c r="N118" s="113"/>
      <c r="P118" s="113"/>
      <c r="Q118" s="113"/>
      <c r="R118" s="113"/>
      <c r="T118" s="113"/>
      <c r="U118" s="113"/>
      <c r="V118" s="113"/>
    </row>
    <row r="119" customFormat="false" ht="15" hidden="false" customHeight="true" outlineLevel="0" collapsed="false">
      <c r="H119" s="113"/>
      <c r="I119" s="113"/>
      <c r="J119" s="113"/>
      <c r="L119" s="113"/>
      <c r="M119" s="113"/>
      <c r="N119" s="113"/>
      <c r="P119" s="113"/>
      <c r="Q119" s="113"/>
      <c r="R119" s="113"/>
      <c r="T119" s="113"/>
      <c r="U119" s="113"/>
      <c r="V119" s="113"/>
    </row>
    <row r="120" customFormat="false" ht="15" hidden="false" customHeight="true" outlineLevel="0" collapsed="false">
      <c r="H120" s="113"/>
      <c r="I120" s="113"/>
      <c r="J120" s="113"/>
      <c r="L120" s="113"/>
      <c r="M120" s="113"/>
      <c r="N120" s="113"/>
      <c r="P120" s="113"/>
      <c r="Q120" s="113"/>
      <c r="R120" s="113"/>
      <c r="T120" s="113"/>
      <c r="U120" s="113"/>
      <c r="V120" s="113"/>
    </row>
    <row r="121" customFormat="false" ht="15" hidden="false" customHeight="true" outlineLevel="0" collapsed="false">
      <c r="H121" s="113"/>
      <c r="I121" s="113"/>
      <c r="J121" s="113"/>
      <c r="L121" s="113"/>
      <c r="M121" s="113"/>
      <c r="N121" s="113"/>
      <c r="P121" s="113"/>
      <c r="Q121" s="113"/>
      <c r="R121" s="113"/>
      <c r="T121" s="113"/>
      <c r="U121" s="113"/>
      <c r="V121" s="113"/>
    </row>
    <row r="122" customFormat="false" ht="15" hidden="false" customHeight="true" outlineLevel="0" collapsed="false">
      <c r="H122" s="113"/>
      <c r="I122" s="113"/>
      <c r="J122" s="113"/>
      <c r="L122" s="113"/>
      <c r="M122" s="113"/>
      <c r="N122" s="113"/>
      <c r="P122" s="113"/>
      <c r="Q122" s="113"/>
      <c r="R122" s="113"/>
      <c r="T122" s="113"/>
      <c r="U122" s="113"/>
      <c r="V122" s="113"/>
    </row>
    <row r="123" customFormat="false" ht="15" hidden="false" customHeight="true" outlineLevel="0" collapsed="false">
      <c r="H123" s="113"/>
      <c r="I123" s="113"/>
      <c r="J123" s="113"/>
      <c r="L123" s="113"/>
      <c r="M123" s="113"/>
      <c r="N123" s="113"/>
      <c r="P123" s="113"/>
      <c r="Q123" s="113"/>
      <c r="R123" s="113"/>
      <c r="T123" s="113"/>
      <c r="U123" s="113"/>
      <c r="V123" s="113"/>
    </row>
    <row r="124" customFormat="false" ht="15" hidden="false" customHeight="true" outlineLevel="0" collapsed="false">
      <c r="H124" s="113"/>
      <c r="I124" s="113"/>
      <c r="J124" s="113"/>
      <c r="L124" s="113"/>
      <c r="M124" s="113"/>
      <c r="N124" s="113"/>
      <c r="P124" s="113"/>
      <c r="Q124" s="113"/>
      <c r="R124" s="113"/>
      <c r="T124" s="113"/>
      <c r="U124" s="113"/>
      <c r="V124" s="113"/>
    </row>
    <row r="125" customFormat="false" ht="15" hidden="false" customHeight="true" outlineLevel="0" collapsed="false">
      <c r="H125" s="113"/>
      <c r="I125" s="113"/>
      <c r="J125" s="113"/>
      <c r="L125" s="113"/>
      <c r="M125" s="113"/>
      <c r="N125" s="113"/>
      <c r="P125" s="113"/>
      <c r="Q125" s="113"/>
      <c r="R125" s="113"/>
      <c r="T125" s="113"/>
      <c r="U125" s="113"/>
      <c r="V125" s="113"/>
    </row>
    <row r="126" customFormat="false" ht="15" hidden="false" customHeight="true" outlineLevel="0" collapsed="false">
      <c r="H126" s="113"/>
      <c r="I126" s="113"/>
      <c r="J126" s="113"/>
      <c r="L126" s="113"/>
      <c r="M126" s="113"/>
      <c r="N126" s="113"/>
      <c r="P126" s="113"/>
      <c r="Q126" s="113"/>
      <c r="R126" s="113"/>
      <c r="T126" s="113"/>
      <c r="U126" s="113"/>
      <c r="V126" s="113"/>
    </row>
    <row r="127" customFormat="false" ht="15" hidden="false" customHeight="true" outlineLevel="0" collapsed="false">
      <c r="H127" s="113"/>
      <c r="I127" s="113"/>
      <c r="J127" s="113"/>
      <c r="L127" s="113"/>
      <c r="M127" s="113"/>
      <c r="N127" s="113"/>
      <c r="P127" s="113"/>
      <c r="Q127" s="113"/>
      <c r="R127" s="113"/>
      <c r="T127" s="113"/>
      <c r="U127" s="113"/>
      <c r="V127" s="113"/>
    </row>
    <row r="128" customFormat="false" ht="15" hidden="false" customHeight="true" outlineLevel="0" collapsed="false">
      <c r="H128" s="113"/>
      <c r="I128" s="113"/>
      <c r="J128" s="113"/>
      <c r="L128" s="113"/>
      <c r="M128" s="113"/>
      <c r="N128" s="113"/>
      <c r="P128" s="113"/>
      <c r="Q128" s="113"/>
      <c r="R128" s="113"/>
      <c r="T128" s="113"/>
      <c r="U128" s="113"/>
      <c r="V128" s="113"/>
    </row>
    <row r="129" customFormat="false" ht="15" hidden="false" customHeight="true" outlineLevel="0" collapsed="false">
      <c r="H129" s="113"/>
      <c r="I129" s="113"/>
      <c r="J129" s="113"/>
      <c r="L129" s="113"/>
      <c r="M129" s="113"/>
      <c r="N129" s="113"/>
      <c r="P129" s="113"/>
      <c r="Q129" s="113"/>
      <c r="R129" s="113"/>
      <c r="T129" s="113"/>
      <c r="U129" s="113"/>
      <c r="V129" s="113"/>
    </row>
    <row r="130" customFormat="false" ht="15" hidden="false" customHeight="true" outlineLevel="0" collapsed="false">
      <c r="H130" s="113"/>
      <c r="I130" s="113"/>
      <c r="J130" s="113"/>
      <c r="L130" s="113"/>
      <c r="M130" s="113"/>
      <c r="N130" s="113"/>
      <c r="P130" s="113"/>
      <c r="Q130" s="113"/>
      <c r="R130" s="113"/>
      <c r="T130" s="113"/>
      <c r="U130" s="113"/>
      <c r="V130" s="113"/>
    </row>
    <row r="131" customFormat="false" ht="15" hidden="false" customHeight="true" outlineLevel="0" collapsed="false">
      <c r="H131" s="113"/>
      <c r="I131" s="113"/>
      <c r="J131" s="113"/>
      <c r="L131" s="113"/>
      <c r="M131" s="113"/>
      <c r="N131" s="113"/>
      <c r="P131" s="113"/>
      <c r="Q131" s="113"/>
      <c r="R131" s="113"/>
      <c r="T131" s="113"/>
      <c r="U131" s="113"/>
      <c r="V131" s="113"/>
    </row>
    <row r="132" customFormat="false" ht="15" hidden="false" customHeight="true" outlineLevel="0" collapsed="false">
      <c r="H132" s="113"/>
      <c r="I132" s="113"/>
      <c r="J132" s="113"/>
      <c r="L132" s="113"/>
      <c r="M132" s="113"/>
      <c r="N132" s="113"/>
      <c r="P132" s="113"/>
      <c r="Q132" s="113"/>
      <c r="R132" s="113"/>
      <c r="T132" s="113"/>
      <c r="U132" s="113"/>
      <c r="V132" s="113"/>
    </row>
    <row r="133" customFormat="false" ht="15" hidden="false" customHeight="true" outlineLevel="0" collapsed="false">
      <c r="H133" s="113"/>
      <c r="I133" s="113"/>
      <c r="J133" s="113"/>
      <c r="L133" s="113"/>
      <c r="M133" s="113"/>
      <c r="N133" s="113"/>
      <c r="P133" s="113"/>
      <c r="Q133" s="113"/>
      <c r="R133" s="113"/>
      <c r="T133" s="113"/>
      <c r="U133" s="113"/>
      <c r="V133" s="113"/>
    </row>
    <row r="134" customFormat="false" ht="15" hidden="false" customHeight="true" outlineLevel="0" collapsed="false">
      <c r="H134" s="113"/>
      <c r="I134" s="113"/>
      <c r="J134" s="113"/>
      <c r="L134" s="113"/>
      <c r="M134" s="113"/>
      <c r="N134" s="113"/>
      <c r="P134" s="113"/>
      <c r="Q134" s="113"/>
      <c r="R134" s="113"/>
      <c r="T134" s="113"/>
      <c r="U134" s="113"/>
      <c r="V134" s="113"/>
    </row>
    <row r="135" customFormat="false" ht="15" hidden="false" customHeight="true" outlineLevel="0" collapsed="false">
      <c r="H135" s="113"/>
      <c r="I135" s="113"/>
      <c r="J135" s="113"/>
      <c r="L135" s="113"/>
      <c r="M135" s="113"/>
      <c r="N135" s="113"/>
      <c r="P135" s="113"/>
      <c r="Q135" s="113"/>
      <c r="R135" s="113"/>
      <c r="T135" s="113"/>
      <c r="U135" s="113"/>
      <c r="V135" s="113"/>
    </row>
    <row r="136" customFormat="false" ht="15" hidden="false" customHeight="true" outlineLevel="0" collapsed="false">
      <c r="H136" s="113"/>
      <c r="I136" s="113"/>
      <c r="J136" s="113"/>
      <c r="L136" s="113"/>
      <c r="M136" s="113"/>
      <c r="N136" s="113"/>
      <c r="P136" s="113"/>
      <c r="Q136" s="113"/>
      <c r="R136" s="113"/>
      <c r="T136" s="113"/>
      <c r="U136" s="113"/>
      <c r="V136" s="113"/>
    </row>
    <row r="137" customFormat="false" ht="15" hidden="false" customHeight="true" outlineLevel="0" collapsed="false">
      <c r="H137" s="113"/>
      <c r="I137" s="113"/>
      <c r="J137" s="113"/>
      <c r="L137" s="113"/>
      <c r="M137" s="113"/>
      <c r="N137" s="113"/>
      <c r="P137" s="113"/>
      <c r="Q137" s="113"/>
      <c r="R137" s="113"/>
      <c r="T137" s="113"/>
      <c r="U137" s="113"/>
      <c r="V137" s="113"/>
    </row>
    <row r="138" customFormat="false" ht="15" hidden="false" customHeight="true" outlineLevel="0" collapsed="false">
      <c r="H138" s="113"/>
      <c r="I138" s="113"/>
      <c r="J138" s="113"/>
      <c r="L138" s="113"/>
      <c r="M138" s="113"/>
      <c r="N138" s="113"/>
      <c r="P138" s="113"/>
      <c r="Q138" s="113"/>
      <c r="R138" s="113"/>
      <c r="T138" s="113"/>
      <c r="U138" s="113"/>
      <c r="V138" s="113"/>
    </row>
    <row r="139" customFormat="false" ht="15" hidden="false" customHeight="true" outlineLevel="0" collapsed="false">
      <c r="H139" s="113"/>
      <c r="I139" s="113"/>
      <c r="J139" s="113"/>
      <c r="L139" s="113"/>
      <c r="M139" s="113"/>
      <c r="N139" s="113"/>
      <c r="P139" s="113"/>
      <c r="Q139" s="113"/>
      <c r="R139" s="113"/>
      <c r="T139" s="113"/>
      <c r="U139" s="113"/>
      <c r="V139" s="113"/>
    </row>
    <row r="140" customFormat="false" ht="15" hidden="false" customHeight="true" outlineLevel="0" collapsed="false">
      <c r="H140" s="113"/>
      <c r="I140" s="113"/>
      <c r="J140" s="113"/>
      <c r="L140" s="113"/>
      <c r="M140" s="113"/>
      <c r="N140" s="113"/>
      <c r="P140" s="113"/>
      <c r="Q140" s="113"/>
      <c r="R140" s="113"/>
      <c r="T140" s="113"/>
      <c r="U140" s="113"/>
      <c r="V140" s="113"/>
    </row>
    <row r="141" customFormat="false" ht="15" hidden="false" customHeight="true" outlineLevel="0" collapsed="false">
      <c r="H141" s="113"/>
      <c r="I141" s="113"/>
      <c r="J141" s="113"/>
      <c r="L141" s="113"/>
      <c r="M141" s="113"/>
      <c r="N141" s="113"/>
      <c r="P141" s="113"/>
      <c r="Q141" s="113"/>
      <c r="R141" s="113"/>
      <c r="T141" s="113"/>
      <c r="U141" s="113"/>
      <c r="V141" s="113"/>
    </row>
    <row r="142" customFormat="false" ht="15" hidden="false" customHeight="true" outlineLevel="0" collapsed="false">
      <c r="H142" s="113"/>
      <c r="I142" s="113"/>
      <c r="J142" s="113"/>
      <c r="L142" s="113"/>
      <c r="M142" s="113"/>
      <c r="N142" s="113"/>
      <c r="P142" s="113"/>
      <c r="Q142" s="113"/>
      <c r="R142" s="113"/>
      <c r="T142" s="113"/>
      <c r="U142" s="113"/>
      <c r="V142" s="113"/>
    </row>
    <row r="143" customFormat="false" ht="15" hidden="false" customHeight="true" outlineLevel="0" collapsed="false">
      <c r="H143" s="113"/>
      <c r="I143" s="113"/>
      <c r="J143" s="113"/>
      <c r="L143" s="113"/>
      <c r="M143" s="113"/>
      <c r="N143" s="113"/>
      <c r="P143" s="113"/>
      <c r="Q143" s="113"/>
      <c r="R143" s="113"/>
      <c r="T143" s="113"/>
      <c r="U143" s="113"/>
      <c r="V143" s="113"/>
    </row>
    <row r="144" customFormat="false" ht="15" hidden="false" customHeight="true" outlineLevel="0" collapsed="false">
      <c r="H144" s="113"/>
      <c r="I144" s="113"/>
      <c r="J144" s="113"/>
      <c r="L144" s="113"/>
      <c r="M144" s="113"/>
      <c r="N144" s="113"/>
      <c r="P144" s="113"/>
      <c r="Q144" s="113"/>
      <c r="R144" s="113"/>
      <c r="T144" s="113"/>
      <c r="U144" s="113"/>
      <c r="V144" s="113"/>
    </row>
    <row r="145" customFormat="false" ht="15" hidden="false" customHeight="true" outlineLevel="0" collapsed="false">
      <c r="H145" s="113"/>
      <c r="I145" s="113"/>
      <c r="J145" s="113"/>
      <c r="L145" s="113"/>
      <c r="M145" s="113"/>
      <c r="N145" s="113"/>
      <c r="P145" s="113"/>
      <c r="Q145" s="113"/>
      <c r="R145" s="113"/>
      <c r="T145" s="113"/>
      <c r="U145" s="113"/>
      <c r="V145" s="113"/>
    </row>
    <row r="146" customFormat="false" ht="15" hidden="false" customHeight="true" outlineLevel="0" collapsed="false">
      <c r="H146" s="113"/>
      <c r="I146" s="113"/>
      <c r="J146" s="113"/>
      <c r="L146" s="113"/>
      <c r="M146" s="113"/>
      <c r="N146" s="113"/>
      <c r="P146" s="113"/>
      <c r="Q146" s="113"/>
      <c r="R146" s="113"/>
      <c r="T146" s="113"/>
      <c r="U146" s="113"/>
      <c r="V146" s="113"/>
    </row>
    <row r="147" customFormat="false" ht="15" hidden="false" customHeight="true" outlineLevel="0" collapsed="false">
      <c r="H147" s="113"/>
      <c r="I147" s="113"/>
      <c r="J147" s="113"/>
      <c r="L147" s="113"/>
      <c r="M147" s="113"/>
      <c r="N147" s="113"/>
      <c r="P147" s="113"/>
      <c r="Q147" s="113"/>
      <c r="R147" s="113"/>
      <c r="T147" s="113"/>
      <c r="U147" s="113"/>
      <c r="V147" s="113"/>
    </row>
    <row r="148" customFormat="false" ht="15" hidden="false" customHeight="true" outlineLevel="0" collapsed="false">
      <c r="H148" s="113"/>
      <c r="I148" s="113"/>
      <c r="J148" s="113"/>
      <c r="L148" s="113"/>
      <c r="M148" s="113"/>
      <c r="N148" s="113"/>
      <c r="P148" s="113"/>
      <c r="Q148" s="113"/>
      <c r="R148" s="113"/>
      <c r="T148" s="113"/>
      <c r="U148" s="113"/>
      <c r="V148" s="113"/>
    </row>
    <row r="149" customFormat="false" ht="15" hidden="false" customHeight="true" outlineLevel="0" collapsed="false">
      <c r="H149" s="113"/>
      <c r="I149" s="113"/>
      <c r="J149" s="113"/>
      <c r="L149" s="113"/>
      <c r="M149" s="113"/>
      <c r="N149" s="113"/>
      <c r="P149" s="113"/>
      <c r="Q149" s="113"/>
      <c r="R149" s="113"/>
      <c r="T149" s="113"/>
      <c r="U149" s="113"/>
      <c r="V149" s="113"/>
    </row>
    <row r="150" customFormat="false" ht="15" hidden="false" customHeight="true" outlineLevel="0" collapsed="false">
      <c r="H150" s="113"/>
      <c r="I150" s="113"/>
      <c r="J150" s="113"/>
      <c r="L150" s="113"/>
      <c r="M150" s="113"/>
      <c r="N150" s="113"/>
      <c r="P150" s="113"/>
      <c r="Q150" s="113"/>
      <c r="R150" s="113"/>
      <c r="T150" s="113"/>
      <c r="U150" s="113"/>
      <c r="V150" s="113"/>
    </row>
    <row r="151" customFormat="false" ht="15" hidden="false" customHeight="true" outlineLevel="0" collapsed="false">
      <c r="H151" s="113"/>
      <c r="I151" s="113"/>
      <c r="J151" s="113"/>
      <c r="L151" s="113"/>
      <c r="M151" s="113"/>
      <c r="N151" s="113"/>
      <c r="P151" s="113"/>
      <c r="Q151" s="113"/>
      <c r="R151" s="113"/>
      <c r="T151" s="113"/>
      <c r="U151" s="113"/>
      <c r="V151" s="113"/>
    </row>
    <row r="152" customFormat="false" ht="15" hidden="false" customHeight="true" outlineLevel="0" collapsed="false">
      <c r="H152" s="113"/>
      <c r="I152" s="113"/>
      <c r="J152" s="113"/>
      <c r="L152" s="113"/>
      <c r="M152" s="113"/>
      <c r="N152" s="113"/>
      <c r="P152" s="113"/>
      <c r="Q152" s="113"/>
      <c r="R152" s="113"/>
      <c r="T152" s="113"/>
      <c r="U152" s="113"/>
      <c r="V152" s="113"/>
    </row>
    <row r="153" customFormat="false" ht="15" hidden="false" customHeight="true" outlineLevel="0" collapsed="false">
      <c r="H153" s="113"/>
      <c r="I153" s="113"/>
      <c r="J153" s="113"/>
      <c r="L153" s="113"/>
      <c r="M153" s="113"/>
      <c r="N153" s="113"/>
      <c r="P153" s="113"/>
      <c r="Q153" s="113"/>
      <c r="R153" s="113"/>
      <c r="T153" s="113"/>
      <c r="U153" s="113"/>
      <c r="V153" s="113"/>
    </row>
    <row r="154" customFormat="false" ht="15" hidden="false" customHeight="true" outlineLevel="0" collapsed="false">
      <c r="H154" s="113"/>
      <c r="I154" s="113"/>
      <c r="J154" s="113"/>
      <c r="L154" s="113"/>
      <c r="M154" s="113"/>
      <c r="N154" s="113"/>
      <c r="P154" s="113"/>
      <c r="Q154" s="113"/>
      <c r="R154" s="113"/>
      <c r="T154" s="113"/>
      <c r="U154" s="113"/>
      <c r="V154" s="113"/>
    </row>
    <row r="155" customFormat="false" ht="15" hidden="false" customHeight="true" outlineLevel="0" collapsed="false">
      <c r="H155" s="113"/>
      <c r="I155" s="113"/>
      <c r="J155" s="113"/>
      <c r="L155" s="113"/>
      <c r="M155" s="113"/>
      <c r="N155" s="113"/>
      <c r="P155" s="113"/>
      <c r="Q155" s="113"/>
      <c r="R155" s="113"/>
      <c r="T155" s="113"/>
      <c r="U155" s="113"/>
      <c r="V155" s="113"/>
    </row>
    <row r="156" customFormat="false" ht="15" hidden="false" customHeight="true" outlineLevel="0" collapsed="false">
      <c r="H156" s="113"/>
      <c r="I156" s="113"/>
      <c r="J156" s="113"/>
      <c r="L156" s="113"/>
      <c r="M156" s="113"/>
      <c r="N156" s="113"/>
      <c r="P156" s="113"/>
      <c r="Q156" s="113"/>
      <c r="R156" s="113"/>
      <c r="T156" s="113"/>
      <c r="U156" s="113"/>
      <c r="V156" s="113"/>
    </row>
    <row r="157" customFormat="false" ht="15" hidden="false" customHeight="true" outlineLevel="0" collapsed="false">
      <c r="H157" s="113"/>
      <c r="I157" s="113"/>
      <c r="J157" s="113"/>
      <c r="L157" s="113"/>
      <c r="M157" s="113"/>
      <c r="N157" s="113"/>
      <c r="P157" s="113"/>
      <c r="Q157" s="113"/>
      <c r="R157" s="113"/>
      <c r="T157" s="113"/>
      <c r="U157" s="113"/>
      <c r="V157" s="113"/>
    </row>
    <row r="158" customFormat="false" ht="15" hidden="false" customHeight="true" outlineLevel="0" collapsed="false">
      <c r="H158" s="113"/>
      <c r="I158" s="113"/>
      <c r="J158" s="113"/>
      <c r="L158" s="113"/>
      <c r="M158" s="113"/>
      <c r="N158" s="113"/>
      <c r="P158" s="113"/>
      <c r="Q158" s="113"/>
      <c r="R158" s="113"/>
      <c r="T158" s="113"/>
      <c r="U158" s="113"/>
      <c r="V158" s="113"/>
    </row>
    <row r="159" customFormat="false" ht="15" hidden="false" customHeight="true" outlineLevel="0" collapsed="false">
      <c r="H159" s="113"/>
      <c r="I159" s="113"/>
      <c r="J159" s="113"/>
      <c r="L159" s="113"/>
      <c r="M159" s="113"/>
      <c r="N159" s="113"/>
      <c r="P159" s="113"/>
      <c r="Q159" s="113"/>
      <c r="R159" s="113"/>
      <c r="T159" s="113"/>
      <c r="U159" s="113"/>
      <c r="V159" s="113"/>
    </row>
    <row r="160" customFormat="false" ht="15" hidden="false" customHeight="true" outlineLevel="0" collapsed="false">
      <c r="H160" s="113"/>
      <c r="I160" s="113"/>
      <c r="J160" s="113"/>
      <c r="L160" s="113"/>
      <c r="M160" s="113"/>
      <c r="N160" s="113"/>
      <c r="P160" s="113"/>
      <c r="Q160" s="113"/>
      <c r="R160" s="113"/>
      <c r="T160" s="113"/>
      <c r="U160" s="113"/>
      <c r="V160" s="113"/>
    </row>
    <row r="161" customFormat="false" ht="15" hidden="false" customHeight="true" outlineLevel="0" collapsed="false">
      <c r="H161" s="113"/>
      <c r="I161" s="113"/>
      <c r="J161" s="113"/>
      <c r="L161" s="113"/>
      <c r="M161" s="113"/>
      <c r="N161" s="113"/>
      <c r="P161" s="113"/>
      <c r="Q161" s="113"/>
      <c r="R161" s="113"/>
      <c r="T161" s="113"/>
      <c r="U161" s="113"/>
      <c r="V161" s="113"/>
    </row>
    <row r="162" customFormat="false" ht="15" hidden="false" customHeight="true" outlineLevel="0" collapsed="false">
      <c r="H162" s="113"/>
      <c r="I162" s="113"/>
      <c r="J162" s="113"/>
      <c r="L162" s="113"/>
      <c r="M162" s="113"/>
      <c r="N162" s="113"/>
      <c r="P162" s="113"/>
      <c r="Q162" s="113"/>
      <c r="R162" s="113"/>
      <c r="T162" s="113"/>
      <c r="U162" s="113"/>
      <c r="V162" s="113"/>
    </row>
    <row r="163" customFormat="false" ht="15" hidden="false" customHeight="true" outlineLevel="0" collapsed="false">
      <c r="H163" s="113"/>
      <c r="I163" s="113"/>
      <c r="J163" s="113"/>
      <c r="L163" s="113"/>
      <c r="M163" s="113"/>
      <c r="N163" s="113"/>
      <c r="P163" s="113"/>
      <c r="Q163" s="113"/>
      <c r="R163" s="113"/>
      <c r="T163" s="113"/>
      <c r="U163" s="113"/>
      <c r="V163" s="113"/>
    </row>
    <row r="164" customFormat="false" ht="15" hidden="false" customHeight="true" outlineLevel="0" collapsed="false">
      <c r="H164" s="113"/>
      <c r="I164" s="113"/>
      <c r="J164" s="113"/>
      <c r="L164" s="113"/>
      <c r="M164" s="113"/>
      <c r="N164" s="113"/>
      <c r="P164" s="113"/>
      <c r="Q164" s="113"/>
      <c r="R164" s="113"/>
      <c r="T164" s="113"/>
      <c r="U164" s="113"/>
      <c r="V164" s="113"/>
    </row>
    <row r="165" customFormat="false" ht="15" hidden="false" customHeight="true" outlineLevel="0" collapsed="false">
      <c r="H165" s="113"/>
      <c r="I165" s="113"/>
      <c r="J165" s="113"/>
      <c r="L165" s="113"/>
      <c r="M165" s="113"/>
      <c r="N165" s="113"/>
      <c r="P165" s="113"/>
      <c r="Q165" s="113"/>
      <c r="R165" s="113"/>
      <c r="T165" s="113"/>
      <c r="U165" s="113"/>
      <c r="V165" s="113"/>
    </row>
    <row r="166" customFormat="false" ht="15" hidden="false" customHeight="true" outlineLevel="0" collapsed="false">
      <c r="H166" s="113"/>
      <c r="I166" s="113"/>
      <c r="J166" s="113"/>
      <c r="L166" s="113"/>
      <c r="M166" s="113"/>
      <c r="N166" s="113"/>
      <c r="P166" s="113"/>
      <c r="Q166" s="113"/>
      <c r="R166" s="113"/>
      <c r="T166" s="113"/>
      <c r="U166" s="113"/>
      <c r="V166" s="113"/>
    </row>
    <row r="167" customFormat="false" ht="15" hidden="false" customHeight="true" outlineLevel="0" collapsed="false">
      <c r="H167" s="113"/>
      <c r="I167" s="113"/>
      <c r="J167" s="113"/>
      <c r="L167" s="113"/>
      <c r="M167" s="113"/>
      <c r="N167" s="113"/>
      <c r="P167" s="113"/>
      <c r="Q167" s="113"/>
      <c r="R167" s="113"/>
      <c r="T167" s="113"/>
      <c r="U167" s="113"/>
      <c r="V167" s="113"/>
    </row>
    <row r="168" customFormat="false" ht="15" hidden="false" customHeight="true" outlineLevel="0" collapsed="false">
      <c r="H168" s="113"/>
      <c r="I168" s="113"/>
      <c r="J168" s="113"/>
      <c r="L168" s="113"/>
      <c r="M168" s="113"/>
      <c r="N168" s="113"/>
      <c r="P168" s="113"/>
      <c r="Q168" s="113"/>
      <c r="R168" s="113"/>
      <c r="T168" s="113"/>
      <c r="U168" s="113"/>
      <c r="V168" s="113"/>
    </row>
    <row r="169" customFormat="false" ht="15" hidden="false" customHeight="true" outlineLevel="0" collapsed="false">
      <c r="H169" s="113"/>
      <c r="I169" s="113"/>
      <c r="J169" s="113"/>
      <c r="L169" s="113"/>
      <c r="M169" s="113"/>
      <c r="N169" s="113"/>
      <c r="P169" s="113"/>
      <c r="Q169" s="113"/>
      <c r="R169" s="113"/>
      <c r="T169" s="113"/>
      <c r="U169" s="113"/>
      <c r="V169" s="113"/>
    </row>
    <row r="170" customFormat="false" ht="15" hidden="false" customHeight="true" outlineLevel="0" collapsed="false">
      <c r="H170" s="113"/>
      <c r="I170" s="113"/>
      <c r="J170" s="113"/>
      <c r="L170" s="113"/>
      <c r="M170" s="113"/>
      <c r="N170" s="113"/>
      <c r="P170" s="113"/>
      <c r="Q170" s="113"/>
      <c r="R170" s="113"/>
      <c r="T170" s="113"/>
      <c r="U170" s="113"/>
      <c r="V170" s="113"/>
    </row>
    <row r="171" customFormat="false" ht="15" hidden="false" customHeight="true" outlineLevel="0" collapsed="false">
      <c r="H171" s="113"/>
      <c r="I171" s="113"/>
      <c r="J171" s="113"/>
      <c r="L171" s="113"/>
      <c r="M171" s="113"/>
      <c r="N171" s="113"/>
      <c r="P171" s="113"/>
      <c r="Q171" s="113"/>
      <c r="R171" s="113"/>
      <c r="T171" s="113"/>
      <c r="U171" s="113"/>
      <c r="V171" s="113"/>
    </row>
    <row r="172" customFormat="false" ht="15" hidden="false" customHeight="true" outlineLevel="0" collapsed="false">
      <c r="H172" s="113"/>
      <c r="I172" s="113"/>
      <c r="J172" s="113"/>
      <c r="L172" s="113"/>
      <c r="M172" s="113"/>
      <c r="N172" s="113"/>
      <c r="P172" s="113"/>
      <c r="Q172" s="113"/>
      <c r="R172" s="113"/>
      <c r="T172" s="113"/>
      <c r="U172" s="113"/>
      <c r="V172" s="113"/>
    </row>
    <row r="173" customFormat="false" ht="15" hidden="false" customHeight="true" outlineLevel="0" collapsed="false">
      <c r="H173" s="113"/>
      <c r="I173" s="113"/>
      <c r="J173" s="113"/>
      <c r="L173" s="113"/>
      <c r="M173" s="113"/>
      <c r="N173" s="113"/>
      <c r="P173" s="113"/>
      <c r="Q173" s="113"/>
      <c r="R173" s="113"/>
      <c r="T173" s="113"/>
      <c r="U173" s="113"/>
      <c r="V173" s="113"/>
    </row>
    <row r="174" customFormat="false" ht="15" hidden="false" customHeight="true" outlineLevel="0" collapsed="false">
      <c r="H174" s="113"/>
      <c r="I174" s="113"/>
      <c r="J174" s="113"/>
      <c r="L174" s="113"/>
      <c r="M174" s="113"/>
      <c r="N174" s="113"/>
      <c r="P174" s="113"/>
      <c r="Q174" s="113"/>
      <c r="R174" s="113"/>
      <c r="T174" s="113"/>
      <c r="U174" s="113"/>
      <c r="V174" s="113"/>
    </row>
    <row r="175" customFormat="false" ht="15" hidden="false" customHeight="true" outlineLevel="0" collapsed="false">
      <c r="H175" s="113"/>
      <c r="I175" s="113"/>
      <c r="J175" s="113"/>
      <c r="L175" s="113"/>
      <c r="M175" s="113"/>
      <c r="N175" s="113"/>
      <c r="P175" s="113"/>
      <c r="Q175" s="113"/>
      <c r="R175" s="113"/>
      <c r="T175" s="113"/>
      <c r="U175" s="113"/>
      <c r="V175" s="113"/>
    </row>
    <row r="176" customFormat="false" ht="15" hidden="false" customHeight="true" outlineLevel="0" collapsed="false">
      <c r="H176" s="113"/>
      <c r="I176" s="113"/>
      <c r="J176" s="113"/>
      <c r="L176" s="113"/>
      <c r="M176" s="113"/>
      <c r="N176" s="113"/>
      <c r="P176" s="113"/>
      <c r="Q176" s="113"/>
      <c r="R176" s="113"/>
      <c r="T176" s="113"/>
      <c r="U176" s="113"/>
      <c r="V176" s="113"/>
    </row>
    <row r="177" customFormat="false" ht="15" hidden="false" customHeight="true" outlineLevel="0" collapsed="false">
      <c r="H177" s="113"/>
      <c r="I177" s="113"/>
      <c r="J177" s="113"/>
      <c r="L177" s="113"/>
      <c r="M177" s="113"/>
      <c r="N177" s="113"/>
      <c r="P177" s="113"/>
      <c r="Q177" s="113"/>
      <c r="R177" s="113"/>
      <c r="T177" s="113"/>
      <c r="U177" s="113"/>
      <c r="V177" s="113"/>
    </row>
    <row r="178" customFormat="false" ht="15" hidden="false" customHeight="true" outlineLevel="0" collapsed="false">
      <c r="H178" s="113"/>
      <c r="I178" s="113"/>
      <c r="J178" s="113"/>
      <c r="L178" s="113"/>
      <c r="M178" s="113"/>
      <c r="N178" s="113"/>
      <c r="P178" s="113"/>
      <c r="Q178" s="113"/>
      <c r="R178" s="113"/>
      <c r="T178" s="113"/>
      <c r="U178" s="113"/>
      <c r="V178" s="113"/>
    </row>
    <row r="179" customFormat="false" ht="15" hidden="false" customHeight="true" outlineLevel="0" collapsed="false">
      <c r="H179" s="113"/>
      <c r="I179" s="113"/>
      <c r="J179" s="113"/>
      <c r="L179" s="113"/>
      <c r="M179" s="113"/>
      <c r="N179" s="113"/>
      <c r="P179" s="113"/>
      <c r="Q179" s="113"/>
      <c r="R179" s="113"/>
      <c r="T179" s="113"/>
      <c r="U179" s="113"/>
      <c r="V179" s="113"/>
    </row>
    <row r="180" customFormat="false" ht="15" hidden="false" customHeight="true" outlineLevel="0" collapsed="false">
      <c r="H180" s="113"/>
      <c r="I180" s="113"/>
      <c r="J180" s="113"/>
      <c r="L180" s="113"/>
      <c r="M180" s="113"/>
      <c r="N180" s="113"/>
      <c r="P180" s="113"/>
      <c r="Q180" s="113"/>
      <c r="R180" s="113"/>
      <c r="T180" s="113"/>
      <c r="U180" s="113"/>
      <c r="V180" s="113"/>
    </row>
    <row r="181" customFormat="false" ht="15" hidden="false" customHeight="true" outlineLevel="0" collapsed="false">
      <c r="H181" s="113"/>
      <c r="I181" s="113"/>
      <c r="J181" s="113"/>
      <c r="L181" s="113"/>
      <c r="M181" s="113"/>
      <c r="N181" s="113"/>
      <c r="P181" s="113"/>
      <c r="Q181" s="113"/>
      <c r="R181" s="113"/>
      <c r="T181" s="113"/>
      <c r="U181" s="113"/>
      <c r="V181" s="113"/>
    </row>
    <row r="182" customFormat="false" ht="15" hidden="false" customHeight="true" outlineLevel="0" collapsed="false">
      <c r="H182" s="113"/>
      <c r="I182" s="113"/>
      <c r="J182" s="113"/>
      <c r="L182" s="113"/>
      <c r="M182" s="113"/>
      <c r="N182" s="113"/>
      <c r="P182" s="113"/>
      <c r="Q182" s="113"/>
      <c r="R182" s="113"/>
      <c r="T182" s="113"/>
      <c r="U182" s="113"/>
      <c r="V182" s="113"/>
    </row>
    <row r="183" customFormat="false" ht="15" hidden="false" customHeight="true" outlineLevel="0" collapsed="false">
      <c r="H183" s="113"/>
      <c r="I183" s="113"/>
      <c r="J183" s="113"/>
      <c r="L183" s="113"/>
      <c r="M183" s="113"/>
      <c r="N183" s="113"/>
      <c r="P183" s="113"/>
      <c r="Q183" s="113"/>
      <c r="R183" s="113"/>
      <c r="T183" s="113"/>
      <c r="U183" s="113"/>
      <c r="V183" s="113"/>
    </row>
    <row r="184" customFormat="false" ht="15" hidden="false" customHeight="true" outlineLevel="0" collapsed="false">
      <c r="H184" s="113"/>
      <c r="I184" s="113"/>
      <c r="J184" s="113"/>
      <c r="L184" s="113"/>
      <c r="M184" s="113"/>
      <c r="N184" s="113"/>
      <c r="P184" s="113"/>
      <c r="Q184" s="113"/>
      <c r="R184" s="113"/>
      <c r="T184" s="113"/>
      <c r="U184" s="113"/>
      <c r="V184" s="113"/>
    </row>
    <row r="185" customFormat="false" ht="15" hidden="false" customHeight="true" outlineLevel="0" collapsed="false">
      <c r="H185" s="113"/>
      <c r="I185" s="113"/>
      <c r="J185" s="113"/>
      <c r="L185" s="113"/>
      <c r="M185" s="113"/>
      <c r="N185" s="113"/>
      <c r="P185" s="113"/>
      <c r="Q185" s="113"/>
      <c r="R185" s="113"/>
      <c r="T185" s="113"/>
      <c r="U185" s="113"/>
      <c r="V185" s="113"/>
    </row>
    <row r="186" customFormat="false" ht="15" hidden="false" customHeight="true" outlineLevel="0" collapsed="false">
      <c r="H186" s="113"/>
      <c r="I186" s="113"/>
      <c r="J186" s="113"/>
      <c r="L186" s="113"/>
      <c r="M186" s="113"/>
      <c r="N186" s="113"/>
      <c r="P186" s="113"/>
      <c r="Q186" s="113"/>
      <c r="R186" s="113"/>
      <c r="T186" s="113"/>
      <c r="U186" s="113"/>
      <c r="V186" s="113"/>
    </row>
    <row r="187" customFormat="false" ht="15" hidden="false" customHeight="true" outlineLevel="0" collapsed="false">
      <c r="H187" s="113"/>
      <c r="I187" s="113"/>
      <c r="J187" s="113"/>
      <c r="L187" s="113"/>
      <c r="M187" s="113"/>
      <c r="N187" s="113"/>
      <c r="P187" s="113"/>
      <c r="Q187" s="113"/>
      <c r="R187" s="113"/>
      <c r="T187" s="113"/>
      <c r="U187" s="113"/>
      <c r="V187" s="113"/>
    </row>
    <row r="188" customFormat="false" ht="15" hidden="false" customHeight="true" outlineLevel="0" collapsed="false">
      <c r="H188" s="113"/>
      <c r="I188" s="113"/>
      <c r="J188" s="113"/>
      <c r="L188" s="113"/>
      <c r="M188" s="113"/>
      <c r="N188" s="113"/>
      <c r="P188" s="113"/>
      <c r="Q188" s="113"/>
      <c r="R188" s="113"/>
      <c r="T188" s="113"/>
      <c r="U188" s="113"/>
      <c r="V188" s="113"/>
    </row>
    <row r="189" customFormat="false" ht="15" hidden="false" customHeight="true" outlineLevel="0" collapsed="false">
      <c r="H189" s="113"/>
      <c r="I189" s="113"/>
      <c r="J189" s="113"/>
      <c r="L189" s="113"/>
      <c r="M189" s="113"/>
      <c r="N189" s="113"/>
      <c r="P189" s="113"/>
      <c r="Q189" s="113"/>
      <c r="R189" s="113"/>
      <c r="T189" s="113"/>
      <c r="U189" s="113"/>
      <c r="V189" s="113"/>
    </row>
    <row r="190" customFormat="false" ht="15" hidden="false" customHeight="true" outlineLevel="0" collapsed="false">
      <c r="H190" s="113"/>
      <c r="I190" s="113"/>
      <c r="J190" s="113"/>
      <c r="L190" s="113"/>
      <c r="M190" s="113"/>
      <c r="N190" s="113"/>
      <c r="P190" s="113"/>
      <c r="Q190" s="113"/>
      <c r="R190" s="113"/>
      <c r="T190" s="113"/>
      <c r="U190" s="113"/>
      <c r="V190" s="113"/>
    </row>
    <row r="191" customFormat="false" ht="15" hidden="false" customHeight="true" outlineLevel="0" collapsed="false">
      <c r="H191" s="113"/>
      <c r="I191" s="113"/>
      <c r="J191" s="113"/>
      <c r="L191" s="113"/>
      <c r="M191" s="113"/>
      <c r="N191" s="113"/>
      <c r="P191" s="113"/>
      <c r="Q191" s="113"/>
      <c r="R191" s="113"/>
      <c r="T191" s="113"/>
      <c r="U191" s="113"/>
      <c r="V191" s="113"/>
    </row>
    <row r="192" customFormat="false" ht="15" hidden="false" customHeight="true" outlineLevel="0" collapsed="false">
      <c r="H192" s="113"/>
      <c r="I192" s="113"/>
      <c r="J192" s="113"/>
      <c r="L192" s="113"/>
      <c r="M192" s="113"/>
      <c r="N192" s="113"/>
      <c r="P192" s="113"/>
      <c r="Q192" s="113"/>
      <c r="R192" s="113"/>
      <c r="T192" s="113"/>
      <c r="U192" s="113"/>
      <c r="V192" s="113"/>
    </row>
    <row r="193" customFormat="false" ht="15" hidden="false" customHeight="true" outlineLevel="0" collapsed="false">
      <c r="H193" s="113"/>
      <c r="I193" s="113"/>
      <c r="J193" s="113"/>
      <c r="L193" s="113"/>
      <c r="M193" s="113"/>
      <c r="N193" s="113"/>
      <c r="P193" s="113"/>
      <c r="Q193" s="113"/>
      <c r="R193" s="113"/>
      <c r="T193" s="113"/>
      <c r="U193" s="113"/>
      <c r="V193" s="113"/>
    </row>
    <row r="194" customFormat="false" ht="15" hidden="false" customHeight="true" outlineLevel="0" collapsed="false">
      <c r="H194" s="113"/>
      <c r="I194" s="113"/>
      <c r="J194" s="113"/>
      <c r="L194" s="113"/>
      <c r="M194" s="113"/>
      <c r="N194" s="113"/>
      <c r="P194" s="113"/>
      <c r="Q194" s="113"/>
      <c r="R194" s="113"/>
      <c r="T194" s="113"/>
      <c r="U194" s="113"/>
      <c r="V194" s="113"/>
    </row>
    <row r="195" customFormat="false" ht="15" hidden="false" customHeight="true" outlineLevel="0" collapsed="false">
      <c r="H195" s="113"/>
      <c r="I195" s="113"/>
      <c r="J195" s="113"/>
      <c r="L195" s="113"/>
      <c r="M195" s="113"/>
      <c r="N195" s="113"/>
      <c r="P195" s="113"/>
      <c r="Q195" s="113"/>
      <c r="R195" s="113"/>
      <c r="T195" s="113"/>
      <c r="U195" s="113"/>
      <c r="V195" s="113"/>
    </row>
    <row r="196" customFormat="false" ht="15" hidden="false" customHeight="true" outlineLevel="0" collapsed="false">
      <c r="H196" s="113"/>
      <c r="I196" s="113"/>
      <c r="J196" s="113"/>
      <c r="L196" s="113"/>
      <c r="M196" s="113"/>
      <c r="N196" s="113"/>
      <c r="P196" s="113"/>
      <c r="Q196" s="113"/>
      <c r="R196" s="113"/>
      <c r="T196" s="113"/>
      <c r="U196" s="113"/>
      <c r="V196" s="113"/>
    </row>
    <row r="197" customFormat="false" ht="15" hidden="false" customHeight="true" outlineLevel="0" collapsed="false">
      <c r="H197" s="113"/>
      <c r="I197" s="113"/>
      <c r="J197" s="113"/>
      <c r="L197" s="113"/>
      <c r="M197" s="113"/>
      <c r="N197" s="113"/>
      <c r="P197" s="113"/>
      <c r="Q197" s="113"/>
      <c r="R197" s="113"/>
      <c r="T197" s="113"/>
      <c r="U197" s="113"/>
      <c r="V197" s="113"/>
    </row>
    <row r="198" customFormat="false" ht="15" hidden="false" customHeight="true" outlineLevel="0" collapsed="false">
      <c r="H198" s="113"/>
      <c r="I198" s="113"/>
      <c r="J198" s="113"/>
      <c r="L198" s="113"/>
      <c r="M198" s="113"/>
      <c r="N198" s="113"/>
      <c r="P198" s="113"/>
      <c r="Q198" s="113"/>
      <c r="R198" s="113"/>
      <c r="T198" s="113"/>
      <c r="U198" s="113"/>
      <c r="V198" s="113"/>
    </row>
    <row r="199" customFormat="false" ht="15" hidden="false" customHeight="true" outlineLevel="0" collapsed="false">
      <c r="H199" s="113"/>
      <c r="I199" s="113"/>
      <c r="J199" s="113"/>
      <c r="L199" s="113"/>
      <c r="M199" s="113"/>
      <c r="N199" s="113"/>
      <c r="P199" s="113"/>
      <c r="Q199" s="113"/>
      <c r="R199" s="113"/>
      <c r="T199" s="113"/>
      <c r="U199" s="113"/>
      <c r="V199" s="113"/>
    </row>
    <row r="200" customFormat="false" ht="15" hidden="false" customHeight="true" outlineLevel="0" collapsed="false">
      <c r="H200" s="113"/>
      <c r="I200" s="113"/>
      <c r="J200" s="113"/>
      <c r="L200" s="113"/>
      <c r="M200" s="113"/>
      <c r="N200" s="113"/>
      <c r="P200" s="113"/>
      <c r="Q200" s="113"/>
      <c r="R200" s="113"/>
      <c r="T200" s="113"/>
      <c r="U200" s="113"/>
      <c r="V200" s="113"/>
    </row>
    <row r="201" customFormat="false" ht="15" hidden="false" customHeight="true" outlineLevel="0" collapsed="false">
      <c r="H201" s="113"/>
      <c r="I201" s="113"/>
      <c r="J201" s="113"/>
      <c r="L201" s="113"/>
      <c r="M201" s="113"/>
      <c r="N201" s="113"/>
      <c r="P201" s="113"/>
      <c r="Q201" s="113"/>
      <c r="R201" s="113"/>
      <c r="T201" s="113"/>
      <c r="U201" s="113"/>
      <c r="V201" s="113"/>
    </row>
    <row r="202" customFormat="false" ht="15" hidden="false" customHeight="true" outlineLevel="0" collapsed="false">
      <c r="H202" s="113"/>
      <c r="I202" s="113"/>
      <c r="J202" s="113"/>
      <c r="L202" s="113"/>
      <c r="M202" s="113"/>
      <c r="N202" s="113"/>
      <c r="P202" s="113"/>
      <c r="Q202" s="113"/>
      <c r="R202" s="113"/>
      <c r="T202" s="113"/>
      <c r="U202" s="113"/>
      <c r="V202" s="113"/>
    </row>
    <row r="203" customFormat="false" ht="15" hidden="false" customHeight="true" outlineLevel="0" collapsed="false">
      <c r="H203" s="113"/>
      <c r="I203" s="113"/>
      <c r="J203" s="113"/>
      <c r="L203" s="113"/>
      <c r="M203" s="113"/>
      <c r="N203" s="113"/>
      <c r="P203" s="113"/>
      <c r="Q203" s="113"/>
      <c r="R203" s="113"/>
      <c r="T203" s="113"/>
      <c r="U203" s="113"/>
      <c r="V203" s="113"/>
    </row>
    <row r="204" customFormat="false" ht="15" hidden="false" customHeight="true" outlineLevel="0" collapsed="false">
      <c r="H204" s="113"/>
      <c r="I204" s="113"/>
      <c r="J204" s="113"/>
      <c r="L204" s="113"/>
      <c r="M204" s="113"/>
      <c r="N204" s="113"/>
      <c r="P204" s="113"/>
      <c r="Q204" s="113"/>
      <c r="R204" s="113"/>
      <c r="T204" s="113"/>
      <c r="U204" s="113"/>
      <c r="V204" s="113"/>
    </row>
    <row r="205" customFormat="false" ht="15" hidden="false" customHeight="true" outlineLevel="0" collapsed="false">
      <c r="H205" s="113"/>
      <c r="I205" s="113"/>
      <c r="J205" s="113"/>
      <c r="L205" s="113"/>
      <c r="M205" s="113"/>
      <c r="N205" s="113"/>
      <c r="P205" s="113"/>
      <c r="Q205" s="113"/>
      <c r="R205" s="113"/>
      <c r="T205" s="113"/>
      <c r="U205" s="113"/>
      <c r="V205" s="113"/>
    </row>
    <row r="206" customFormat="false" ht="15" hidden="false" customHeight="true" outlineLevel="0" collapsed="false">
      <c r="H206" s="113"/>
      <c r="I206" s="113"/>
      <c r="J206" s="113"/>
      <c r="L206" s="113"/>
      <c r="M206" s="113"/>
      <c r="N206" s="113"/>
      <c r="P206" s="113"/>
      <c r="Q206" s="113"/>
      <c r="R206" s="113"/>
      <c r="T206" s="113"/>
      <c r="U206" s="113"/>
      <c r="V206" s="113"/>
    </row>
    <row r="207" customFormat="false" ht="15" hidden="false" customHeight="true" outlineLevel="0" collapsed="false">
      <c r="H207" s="113"/>
      <c r="I207" s="113"/>
      <c r="J207" s="113"/>
      <c r="L207" s="113"/>
      <c r="M207" s="113"/>
      <c r="N207" s="113"/>
      <c r="P207" s="113"/>
      <c r="Q207" s="113"/>
      <c r="R207" s="113"/>
      <c r="T207" s="113"/>
      <c r="U207" s="113"/>
      <c r="V207" s="113"/>
    </row>
    <row r="208" customFormat="false" ht="15" hidden="false" customHeight="true" outlineLevel="0" collapsed="false">
      <c r="H208" s="113"/>
      <c r="I208" s="113"/>
      <c r="J208" s="113"/>
      <c r="L208" s="113"/>
      <c r="M208" s="113"/>
      <c r="N208" s="113"/>
      <c r="P208" s="113"/>
      <c r="Q208" s="113"/>
      <c r="R208" s="113"/>
      <c r="T208" s="113"/>
      <c r="U208" s="113"/>
      <c r="V208" s="113"/>
    </row>
    <row r="209" customFormat="false" ht="15" hidden="false" customHeight="true" outlineLevel="0" collapsed="false">
      <c r="H209" s="113"/>
      <c r="I209" s="113"/>
      <c r="J209" s="113"/>
      <c r="L209" s="113"/>
      <c r="M209" s="113"/>
      <c r="N209" s="113"/>
      <c r="P209" s="113"/>
      <c r="Q209" s="113"/>
      <c r="R209" s="113"/>
      <c r="T209" s="113"/>
      <c r="U209" s="113"/>
      <c r="V209" s="113"/>
    </row>
    <row r="210" customFormat="false" ht="15" hidden="false" customHeight="true" outlineLevel="0" collapsed="false">
      <c r="H210" s="113"/>
      <c r="I210" s="113"/>
      <c r="J210" s="113"/>
      <c r="L210" s="113"/>
      <c r="M210" s="113"/>
      <c r="N210" s="113"/>
      <c r="P210" s="113"/>
      <c r="Q210" s="113"/>
      <c r="R210" s="113"/>
      <c r="T210" s="113"/>
      <c r="U210" s="113"/>
      <c r="V210" s="113"/>
    </row>
    <row r="211" customFormat="false" ht="15" hidden="false" customHeight="true" outlineLevel="0" collapsed="false">
      <c r="H211" s="113"/>
      <c r="I211" s="113"/>
      <c r="J211" s="113"/>
      <c r="L211" s="113"/>
      <c r="M211" s="113"/>
      <c r="N211" s="113"/>
      <c r="P211" s="113"/>
      <c r="Q211" s="113"/>
      <c r="R211" s="113"/>
      <c r="T211" s="113"/>
      <c r="U211" s="113"/>
      <c r="V211" s="113"/>
    </row>
    <row r="212" customFormat="false" ht="15" hidden="false" customHeight="true" outlineLevel="0" collapsed="false">
      <c r="H212" s="113"/>
      <c r="I212" s="113"/>
      <c r="J212" s="113"/>
      <c r="L212" s="113"/>
      <c r="M212" s="113"/>
      <c r="N212" s="113"/>
      <c r="P212" s="113"/>
      <c r="Q212" s="113"/>
      <c r="R212" s="113"/>
      <c r="T212" s="113"/>
      <c r="U212" s="113"/>
      <c r="V212" s="113"/>
    </row>
    <row r="213" customFormat="false" ht="15" hidden="false" customHeight="true" outlineLevel="0" collapsed="false">
      <c r="H213" s="113"/>
      <c r="I213" s="113"/>
      <c r="J213" s="113"/>
      <c r="L213" s="113"/>
      <c r="M213" s="113"/>
      <c r="N213" s="113"/>
      <c r="P213" s="113"/>
      <c r="Q213" s="113"/>
      <c r="R213" s="113"/>
      <c r="T213" s="113"/>
      <c r="U213" s="113"/>
      <c r="V213" s="113"/>
    </row>
    <row r="214" customFormat="false" ht="15" hidden="false" customHeight="true" outlineLevel="0" collapsed="false">
      <c r="H214" s="113"/>
      <c r="I214" s="113"/>
      <c r="J214" s="113"/>
      <c r="L214" s="113"/>
      <c r="M214" s="113"/>
      <c r="N214" s="113"/>
      <c r="P214" s="113"/>
      <c r="Q214" s="113"/>
      <c r="R214" s="113"/>
      <c r="T214" s="113"/>
      <c r="U214" s="113"/>
      <c r="V214" s="113"/>
    </row>
    <row r="215" customFormat="false" ht="15" hidden="false" customHeight="true" outlineLevel="0" collapsed="false">
      <c r="H215" s="113"/>
      <c r="I215" s="113"/>
      <c r="J215" s="113"/>
      <c r="L215" s="113"/>
      <c r="M215" s="113"/>
      <c r="N215" s="113"/>
      <c r="P215" s="113"/>
      <c r="Q215" s="113"/>
      <c r="R215" s="113"/>
      <c r="T215" s="113"/>
      <c r="U215" s="113"/>
      <c r="V215" s="113"/>
    </row>
    <row r="216" customFormat="false" ht="15" hidden="false" customHeight="true" outlineLevel="0" collapsed="false">
      <c r="H216" s="113"/>
      <c r="I216" s="113"/>
      <c r="J216" s="113"/>
      <c r="L216" s="113"/>
      <c r="M216" s="113"/>
      <c r="N216" s="113"/>
      <c r="P216" s="113"/>
      <c r="Q216" s="113"/>
      <c r="R216" s="113"/>
      <c r="T216" s="113"/>
      <c r="U216" s="113"/>
      <c r="V216" s="113"/>
    </row>
    <row r="217" customFormat="false" ht="15" hidden="false" customHeight="true" outlineLevel="0" collapsed="false">
      <c r="H217" s="113"/>
      <c r="I217" s="113"/>
      <c r="J217" s="113"/>
      <c r="L217" s="113"/>
      <c r="M217" s="113"/>
      <c r="N217" s="113"/>
      <c r="P217" s="113"/>
      <c r="Q217" s="113"/>
      <c r="R217" s="113"/>
      <c r="T217" s="113"/>
      <c r="U217" s="113"/>
      <c r="V217" s="113"/>
    </row>
    <row r="218" customFormat="false" ht="15" hidden="false" customHeight="true" outlineLevel="0" collapsed="false">
      <c r="H218" s="113"/>
      <c r="I218" s="113"/>
      <c r="J218" s="113"/>
      <c r="L218" s="113"/>
      <c r="M218" s="113"/>
      <c r="N218" s="113"/>
      <c r="P218" s="113"/>
      <c r="Q218" s="113"/>
      <c r="R218" s="113"/>
      <c r="T218" s="113"/>
      <c r="U218" s="113"/>
      <c r="V218" s="113"/>
    </row>
    <row r="219" customFormat="false" ht="15" hidden="false" customHeight="true" outlineLevel="0" collapsed="false">
      <c r="H219" s="113"/>
      <c r="I219" s="113"/>
      <c r="J219" s="113"/>
      <c r="L219" s="113"/>
      <c r="M219" s="113"/>
      <c r="N219" s="113"/>
      <c r="P219" s="113"/>
      <c r="Q219" s="113"/>
      <c r="R219" s="113"/>
      <c r="T219" s="113"/>
      <c r="U219" s="113"/>
      <c r="V219" s="113"/>
    </row>
    <row r="220" customFormat="false" ht="15" hidden="false" customHeight="true" outlineLevel="0" collapsed="false">
      <c r="H220" s="113"/>
      <c r="I220" s="113"/>
      <c r="J220" s="113"/>
      <c r="L220" s="113"/>
      <c r="M220" s="113"/>
      <c r="N220" s="113"/>
      <c r="P220" s="113"/>
      <c r="Q220" s="113"/>
      <c r="R220" s="113"/>
      <c r="T220" s="113"/>
      <c r="U220" s="113"/>
      <c r="V220" s="113"/>
    </row>
    <row r="221" customFormat="false" ht="15" hidden="false" customHeight="true" outlineLevel="0" collapsed="false">
      <c r="H221" s="113"/>
      <c r="I221" s="113"/>
      <c r="J221" s="113"/>
      <c r="L221" s="113"/>
      <c r="M221" s="113"/>
      <c r="N221" s="113"/>
      <c r="P221" s="113"/>
      <c r="Q221" s="113"/>
      <c r="R221" s="113"/>
      <c r="T221" s="113"/>
      <c r="U221" s="113"/>
      <c r="V221" s="113"/>
    </row>
    <row r="222" customFormat="false" ht="15" hidden="false" customHeight="true" outlineLevel="0" collapsed="false">
      <c r="H222" s="113"/>
      <c r="I222" s="113"/>
      <c r="J222" s="113"/>
      <c r="L222" s="113"/>
      <c r="M222" s="113"/>
      <c r="N222" s="113"/>
      <c r="P222" s="113"/>
      <c r="Q222" s="113"/>
      <c r="R222" s="113"/>
      <c r="T222" s="113"/>
      <c r="U222" s="113"/>
      <c r="V222" s="113"/>
    </row>
    <row r="223" customFormat="false" ht="15" hidden="false" customHeight="true" outlineLevel="0" collapsed="false">
      <c r="H223" s="113"/>
      <c r="I223" s="113"/>
      <c r="J223" s="113"/>
      <c r="L223" s="113"/>
      <c r="M223" s="113"/>
      <c r="N223" s="113"/>
      <c r="P223" s="113"/>
      <c r="Q223" s="113"/>
      <c r="R223" s="113"/>
      <c r="T223" s="113"/>
      <c r="U223" s="113"/>
      <c r="V223" s="113"/>
    </row>
    <row r="224" customFormat="false" ht="15" hidden="false" customHeight="true" outlineLevel="0" collapsed="false">
      <c r="H224" s="113"/>
      <c r="I224" s="113"/>
      <c r="J224" s="113"/>
      <c r="L224" s="113"/>
      <c r="M224" s="113"/>
      <c r="N224" s="113"/>
      <c r="P224" s="113"/>
      <c r="Q224" s="113"/>
      <c r="R224" s="113"/>
      <c r="T224" s="113"/>
      <c r="U224" s="113"/>
      <c r="V224" s="113"/>
    </row>
    <row r="225" customFormat="false" ht="15" hidden="false" customHeight="true" outlineLevel="0" collapsed="false">
      <c r="H225" s="113"/>
      <c r="I225" s="113"/>
      <c r="J225" s="113"/>
      <c r="L225" s="113"/>
      <c r="M225" s="113"/>
      <c r="N225" s="113"/>
      <c r="P225" s="113"/>
      <c r="Q225" s="113"/>
      <c r="R225" s="113"/>
      <c r="T225" s="113"/>
      <c r="U225" s="113"/>
      <c r="V225" s="113"/>
    </row>
    <row r="226" customFormat="false" ht="15" hidden="false" customHeight="true" outlineLevel="0" collapsed="false">
      <c r="H226" s="113"/>
      <c r="I226" s="113"/>
      <c r="J226" s="113"/>
      <c r="L226" s="113"/>
      <c r="M226" s="113"/>
      <c r="N226" s="113"/>
      <c r="P226" s="113"/>
      <c r="Q226" s="113"/>
      <c r="R226" s="113"/>
      <c r="T226" s="113"/>
      <c r="U226" s="113"/>
      <c r="V226" s="113"/>
    </row>
    <row r="227" customFormat="false" ht="15" hidden="false" customHeight="true" outlineLevel="0" collapsed="false">
      <c r="H227" s="113"/>
      <c r="I227" s="113"/>
      <c r="J227" s="113"/>
      <c r="L227" s="113"/>
      <c r="M227" s="113"/>
      <c r="N227" s="113"/>
      <c r="P227" s="113"/>
      <c r="Q227" s="113"/>
      <c r="R227" s="113"/>
      <c r="T227" s="113"/>
      <c r="U227" s="113"/>
      <c r="V227" s="113"/>
    </row>
    <row r="228" customFormat="false" ht="15" hidden="false" customHeight="true" outlineLevel="0" collapsed="false">
      <c r="H228" s="113"/>
      <c r="I228" s="113"/>
      <c r="J228" s="113"/>
      <c r="L228" s="113"/>
      <c r="M228" s="113"/>
      <c r="N228" s="113"/>
      <c r="P228" s="113"/>
      <c r="Q228" s="113"/>
      <c r="R228" s="113"/>
      <c r="T228" s="113"/>
      <c r="U228" s="113"/>
      <c r="V228" s="113"/>
    </row>
    <row r="229" customFormat="false" ht="15" hidden="false" customHeight="true" outlineLevel="0" collapsed="false">
      <c r="H229" s="113"/>
      <c r="I229" s="113"/>
      <c r="J229" s="113"/>
      <c r="L229" s="113"/>
      <c r="M229" s="113"/>
      <c r="N229" s="113"/>
      <c r="P229" s="113"/>
      <c r="Q229" s="113"/>
      <c r="R229" s="113"/>
      <c r="T229" s="113"/>
      <c r="U229" s="113"/>
      <c r="V229" s="113"/>
    </row>
    <row r="230" customFormat="false" ht="15" hidden="false" customHeight="true" outlineLevel="0" collapsed="false">
      <c r="H230" s="113"/>
      <c r="I230" s="113"/>
      <c r="J230" s="113"/>
      <c r="L230" s="113"/>
      <c r="M230" s="113"/>
      <c r="N230" s="113"/>
      <c r="P230" s="113"/>
      <c r="Q230" s="113"/>
      <c r="R230" s="113"/>
      <c r="T230" s="113"/>
      <c r="U230" s="113"/>
      <c r="V230" s="113"/>
    </row>
    <row r="231" customFormat="false" ht="15" hidden="false" customHeight="true" outlineLevel="0" collapsed="false">
      <c r="H231" s="113"/>
      <c r="I231" s="113"/>
      <c r="J231" s="113"/>
      <c r="L231" s="113"/>
      <c r="M231" s="113"/>
      <c r="N231" s="113"/>
      <c r="P231" s="113"/>
      <c r="Q231" s="113"/>
      <c r="R231" s="113"/>
      <c r="T231" s="113"/>
      <c r="U231" s="113"/>
      <c r="V231" s="113"/>
    </row>
    <row r="232" customFormat="false" ht="15" hidden="false" customHeight="true" outlineLevel="0" collapsed="false">
      <c r="H232" s="113"/>
      <c r="I232" s="113"/>
      <c r="J232" s="113"/>
      <c r="L232" s="113"/>
      <c r="M232" s="113"/>
      <c r="N232" s="113"/>
      <c r="P232" s="113"/>
      <c r="Q232" s="113"/>
      <c r="R232" s="113"/>
      <c r="T232" s="113"/>
      <c r="U232" s="113"/>
      <c r="V232" s="113"/>
    </row>
    <row r="233" customFormat="false" ht="15" hidden="false" customHeight="true" outlineLevel="0" collapsed="false">
      <c r="H233" s="113"/>
      <c r="I233" s="113"/>
      <c r="J233" s="113"/>
      <c r="L233" s="113"/>
      <c r="M233" s="113"/>
      <c r="N233" s="113"/>
      <c r="P233" s="113"/>
      <c r="Q233" s="113"/>
      <c r="R233" s="113"/>
      <c r="T233" s="113"/>
      <c r="U233" s="113"/>
      <c r="V233" s="113"/>
    </row>
    <row r="234" customFormat="false" ht="15" hidden="false" customHeight="true" outlineLevel="0" collapsed="false">
      <c r="H234" s="113"/>
      <c r="I234" s="113"/>
      <c r="J234" s="113"/>
      <c r="L234" s="113"/>
      <c r="M234" s="113"/>
      <c r="N234" s="113"/>
      <c r="P234" s="113"/>
      <c r="Q234" s="113"/>
      <c r="R234" s="113"/>
      <c r="T234" s="113"/>
      <c r="U234" s="113"/>
      <c r="V234" s="113"/>
    </row>
    <row r="235" customFormat="false" ht="15" hidden="false" customHeight="true" outlineLevel="0" collapsed="false">
      <c r="H235" s="113"/>
      <c r="I235" s="113"/>
      <c r="J235" s="113"/>
      <c r="L235" s="113"/>
      <c r="M235" s="113"/>
      <c r="N235" s="113"/>
      <c r="P235" s="113"/>
      <c r="Q235" s="113"/>
      <c r="R235" s="113"/>
      <c r="T235" s="113"/>
      <c r="U235" s="113"/>
      <c r="V235" s="113"/>
    </row>
    <row r="236" customFormat="false" ht="15" hidden="false" customHeight="true" outlineLevel="0" collapsed="false">
      <c r="H236" s="113"/>
      <c r="I236" s="113"/>
      <c r="J236" s="113"/>
      <c r="L236" s="113"/>
      <c r="M236" s="113"/>
      <c r="N236" s="113"/>
      <c r="P236" s="113"/>
      <c r="Q236" s="113"/>
      <c r="R236" s="113"/>
      <c r="T236" s="113"/>
      <c r="U236" s="113"/>
      <c r="V236" s="113"/>
    </row>
    <row r="237" customFormat="false" ht="15" hidden="false" customHeight="true" outlineLevel="0" collapsed="false">
      <c r="H237" s="113"/>
      <c r="I237" s="113"/>
      <c r="J237" s="113"/>
      <c r="L237" s="113"/>
      <c r="M237" s="113"/>
      <c r="N237" s="113"/>
      <c r="P237" s="113"/>
      <c r="Q237" s="113"/>
      <c r="R237" s="113"/>
      <c r="T237" s="113"/>
      <c r="U237" s="113"/>
      <c r="V237" s="113"/>
    </row>
    <row r="238" customFormat="false" ht="15" hidden="false" customHeight="true" outlineLevel="0" collapsed="false">
      <c r="H238" s="113"/>
      <c r="I238" s="113"/>
      <c r="J238" s="113"/>
      <c r="L238" s="113"/>
      <c r="M238" s="113"/>
      <c r="N238" s="113"/>
      <c r="P238" s="113"/>
      <c r="Q238" s="113"/>
      <c r="R238" s="113"/>
      <c r="T238" s="113"/>
      <c r="U238" s="113"/>
      <c r="V238" s="113"/>
    </row>
    <row r="239" customFormat="false" ht="15" hidden="false" customHeight="true" outlineLevel="0" collapsed="false">
      <c r="H239" s="113"/>
      <c r="I239" s="113"/>
      <c r="J239" s="113"/>
      <c r="L239" s="113"/>
      <c r="M239" s="113"/>
      <c r="N239" s="113"/>
      <c r="P239" s="113"/>
      <c r="Q239" s="113"/>
      <c r="R239" s="113"/>
      <c r="T239" s="113"/>
      <c r="U239" s="113"/>
      <c r="V239" s="113"/>
    </row>
    <row r="240" customFormat="false" ht="15" hidden="false" customHeight="true" outlineLevel="0" collapsed="false">
      <c r="H240" s="113"/>
      <c r="I240" s="113"/>
      <c r="J240" s="113"/>
      <c r="L240" s="113"/>
      <c r="M240" s="113"/>
      <c r="N240" s="113"/>
      <c r="P240" s="113"/>
      <c r="Q240" s="113"/>
      <c r="R240" s="113"/>
      <c r="T240" s="113"/>
      <c r="U240" s="113"/>
      <c r="V240" s="113"/>
    </row>
    <row r="241" customFormat="false" ht="15" hidden="false" customHeight="true" outlineLevel="0" collapsed="false">
      <c r="H241" s="113"/>
      <c r="I241" s="113"/>
      <c r="J241" s="113"/>
      <c r="L241" s="113"/>
      <c r="M241" s="113"/>
      <c r="N241" s="113"/>
      <c r="P241" s="113"/>
      <c r="Q241" s="113"/>
      <c r="R241" s="113"/>
      <c r="T241" s="113"/>
      <c r="U241" s="113"/>
      <c r="V241" s="113"/>
    </row>
    <row r="242" customFormat="false" ht="15" hidden="false" customHeight="true" outlineLevel="0" collapsed="false">
      <c r="H242" s="113"/>
      <c r="I242" s="113"/>
      <c r="J242" s="113"/>
      <c r="L242" s="113"/>
      <c r="M242" s="113"/>
      <c r="N242" s="113"/>
      <c r="P242" s="113"/>
      <c r="Q242" s="113"/>
      <c r="R242" s="113"/>
      <c r="T242" s="113"/>
      <c r="U242" s="113"/>
      <c r="V242" s="113"/>
    </row>
    <row r="243" customFormat="false" ht="15" hidden="false" customHeight="true" outlineLevel="0" collapsed="false">
      <c r="H243" s="113"/>
      <c r="I243" s="113"/>
      <c r="J243" s="113"/>
      <c r="L243" s="113"/>
      <c r="M243" s="113"/>
      <c r="N243" s="113"/>
      <c r="P243" s="113"/>
      <c r="Q243" s="113"/>
      <c r="R243" s="113"/>
      <c r="T243" s="113"/>
      <c r="U243" s="113"/>
      <c r="V243" s="113"/>
    </row>
    <row r="244" customFormat="false" ht="15" hidden="false" customHeight="true" outlineLevel="0" collapsed="false">
      <c r="H244" s="113"/>
      <c r="I244" s="113"/>
      <c r="J244" s="113"/>
      <c r="L244" s="113"/>
      <c r="M244" s="113"/>
      <c r="N244" s="113"/>
      <c r="P244" s="113"/>
      <c r="Q244" s="113"/>
      <c r="R244" s="113"/>
      <c r="T244" s="113"/>
      <c r="U244" s="113"/>
      <c r="V244" s="113"/>
    </row>
    <row r="245" customFormat="false" ht="15" hidden="false" customHeight="true" outlineLevel="0" collapsed="false">
      <c r="H245" s="113"/>
      <c r="I245" s="113"/>
      <c r="J245" s="113"/>
      <c r="L245" s="113"/>
      <c r="M245" s="113"/>
      <c r="N245" s="113"/>
      <c r="P245" s="113"/>
      <c r="Q245" s="113"/>
      <c r="R245" s="113"/>
      <c r="T245" s="113"/>
      <c r="U245" s="113"/>
      <c r="V245" s="113"/>
    </row>
    <row r="246" customFormat="false" ht="15" hidden="false" customHeight="true" outlineLevel="0" collapsed="false">
      <c r="H246" s="113"/>
      <c r="I246" s="113"/>
      <c r="J246" s="113"/>
      <c r="L246" s="113"/>
      <c r="M246" s="113"/>
      <c r="N246" s="113"/>
      <c r="P246" s="113"/>
      <c r="Q246" s="113"/>
      <c r="R246" s="113"/>
      <c r="T246" s="113"/>
      <c r="U246" s="113"/>
      <c r="V246" s="113"/>
    </row>
    <row r="247" customFormat="false" ht="15" hidden="false" customHeight="true" outlineLevel="0" collapsed="false">
      <c r="H247" s="113"/>
      <c r="I247" s="113"/>
      <c r="J247" s="113"/>
      <c r="L247" s="113"/>
      <c r="M247" s="113"/>
      <c r="N247" s="113"/>
      <c r="P247" s="113"/>
      <c r="Q247" s="113"/>
      <c r="R247" s="113"/>
      <c r="T247" s="113"/>
      <c r="U247" s="113"/>
      <c r="V247" s="113"/>
    </row>
    <row r="248" customFormat="false" ht="15" hidden="false" customHeight="true" outlineLevel="0" collapsed="false">
      <c r="H248" s="113"/>
      <c r="I248" s="113"/>
      <c r="J248" s="113"/>
      <c r="L248" s="113"/>
      <c r="M248" s="113"/>
      <c r="N248" s="113"/>
      <c r="P248" s="113"/>
      <c r="Q248" s="113"/>
      <c r="R248" s="113"/>
      <c r="T248" s="113"/>
      <c r="U248" s="113"/>
      <c r="V248" s="113"/>
    </row>
    <row r="249" customFormat="false" ht="15" hidden="false" customHeight="true" outlineLevel="0" collapsed="false">
      <c r="H249" s="113"/>
      <c r="I249" s="113"/>
      <c r="J249" s="113"/>
      <c r="L249" s="113"/>
      <c r="M249" s="113"/>
      <c r="N249" s="113"/>
      <c r="P249" s="113"/>
      <c r="Q249" s="113"/>
      <c r="R249" s="113"/>
      <c r="T249" s="113"/>
      <c r="U249" s="113"/>
      <c r="V249" s="113"/>
    </row>
    <row r="250" customFormat="false" ht="15" hidden="false" customHeight="true" outlineLevel="0" collapsed="false">
      <c r="H250" s="113"/>
      <c r="I250" s="113"/>
      <c r="J250" s="113"/>
      <c r="L250" s="113"/>
      <c r="M250" s="113"/>
      <c r="N250" s="113"/>
      <c r="P250" s="113"/>
      <c r="Q250" s="113"/>
      <c r="R250" s="113"/>
      <c r="T250" s="113"/>
      <c r="U250" s="113"/>
      <c r="V250" s="113"/>
    </row>
    <row r="251" customFormat="false" ht="15" hidden="false" customHeight="true" outlineLevel="0" collapsed="false">
      <c r="H251" s="113"/>
      <c r="I251" s="113"/>
      <c r="J251" s="113"/>
      <c r="L251" s="113"/>
      <c r="M251" s="113"/>
      <c r="N251" s="113"/>
      <c r="P251" s="113"/>
      <c r="Q251" s="113"/>
      <c r="R251" s="113"/>
      <c r="T251" s="113"/>
      <c r="U251" s="113"/>
      <c r="V251" s="113"/>
    </row>
    <row r="252" customFormat="false" ht="15" hidden="false" customHeight="true" outlineLevel="0" collapsed="false">
      <c r="H252" s="113"/>
      <c r="I252" s="113"/>
      <c r="J252" s="113"/>
      <c r="L252" s="113"/>
      <c r="M252" s="113"/>
      <c r="N252" s="113"/>
      <c r="P252" s="113"/>
      <c r="Q252" s="113"/>
      <c r="R252" s="113"/>
      <c r="T252" s="113"/>
      <c r="U252" s="113"/>
      <c r="V252" s="113"/>
    </row>
    <row r="253" customFormat="false" ht="15" hidden="false" customHeight="true" outlineLevel="0" collapsed="false">
      <c r="H253" s="113"/>
      <c r="I253" s="113"/>
      <c r="J253" s="113"/>
      <c r="L253" s="113"/>
      <c r="M253" s="113"/>
      <c r="N253" s="113"/>
      <c r="P253" s="113"/>
      <c r="Q253" s="113"/>
      <c r="R253" s="113"/>
      <c r="T253" s="113"/>
      <c r="U253" s="113"/>
      <c r="V253" s="113"/>
    </row>
    <row r="254" customFormat="false" ht="15" hidden="false" customHeight="true" outlineLevel="0" collapsed="false">
      <c r="H254" s="113"/>
      <c r="I254" s="113"/>
      <c r="J254" s="113"/>
      <c r="L254" s="113"/>
      <c r="M254" s="113"/>
      <c r="N254" s="113"/>
      <c r="P254" s="113"/>
      <c r="Q254" s="113"/>
      <c r="R254" s="113"/>
      <c r="T254" s="113"/>
      <c r="U254" s="113"/>
      <c r="V254" s="113"/>
    </row>
    <row r="255" customFormat="false" ht="15" hidden="false" customHeight="true" outlineLevel="0" collapsed="false">
      <c r="H255" s="113"/>
      <c r="I255" s="113"/>
      <c r="J255" s="113"/>
      <c r="L255" s="113"/>
      <c r="M255" s="113"/>
      <c r="N255" s="113"/>
      <c r="P255" s="113"/>
      <c r="Q255" s="113"/>
      <c r="R255" s="113"/>
      <c r="T255" s="113"/>
      <c r="U255" s="113"/>
      <c r="V255" s="113"/>
    </row>
    <row r="256" customFormat="false" ht="15" hidden="false" customHeight="true" outlineLevel="0" collapsed="false">
      <c r="H256" s="113"/>
      <c r="I256" s="113"/>
      <c r="J256" s="113"/>
      <c r="L256" s="113"/>
      <c r="M256" s="113"/>
      <c r="N256" s="113"/>
      <c r="P256" s="113"/>
      <c r="Q256" s="113"/>
      <c r="R256" s="113"/>
      <c r="T256" s="113"/>
      <c r="U256" s="113"/>
      <c r="V256" s="113"/>
    </row>
    <row r="257" customFormat="false" ht="15" hidden="false" customHeight="true" outlineLevel="0" collapsed="false">
      <c r="H257" s="113"/>
      <c r="I257" s="113"/>
      <c r="J257" s="113"/>
      <c r="L257" s="113"/>
      <c r="M257" s="113"/>
      <c r="N257" s="113"/>
      <c r="P257" s="113"/>
      <c r="Q257" s="113"/>
      <c r="R257" s="113"/>
      <c r="T257" s="113"/>
      <c r="U257" s="113"/>
      <c r="V257" s="113"/>
    </row>
    <row r="258" customFormat="false" ht="15" hidden="false" customHeight="true" outlineLevel="0" collapsed="false">
      <c r="H258" s="113"/>
      <c r="I258" s="113"/>
      <c r="J258" s="113"/>
      <c r="L258" s="113"/>
      <c r="M258" s="113"/>
      <c r="N258" s="113"/>
      <c r="P258" s="113"/>
      <c r="Q258" s="113"/>
      <c r="R258" s="113"/>
      <c r="T258" s="113"/>
      <c r="U258" s="113"/>
      <c r="V258" s="113"/>
    </row>
    <row r="259" customFormat="false" ht="15" hidden="false" customHeight="true" outlineLevel="0" collapsed="false">
      <c r="H259" s="113"/>
      <c r="I259" s="113"/>
      <c r="J259" s="113"/>
      <c r="L259" s="113"/>
      <c r="M259" s="113"/>
      <c r="N259" s="113"/>
      <c r="P259" s="113"/>
      <c r="Q259" s="113"/>
      <c r="R259" s="113"/>
      <c r="T259" s="113"/>
      <c r="U259" s="113"/>
      <c r="V259" s="113"/>
    </row>
    <row r="260" customFormat="false" ht="15" hidden="false" customHeight="true" outlineLevel="0" collapsed="false">
      <c r="H260" s="113"/>
      <c r="I260" s="113"/>
      <c r="J260" s="113"/>
      <c r="L260" s="113"/>
      <c r="M260" s="113"/>
      <c r="N260" s="113"/>
      <c r="P260" s="113"/>
      <c r="Q260" s="113"/>
      <c r="R260" s="113"/>
      <c r="T260" s="113"/>
      <c r="U260" s="113"/>
      <c r="V260" s="113"/>
    </row>
    <row r="261" customFormat="false" ht="15" hidden="false" customHeight="true" outlineLevel="0" collapsed="false">
      <c r="H261" s="113"/>
      <c r="I261" s="113"/>
      <c r="J261" s="113"/>
      <c r="L261" s="113"/>
      <c r="M261" s="113"/>
      <c r="N261" s="113"/>
      <c r="P261" s="113"/>
      <c r="Q261" s="113"/>
      <c r="R261" s="113"/>
      <c r="T261" s="113"/>
      <c r="U261" s="113"/>
      <c r="V261" s="113"/>
    </row>
    <row r="262" customFormat="false" ht="15" hidden="false" customHeight="true" outlineLevel="0" collapsed="false">
      <c r="H262" s="113"/>
      <c r="I262" s="113"/>
      <c r="J262" s="113"/>
      <c r="L262" s="113"/>
      <c r="M262" s="113"/>
      <c r="N262" s="113"/>
      <c r="P262" s="113"/>
      <c r="Q262" s="113"/>
      <c r="R262" s="113"/>
      <c r="T262" s="113"/>
      <c r="U262" s="113"/>
      <c r="V262" s="113"/>
    </row>
    <row r="263" customFormat="false" ht="15" hidden="false" customHeight="true" outlineLevel="0" collapsed="false">
      <c r="H263" s="113"/>
      <c r="I263" s="113"/>
      <c r="J263" s="113"/>
      <c r="L263" s="113"/>
      <c r="M263" s="113"/>
      <c r="N263" s="113"/>
      <c r="P263" s="113"/>
      <c r="Q263" s="113"/>
      <c r="R263" s="113"/>
      <c r="T263" s="113"/>
      <c r="U263" s="113"/>
      <c r="V263" s="113"/>
    </row>
    <row r="264" customFormat="false" ht="15" hidden="false" customHeight="true" outlineLevel="0" collapsed="false">
      <c r="H264" s="113"/>
      <c r="I264" s="113"/>
      <c r="J264" s="113"/>
      <c r="L264" s="113"/>
      <c r="M264" s="113"/>
      <c r="N264" s="113"/>
      <c r="P264" s="113"/>
      <c r="Q264" s="113"/>
      <c r="R264" s="113"/>
      <c r="T264" s="113"/>
      <c r="U264" s="113"/>
      <c r="V264" s="113"/>
    </row>
    <row r="265" customFormat="false" ht="15" hidden="false" customHeight="true" outlineLevel="0" collapsed="false">
      <c r="H265" s="113"/>
      <c r="I265" s="113"/>
      <c r="J265" s="113"/>
      <c r="L265" s="113"/>
      <c r="M265" s="113"/>
      <c r="N265" s="113"/>
      <c r="P265" s="113"/>
      <c r="Q265" s="113"/>
      <c r="R265" s="113"/>
      <c r="T265" s="113"/>
      <c r="U265" s="113"/>
      <c r="V265" s="113"/>
    </row>
    <row r="266" customFormat="false" ht="15" hidden="false" customHeight="true" outlineLevel="0" collapsed="false">
      <c r="H266" s="113"/>
      <c r="I266" s="113"/>
      <c r="J266" s="113"/>
      <c r="L266" s="113"/>
      <c r="M266" s="113"/>
      <c r="N266" s="113"/>
      <c r="P266" s="113"/>
      <c r="Q266" s="113"/>
      <c r="R266" s="113"/>
      <c r="T266" s="113"/>
      <c r="U266" s="113"/>
      <c r="V266" s="113"/>
    </row>
    <row r="267" customFormat="false" ht="15" hidden="false" customHeight="true" outlineLevel="0" collapsed="false">
      <c r="H267" s="113"/>
      <c r="I267" s="113"/>
      <c r="J267" s="113"/>
      <c r="L267" s="113"/>
      <c r="M267" s="113"/>
      <c r="N267" s="113"/>
      <c r="P267" s="113"/>
      <c r="Q267" s="113"/>
      <c r="R267" s="113"/>
      <c r="T267" s="113"/>
      <c r="U267" s="113"/>
      <c r="V267" s="113"/>
    </row>
    <row r="268" customFormat="false" ht="15" hidden="false" customHeight="true" outlineLevel="0" collapsed="false">
      <c r="H268" s="113"/>
      <c r="I268" s="113"/>
      <c r="J268" s="113"/>
      <c r="L268" s="113"/>
      <c r="M268" s="113"/>
      <c r="N268" s="113"/>
      <c r="P268" s="113"/>
      <c r="Q268" s="113"/>
      <c r="R268" s="113"/>
      <c r="T268" s="113"/>
      <c r="U268" s="113"/>
      <c r="V268" s="113"/>
    </row>
    <row r="269" customFormat="false" ht="15" hidden="false" customHeight="true" outlineLevel="0" collapsed="false">
      <c r="H269" s="113"/>
      <c r="I269" s="113"/>
      <c r="J269" s="113"/>
      <c r="L269" s="113"/>
      <c r="M269" s="113"/>
      <c r="N269" s="113"/>
      <c r="P269" s="113"/>
      <c r="Q269" s="113"/>
      <c r="R269" s="113"/>
      <c r="T269" s="113"/>
      <c r="U269" s="113"/>
      <c r="V269" s="113"/>
    </row>
    <row r="270" customFormat="false" ht="15" hidden="false" customHeight="true" outlineLevel="0" collapsed="false">
      <c r="H270" s="113"/>
      <c r="I270" s="113"/>
      <c r="J270" s="113"/>
      <c r="L270" s="113"/>
      <c r="M270" s="113"/>
      <c r="N270" s="113"/>
      <c r="P270" s="113"/>
      <c r="Q270" s="113"/>
      <c r="R270" s="113"/>
      <c r="T270" s="113"/>
      <c r="U270" s="113"/>
      <c r="V270" s="113"/>
    </row>
    <row r="271" customFormat="false" ht="15" hidden="false" customHeight="true" outlineLevel="0" collapsed="false">
      <c r="H271" s="113"/>
      <c r="I271" s="113"/>
      <c r="J271" s="113"/>
      <c r="L271" s="113"/>
      <c r="M271" s="113"/>
      <c r="N271" s="113"/>
      <c r="P271" s="113"/>
      <c r="Q271" s="113"/>
      <c r="R271" s="113"/>
      <c r="T271" s="113"/>
      <c r="U271" s="113"/>
      <c r="V271" s="113"/>
    </row>
    <row r="272" customFormat="false" ht="15" hidden="false" customHeight="true" outlineLevel="0" collapsed="false">
      <c r="H272" s="113"/>
      <c r="I272" s="113"/>
      <c r="J272" s="113"/>
      <c r="L272" s="113"/>
      <c r="M272" s="113"/>
      <c r="N272" s="113"/>
      <c r="P272" s="113"/>
      <c r="Q272" s="113"/>
      <c r="R272" s="113"/>
      <c r="T272" s="113"/>
      <c r="U272" s="113"/>
      <c r="V272" s="113"/>
    </row>
    <row r="273" customFormat="false" ht="15" hidden="false" customHeight="true" outlineLevel="0" collapsed="false">
      <c r="H273" s="113"/>
      <c r="I273" s="113"/>
      <c r="J273" s="113"/>
      <c r="L273" s="113"/>
      <c r="M273" s="113"/>
      <c r="N273" s="113"/>
      <c r="P273" s="113"/>
      <c r="Q273" s="113"/>
      <c r="R273" s="113"/>
      <c r="T273" s="113"/>
      <c r="U273" s="113"/>
      <c r="V273" s="113"/>
    </row>
    <row r="274" customFormat="false" ht="15" hidden="false" customHeight="true" outlineLevel="0" collapsed="false">
      <c r="H274" s="113"/>
      <c r="I274" s="113"/>
      <c r="J274" s="113"/>
      <c r="L274" s="113"/>
      <c r="M274" s="113"/>
      <c r="N274" s="113"/>
      <c r="P274" s="113"/>
      <c r="Q274" s="113"/>
      <c r="R274" s="113"/>
      <c r="T274" s="113"/>
      <c r="U274" s="113"/>
      <c r="V274" s="113"/>
    </row>
    <row r="275" customFormat="false" ht="15" hidden="false" customHeight="true" outlineLevel="0" collapsed="false">
      <c r="H275" s="113"/>
      <c r="I275" s="113"/>
      <c r="J275" s="113"/>
      <c r="L275" s="113"/>
      <c r="M275" s="113"/>
      <c r="N275" s="113"/>
      <c r="P275" s="113"/>
      <c r="Q275" s="113"/>
      <c r="R275" s="113"/>
      <c r="T275" s="113"/>
      <c r="U275" s="113"/>
      <c r="V275" s="113"/>
    </row>
    <row r="276" customFormat="false" ht="15" hidden="false" customHeight="true" outlineLevel="0" collapsed="false">
      <c r="H276" s="113"/>
      <c r="I276" s="113"/>
      <c r="J276" s="113"/>
      <c r="L276" s="113"/>
      <c r="M276" s="113"/>
      <c r="N276" s="113"/>
      <c r="P276" s="113"/>
      <c r="Q276" s="113"/>
      <c r="R276" s="113"/>
      <c r="T276" s="113"/>
      <c r="U276" s="113"/>
      <c r="V276" s="113"/>
    </row>
    <row r="277" customFormat="false" ht="15" hidden="false" customHeight="true" outlineLevel="0" collapsed="false">
      <c r="H277" s="113"/>
      <c r="I277" s="113"/>
      <c r="J277" s="113"/>
      <c r="L277" s="113"/>
      <c r="M277" s="113"/>
      <c r="N277" s="113"/>
      <c r="P277" s="113"/>
      <c r="Q277" s="113"/>
      <c r="R277" s="113"/>
      <c r="T277" s="113"/>
      <c r="U277" s="113"/>
      <c r="V277" s="113"/>
    </row>
    <row r="278" customFormat="false" ht="15" hidden="false" customHeight="true" outlineLevel="0" collapsed="false">
      <c r="H278" s="113"/>
      <c r="I278" s="113"/>
      <c r="J278" s="113"/>
      <c r="L278" s="113"/>
      <c r="M278" s="113"/>
      <c r="N278" s="113"/>
      <c r="P278" s="113"/>
      <c r="Q278" s="113"/>
      <c r="R278" s="113"/>
      <c r="T278" s="113"/>
      <c r="U278" s="113"/>
      <c r="V278" s="113"/>
    </row>
    <row r="279" customFormat="false" ht="15" hidden="false" customHeight="true" outlineLevel="0" collapsed="false">
      <c r="H279" s="113"/>
      <c r="I279" s="113"/>
      <c r="J279" s="113"/>
      <c r="L279" s="113"/>
      <c r="M279" s="113"/>
      <c r="N279" s="113"/>
      <c r="P279" s="113"/>
      <c r="Q279" s="113"/>
      <c r="R279" s="113"/>
      <c r="T279" s="113"/>
      <c r="U279" s="113"/>
      <c r="V279" s="113"/>
    </row>
    <row r="280" customFormat="false" ht="15" hidden="false" customHeight="true" outlineLevel="0" collapsed="false">
      <c r="H280" s="113"/>
      <c r="I280" s="113"/>
      <c r="J280" s="113"/>
      <c r="L280" s="113"/>
      <c r="M280" s="113"/>
      <c r="N280" s="113"/>
      <c r="P280" s="113"/>
      <c r="Q280" s="113"/>
      <c r="R280" s="113"/>
      <c r="T280" s="113"/>
      <c r="U280" s="113"/>
      <c r="V280" s="113"/>
    </row>
    <row r="281" customFormat="false" ht="15" hidden="false" customHeight="true" outlineLevel="0" collapsed="false">
      <c r="H281" s="113"/>
      <c r="I281" s="113"/>
      <c r="J281" s="113"/>
      <c r="L281" s="113"/>
      <c r="M281" s="113"/>
      <c r="N281" s="113"/>
      <c r="P281" s="113"/>
      <c r="Q281" s="113"/>
      <c r="R281" s="113"/>
      <c r="T281" s="113"/>
      <c r="U281" s="113"/>
      <c r="V281" s="113"/>
    </row>
    <row r="282" customFormat="false" ht="15" hidden="false" customHeight="true" outlineLevel="0" collapsed="false">
      <c r="H282" s="113"/>
      <c r="I282" s="113"/>
      <c r="J282" s="113"/>
      <c r="L282" s="113"/>
      <c r="M282" s="113"/>
      <c r="N282" s="113"/>
      <c r="P282" s="113"/>
      <c r="Q282" s="113"/>
      <c r="R282" s="113"/>
      <c r="T282" s="113"/>
      <c r="U282" s="113"/>
      <c r="V282" s="113"/>
    </row>
    <row r="283" customFormat="false" ht="15" hidden="false" customHeight="true" outlineLevel="0" collapsed="false">
      <c r="H283" s="113"/>
      <c r="I283" s="113"/>
      <c r="J283" s="113"/>
      <c r="L283" s="113"/>
      <c r="M283" s="113"/>
      <c r="N283" s="113"/>
      <c r="P283" s="113"/>
      <c r="Q283" s="113"/>
      <c r="R283" s="113"/>
      <c r="T283" s="113"/>
      <c r="U283" s="113"/>
      <c r="V283" s="113"/>
    </row>
    <row r="284" customFormat="false" ht="15" hidden="false" customHeight="true" outlineLevel="0" collapsed="false">
      <c r="H284" s="113"/>
      <c r="I284" s="113"/>
      <c r="J284" s="113"/>
      <c r="L284" s="113"/>
      <c r="M284" s="113"/>
      <c r="N284" s="113"/>
      <c r="P284" s="113"/>
      <c r="Q284" s="113"/>
      <c r="R284" s="113"/>
      <c r="T284" s="113"/>
      <c r="U284" s="113"/>
      <c r="V284" s="113"/>
    </row>
    <row r="285" customFormat="false" ht="15" hidden="false" customHeight="true" outlineLevel="0" collapsed="false">
      <c r="H285" s="113"/>
      <c r="I285" s="113"/>
      <c r="J285" s="113"/>
      <c r="L285" s="113"/>
      <c r="M285" s="113"/>
      <c r="N285" s="113"/>
      <c r="P285" s="113"/>
      <c r="Q285" s="113"/>
      <c r="R285" s="113"/>
      <c r="T285" s="113"/>
      <c r="U285" s="113"/>
      <c r="V285" s="113"/>
    </row>
    <row r="286" customFormat="false" ht="15" hidden="false" customHeight="true" outlineLevel="0" collapsed="false">
      <c r="H286" s="113"/>
      <c r="I286" s="113"/>
      <c r="J286" s="113"/>
      <c r="L286" s="113"/>
      <c r="M286" s="113"/>
      <c r="N286" s="113"/>
      <c r="P286" s="113"/>
      <c r="Q286" s="113"/>
      <c r="R286" s="113"/>
      <c r="T286" s="113"/>
      <c r="U286" s="113"/>
      <c r="V286" s="113"/>
    </row>
    <row r="287" customFormat="false" ht="15" hidden="false" customHeight="true" outlineLevel="0" collapsed="false">
      <c r="H287" s="113"/>
      <c r="I287" s="113"/>
      <c r="J287" s="113"/>
      <c r="L287" s="113"/>
      <c r="M287" s="113"/>
      <c r="N287" s="113"/>
      <c r="P287" s="113"/>
      <c r="Q287" s="113"/>
      <c r="R287" s="113"/>
      <c r="T287" s="113"/>
      <c r="U287" s="113"/>
      <c r="V287" s="113"/>
    </row>
    <row r="288" customFormat="false" ht="15" hidden="false" customHeight="true" outlineLevel="0" collapsed="false">
      <c r="H288" s="113"/>
      <c r="I288" s="113"/>
      <c r="J288" s="113"/>
      <c r="L288" s="113"/>
      <c r="M288" s="113"/>
      <c r="N288" s="113"/>
      <c r="P288" s="113"/>
      <c r="Q288" s="113"/>
      <c r="R288" s="113"/>
      <c r="T288" s="113"/>
      <c r="U288" s="113"/>
      <c r="V288" s="113"/>
    </row>
    <row r="289" customFormat="false" ht="15" hidden="false" customHeight="true" outlineLevel="0" collapsed="false">
      <c r="H289" s="113"/>
      <c r="I289" s="113"/>
      <c r="J289" s="113"/>
      <c r="L289" s="113"/>
      <c r="M289" s="113"/>
      <c r="N289" s="113"/>
      <c r="P289" s="113"/>
      <c r="Q289" s="113"/>
      <c r="R289" s="113"/>
      <c r="T289" s="113"/>
      <c r="U289" s="113"/>
      <c r="V289" s="113"/>
    </row>
    <row r="290" customFormat="false" ht="15" hidden="false" customHeight="true" outlineLevel="0" collapsed="false">
      <c r="H290" s="113"/>
      <c r="I290" s="113"/>
      <c r="J290" s="113"/>
      <c r="L290" s="113"/>
      <c r="M290" s="113"/>
      <c r="N290" s="113"/>
      <c r="P290" s="113"/>
      <c r="Q290" s="113"/>
      <c r="R290" s="113"/>
      <c r="T290" s="113"/>
      <c r="U290" s="113"/>
      <c r="V290" s="113"/>
    </row>
    <row r="291" customFormat="false" ht="15" hidden="false" customHeight="true" outlineLevel="0" collapsed="false">
      <c r="H291" s="113"/>
      <c r="I291" s="113"/>
      <c r="J291" s="113"/>
      <c r="L291" s="113"/>
      <c r="M291" s="113"/>
      <c r="N291" s="113"/>
      <c r="P291" s="113"/>
      <c r="Q291" s="113"/>
      <c r="R291" s="113"/>
      <c r="T291" s="113"/>
      <c r="U291" s="113"/>
      <c r="V291" s="113"/>
    </row>
    <row r="292" customFormat="false" ht="15" hidden="false" customHeight="true" outlineLevel="0" collapsed="false">
      <c r="H292" s="113"/>
      <c r="I292" s="113"/>
      <c r="J292" s="113"/>
      <c r="L292" s="113"/>
      <c r="M292" s="113"/>
      <c r="N292" s="113"/>
      <c r="P292" s="113"/>
      <c r="Q292" s="113"/>
      <c r="R292" s="113"/>
      <c r="T292" s="113"/>
      <c r="U292" s="113"/>
      <c r="V292" s="113"/>
    </row>
    <row r="293" customFormat="false" ht="15" hidden="false" customHeight="true" outlineLevel="0" collapsed="false">
      <c r="H293" s="113"/>
      <c r="I293" s="113"/>
      <c r="J293" s="113"/>
      <c r="L293" s="113"/>
      <c r="M293" s="113"/>
      <c r="N293" s="113"/>
      <c r="P293" s="113"/>
      <c r="Q293" s="113"/>
      <c r="R293" s="113"/>
      <c r="T293" s="113"/>
      <c r="U293" s="113"/>
      <c r="V293" s="113"/>
    </row>
    <row r="294" customFormat="false" ht="15" hidden="false" customHeight="true" outlineLevel="0" collapsed="false">
      <c r="H294" s="113"/>
      <c r="I294" s="113"/>
      <c r="J294" s="113"/>
      <c r="L294" s="113"/>
      <c r="M294" s="113"/>
      <c r="N294" s="113"/>
      <c r="P294" s="113"/>
      <c r="Q294" s="113"/>
      <c r="R294" s="113"/>
      <c r="T294" s="113"/>
      <c r="U294" s="113"/>
      <c r="V294" s="113"/>
    </row>
    <row r="295" customFormat="false" ht="15" hidden="false" customHeight="true" outlineLevel="0" collapsed="false">
      <c r="H295" s="113"/>
      <c r="I295" s="113"/>
      <c r="J295" s="113"/>
      <c r="L295" s="113"/>
      <c r="M295" s="113"/>
      <c r="N295" s="113"/>
      <c r="P295" s="113"/>
      <c r="Q295" s="113"/>
      <c r="R295" s="113"/>
      <c r="T295" s="113"/>
      <c r="U295" s="113"/>
      <c r="V295" s="113"/>
    </row>
    <row r="296" customFormat="false" ht="15" hidden="false" customHeight="true" outlineLevel="0" collapsed="false">
      <c r="H296" s="113"/>
      <c r="I296" s="113"/>
      <c r="J296" s="113"/>
      <c r="L296" s="113"/>
      <c r="M296" s="113"/>
      <c r="N296" s="113"/>
      <c r="P296" s="113"/>
      <c r="Q296" s="113"/>
      <c r="R296" s="113"/>
      <c r="T296" s="113"/>
      <c r="U296" s="113"/>
      <c r="V296" s="113"/>
    </row>
    <row r="297" customFormat="false" ht="15" hidden="false" customHeight="true" outlineLevel="0" collapsed="false">
      <c r="H297" s="113"/>
      <c r="I297" s="113"/>
      <c r="J297" s="113"/>
      <c r="L297" s="113"/>
      <c r="M297" s="113"/>
      <c r="N297" s="113"/>
      <c r="P297" s="113"/>
      <c r="Q297" s="113"/>
      <c r="R297" s="113"/>
      <c r="T297" s="113"/>
      <c r="U297" s="113"/>
      <c r="V297" s="113"/>
    </row>
    <row r="298" customFormat="false" ht="15" hidden="false" customHeight="true" outlineLevel="0" collapsed="false">
      <c r="H298" s="113"/>
      <c r="I298" s="113"/>
      <c r="J298" s="113"/>
      <c r="L298" s="113"/>
      <c r="M298" s="113"/>
      <c r="N298" s="113"/>
      <c r="P298" s="113"/>
      <c r="Q298" s="113"/>
      <c r="R298" s="113"/>
      <c r="T298" s="113"/>
      <c r="U298" s="113"/>
      <c r="V298" s="113"/>
    </row>
    <row r="299" customFormat="false" ht="15" hidden="false" customHeight="true" outlineLevel="0" collapsed="false">
      <c r="H299" s="113"/>
      <c r="I299" s="113"/>
      <c r="J299" s="113"/>
      <c r="L299" s="113"/>
      <c r="M299" s="113"/>
      <c r="N299" s="113"/>
      <c r="P299" s="113"/>
      <c r="Q299" s="113"/>
      <c r="R299" s="113"/>
      <c r="T299" s="113"/>
      <c r="U299" s="113"/>
      <c r="V299" s="113"/>
    </row>
    <row r="300" customFormat="false" ht="15" hidden="false" customHeight="true" outlineLevel="0" collapsed="false">
      <c r="H300" s="113"/>
      <c r="I300" s="113"/>
      <c r="J300" s="113"/>
      <c r="L300" s="113"/>
      <c r="M300" s="113"/>
      <c r="N300" s="113"/>
      <c r="P300" s="113"/>
      <c r="Q300" s="113"/>
      <c r="R300" s="113"/>
      <c r="T300" s="113"/>
      <c r="U300" s="113"/>
      <c r="V300" s="113"/>
    </row>
    <row r="301" customFormat="false" ht="15" hidden="false" customHeight="true" outlineLevel="0" collapsed="false">
      <c r="H301" s="113"/>
      <c r="I301" s="113"/>
      <c r="J301" s="113"/>
      <c r="L301" s="113"/>
      <c r="M301" s="113"/>
      <c r="N301" s="113"/>
      <c r="P301" s="113"/>
      <c r="Q301" s="113"/>
      <c r="R301" s="113"/>
      <c r="T301" s="113"/>
      <c r="U301" s="113"/>
      <c r="V301" s="113"/>
    </row>
    <row r="302" customFormat="false" ht="15" hidden="false" customHeight="true" outlineLevel="0" collapsed="false">
      <c r="H302" s="113"/>
      <c r="I302" s="113"/>
      <c r="J302" s="113"/>
      <c r="L302" s="113"/>
      <c r="M302" s="113"/>
      <c r="N302" s="113"/>
      <c r="P302" s="113"/>
      <c r="Q302" s="113"/>
      <c r="R302" s="113"/>
      <c r="T302" s="113"/>
      <c r="U302" s="113"/>
      <c r="V302" s="113"/>
    </row>
    <row r="303" customFormat="false" ht="15" hidden="false" customHeight="true" outlineLevel="0" collapsed="false">
      <c r="H303" s="113"/>
      <c r="I303" s="113"/>
      <c r="J303" s="113"/>
      <c r="L303" s="113"/>
      <c r="M303" s="113"/>
      <c r="N303" s="113"/>
      <c r="P303" s="113"/>
      <c r="Q303" s="113"/>
      <c r="R303" s="113"/>
      <c r="T303" s="113"/>
      <c r="U303" s="113"/>
      <c r="V303" s="113"/>
    </row>
    <row r="304" customFormat="false" ht="15" hidden="false" customHeight="true" outlineLevel="0" collapsed="false">
      <c r="H304" s="113"/>
      <c r="I304" s="113"/>
      <c r="J304" s="113"/>
      <c r="L304" s="113"/>
      <c r="M304" s="113"/>
      <c r="N304" s="113"/>
      <c r="P304" s="113"/>
      <c r="Q304" s="113"/>
      <c r="R304" s="113"/>
      <c r="T304" s="113"/>
      <c r="U304" s="113"/>
      <c r="V304" s="113"/>
    </row>
    <row r="305" customFormat="false" ht="15" hidden="false" customHeight="true" outlineLevel="0" collapsed="false">
      <c r="H305" s="113"/>
      <c r="I305" s="113"/>
      <c r="J305" s="113"/>
      <c r="L305" s="113"/>
      <c r="M305" s="113"/>
      <c r="N305" s="113"/>
      <c r="P305" s="113"/>
      <c r="Q305" s="113"/>
      <c r="R305" s="113"/>
      <c r="T305" s="113"/>
      <c r="U305" s="113"/>
      <c r="V305" s="113"/>
    </row>
    <row r="306" customFormat="false" ht="15" hidden="false" customHeight="true" outlineLevel="0" collapsed="false">
      <c r="H306" s="113"/>
      <c r="I306" s="113"/>
      <c r="J306" s="113"/>
      <c r="L306" s="113"/>
      <c r="M306" s="113"/>
      <c r="N306" s="113"/>
      <c r="P306" s="113"/>
      <c r="Q306" s="113"/>
      <c r="R306" s="113"/>
      <c r="T306" s="113"/>
      <c r="U306" s="113"/>
      <c r="V306" s="113"/>
    </row>
    <row r="307" customFormat="false" ht="15" hidden="false" customHeight="true" outlineLevel="0" collapsed="false">
      <c r="H307" s="113"/>
      <c r="I307" s="113"/>
      <c r="J307" s="113"/>
      <c r="L307" s="113"/>
      <c r="M307" s="113"/>
      <c r="N307" s="113"/>
      <c r="P307" s="113"/>
      <c r="Q307" s="113"/>
      <c r="R307" s="113"/>
      <c r="T307" s="113"/>
      <c r="U307" s="113"/>
      <c r="V307" s="113"/>
    </row>
    <row r="308" customFormat="false" ht="15" hidden="false" customHeight="true" outlineLevel="0" collapsed="false">
      <c r="H308" s="113"/>
      <c r="I308" s="113"/>
      <c r="J308" s="113"/>
      <c r="L308" s="113"/>
      <c r="M308" s="113"/>
      <c r="N308" s="113"/>
      <c r="P308" s="113"/>
      <c r="Q308" s="113"/>
      <c r="R308" s="113"/>
      <c r="T308" s="113"/>
      <c r="U308" s="113"/>
      <c r="V308" s="113"/>
    </row>
    <row r="309" customFormat="false" ht="15" hidden="false" customHeight="true" outlineLevel="0" collapsed="false">
      <c r="H309" s="113"/>
      <c r="I309" s="113"/>
      <c r="J309" s="113"/>
      <c r="L309" s="113"/>
      <c r="M309" s="113"/>
      <c r="N309" s="113"/>
      <c r="P309" s="113"/>
      <c r="Q309" s="113"/>
      <c r="R309" s="113"/>
      <c r="T309" s="113"/>
      <c r="U309" s="113"/>
      <c r="V309" s="113"/>
    </row>
    <row r="310" customFormat="false" ht="15" hidden="false" customHeight="true" outlineLevel="0" collapsed="false">
      <c r="H310" s="113"/>
      <c r="I310" s="113"/>
      <c r="J310" s="113"/>
      <c r="L310" s="113"/>
      <c r="M310" s="113"/>
      <c r="N310" s="113"/>
      <c r="P310" s="113"/>
      <c r="Q310" s="113"/>
      <c r="R310" s="113"/>
      <c r="T310" s="113"/>
      <c r="U310" s="113"/>
      <c r="V310" s="113"/>
    </row>
    <row r="311" customFormat="false" ht="15" hidden="false" customHeight="true" outlineLevel="0" collapsed="false">
      <c r="H311" s="113"/>
      <c r="I311" s="113"/>
      <c r="J311" s="113"/>
      <c r="L311" s="113"/>
      <c r="M311" s="113"/>
      <c r="N311" s="113"/>
      <c r="P311" s="113"/>
      <c r="Q311" s="113"/>
      <c r="R311" s="113"/>
      <c r="T311" s="113"/>
      <c r="U311" s="113"/>
      <c r="V311" s="113"/>
    </row>
    <row r="312" customFormat="false" ht="15" hidden="false" customHeight="true" outlineLevel="0" collapsed="false">
      <c r="H312" s="113"/>
      <c r="I312" s="113"/>
      <c r="J312" s="113"/>
      <c r="L312" s="113"/>
      <c r="M312" s="113"/>
      <c r="N312" s="113"/>
      <c r="P312" s="113"/>
      <c r="Q312" s="113"/>
      <c r="R312" s="113"/>
      <c r="T312" s="113"/>
      <c r="U312" s="113"/>
      <c r="V312" s="113"/>
    </row>
    <row r="313" customFormat="false" ht="15" hidden="false" customHeight="true" outlineLevel="0" collapsed="false">
      <c r="H313" s="113"/>
      <c r="I313" s="113"/>
      <c r="J313" s="113"/>
      <c r="L313" s="113"/>
      <c r="M313" s="113"/>
      <c r="N313" s="113"/>
      <c r="P313" s="113"/>
      <c r="Q313" s="113"/>
      <c r="R313" s="113"/>
      <c r="T313" s="113"/>
      <c r="U313" s="113"/>
      <c r="V313" s="113"/>
    </row>
    <row r="314" customFormat="false" ht="15" hidden="false" customHeight="true" outlineLevel="0" collapsed="false">
      <c r="H314" s="113"/>
      <c r="I314" s="113"/>
      <c r="J314" s="113"/>
      <c r="L314" s="113"/>
      <c r="M314" s="113"/>
      <c r="N314" s="113"/>
      <c r="P314" s="113"/>
      <c r="Q314" s="113"/>
      <c r="R314" s="113"/>
      <c r="T314" s="113"/>
      <c r="U314" s="113"/>
      <c r="V314" s="113"/>
    </row>
    <row r="315" customFormat="false" ht="15" hidden="false" customHeight="true" outlineLevel="0" collapsed="false">
      <c r="H315" s="113"/>
      <c r="I315" s="113"/>
      <c r="J315" s="113"/>
      <c r="L315" s="113"/>
      <c r="M315" s="113"/>
      <c r="N315" s="113"/>
      <c r="P315" s="113"/>
      <c r="Q315" s="113"/>
      <c r="R315" s="113"/>
      <c r="T315" s="113"/>
      <c r="U315" s="113"/>
      <c r="V315" s="113"/>
    </row>
    <row r="316" customFormat="false" ht="15" hidden="false" customHeight="true" outlineLevel="0" collapsed="false">
      <c r="H316" s="113"/>
      <c r="I316" s="113"/>
      <c r="J316" s="113"/>
      <c r="L316" s="113"/>
      <c r="M316" s="113"/>
      <c r="N316" s="113"/>
      <c r="P316" s="113"/>
      <c r="Q316" s="113"/>
      <c r="R316" s="113"/>
      <c r="T316" s="113"/>
      <c r="U316" s="113"/>
      <c r="V316" s="113"/>
    </row>
    <row r="317" customFormat="false" ht="15" hidden="false" customHeight="true" outlineLevel="0" collapsed="false">
      <c r="H317" s="113"/>
      <c r="I317" s="113"/>
      <c r="J317" s="113"/>
      <c r="L317" s="113"/>
      <c r="M317" s="113"/>
      <c r="N317" s="113"/>
      <c r="P317" s="113"/>
      <c r="Q317" s="113"/>
      <c r="R317" s="113"/>
      <c r="T317" s="113"/>
      <c r="U317" s="113"/>
      <c r="V317" s="113"/>
    </row>
    <row r="318" customFormat="false" ht="15" hidden="false" customHeight="true" outlineLevel="0" collapsed="false">
      <c r="H318" s="113"/>
      <c r="I318" s="113"/>
      <c r="J318" s="113"/>
      <c r="L318" s="113"/>
      <c r="M318" s="113"/>
      <c r="N318" s="113"/>
      <c r="P318" s="113"/>
      <c r="Q318" s="113"/>
      <c r="R318" s="113"/>
      <c r="T318" s="113"/>
      <c r="U318" s="113"/>
      <c r="V318" s="113"/>
    </row>
    <row r="319" customFormat="false" ht="15" hidden="false" customHeight="true" outlineLevel="0" collapsed="false">
      <c r="H319" s="113"/>
      <c r="I319" s="113"/>
      <c r="J319" s="113"/>
      <c r="L319" s="113"/>
      <c r="M319" s="113"/>
      <c r="N319" s="113"/>
      <c r="P319" s="113"/>
      <c r="Q319" s="113"/>
      <c r="R319" s="113"/>
      <c r="T319" s="113"/>
      <c r="U319" s="113"/>
      <c r="V319" s="113"/>
    </row>
    <row r="320" customFormat="false" ht="15" hidden="false" customHeight="true" outlineLevel="0" collapsed="false">
      <c r="H320" s="113"/>
      <c r="I320" s="113"/>
      <c r="J320" s="113"/>
      <c r="L320" s="113"/>
      <c r="M320" s="113"/>
      <c r="N320" s="113"/>
      <c r="P320" s="113"/>
      <c r="Q320" s="113"/>
      <c r="R320" s="113"/>
      <c r="T320" s="113"/>
      <c r="U320" s="113"/>
      <c r="V320" s="113"/>
    </row>
    <row r="321" customFormat="false" ht="15" hidden="false" customHeight="true" outlineLevel="0" collapsed="false">
      <c r="H321" s="113"/>
      <c r="I321" s="113"/>
      <c r="J321" s="113"/>
      <c r="L321" s="113"/>
      <c r="M321" s="113"/>
      <c r="N321" s="113"/>
      <c r="P321" s="113"/>
      <c r="Q321" s="113"/>
      <c r="R321" s="113"/>
      <c r="T321" s="113"/>
      <c r="U321" s="113"/>
      <c r="V321" s="113"/>
    </row>
    <row r="322" customFormat="false" ht="15" hidden="false" customHeight="true" outlineLevel="0" collapsed="false">
      <c r="H322" s="113"/>
      <c r="I322" s="113"/>
      <c r="J322" s="113"/>
      <c r="L322" s="113"/>
      <c r="M322" s="113"/>
      <c r="N322" s="113"/>
      <c r="P322" s="113"/>
      <c r="Q322" s="113"/>
      <c r="R322" s="113"/>
      <c r="T322" s="113"/>
      <c r="U322" s="113"/>
      <c r="V322" s="113"/>
    </row>
    <row r="323" customFormat="false" ht="15" hidden="false" customHeight="true" outlineLevel="0" collapsed="false">
      <c r="H323" s="113"/>
      <c r="I323" s="113"/>
      <c r="J323" s="113"/>
      <c r="L323" s="113"/>
      <c r="M323" s="113"/>
      <c r="N323" s="113"/>
      <c r="P323" s="113"/>
      <c r="Q323" s="113"/>
      <c r="R323" s="113"/>
      <c r="T323" s="113"/>
      <c r="U323" s="113"/>
      <c r="V323" s="113"/>
    </row>
    <row r="324" customFormat="false" ht="15" hidden="false" customHeight="true" outlineLevel="0" collapsed="false">
      <c r="H324" s="113"/>
      <c r="I324" s="113"/>
      <c r="J324" s="113"/>
      <c r="L324" s="113"/>
      <c r="M324" s="113"/>
      <c r="N324" s="113"/>
      <c r="P324" s="113"/>
      <c r="Q324" s="113"/>
      <c r="R324" s="113"/>
      <c r="T324" s="113"/>
      <c r="U324" s="113"/>
      <c r="V324" s="113"/>
    </row>
    <row r="325" customFormat="false" ht="15" hidden="false" customHeight="true" outlineLevel="0" collapsed="false">
      <c r="H325" s="113"/>
      <c r="I325" s="113"/>
      <c r="J325" s="113"/>
      <c r="L325" s="113"/>
      <c r="M325" s="113"/>
      <c r="N325" s="113"/>
      <c r="P325" s="113"/>
      <c r="Q325" s="113"/>
      <c r="R325" s="113"/>
      <c r="T325" s="113"/>
      <c r="U325" s="113"/>
      <c r="V325" s="113"/>
    </row>
    <row r="326" customFormat="false" ht="15" hidden="false" customHeight="true" outlineLevel="0" collapsed="false">
      <c r="H326" s="113"/>
      <c r="I326" s="113"/>
      <c r="J326" s="113"/>
      <c r="L326" s="113"/>
      <c r="M326" s="113"/>
      <c r="N326" s="113"/>
      <c r="P326" s="113"/>
      <c r="Q326" s="113"/>
      <c r="R326" s="113"/>
      <c r="T326" s="113"/>
      <c r="U326" s="113"/>
      <c r="V326" s="113"/>
    </row>
    <row r="327" customFormat="false" ht="15" hidden="false" customHeight="true" outlineLevel="0" collapsed="false">
      <c r="H327" s="113"/>
      <c r="I327" s="113"/>
      <c r="J327" s="113"/>
      <c r="L327" s="113"/>
      <c r="M327" s="113"/>
      <c r="N327" s="113"/>
      <c r="P327" s="113"/>
      <c r="Q327" s="113"/>
      <c r="R327" s="113"/>
      <c r="T327" s="113"/>
      <c r="U327" s="113"/>
      <c r="V327" s="113"/>
    </row>
    <row r="328" customFormat="false" ht="15" hidden="false" customHeight="true" outlineLevel="0" collapsed="false">
      <c r="H328" s="113"/>
      <c r="I328" s="113"/>
      <c r="J328" s="113"/>
      <c r="L328" s="113"/>
      <c r="M328" s="113"/>
      <c r="N328" s="113"/>
      <c r="P328" s="113"/>
      <c r="Q328" s="113"/>
      <c r="R328" s="113"/>
      <c r="T328" s="113"/>
      <c r="U328" s="113"/>
      <c r="V328" s="113"/>
    </row>
    <row r="329" customFormat="false" ht="15" hidden="false" customHeight="true" outlineLevel="0" collapsed="false">
      <c r="H329" s="113"/>
      <c r="I329" s="113"/>
      <c r="J329" s="113"/>
      <c r="L329" s="113"/>
      <c r="M329" s="113"/>
      <c r="N329" s="113"/>
      <c r="P329" s="113"/>
      <c r="Q329" s="113"/>
      <c r="R329" s="113"/>
      <c r="T329" s="113"/>
      <c r="U329" s="113"/>
      <c r="V329" s="113"/>
    </row>
    <row r="330" customFormat="false" ht="15" hidden="false" customHeight="true" outlineLevel="0" collapsed="false">
      <c r="H330" s="113"/>
      <c r="I330" s="113"/>
      <c r="J330" s="113"/>
      <c r="L330" s="113"/>
      <c r="M330" s="113"/>
      <c r="N330" s="113"/>
      <c r="P330" s="113"/>
      <c r="Q330" s="113"/>
      <c r="R330" s="113"/>
      <c r="T330" s="113"/>
      <c r="U330" s="113"/>
      <c r="V330" s="113"/>
    </row>
    <row r="331" customFormat="false" ht="15" hidden="false" customHeight="true" outlineLevel="0" collapsed="false">
      <c r="H331" s="113"/>
      <c r="I331" s="113"/>
      <c r="J331" s="113"/>
      <c r="L331" s="113"/>
      <c r="M331" s="113"/>
      <c r="N331" s="113"/>
      <c r="P331" s="113"/>
      <c r="Q331" s="113"/>
      <c r="R331" s="113"/>
      <c r="T331" s="113"/>
      <c r="U331" s="113"/>
      <c r="V331" s="113"/>
    </row>
    <row r="332" customFormat="false" ht="15" hidden="false" customHeight="true" outlineLevel="0" collapsed="false">
      <c r="H332" s="113"/>
      <c r="I332" s="113"/>
      <c r="J332" s="113"/>
      <c r="L332" s="113"/>
      <c r="M332" s="113"/>
      <c r="N332" s="113"/>
      <c r="P332" s="113"/>
      <c r="Q332" s="113"/>
      <c r="R332" s="113"/>
      <c r="T332" s="113"/>
      <c r="U332" s="113"/>
      <c r="V332" s="113"/>
    </row>
    <row r="333" customFormat="false" ht="15" hidden="false" customHeight="true" outlineLevel="0" collapsed="false">
      <c r="H333" s="113"/>
      <c r="I333" s="113"/>
      <c r="J333" s="113"/>
      <c r="L333" s="113"/>
      <c r="M333" s="113"/>
      <c r="N333" s="113"/>
      <c r="P333" s="113"/>
      <c r="Q333" s="113"/>
      <c r="R333" s="113"/>
      <c r="T333" s="113"/>
      <c r="U333" s="113"/>
      <c r="V333" s="113"/>
    </row>
    <row r="334" customFormat="false" ht="15" hidden="false" customHeight="true" outlineLevel="0" collapsed="false">
      <c r="H334" s="113"/>
      <c r="I334" s="113"/>
      <c r="J334" s="113"/>
      <c r="L334" s="113"/>
      <c r="M334" s="113"/>
      <c r="N334" s="113"/>
      <c r="P334" s="113"/>
      <c r="Q334" s="113"/>
      <c r="R334" s="113"/>
      <c r="T334" s="113"/>
      <c r="U334" s="113"/>
      <c r="V334" s="113"/>
    </row>
    <row r="335" customFormat="false" ht="15" hidden="false" customHeight="true" outlineLevel="0" collapsed="false">
      <c r="H335" s="113"/>
      <c r="I335" s="113"/>
      <c r="J335" s="113"/>
      <c r="L335" s="113"/>
      <c r="M335" s="113"/>
      <c r="N335" s="113"/>
      <c r="P335" s="113"/>
      <c r="Q335" s="113"/>
      <c r="R335" s="113"/>
      <c r="T335" s="113"/>
      <c r="U335" s="113"/>
      <c r="V335" s="113"/>
    </row>
    <row r="336" customFormat="false" ht="15" hidden="false" customHeight="true" outlineLevel="0" collapsed="false">
      <c r="H336" s="113"/>
      <c r="I336" s="113"/>
      <c r="J336" s="113"/>
      <c r="L336" s="113"/>
      <c r="M336" s="113"/>
      <c r="N336" s="113"/>
      <c r="P336" s="113"/>
      <c r="Q336" s="113"/>
      <c r="R336" s="113"/>
      <c r="T336" s="113"/>
      <c r="U336" s="113"/>
      <c r="V336" s="113"/>
    </row>
    <row r="337" customFormat="false" ht="15" hidden="false" customHeight="true" outlineLevel="0" collapsed="false">
      <c r="H337" s="113"/>
      <c r="I337" s="113"/>
      <c r="J337" s="113"/>
      <c r="L337" s="113"/>
      <c r="M337" s="113"/>
      <c r="N337" s="113"/>
      <c r="P337" s="113"/>
      <c r="Q337" s="113"/>
      <c r="R337" s="113"/>
      <c r="T337" s="113"/>
      <c r="U337" s="113"/>
      <c r="V337" s="113"/>
    </row>
    <row r="338" customFormat="false" ht="15" hidden="false" customHeight="true" outlineLevel="0" collapsed="false">
      <c r="H338" s="113"/>
      <c r="I338" s="113"/>
      <c r="J338" s="113"/>
      <c r="L338" s="113"/>
      <c r="M338" s="113"/>
      <c r="N338" s="113"/>
      <c r="P338" s="113"/>
      <c r="Q338" s="113"/>
      <c r="R338" s="113"/>
      <c r="T338" s="113"/>
      <c r="U338" s="113"/>
      <c r="V338" s="113"/>
    </row>
    <row r="339" customFormat="false" ht="15" hidden="false" customHeight="true" outlineLevel="0" collapsed="false">
      <c r="H339" s="113"/>
      <c r="I339" s="113"/>
      <c r="J339" s="113"/>
      <c r="L339" s="113"/>
      <c r="M339" s="113"/>
      <c r="N339" s="113"/>
      <c r="P339" s="113"/>
      <c r="Q339" s="113"/>
      <c r="R339" s="113"/>
      <c r="T339" s="113"/>
      <c r="U339" s="113"/>
      <c r="V339" s="113"/>
    </row>
    <row r="340" customFormat="false" ht="15" hidden="false" customHeight="true" outlineLevel="0" collapsed="false">
      <c r="H340" s="113"/>
      <c r="I340" s="113"/>
      <c r="J340" s="113"/>
      <c r="L340" s="113"/>
      <c r="M340" s="113"/>
      <c r="N340" s="113"/>
      <c r="P340" s="113"/>
      <c r="Q340" s="113"/>
      <c r="R340" s="113"/>
      <c r="T340" s="113"/>
      <c r="U340" s="113"/>
      <c r="V340" s="113"/>
    </row>
    <row r="341" customFormat="false" ht="15" hidden="false" customHeight="true" outlineLevel="0" collapsed="false">
      <c r="H341" s="113"/>
      <c r="I341" s="113"/>
      <c r="J341" s="113"/>
      <c r="L341" s="113"/>
      <c r="M341" s="113"/>
      <c r="N341" s="113"/>
      <c r="P341" s="113"/>
      <c r="Q341" s="113"/>
      <c r="R341" s="113"/>
      <c r="T341" s="113"/>
      <c r="U341" s="113"/>
      <c r="V341" s="113"/>
    </row>
    <row r="342" customFormat="false" ht="15" hidden="false" customHeight="true" outlineLevel="0" collapsed="false">
      <c r="H342" s="113"/>
      <c r="I342" s="113"/>
      <c r="J342" s="113"/>
      <c r="L342" s="113"/>
      <c r="M342" s="113"/>
      <c r="N342" s="113"/>
      <c r="P342" s="113"/>
      <c r="Q342" s="113"/>
      <c r="R342" s="113"/>
      <c r="T342" s="113"/>
      <c r="U342" s="113"/>
      <c r="V342" s="113"/>
    </row>
    <row r="343" customFormat="false" ht="15" hidden="false" customHeight="true" outlineLevel="0" collapsed="false">
      <c r="H343" s="113"/>
      <c r="I343" s="113"/>
      <c r="J343" s="113"/>
      <c r="L343" s="113"/>
      <c r="M343" s="113"/>
      <c r="N343" s="113"/>
      <c r="P343" s="113"/>
      <c r="Q343" s="113"/>
      <c r="R343" s="113"/>
      <c r="T343" s="113"/>
      <c r="U343" s="113"/>
      <c r="V343" s="113"/>
    </row>
    <row r="344" customFormat="false" ht="15" hidden="false" customHeight="true" outlineLevel="0" collapsed="false">
      <c r="H344" s="113"/>
      <c r="I344" s="113"/>
      <c r="J344" s="113"/>
      <c r="L344" s="113"/>
      <c r="M344" s="113"/>
      <c r="N344" s="113"/>
      <c r="P344" s="113"/>
      <c r="Q344" s="113"/>
      <c r="R344" s="113"/>
      <c r="T344" s="113"/>
      <c r="U344" s="113"/>
      <c r="V344" s="113"/>
    </row>
    <row r="345" customFormat="false" ht="15" hidden="false" customHeight="true" outlineLevel="0" collapsed="false">
      <c r="H345" s="113"/>
      <c r="I345" s="113"/>
      <c r="J345" s="113"/>
      <c r="L345" s="113"/>
      <c r="M345" s="113"/>
      <c r="N345" s="113"/>
      <c r="P345" s="113"/>
      <c r="Q345" s="113"/>
      <c r="R345" s="113"/>
      <c r="T345" s="113"/>
      <c r="U345" s="113"/>
      <c r="V345" s="113"/>
    </row>
    <row r="346" customFormat="false" ht="15" hidden="false" customHeight="true" outlineLevel="0" collapsed="false">
      <c r="H346" s="113"/>
      <c r="I346" s="113"/>
      <c r="J346" s="113"/>
      <c r="L346" s="113"/>
      <c r="M346" s="113"/>
      <c r="N346" s="113"/>
      <c r="P346" s="113"/>
      <c r="Q346" s="113"/>
      <c r="R346" s="113"/>
      <c r="T346" s="113"/>
      <c r="U346" s="113"/>
      <c r="V346" s="113"/>
    </row>
    <row r="347" customFormat="false" ht="15" hidden="false" customHeight="true" outlineLevel="0" collapsed="false">
      <c r="H347" s="113"/>
      <c r="I347" s="113"/>
      <c r="J347" s="113"/>
      <c r="L347" s="113"/>
      <c r="M347" s="113"/>
      <c r="N347" s="113"/>
      <c r="P347" s="113"/>
      <c r="Q347" s="113"/>
      <c r="R347" s="113"/>
      <c r="T347" s="113"/>
      <c r="U347" s="113"/>
      <c r="V347" s="113"/>
    </row>
    <row r="348" customFormat="false" ht="15" hidden="false" customHeight="true" outlineLevel="0" collapsed="false">
      <c r="H348" s="113"/>
      <c r="I348" s="113"/>
      <c r="J348" s="113"/>
      <c r="L348" s="113"/>
      <c r="M348" s="113"/>
      <c r="N348" s="113"/>
      <c r="P348" s="113"/>
      <c r="Q348" s="113"/>
      <c r="R348" s="113"/>
      <c r="T348" s="113"/>
      <c r="U348" s="113"/>
      <c r="V348" s="113"/>
    </row>
    <row r="349" customFormat="false" ht="15" hidden="false" customHeight="true" outlineLevel="0" collapsed="false">
      <c r="H349" s="113"/>
      <c r="I349" s="113"/>
      <c r="J349" s="113"/>
      <c r="L349" s="113"/>
      <c r="M349" s="113"/>
      <c r="N349" s="113"/>
      <c r="P349" s="113"/>
      <c r="Q349" s="113"/>
      <c r="R349" s="113"/>
      <c r="T349" s="113"/>
      <c r="U349" s="113"/>
      <c r="V349" s="113"/>
    </row>
    <row r="350" customFormat="false" ht="15" hidden="false" customHeight="true" outlineLevel="0" collapsed="false">
      <c r="H350" s="113"/>
      <c r="I350" s="113"/>
      <c r="J350" s="113"/>
      <c r="L350" s="113"/>
      <c r="M350" s="113"/>
      <c r="N350" s="113"/>
      <c r="P350" s="113"/>
      <c r="Q350" s="113"/>
      <c r="R350" s="113"/>
      <c r="T350" s="113"/>
      <c r="U350" s="113"/>
      <c r="V350" s="113"/>
    </row>
    <row r="351" customFormat="false" ht="15" hidden="false" customHeight="true" outlineLevel="0" collapsed="false">
      <c r="H351" s="113"/>
      <c r="I351" s="113"/>
      <c r="J351" s="113"/>
      <c r="L351" s="113"/>
      <c r="M351" s="113"/>
      <c r="N351" s="113"/>
      <c r="P351" s="113"/>
      <c r="Q351" s="113"/>
      <c r="R351" s="113"/>
      <c r="T351" s="113"/>
      <c r="U351" s="113"/>
      <c r="V351" s="113"/>
    </row>
    <row r="352" customFormat="false" ht="15" hidden="false" customHeight="true" outlineLevel="0" collapsed="false">
      <c r="H352" s="113"/>
      <c r="I352" s="113"/>
      <c r="J352" s="113"/>
      <c r="L352" s="113"/>
      <c r="M352" s="113"/>
      <c r="N352" s="113"/>
      <c r="P352" s="113"/>
      <c r="Q352" s="113"/>
      <c r="R352" s="113"/>
      <c r="T352" s="113"/>
      <c r="U352" s="113"/>
      <c r="V352" s="113"/>
    </row>
    <row r="353" customFormat="false" ht="15" hidden="false" customHeight="true" outlineLevel="0" collapsed="false">
      <c r="H353" s="113"/>
      <c r="I353" s="113"/>
      <c r="J353" s="113"/>
      <c r="L353" s="113"/>
      <c r="M353" s="113"/>
      <c r="N353" s="113"/>
      <c r="P353" s="113"/>
      <c r="Q353" s="113"/>
      <c r="R353" s="113"/>
      <c r="T353" s="113"/>
      <c r="U353" s="113"/>
      <c r="V353" s="113"/>
    </row>
    <row r="354" customFormat="false" ht="15" hidden="false" customHeight="true" outlineLevel="0" collapsed="false">
      <c r="H354" s="113"/>
      <c r="I354" s="113"/>
      <c r="J354" s="113"/>
      <c r="L354" s="113"/>
      <c r="M354" s="113"/>
      <c r="N354" s="113"/>
      <c r="P354" s="113"/>
      <c r="Q354" s="113"/>
      <c r="R354" s="113"/>
      <c r="T354" s="113"/>
      <c r="U354" s="113"/>
      <c r="V354" s="113"/>
    </row>
    <row r="355" customFormat="false" ht="15" hidden="false" customHeight="true" outlineLevel="0" collapsed="false">
      <c r="H355" s="113"/>
      <c r="I355" s="113"/>
      <c r="J355" s="113"/>
      <c r="L355" s="113"/>
      <c r="M355" s="113"/>
      <c r="N355" s="113"/>
      <c r="P355" s="113"/>
      <c r="Q355" s="113"/>
      <c r="R355" s="113"/>
      <c r="T355" s="113"/>
      <c r="U355" s="113"/>
      <c r="V355" s="113"/>
    </row>
    <row r="356" customFormat="false" ht="15" hidden="false" customHeight="true" outlineLevel="0" collapsed="false">
      <c r="H356" s="113"/>
      <c r="I356" s="113"/>
      <c r="J356" s="113"/>
      <c r="L356" s="113"/>
      <c r="M356" s="113"/>
      <c r="N356" s="113"/>
      <c r="P356" s="113"/>
      <c r="Q356" s="113"/>
      <c r="R356" s="113"/>
      <c r="T356" s="113"/>
      <c r="U356" s="113"/>
      <c r="V356" s="113"/>
    </row>
    <row r="357" customFormat="false" ht="15" hidden="false" customHeight="true" outlineLevel="0" collapsed="false">
      <c r="H357" s="113"/>
      <c r="I357" s="113"/>
      <c r="J357" s="113"/>
      <c r="L357" s="113"/>
      <c r="M357" s="113"/>
      <c r="N357" s="113"/>
      <c r="P357" s="113"/>
      <c r="Q357" s="113"/>
      <c r="R357" s="113"/>
      <c r="T357" s="113"/>
      <c r="U357" s="113"/>
      <c r="V357" s="113"/>
    </row>
    <row r="358" customFormat="false" ht="15" hidden="false" customHeight="true" outlineLevel="0" collapsed="false">
      <c r="H358" s="113"/>
      <c r="I358" s="113"/>
      <c r="J358" s="113"/>
      <c r="L358" s="113"/>
      <c r="M358" s="113"/>
      <c r="N358" s="113"/>
      <c r="P358" s="113"/>
      <c r="Q358" s="113"/>
      <c r="R358" s="113"/>
      <c r="T358" s="113"/>
      <c r="U358" s="113"/>
      <c r="V358" s="113"/>
    </row>
    <row r="359" customFormat="false" ht="15" hidden="false" customHeight="true" outlineLevel="0" collapsed="false">
      <c r="H359" s="113"/>
      <c r="I359" s="113"/>
      <c r="J359" s="113"/>
      <c r="L359" s="113"/>
      <c r="M359" s="113"/>
      <c r="N359" s="113"/>
      <c r="P359" s="113"/>
      <c r="Q359" s="113"/>
      <c r="R359" s="113"/>
      <c r="T359" s="113"/>
      <c r="U359" s="113"/>
      <c r="V359" s="113"/>
    </row>
    <row r="360" customFormat="false" ht="15" hidden="false" customHeight="true" outlineLevel="0" collapsed="false">
      <c r="H360" s="113"/>
      <c r="I360" s="113"/>
      <c r="J360" s="113"/>
      <c r="L360" s="113"/>
      <c r="M360" s="113"/>
      <c r="N360" s="113"/>
      <c r="P360" s="113"/>
      <c r="Q360" s="113"/>
      <c r="R360" s="113"/>
      <c r="T360" s="113"/>
      <c r="U360" s="113"/>
      <c r="V360" s="113"/>
    </row>
    <row r="361" customFormat="false" ht="15" hidden="false" customHeight="true" outlineLevel="0" collapsed="false">
      <c r="H361" s="113"/>
      <c r="I361" s="113"/>
      <c r="J361" s="113"/>
      <c r="L361" s="113"/>
      <c r="M361" s="113"/>
      <c r="N361" s="113"/>
      <c r="P361" s="113"/>
      <c r="Q361" s="113"/>
      <c r="R361" s="113"/>
      <c r="T361" s="113"/>
      <c r="U361" s="113"/>
      <c r="V361" s="113"/>
    </row>
    <row r="362" customFormat="false" ht="15" hidden="false" customHeight="true" outlineLevel="0" collapsed="false">
      <c r="H362" s="113"/>
      <c r="I362" s="113"/>
      <c r="J362" s="113"/>
      <c r="L362" s="113"/>
      <c r="M362" s="113"/>
      <c r="N362" s="113"/>
      <c r="P362" s="113"/>
      <c r="Q362" s="113"/>
      <c r="R362" s="113"/>
      <c r="T362" s="113"/>
      <c r="U362" s="113"/>
      <c r="V362" s="113"/>
    </row>
    <row r="363" customFormat="false" ht="15" hidden="false" customHeight="true" outlineLevel="0" collapsed="false">
      <c r="H363" s="113"/>
      <c r="I363" s="113"/>
      <c r="J363" s="113"/>
      <c r="L363" s="113"/>
      <c r="M363" s="113"/>
      <c r="N363" s="113"/>
      <c r="P363" s="113"/>
      <c r="Q363" s="113"/>
      <c r="R363" s="113"/>
      <c r="T363" s="113"/>
      <c r="U363" s="113"/>
      <c r="V363" s="113"/>
    </row>
    <row r="364" customFormat="false" ht="15" hidden="false" customHeight="true" outlineLevel="0" collapsed="false">
      <c r="H364" s="113"/>
      <c r="I364" s="113"/>
      <c r="J364" s="113"/>
      <c r="L364" s="113"/>
      <c r="M364" s="113"/>
      <c r="N364" s="113"/>
      <c r="P364" s="113"/>
      <c r="Q364" s="113"/>
      <c r="R364" s="113"/>
      <c r="T364" s="113"/>
      <c r="U364" s="113"/>
      <c r="V364" s="113"/>
    </row>
    <row r="365" customFormat="false" ht="15" hidden="false" customHeight="true" outlineLevel="0" collapsed="false">
      <c r="H365" s="113"/>
      <c r="I365" s="113"/>
      <c r="J365" s="113"/>
      <c r="L365" s="113"/>
      <c r="M365" s="113"/>
      <c r="N365" s="113"/>
      <c r="P365" s="113"/>
      <c r="Q365" s="113"/>
      <c r="R365" s="113"/>
      <c r="T365" s="113"/>
      <c r="U365" s="113"/>
      <c r="V365" s="113"/>
    </row>
    <row r="366" customFormat="false" ht="15" hidden="false" customHeight="true" outlineLevel="0" collapsed="false">
      <c r="H366" s="113"/>
      <c r="I366" s="113"/>
      <c r="J366" s="113"/>
      <c r="L366" s="113"/>
      <c r="M366" s="113"/>
      <c r="N366" s="113"/>
      <c r="P366" s="113"/>
      <c r="Q366" s="113"/>
      <c r="R366" s="113"/>
      <c r="T366" s="113"/>
      <c r="U366" s="113"/>
      <c r="V366" s="113"/>
    </row>
    <row r="367" customFormat="false" ht="15" hidden="false" customHeight="true" outlineLevel="0" collapsed="false">
      <c r="H367" s="113"/>
      <c r="I367" s="113"/>
      <c r="J367" s="113"/>
      <c r="L367" s="113"/>
      <c r="M367" s="113"/>
      <c r="N367" s="113"/>
      <c r="P367" s="113"/>
      <c r="Q367" s="113"/>
      <c r="R367" s="113"/>
      <c r="T367" s="113"/>
      <c r="U367" s="113"/>
      <c r="V367" s="113"/>
    </row>
    <row r="368" customFormat="false" ht="15" hidden="false" customHeight="true" outlineLevel="0" collapsed="false">
      <c r="H368" s="113"/>
      <c r="I368" s="113"/>
      <c r="J368" s="113"/>
      <c r="L368" s="113"/>
      <c r="M368" s="113"/>
      <c r="N368" s="113"/>
      <c r="P368" s="113"/>
      <c r="Q368" s="113"/>
      <c r="R368" s="113"/>
      <c r="T368" s="113"/>
      <c r="U368" s="113"/>
      <c r="V368" s="113"/>
    </row>
    <row r="369" customFormat="false" ht="15" hidden="false" customHeight="true" outlineLevel="0" collapsed="false">
      <c r="H369" s="113"/>
      <c r="I369" s="113"/>
      <c r="J369" s="113"/>
      <c r="L369" s="113"/>
      <c r="M369" s="113"/>
      <c r="N369" s="113"/>
      <c r="P369" s="113"/>
      <c r="Q369" s="113"/>
      <c r="R369" s="113"/>
      <c r="T369" s="113"/>
      <c r="U369" s="113"/>
      <c r="V369" s="113"/>
    </row>
    <row r="370" customFormat="false" ht="15" hidden="false" customHeight="true" outlineLevel="0" collapsed="false">
      <c r="H370" s="113"/>
      <c r="I370" s="113"/>
      <c r="J370" s="113"/>
      <c r="L370" s="113"/>
      <c r="M370" s="113"/>
      <c r="N370" s="113"/>
      <c r="P370" s="113"/>
      <c r="Q370" s="113"/>
      <c r="R370" s="113"/>
      <c r="T370" s="113"/>
      <c r="U370" s="113"/>
      <c r="V370" s="113"/>
    </row>
    <row r="371" customFormat="false" ht="15" hidden="false" customHeight="true" outlineLevel="0" collapsed="false">
      <c r="H371" s="113"/>
      <c r="I371" s="113"/>
      <c r="J371" s="113"/>
      <c r="L371" s="113"/>
      <c r="M371" s="113"/>
      <c r="N371" s="113"/>
      <c r="P371" s="113"/>
      <c r="Q371" s="113"/>
      <c r="R371" s="113"/>
      <c r="T371" s="113"/>
      <c r="U371" s="113"/>
      <c r="V371" s="113"/>
    </row>
    <row r="372" customFormat="false" ht="15" hidden="false" customHeight="true" outlineLevel="0" collapsed="false">
      <c r="H372" s="113"/>
      <c r="I372" s="113"/>
      <c r="J372" s="113"/>
      <c r="L372" s="113"/>
      <c r="M372" s="113"/>
      <c r="N372" s="113"/>
      <c r="P372" s="113"/>
      <c r="Q372" s="113"/>
      <c r="R372" s="113"/>
      <c r="T372" s="113"/>
      <c r="U372" s="113"/>
      <c r="V372" s="113"/>
    </row>
    <row r="373" customFormat="false" ht="15" hidden="false" customHeight="true" outlineLevel="0" collapsed="false">
      <c r="H373" s="113"/>
      <c r="I373" s="113"/>
      <c r="J373" s="113"/>
      <c r="L373" s="113"/>
      <c r="M373" s="113"/>
      <c r="N373" s="113"/>
      <c r="P373" s="113"/>
      <c r="Q373" s="113"/>
      <c r="R373" s="113"/>
      <c r="T373" s="113"/>
      <c r="U373" s="113"/>
      <c r="V373" s="113"/>
    </row>
    <row r="374" customFormat="false" ht="15" hidden="false" customHeight="true" outlineLevel="0" collapsed="false">
      <c r="H374" s="113"/>
      <c r="I374" s="113"/>
      <c r="J374" s="113"/>
      <c r="L374" s="113"/>
      <c r="M374" s="113"/>
      <c r="N374" s="113"/>
      <c r="P374" s="113"/>
      <c r="Q374" s="113"/>
      <c r="R374" s="113"/>
      <c r="T374" s="113"/>
      <c r="U374" s="113"/>
      <c r="V374" s="113"/>
    </row>
    <row r="375" customFormat="false" ht="15" hidden="false" customHeight="true" outlineLevel="0" collapsed="false">
      <c r="H375" s="113"/>
      <c r="I375" s="113"/>
      <c r="J375" s="113"/>
      <c r="L375" s="113"/>
      <c r="M375" s="113"/>
      <c r="N375" s="113"/>
      <c r="P375" s="113"/>
      <c r="Q375" s="113"/>
      <c r="R375" s="113"/>
      <c r="T375" s="113"/>
      <c r="U375" s="113"/>
      <c r="V375" s="113"/>
    </row>
    <row r="376" customFormat="false" ht="15" hidden="false" customHeight="true" outlineLevel="0" collapsed="false">
      <c r="H376" s="113"/>
      <c r="I376" s="113"/>
      <c r="J376" s="113"/>
      <c r="L376" s="113"/>
      <c r="M376" s="113"/>
      <c r="N376" s="113"/>
      <c r="P376" s="113"/>
      <c r="Q376" s="113"/>
      <c r="R376" s="113"/>
      <c r="T376" s="113"/>
      <c r="U376" s="113"/>
      <c r="V376" s="113"/>
    </row>
    <row r="377" customFormat="false" ht="15" hidden="false" customHeight="true" outlineLevel="0" collapsed="false">
      <c r="H377" s="113"/>
      <c r="I377" s="113"/>
      <c r="J377" s="113"/>
      <c r="L377" s="113"/>
      <c r="M377" s="113"/>
      <c r="N377" s="113"/>
      <c r="P377" s="113"/>
      <c r="Q377" s="113"/>
      <c r="R377" s="113"/>
      <c r="T377" s="113"/>
      <c r="U377" s="113"/>
      <c r="V377" s="113"/>
    </row>
    <row r="378" customFormat="false" ht="15" hidden="false" customHeight="true" outlineLevel="0" collapsed="false">
      <c r="H378" s="113"/>
      <c r="I378" s="113"/>
      <c r="J378" s="113"/>
      <c r="L378" s="113"/>
      <c r="M378" s="113"/>
      <c r="N378" s="113"/>
      <c r="P378" s="113"/>
      <c r="Q378" s="113"/>
      <c r="R378" s="113"/>
      <c r="T378" s="113"/>
      <c r="U378" s="113"/>
      <c r="V378" s="113"/>
    </row>
    <row r="379" customFormat="false" ht="15" hidden="false" customHeight="true" outlineLevel="0" collapsed="false">
      <c r="H379" s="113"/>
      <c r="I379" s="113"/>
      <c r="J379" s="113"/>
      <c r="L379" s="113"/>
      <c r="M379" s="113"/>
      <c r="N379" s="113"/>
      <c r="P379" s="113"/>
      <c r="Q379" s="113"/>
      <c r="R379" s="113"/>
      <c r="T379" s="113"/>
      <c r="U379" s="113"/>
      <c r="V379" s="113"/>
    </row>
    <row r="380" customFormat="false" ht="15" hidden="false" customHeight="true" outlineLevel="0" collapsed="false">
      <c r="H380" s="113"/>
      <c r="I380" s="113"/>
      <c r="J380" s="113"/>
      <c r="L380" s="113"/>
      <c r="M380" s="113"/>
      <c r="N380" s="113"/>
      <c r="P380" s="113"/>
      <c r="Q380" s="113"/>
      <c r="R380" s="113"/>
      <c r="T380" s="113"/>
      <c r="U380" s="113"/>
      <c r="V380" s="113"/>
    </row>
    <row r="381" customFormat="false" ht="15" hidden="false" customHeight="true" outlineLevel="0" collapsed="false">
      <c r="H381" s="113"/>
      <c r="I381" s="113"/>
      <c r="J381" s="113"/>
      <c r="L381" s="113"/>
      <c r="M381" s="113"/>
      <c r="N381" s="113"/>
      <c r="P381" s="113"/>
      <c r="Q381" s="113"/>
      <c r="R381" s="113"/>
      <c r="T381" s="113"/>
      <c r="U381" s="113"/>
      <c r="V381" s="113"/>
    </row>
    <row r="382" customFormat="false" ht="15" hidden="false" customHeight="true" outlineLevel="0" collapsed="false">
      <c r="H382" s="113"/>
      <c r="I382" s="113"/>
      <c r="J382" s="113"/>
      <c r="L382" s="113"/>
      <c r="M382" s="113"/>
      <c r="N382" s="113"/>
      <c r="P382" s="113"/>
      <c r="Q382" s="113"/>
      <c r="R382" s="113"/>
      <c r="T382" s="113"/>
      <c r="U382" s="113"/>
      <c r="V382" s="113"/>
    </row>
    <row r="383" customFormat="false" ht="15" hidden="false" customHeight="true" outlineLevel="0" collapsed="false">
      <c r="H383" s="113"/>
      <c r="I383" s="113"/>
      <c r="J383" s="113"/>
      <c r="L383" s="113"/>
      <c r="M383" s="113"/>
      <c r="N383" s="113"/>
      <c r="P383" s="113"/>
      <c r="Q383" s="113"/>
      <c r="R383" s="113"/>
      <c r="T383" s="113"/>
      <c r="U383" s="113"/>
      <c r="V383" s="113"/>
    </row>
    <row r="384" customFormat="false" ht="15" hidden="false" customHeight="true" outlineLevel="0" collapsed="false">
      <c r="H384" s="113"/>
      <c r="I384" s="113"/>
      <c r="J384" s="113"/>
      <c r="L384" s="113"/>
      <c r="M384" s="113"/>
      <c r="N384" s="113"/>
      <c r="P384" s="113"/>
      <c r="Q384" s="113"/>
      <c r="R384" s="113"/>
      <c r="T384" s="113"/>
      <c r="U384" s="113"/>
      <c r="V384" s="113"/>
    </row>
    <row r="385" customFormat="false" ht="15" hidden="false" customHeight="true" outlineLevel="0" collapsed="false">
      <c r="H385" s="113"/>
      <c r="I385" s="113"/>
      <c r="J385" s="113"/>
      <c r="L385" s="113"/>
      <c r="M385" s="113"/>
      <c r="N385" s="113"/>
      <c r="P385" s="113"/>
      <c r="Q385" s="113"/>
      <c r="R385" s="113"/>
      <c r="T385" s="113"/>
      <c r="U385" s="113"/>
      <c r="V385" s="113"/>
    </row>
    <row r="386" customFormat="false" ht="15" hidden="false" customHeight="true" outlineLevel="0" collapsed="false">
      <c r="H386" s="113"/>
      <c r="I386" s="113"/>
      <c r="J386" s="113"/>
      <c r="L386" s="113"/>
      <c r="M386" s="113"/>
      <c r="N386" s="113"/>
      <c r="P386" s="113"/>
      <c r="Q386" s="113"/>
      <c r="R386" s="113"/>
      <c r="T386" s="113"/>
      <c r="U386" s="113"/>
      <c r="V386" s="113"/>
    </row>
    <row r="387" customFormat="false" ht="15" hidden="false" customHeight="true" outlineLevel="0" collapsed="false">
      <c r="H387" s="113"/>
      <c r="I387" s="113"/>
      <c r="J387" s="113"/>
      <c r="L387" s="113"/>
      <c r="M387" s="113"/>
      <c r="N387" s="113"/>
      <c r="P387" s="113"/>
      <c r="Q387" s="113"/>
      <c r="R387" s="113"/>
      <c r="T387" s="113"/>
      <c r="U387" s="113"/>
      <c r="V387" s="113"/>
    </row>
    <row r="388" customFormat="false" ht="15" hidden="false" customHeight="true" outlineLevel="0" collapsed="false">
      <c r="H388" s="113"/>
      <c r="I388" s="113"/>
      <c r="J388" s="113"/>
      <c r="L388" s="113"/>
      <c r="M388" s="113"/>
      <c r="N388" s="113"/>
      <c r="P388" s="113"/>
      <c r="Q388" s="113"/>
      <c r="R388" s="113"/>
      <c r="T388" s="113"/>
      <c r="U388" s="113"/>
      <c r="V388" s="113"/>
    </row>
    <row r="389" customFormat="false" ht="15" hidden="false" customHeight="true" outlineLevel="0" collapsed="false">
      <c r="H389" s="113"/>
      <c r="I389" s="113"/>
      <c r="J389" s="113"/>
      <c r="L389" s="113"/>
      <c r="M389" s="113"/>
      <c r="N389" s="113"/>
      <c r="P389" s="113"/>
      <c r="Q389" s="113"/>
      <c r="R389" s="113"/>
      <c r="T389" s="113"/>
      <c r="U389" s="113"/>
      <c r="V389" s="113"/>
    </row>
    <row r="390" customFormat="false" ht="15" hidden="false" customHeight="true" outlineLevel="0" collapsed="false">
      <c r="H390" s="113"/>
      <c r="I390" s="113"/>
      <c r="J390" s="113"/>
      <c r="L390" s="113"/>
      <c r="M390" s="113"/>
      <c r="N390" s="113"/>
      <c r="P390" s="113"/>
      <c r="Q390" s="113"/>
      <c r="R390" s="113"/>
      <c r="T390" s="113"/>
      <c r="U390" s="113"/>
      <c r="V390" s="113"/>
    </row>
    <row r="391" customFormat="false" ht="15" hidden="false" customHeight="true" outlineLevel="0" collapsed="false">
      <c r="H391" s="113"/>
      <c r="I391" s="113"/>
      <c r="J391" s="113"/>
      <c r="L391" s="113"/>
      <c r="M391" s="113"/>
      <c r="N391" s="113"/>
      <c r="P391" s="113"/>
      <c r="Q391" s="113"/>
      <c r="R391" s="113"/>
      <c r="T391" s="113"/>
      <c r="U391" s="113"/>
      <c r="V391" s="113"/>
    </row>
    <row r="392" customFormat="false" ht="15" hidden="false" customHeight="true" outlineLevel="0" collapsed="false">
      <c r="H392" s="113"/>
      <c r="I392" s="113"/>
      <c r="J392" s="113"/>
      <c r="L392" s="113"/>
      <c r="M392" s="113"/>
      <c r="N392" s="113"/>
      <c r="P392" s="113"/>
      <c r="Q392" s="113"/>
      <c r="R392" s="113"/>
      <c r="T392" s="113"/>
      <c r="U392" s="113"/>
      <c r="V392" s="113"/>
    </row>
    <row r="393" customFormat="false" ht="15" hidden="false" customHeight="true" outlineLevel="0" collapsed="false">
      <c r="H393" s="113"/>
      <c r="I393" s="113"/>
      <c r="J393" s="113"/>
      <c r="L393" s="113"/>
      <c r="M393" s="113"/>
      <c r="N393" s="113"/>
      <c r="P393" s="113"/>
      <c r="Q393" s="113"/>
      <c r="R393" s="113"/>
      <c r="T393" s="113"/>
      <c r="U393" s="113"/>
      <c r="V393" s="113"/>
    </row>
    <row r="394" customFormat="false" ht="15" hidden="false" customHeight="true" outlineLevel="0" collapsed="false">
      <c r="H394" s="113"/>
      <c r="I394" s="113"/>
      <c r="J394" s="113"/>
      <c r="L394" s="113"/>
      <c r="M394" s="113"/>
      <c r="N394" s="113"/>
      <c r="P394" s="113"/>
      <c r="Q394" s="113"/>
      <c r="R394" s="113"/>
      <c r="T394" s="113"/>
      <c r="U394" s="113"/>
      <c r="V394" s="113"/>
    </row>
    <row r="395" customFormat="false" ht="15" hidden="false" customHeight="true" outlineLevel="0" collapsed="false">
      <c r="H395" s="113"/>
      <c r="I395" s="113"/>
      <c r="J395" s="113"/>
      <c r="L395" s="113"/>
      <c r="M395" s="113"/>
      <c r="N395" s="113"/>
      <c r="P395" s="113"/>
      <c r="Q395" s="113"/>
      <c r="R395" s="113"/>
      <c r="T395" s="113"/>
      <c r="U395" s="113"/>
      <c r="V395" s="113"/>
    </row>
    <row r="396" customFormat="false" ht="15" hidden="false" customHeight="true" outlineLevel="0" collapsed="false">
      <c r="H396" s="113"/>
      <c r="I396" s="113"/>
      <c r="J396" s="113"/>
      <c r="L396" s="113"/>
      <c r="M396" s="113"/>
      <c r="N396" s="113"/>
      <c r="P396" s="113"/>
      <c r="Q396" s="113"/>
      <c r="R396" s="113"/>
      <c r="T396" s="113"/>
      <c r="U396" s="113"/>
      <c r="V396" s="113"/>
    </row>
    <row r="397" customFormat="false" ht="15" hidden="false" customHeight="true" outlineLevel="0" collapsed="false">
      <c r="H397" s="113"/>
      <c r="I397" s="113"/>
      <c r="J397" s="113"/>
      <c r="L397" s="113"/>
      <c r="M397" s="113"/>
      <c r="N397" s="113"/>
      <c r="P397" s="113"/>
      <c r="Q397" s="113"/>
      <c r="R397" s="113"/>
      <c r="T397" s="113"/>
      <c r="U397" s="113"/>
      <c r="V397" s="113"/>
    </row>
    <row r="398" customFormat="false" ht="15" hidden="false" customHeight="true" outlineLevel="0" collapsed="false">
      <c r="H398" s="113"/>
      <c r="I398" s="113"/>
      <c r="J398" s="113"/>
      <c r="L398" s="113"/>
      <c r="M398" s="113"/>
      <c r="N398" s="113"/>
      <c r="P398" s="113"/>
      <c r="Q398" s="113"/>
      <c r="R398" s="113"/>
      <c r="T398" s="113"/>
      <c r="U398" s="113"/>
      <c r="V398" s="113"/>
    </row>
    <row r="399" customFormat="false" ht="15" hidden="false" customHeight="true" outlineLevel="0" collapsed="false">
      <c r="H399" s="113"/>
      <c r="I399" s="113"/>
      <c r="J399" s="113"/>
      <c r="L399" s="113"/>
      <c r="M399" s="113"/>
      <c r="N399" s="113"/>
      <c r="P399" s="113"/>
      <c r="Q399" s="113"/>
      <c r="R399" s="113"/>
      <c r="T399" s="113"/>
      <c r="U399" s="113"/>
      <c r="V399" s="113"/>
    </row>
    <row r="400" customFormat="false" ht="15" hidden="false" customHeight="true" outlineLevel="0" collapsed="false">
      <c r="H400" s="113"/>
      <c r="I400" s="113"/>
      <c r="J400" s="113"/>
      <c r="L400" s="113"/>
      <c r="M400" s="113"/>
      <c r="N400" s="113"/>
      <c r="P400" s="113"/>
      <c r="Q400" s="113"/>
      <c r="R400" s="113"/>
      <c r="T400" s="113"/>
      <c r="U400" s="113"/>
      <c r="V400" s="113"/>
    </row>
    <row r="401" customFormat="false" ht="15" hidden="false" customHeight="true" outlineLevel="0" collapsed="false">
      <c r="H401" s="113"/>
      <c r="I401" s="113"/>
      <c r="J401" s="113"/>
      <c r="L401" s="113"/>
      <c r="M401" s="113"/>
      <c r="N401" s="113"/>
      <c r="P401" s="113"/>
      <c r="Q401" s="113"/>
      <c r="R401" s="113"/>
      <c r="T401" s="113"/>
      <c r="U401" s="113"/>
      <c r="V401" s="113"/>
    </row>
    <row r="402" customFormat="false" ht="15" hidden="false" customHeight="true" outlineLevel="0" collapsed="false">
      <c r="H402" s="113"/>
      <c r="I402" s="113"/>
      <c r="J402" s="113"/>
      <c r="L402" s="113"/>
      <c r="M402" s="113"/>
      <c r="N402" s="113"/>
      <c r="P402" s="113"/>
      <c r="Q402" s="113"/>
      <c r="R402" s="113"/>
      <c r="T402" s="113"/>
      <c r="U402" s="113"/>
      <c r="V402" s="113"/>
    </row>
    <row r="403" customFormat="false" ht="15" hidden="false" customHeight="true" outlineLevel="0" collapsed="false">
      <c r="H403" s="113"/>
      <c r="I403" s="113"/>
      <c r="J403" s="113"/>
      <c r="L403" s="113"/>
      <c r="M403" s="113"/>
      <c r="N403" s="113"/>
      <c r="P403" s="113"/>
      <c r="Q403" s="113"/>
      <c r="R403" s="113"/>
      <c r="T403" s="113"/>
      <c r="U403" s="113"/>
      <c r="V403" s="113"/>
    </row>
    <row r="404" customFormat="false" ht="15" hidden="false" customHeight="true" outlineLevel="0" collapsed="false">
      <c r="H404" s="113"/>
      <c r="I404" s="113"/>
      <c r="J404" s="113"/>
      <c r="L404" s="113"/>
      <c r="M404" s="113"/>
      <c r="N404" s="113"/>
      <c r="P404" s="113"/>
      <c r="Q404" s="113"/>
      <c r="R404" s="113"/>
      <c r="T404" s="113"/>
      <c r="U404" s="113"/>
      <c r="V404" s="113"/>
    </row>
    <row r="405" customFormat="false" ht="15" hidden="false" customHeight="true" outlineLevel="0" collapsed="false">
      <c r="H405" s="113"/>
      <c r="I405" s="113"/>
      <c r="J405" s="113"/>
      <c r="L405" s="113"/>
      <c r="M405" s="113"/>
      <c r="N405" s="113"/>
      <c r="P405" s="113"/>
      <c r="Q405" s="113"/>
      <c r="R405" s="113"/>
      <c r="T405" s="113"/>
      <c r="U405" s="113"/>
      <c r="V405" s="113"/>
    </row>
    <row r="406" customFormat="false" ht="15" hidden="false" customHeight="true" outlineLevel="0" collapsed="false">
      <c r="H406" s="113"/>
      <c r="I406" s="113"/>
      <c r="J406" s="113"/>
      <c r="L406" s="113"/>
      <c r="M406" s="113"/>
      <c r="N406" s="113"/>
      <c r="P406" s="113"/>
      <c r="Q406" s="113"/>
      <c r="R406" s="113"/>
      <c r="T406" s="113"/>
      <c r="U406" s="113"/>
      <c r="V406" s="113"/>
    </row>
    <row r="407" customFormat="false" ht="15" hidden="false" customHeight="true" outlineLevel="0" collapsed="false">
      <c r="H407" s="113"/>
      <c r="I407" s="113"/>
      <c r="J407" s="113"/>
      <c r="L407" s="113"/>
      <c r="M407" s="113"/>
      <c r="N407" s="113"/>
      <c r="P407" s="113"/>
      <c r="Q407" s="113"/>
      <c r="R407" s="113"/>
      <c r="T407" s="113"/>
      <c r="U407" s="113"/>
      <c r="V407" s="113"/>
    </row>
    <row r="408" customFormat="false" ht="15" hidden="false" customHeight="true" outlineLevel="0" collapsed="false">
      <c r="H408" s="113"/>
      <c r="I408" s="113"/>
      <c r="J408" s="113"/>
      <c r="L408" s="113"/>
      <c r="M408" s="113"/>
      <c r="N408" s="113"/>
      <c r="P408" s="113"/>
      <c r="Q408" s="113"/>
      <c r="R408" s="113"/>
      <c r="T408" s="113"/>
      <c r="U408" s="113"/>
      <c r="V408" s="113"/>
    </row>
    <row r="409" customFormat="false" ht="15" hidden="false" customHeight="true" outlineLevel="0" collapsed="false">
      <c r="H409" s="113"/>
      <c r="I409" s="113"/>
      <c r="J409" s="113"/>
      <c r="L409" s="113"/>
      <c r="M409" s="113"/>
      <c r="N409" s="113"/>
      <c r="P409" s="113"/>
      <c r="Q409" s="113"/>
      <c r="R409" s="113"/>
      <c r="T409" s="113"/>
      <c r="U409" s="113"/>
      <c r="V409" s="113"/>
    </row>
    <row r="410" customFormat="false" ht="15" hidden="false" customHeight="true" outlineLevel="0" collapsed="false">
      <c r="H410" s="113"/>
      <c r="I410" s="113"/>
      <c r="J410" s="113"/>
      <c r="L410" s="113"/>
      <c r="M410" s="113"/>
      <c r="N410" s="113"/>
      <c r="P410" s="113"/>
      <c r="Q410" s="113"/>
      <c r="R410" s="113"/>
      <c r="T410" s="113"/>
      <c r="U410" s="113"/>
      <c r="V410" s="113"/>
    </row>
    <row r="411" customFormat="false" ht="15" hidden="false" customHeight="true" outlineLevel="0" collapsed="false">
      <c r="H411" s="113"/>
      <c r="I411" s="113"/>
      <c r="J411" s="113"/>
      <c r="L411" s="113"/>
      <c r="M411" s="113"/>
      <c r="N411" s="113"/>
      <c r="P411" s="113"/>
      <c r="Q411" s="113"/>
      <c r="R411" s="113"/>
      <c r="T411" s="113"/>
      <c r="U411" s="113"/>
      <c r="V411" s="113"/>
    </row>
    <row r="412" customFormat="false" ht="15" hidden="false" customHeight="true" outlineLevel="0" collapsed="false">
      <c r="H412" s="113"/>
      <c r="I412" s="113"/>
      <c r="J412" s="113"/>
      <c r="L412" s="113"/>
      <c r="M412" s="113"/>
      <c r="N412" s="113"/>
      <c r="P412" s="113"/>
      <c r="Q412" s="113"/>
      <c r="R412" s="113"/>
      <c r="T412" s="113"/>
      <c r="U412" s="113"/>
      <c r="V412" s="113"/>
    </row>
    <row r="413" customFormat="false" ht="15" hidden="false" customHeight="true" outlineLevel="0" collapsed="false">
      <c r="H413" s="113"/>
      <c r="I413" s="113"/>
      <c r="J413" s="113"/>
      <c r="L413" s="113"/>
      <c r="M413" s="113"/>
      <c r="N413" s="113"/>
      <c r="P413" s="113"/>
      <c r="Q413" s="113"/>
      <c r="R413" s="113"/>
      <c r="T413" s="113"/>
      <c r="U413" s="113"/>
      <c r="V413" s="113"/>
    </row>
    <row r="414" customFormat="false" ht="15" hidden="false" customHeight="true" outlineLevel="0" collapsed="false">
      <c r="H414" s="113"/>
      <c r="I414" s="113"/>
      <c r="J414" s="113"/>
      <c r="L414" s="113"/>
      <c r="M414" s="113"/>
      <c r="N414" s="113"/>
      <c r="P414" s="113"/>
      <c r="Q414" s="113"/>
      <c r="R414" s="113"/>
      <c r="T414" s="113"/>
      <c r="U414" s="113"/>
      <c r="V414" s="113"/>
    </row>
    <row r="415" customFormat="false" ht="15" hidden="false" customHeight="true" outlineLevel="0" collapsed="false">
      <c r="H415" s="113"/>
      <c r="I415" s="113"/>
      <c r="J415" s="113"/>
      <c r="L415" s="113"/>
      <c r="M415" s="113"/>
      <c r="N415" s="113"/>
      <c r="P415" s="113"/>
      <c r="Q415" s="113"/>
      <c r="R415" s="113"/>
      <c r="T415" s="113"/>
      <c r="U415" s="113"/>
      <c r="V415" s="113"/>
    </row>
    <row r="416" customFormat="false" ht="15" hidden="false" customHeight="true" outlineLevel="0" collapsed="false">
      <c r="H416" s="113"/>
      <c r="I416" s="113"/>
      <c r="J416" s="113"/>
      <c r="L416" s="113"/>
      <c r="M416" s="113"/>
      <c r="N416" s="113"/>
      <c r="P416" s="113"/>
      <c r="Q416" s="113"/>
      <c r="R416" s="113"/>
      <c r="T416" s="113"/>
      <c r="U416" s="113"/>
      <c r="V416" s="113"/>
    </row>
    <row r="417" customFormat="false" ht="15" hidden="false" customHeight="true" outlineLevel="0" collapsed="false">
      <c r="H417" s="113"/>
      <c r="I417" s="113"/>
      <c r="J417" s="113"/>
      <c r="L417" s="113"/>
      <c r="M417" s="113"/>
      <c r="N417" s="113"/>
      <c r="P417" s="113"/>
      <c r="Q417" s="113"/>
      <c r="R417" s="113"/>
      <c r="T417" s="113"/>
      <c r="U417" s="113"/>
      <c r="V417" s="113"/>
    </row>
    <row r="418" customFormat="false" ht="15" hidden="false" customHeight="true" outlineLevel="0" collapsed="false">
      <c r="H418" s="113"/>
      <c r="I418" s="113"/>
      <c r="J418" s="113"/>
      <c r="L418" s="113"/>
      <c r="M418" s="113"/>
      <c r="N418" s="113"/>
      <c r="P418" s="113"/>
      <c r="Q418" s="113"/>
      <c r="R418" s="113"/>
      <c r="T418" s="113"/>
      <c r="U418" s="113"/>
      <c r="V418" s="113"/>
    </row>
    <row r="419" customFormat="false" ht="15" hidden="false" customHeight="true" outlineLevel="0" collapsed="false">
      <c r="H419" s="113"/>
      <c r="I419" s="113"/>
      <c r="J419" s="113"/>
      <c r="L419" s="113"/>
      <c r="M419" s="113"/>
      <c r="N419" s="113"/>
      <c r="P419" s="113"/>
      <c r="Q419" s="113"/>
      <c r="R419" s="113"/>
      <c r="T419" s="113"/>
      <c r="U419" s="113"/>
      <c r="V419" s="113"/>
    </row>
    <row r="420" customFormat="false" ht="15" hidden="false" customHeight="true" outlineLevel="0" collapsed="false">
      <c r="H420" s="113"/>
      <c r="I420" s="113"/>
      <c r="J420" s="113"/>
      <c r="L420" s="113"/>
      <c r="M420" s="113"/>
      <c r="N420" s="113"/>
      <c r="P420" s="113"/>
      <c r="Q420" s="113"/>
      <c r="R420" s="113"/>
      <c r="T420" s="113"/>
      <c r="U420" s="113"/>
      <c r="V420" s="113"/>
    </row>
    <row r="421" customFormat="false" ht="15" hidden="false" customHeight="true" outlineLevel="0" collapsed="false">
      <c r="H421" s="113"/>
      <c r="I421" s="113"/>
      <c r="J421" s="113"/>
      <c r="L421" s="113"/>
      <c r="M421" s="113"/>
      <c r="N421" s="113"/>
      <c r="P421" s="113"/>
      <c r="Q421" s="113"/>
      <c r="R421" s="113"/>
      <c r="T421" s="113"/>
      <c r="U421" s="113"/>
      <c r="V421" s="113"/>
    </row>
    <row r="422" customFormat="false" ht="15" hidden="false" customHeight="true" outlineLevel="0" collapsed="false">
      <c r="H422" s="113"/>
      <c r="I422" s="113"/>
      <c r="J422" s="113"/>
      <c r="L422" s="113"/>
      <c r="M422" s="113"/>
      <c r="N422" s="113"/>
      <c r="P422" s="113"/>
      <c r="Q422" s="113"/>
      <c r="R422" s="113"/>
      <c r="T422" s="113"/>
      <c r="U422" s="113"/>
      <c r="V422" s="113"/>
    </row>
    <row r="423" customFormat="false" ht="15" hidden="false" customHeight="true" outlineLevel="0" collapsed="false">
      <c r="H423" s="113"/>
      <c r="I423" s="113"/>
      <c r="J423" s="113"/>
      <c r="L423" s="113"/>
      <c r="M423" s="113"/>
      <c r="N423" s="113"/>
      <c r="P423" s="113"/>
      <c r="Q423" s="113"/>
      <c r="R423" s="113"/>
      <c r="T423" s="113"/>
      <c r="U423" s="113"/>
      <c r="V423" s="113"/>
    </row>
    <row r="424" customFormat="false" ht="15" hidden="false" customHeight="true" outlineLevel="0" collapsed="false">
      <c r="H424" s="113"/>
      <c r="I424" s="113"/>
      <c r="J424" s="113"/>
      <c r="L424" s="113"/>
      <c r="M424" s="113"/>
      <c r="N424" s="113"/>
      <c r="P424" s="113"/>
      <c r="Q424" s="113"/>
      <c r="R424" s="113"/>
      <c r="T424" s="113"/>
      <c r="U424" s="113"/>
      <c r="V424" s="113"/>
    </row>
    <row r="425" customFormat="false" ht="15" hidden="false" customHeight="true" outlineLevel="0" collapsed="false">
      <c r="H425" s="113"/>
      <c r="I425" s="113"/>
      <c r="J425" s="113"/>
      <c r="L425" s="113"/>
      <c r="M425" s="113"/>
      <c r="N425" s="113"/>
      <c r="P425" s="113"/>
      <c r="Q425" s="113"/>
      <c r="R425" s="113"/>
      <c r="T425" s="113"/>
      <c r="U425" s="113"/>
      <c r="V425" s="113"/>
    </row>
    <row r="426" customFormat="false" ht="15" hidden="false" customHeight="true" outlineLevel="0" collapsed="false">
      <c r="H426" s="113"/>
      <c r="I426" s="113"/>
      <c r="J426" s="113"/>
      <c r="L426" s="113"/>
      <c r="M426" s="113"/>
      <c r="N426" s="113"/>
      <c r="P426" s="113"/>
      <c r="Q426" s="113"/>
      <c r="R426" s="113"/>
      <c r="T426" s="113"/>
      <c r="U426" s="113"/>
      <c r="V426" s="113"/>
    </row>
    <row r="427" customFormat="false" ht="15" hidden="false" customHeight="true" outlineLevel="0" collapsed="false">
      <c r="H427" s="113"/>
      <c r="I427" s="113"/>
      <c r="J427" s="113"/>
      <c r="L427" s="113"/>
      <c r="M427" s="113"/>
      <c r="N427" s="113"/>
      <c r="P427" s="113"/>
      <c r="Q427" s="113"/>
      <c r="R427" s="113"/>
      <c r="T427" s="113"/>
      <c r="U427" s="113"/>
      <c r="V427" s="113"/>
    </row>
    <row r="428" customFormat="false" ht="15" hidden="false" customHeight="true" outlineLevel="0" collapsed="false">
      <c r="H428" s="113"/>
      <c r="I428" s="113"/>
      <c r="J428" s="113"/>
      <c r="L428" s="113"/>
      <c r="M428" s="113"/>
      <c r="N428" s="113"/>
      <c r="P428" s="113"/>
      <c r="Q428" s="113"/>
      <c r="R428" s="113"/>
      <c r="T428" s="113"/>
      <c r="U428" s="113"/>
      <c r="V428" s="113"/>
    </row>
    <row r="429" customFormat="false" ht="15" hidden="false" customHeight="true" outlineLevel="0" collapsed="false">
      <c r="H429" s="113"/>
      <c r="I429" s="113"/>
      <c r="J429" s="113"/>
      <c r="L429" s="113"/>
      <c r="M429" s="113"/>
      <c r="N429" s="113"/>
      <c r="P429" s="113"/>
      <c r="Q429" s="113"/>
      <c r="R429" s="113"/>
      <c r="T429" s="113"/>
      <c r="U429" s="113"/>
      <c r="V429" s="113"/>
    </row>
    <row r="430" customFormat="false" ht="15" hidden="false" customHeight="true" outlineLevel="0" collapsed="false">
      <c r="H430" s="113"/>
      <c r="I430" s="113"/>
      <c r="J430" s="113"/>
      <c r="L430" s="113"/>
      <c r="M430" s="113"/>
      <c r="N430" s="113"/>
      <c r="P430" s="113"/>
      <c r="Q430" s="113"/>
      <c r="R430" s="113"/>
      <c r="T430" s="113"/>
      <c r="U430" s="113"/>
      <c r="V430" s="113"/>
    </row>
    <row r="431" customFormat="false" ht="15" hidden="false" customHeight="true" outlineLevel="0" collapsed="false">
      <c r="H431" s="113"/>
      <c r="I431" s="113"/>
      <c r="J431" s="113"/>
      <c r="L431" s="113"/>
      <c r="M431" s="113"/>
      <c r="N431" s="113"/>
      <c r="P431" s="113"/>
      <c r="Q431" s="113"/>
      <c r="R431" s="113"/>
      <c r="T431" s="113"/>
      <c r="U431" s="113"/>
      <c r="V431" s="113"/>
    </row>
    <row r="432" customFormat="false" ht="15" hidden="false" customHeight="true" outlineLevel="0" collapsed="false">
      <c r="H432" s="113"/>
      <c r="I432" s="113"/>
      <c r="J432" s="113"/>
      <c r="L432" s="113"/>
      <c r="M432" s="113"/>
      <c r="N432" s="113"/>
      <c r="P432" s="113"/>
      <c r="Q432" s="113"/>
      <c r="R432" s="113"/>
      <c r="T432" s="113"/>
      <c r="U432" s="113"/>
      <c r="V432" s="113"/>
    </row>
    <row r="433" customFormat="false" ht="15" hidden="false" customHeight="true" outlineLevel="0" collapsed="false">
      <c r="H433" s="113"/>
      <c r="I433" s="113"/>
      <c r="J433" s="113"/>
      <c r="L433" s="113"/>
      <c r="M433" s="113"/>
      <c r="N433" s="113"/>
      <c r="P433" s="113"/>
      <c r="Q433" s="113"/>
      <c r="R433" s="113"/>
      <c r="T433" s="113"/>
      <c r="U433" s="113"/>
      <c r="V433" s="113"/>
    </row>
    <row r="434" customFormat="false" ht="15" hidden="false" customHeight="true" outlineLevel="0" collapsed="false">
      <c r="H434" s="113"/>
      <c r="I434" s="113"/>
      <c r="J434" s="113"/>
      <c r="L434" s="113"/>
      <c r="M434" s="113"/>
      <c r="N434" s="113"/>
      <c r="P434" s="113"/>
      <c r="Q434" s="113"/>
      <c r="R434" s="113"/>
      <c r="T434" s="113"/>
      <c r="U434" s="113"/>
      <c r="V434" s="113"/>
    </row>
    <row r="435" customFormat="false" ht="15" hidden="false" customHeight="true" outlineLevel="0" collapsed="false">
      <c r="H435" s="113"/>
      <c r="I435" s="113"/>
      <c r="J435" s="113"/>
      <c r="L435" s="113"/>
      <c r="M435" s="113"/>
      <c r="N435" s="113"/>
      <c r="P435" s="113"/>
      <c r="Q435" s="113"/>
      <c r="R435" s="113"/>
      <c r="T435" s="113"/>
      <c r="U435" s="113"/>
      <c r="V435" s="113"/>
    </row>
    <row r="436" customFormat="false" ht="15" hidden="false" customHeight="true" outlineLevel="0" collapsed="false">
      <c r="H436" s="113"/>
      <c r="I436" s="113"/>
      <c r="J436" s="113"/>
      <c r="L436" s="113"/>
      <c r="M436" s="113"/>
      <c r="N436" s="113"/>
      <c r="P436" s="113"/>
      <c r="Q436" s="113"/>
      <c r="R436" s="113"/>
      <c r="T436" s="113"/>
      <c r="U436" s="113"/>
      <c r="V436" s="113"/>
    </row>
    <row r="437" customFormat="false" ht="15" hidden="false" customHeight="true" outlineLevel="0" collapsed="false">
      <c r="H437" s="113"/>
      <c r="I437" s="113"/>
      <c r="J437" s="113"/>
      <c r="L437" s="113"/>
      <c r="M437" s="113"/>
      <c r="N437" s="113"/>
      <c r="P437" s="113"/>
      <c r="Q437" s="113"/>
      <c r="R437" s="113"/>
      <c r="T437" s="113"/>
      <c r="U437" s="113"/>
      <c r="V437" s="113"/>
    </row>
    <row r="438" customFormat="false" ht="15" hidden="false" customHeight="true" outlineLevel="0" collapsed="false">
      <c r="H438" s="113"/>
      <c r="I438" s="113"/>
      <c r="J438" s="113"/>
      <c r="L438" s="113"/>
      <c r="M438" s="113"/>
      <c r="N438" s="113"/>
      <c r="P438" s="113"/>
      <c r="Q438" s="113"/>
      <c r="R438" s="113"/>
      <c r="T438" s="113"/>
      <c r="U438" s="113"/>
      <c r="V438" s="113"/>
    </row>
    <row r="439" customFormat="false" ht="15" hidden="false" customHeight="true" outlineLevel="0" collapsed="false">
      <c r="H439" s="113"/>
      <c r="I439" s="113"/>
      <c r="J439" s="113"/>
      <c r="L439" s="113"/>
      <c r="M439" s="113"/>
      <c r="N439" s="113"/>
      <c r="P439" s="113"/>
      <c r="Q439" s="113"/>
      <c r="R439" s="113"/>
      <c r="T439" s="113"/>
      <c r="U439" s="113"/>
      <c r="V439" s="113"/>
    </row>
    <row r="440" customFormat="false" ht="15" hidden="false" customHeight="true" outlineLevel="0" collapsed="false">
      <c r="H440" s="113"/>
      <c r="I440" s="113"/>
      <c r="J440" s="113"/>
      <c r="L440" s="113"/>
      <c r="M440" s="113"/>
      <c r="N440" s="113"/>
      <c r="P440" s="113"/>
      <c r="Q440" s="113"/>
      <c r="R440" s="113"/>
      <c r="T440" s="113"/>
      <c r="U440" s="113"/>
      <c r="V440" s="113"/>
    </row>
    <row r="441" customFormat="false" ht="15" hidden="false" customHeight="true" outlineLevel="0" collapsed="false">
      <c r="H441" s="113"/>
      <c r="I441" s="113"/>
      <c r="J441" s="113"/>
      <c r="L441" s="113"/>
      <c r="M441" s="113"/>
      <c r="N441" s="113"/>
      <c r="P441" s="113"/>
      <c r="Q441" s="113"/>
      <c r="R441" s="113"/>
      <c r="T441" s="113"/>
      <c r="U441" s="113"/>
      <c r="V441" s="113"/>
    </row>
    <row r="442" customFormat="false" ht="15" hidden="false" customHeight="true" outlineLevel="0" collapsed="false">
      <c r="H442" s="113"/>
      <c r="I442" s="113"/>
      <c r="J442" s="113"/>
      <c r="L442" s="113"/>
      <c r="M442" s="113"/>
      <c r="N442" s="113"/>
      <c r="P442" s="113"/>
      <c r="Q442" s="113"/>
      <c r="R442" s="113"/>
      <c r="T442" s="113"/>
      <c r="U442" s="113"/>
      <c r="V442" s="113"/>
    </row>
    <row r="443" customFormat="false" ht="15" hidden="false" customHeight="true" outlineLevel="0" collapsed="false">
      <c r="H443" s="113"/>
      <c r="I443" s="113"/>
      <c r="J443" s="113"/>
      <c r="L443" s="113"/>
      <c r="M443" s="113"/>
      <c r="N443" s="113"/>
      <c r="P443" s="113"/>
      <c r="Q443" s="113"/>
      <c r="R443" s="113"/>
      <c r="T443" s="113"/>
      <c r="U443" s="113"/>
      <c r="V443" s="113"/>
    </row>
    <row r="444" customFormat="false" ht="15" hidden="false" customHeight="true" outlineLevel="0" collapsed="false">
      <c r="H444" s="113"/>
      <c r="I444" s="113"/>
      <c r="J444" s="113"/>
      <c r="L444" s="113"/>
      <c r="M444" s="113"/>
      <c r="N444" s="113"/>
      <c r="P444" s="113"/>
      <c r="Q444" s="113"/>
      <c r="R444" s="113"/>
      <c r="T444" s="113"/>
      <c r="U444" s="113"/>
      <c r="V444" s="113"/>
    </row>
    <row r="445" customFormat="false" ht="15" hidden="false" customHeight="true" outlineLevel="0" collapsed="false">
      <c r="H445" s="113"/>
      <c r="I445" s="113"/>
      <c r="J445" s="113"/>
      <c r="L445" s="113"/>
      <c r="M445" s="113"/>
      <c r="N445" s="113"/>
      <c r="P445" s="113"/>
      <c r="Q445" s="113"/>
      <c r="R445" s="113"/>
      <c r="T445" s="113"/>
      <c r="U445" s="113"/>
      <c r="V445" s="113"/>
    </row>
    <row r="446" customFormat="false" ht="15" hidden="false" customHeight="true" outlineLevel="0" collapsed="false">
      <c r="H446" s="113"/>
      <c r="I446" s="113"/>
      <c r="J446" s="113"/>
      <c r="L446" s="113"/>
      <c r="M446" s="113"/>
      <c r="N446" s="113"/>
      <c r="P446" s="113"/>
      <c r="Q446" s="113"/>
      <c r="R446" s="113"/>
      <c r="T446" s="113"/>
      <c r="U446" s="113"/>
      <c r="V446" s="113"/>
    </row>
    <row r="447" customFormat="false" ht="15" hidden="false" customHeight="true" outlineLevel="0" collapsed="false">
      <c r="H447" s="113"/>
      <c r="I447" s="113"/>
      <c r="J447" s="113"/>
      <c r="L447" s="113"/>
      <c r="M447" s="113"/>
      <c r="N447" s="113"/>
      <c r="P447" s="113"/>
      <c r="Q447" s="113"/>
      <c r="R447" s="113"/>
      <c r="T447" s="113"/>
      <c r="U447" s="113"/>
      <c r="V447" s="113"/>
    </row>
    <row r="448" customFormat="false" ht="15" hidden="false" customHeight="true" outlineLevel="0" collapsed="false">
      <c r="H448" s="113"/>
      <c r="I448" s="113"/>
      <c r="J448" s="113"/>
      <c r="L448" s="113"/>
      <c r="M448" s="113"/>
      <c r="N448" s="113"/>
      <c r="P448" s="113"/>
      <c r="Q448" s="113"/>
      <c r="R448" s="113"/>
      <c r="T448" s="113"/>
      <c r="U448" s="113"/>
      <c r="V448" s="113"/>
    </row>
    <row r="449" customFormat="false" ht="15" hidden="false" customHeight="true" outlineLevel="0" collapsed="false">
      <c r="H449" s="113"/>
      <c r="I449" s="113"/>
      <c r="J449" s="113"/>
      <c r="L449" s="113"/>
      <c r="M449" s="113"/>
      <c r="N449" s="113"/>
      <c r="P449" s="113"/>
      <c r="Q449" s="113"/>
      <c r="R449" s="113"/>
      <c r="T449" s="113"/>
      <c r="U449" s="113"/>
      <c r="V449" s="113"/>
    </row>
    <row r="450" customFormat="false" ht="15" hidden="false" customHeight="true" outlineLevel="0" collapsed="false">
      <c r="H450" s="113"/>
      <c r="I450" s="113"/>
      <c r="J450" s="113"/>
      <c r="L450" s="113"/>
      <c r="M450" s="113"/>
      <c r="N450" s="113"/>
      <c r="P450" s="113"/>
      <c r="Q450" s="113"/>
      <c r="R450" s="113"/>
      <c r="T450" s="113"/>
      <c r="U450" s="113"/>
      <c r="V450" s="113"/>
    </row>
    <row r="451" customFormat="false" ht="15" hidden="false" customHeight="true" outlineLevel="0" collapsed="false">
      <c r="H451" s="113"/>
      <c r="I451" s="113"/>
      <c r="J451" s="113"/>
      <c r="L451" s="113"/>
      <c r="M451" s="113"/>
      <c r="N451" s="113"/>
      <c r="P451" s="113"/>
      <c r="Q451" s="113"/>
      <c r="R451" s="113"/>
      <c r="T451" s="113"/>
      <c r="U451" s="113"/>
      <c r="V451" s="113"/>
    </row>
    <row r="452" customFormat="false" ht="15" hidden="false" customHeight="true" outlineLevel="0" collapsed="false">
      <c r="H452" s="113"/>
      <c r="I452" s="113"/>
      <c r="J452" s="113"/>
      <c r="L452" s="113"/>
      <c r="M452" s="113"/>
      <c r="N452" s="113"/>
      <c r="P452" s="113"/>
      <c r="Q452" s="113"/>
      <c r="R452" s="113"/>
      <c r="T452" s="113"/>
      <c r="U452" s="113"/>
      <c r="V452" s="113"/>
    </row>
    <row r="453" customFormat="false" ht="15" hidden="false" customHeight="true" outlineLevel="0" collapsed="false">
      <c r="H453" s="113"/>
      <c r="I453" s="113"/>
      <c r="J453" s="113"/>
      <c r="L453" s="113"/>
      <c r="M453" s="113"/>
      <c r="N453" s="113"/>
      <c r="P453" s="113"/>
      <c r="Q453" s="113"/>
      <c r="R453" s="113"/>
      <c r="T453" s="113"/>
      <c r="U453" s="113"/>
      <c r="V453" s="113"/>
    </row>
    <row r="454" customFormat="false" ht="15" hidden="false" customHeight="true" outlineLevel="0" collapsed="false">
      <c r="H454" s="113"/>
      <c r="I454" s="113"/>
      <c r="J454" s="113"/>
      <c r="L454" s="113"/>
      <c r="M454" s="113"/>
      <c r="N454" s="113"/>
      <c r="P454" s="113"/>
      <c r="Q454" s="113"/>
      <c r="R454" s="113"/>
      <c r="T454" s="113"/>
      <c r="U454" s="113"/>
      <c r="V454" s="113"/>
    </row>
    <row r="455" customFormat="false" ht="15" hidden="false" customHeight="true" outlineLevel="0" collapsed="false">
      <c r="H455" s="113"/>
      <c r="I455" s="113"/>
      <c r="J455" s="113"/>
      <c r="L455" s="113"/>
      <c r="M455" s="113"/>
      <c r="N455" s="113"/>
      <c r="P455" s="113"/>
      <c r="Q455" s="113"/>
      <c r="R455" s="113"/>
      <c r="T455" s="113"/>
      <c r="U455" s="113"/>
      <c r="V455" s="113"/>
    </row>
    <row r="456" customFormat="false" ht="15" hidden="false" customHeight="true" outlineLevel="0" collapsed="false">
      <c r="H456" s="113"/>
      <c r="I456" s="113"/>
      <c r="J456" s="113"/>
      <c r="L456" s="113"/>
      <c r="M456" s="113"/>
      <c r="N456" s="113"/>
      <c r="P456" s="113"/>
      <c r="Q456" s="113"/>
      <c r="R456" s="113"/>
      <c r="T456" s="113"/>
      <c r="U456" s="113"/>
      <c r="V456" s="113"/>
    </row>
    <row r="457" customFormat="false" ht="15" hidden="false" customHeight="true" outlineLevel="0" collapsed="false">
      <c r="H457" s="113"/>
      <c r="I457" s="113"/>
      <c r="J457" s="113"/>
      <c r="L457" s="113"/>
      <c r="M457" s="113"/>
      <c r="N457" s="113"/>
      <c r="P457" s="113"/>
      <c r="Q457" s="113"/>
      <c r="R457" s="113"/>
      <c r="T457" s="113"/>
      <c r="U457" s="113"/>
      <c r="V457" s="113"/>
    </row>
    <row r="458" customFormat="false" ht="15" hidden="false" customHeight="true" outlineLevel="0" collapsed="false">
      <c r="H458" s="113"/>
      <c r="I458" s="113"/>
      <c r="J458" s="113"/>
      <c r="L458" s="113"/>
      <c r="M458" s="113"/>
      <c r="N458" s="113"/>
      <c r="P458" s="113"/>
      <c r="Q458" s="113"/>
      <c r="R458" s="113"/>
      <c r="T458" s="113"/>
      <c r="U458" s="113"/>
      <c r="V458" s="113"/>
    </row>
    <row r="459" customFormat="false" ht="15" hidden="false" customHeight="true" outlineLevel="0" collapsed="false">
      <c r="H459" s="113"/>
      <c r="I459" s="113"/>
      <c r="J459" s="113"/>
      <c r="L459" s="113"/>
      <c r="M459" s="113"/>
      <c r="N459" s="113"/>
      <c r="P459" s="113"/>
      <c r="Q459" s="113"/>
      <c r="R459" s="113"/>
      <c r="T459" s="113"/>
      <c r="U459" s="113"/>
      <c r="V459" s="113"/>
    </row>
    <row r="460" customFormat="false" ht="15" hidden="false" customHeight="true" outlineLevel="0" collapsed="false">
      <c r="H460" s="113"/>
      <c r="I460" s="113"/>
      <c r="J460" s="113"/>
      <c r="L460" s="113"/>
      <c r="M460" s="113"/>
      <c r="N460" s="113"/>
      <c r="P460" s="113"/>
      <c r="Q460" s="113"/>
      <c r="R460" s="113"/>
      <c r="T460" s="113"/>
      <c r="U460" s="113"/>
      <c r="V460" s="113"/>
    </row>
    <row r="461" customFormat="false" ht="15" hidden="false" customHeight="true" outlineLevel="0" collapsed="false">
      <c r="H461" s="113"/>
      <c r="I461" s="113"/>
      <c r="J461" s="113"/>
      <c r="L461" s="113"/>
      <c r="M461" s="113"/>
      <c r="N461" s="113"/>
      <c r="P461" s="113"/>
      <c r="Q461" s="113"/>
      <c r="R461" s="113"/>
      <c r="T461" s="113"/>
      <c r="U461" s="113"/>
      <c r="V461" s="113"/>
    </row>
    <row r="462" customFormat="false" ht="15" hidden="false" customHeight="true" outlineLevel="0" collapsed="false">
      <c r="H462" s="113"/>
      <c r="I462" s="113"/>
      <c r="J462" s="113"/>
      <c r="L462" s="113"/>
      <c r="M462" s="113"/>
      <c r="N462" s="113"/>
      <c r="P462" s="113"/>
      <c r="Q462" s="113"/>
      <c r="R462" s="113"/>
      <c r="T462" s="113"/>
      <c r="U462" s="113"/>
      <c r="V462" s="113"/>
    </row>
    <row r="463" customFormat="false" ht="15" hidden="false" customHeight="true" outlineLevel="0" collapsed="false">
      <c r="H463" s="113"/>
      <c r="I463" s="113"/>
      <c r="J463" s="113"/>
      <c r="L463" s="113"/>
      <c r="M463" s="113"/>
      <c r="N463" s="113"/>
      <c r="P463" s="113"/>
      <c r="Q463" s="113"/>
      <c r="R463" s="113"/>
      <c r="T463" s="113"/>
      <c r="U463" s="113"/>
      <c r="V463" s="113"/>
    </row>
    <row r="464" customFormat="false" ht="15" hidden="false" customHeight="true" outlineLevel="0" collapsed="false">
      <c r="H464" s="113"/>
      <c r="I464" s="113"/>
      <c r="J464" s="113"/>
      <c r="L464" s="113"/>
      <c r="M464" s="113"/>
      <c r="N464" s="113"/>
      <c r="P464" s="113"/>
      <c r="Q464" s="113"/>
      <c r="R464" s="113"/>
      <c r="T464" s="113"/>
      <c r="U464" s="113"/>
      <c r="V464" s="113"/>
    </row>
    <row r="465" customFormat="false" ht="15" hidden="false" customHeight="true" outlineLevel="0" collapsed="false">
      <c r="H465" s="113"/>
      <c r="I465" s="113"/>
      <c r="J465" s="113"/>
      <c r="L465" s="113"/>
      <c r="M465" s="113"/>
      <c r="N465" s="113"/>
      <c r="P465" s="113"/>
      <c r="Q465" s="113"/>
      <c r="R465" s="113"/>
      <c r="T465" s="113"/>
      <c r="U465" s="113"/>
      <c r="V465" s="113"/>
    </row>
    <row r="466" customFormat="false" ht="15" hidden="false" customHeight="true" outlineLevel="0" collapsed="false">
      <c r="H466" s="113"/>
      <c r="I466" s="113"/>
      <c r="J466" s="113"/>
      <c r="L466" s="113"/>
      <c r="M466" s="113"/>
      <c r="N466" s="113"/>
      <c r="P466" s="113"/>
      <c r="Q466" s="113"/>
      <c r="R466" s="113"/>
      <c r="T466" s="113"/>
      <c r="U466" s="113"/>
      <c r="V466" s="113"/>
    </row>
    <row r="467" customFormat="false" ht="15" hidden="false" customHeight="true" outlineLevel="0" collapsed="false">
      <c r="H467" s="113"/>
      <c r="I467" s="113"/>
      <c r="J467" s="113"/>
      <c r="L467" s="113"/>
      <c r="M467" s="113"/>
      <c r="N467" s="113"/>
      <c r="P467" s="113"/>
      <c r="Q467" s="113"/>
      <c r="R467" s="113"/>
      <c r="T467" s="113"/>
      <c r="U467" s="113"/>
      <c r="V467" s="113"/>
    </row>
    <row r="468" customFormat="false" ht="15" hidden="false" customHeight="true" outlineLevel="0" collapsed="false">
      <c r="H468" s="113"/>
      <c r="I468" s="113"/>
      <c r="J468" s="113"/>
      <c r="L468" s="113"/>
      <c r="M468" s="113"/>
      <c r="N468" s="113"/>
      <c r="P468" s="113"/>
      <c r="Q468" s="113"/>
      <c r="R468" s="113"/>
      <c r="T468" s="113"/>
      <c r="U468" s="113"/>
      <c r="V468" s="113"/>
    </row>
    <row r="469" customFormat="false" ht="15" hidden="false" customHeight="true" outlineLevel="0" collapsed="false">
      <c r="H469" s="113"/>
      <c r="I469" s="113"/>
      <c r="J469" s="113"/>
      <c r="L469" s="113"/>
      <c r="M469" s="113"/>
      <c r="N469" s="113"/>
      <c r="P469" s="113"/>
      <c r="Q469" s="113"/>
      <c r="R469" s="113"/>
      <c r="T469" s="113"/>
      <c r="U469" s="113"/>
      <c r="V469" s="113"/>
    </row>
    <row r="470" customFormat="false" ht="15" hidden="false" customHeight="true" outlineLevel="0" collapsed="false">
      <c r="H470" s="113"/>
      <c r="I470" s="113"/>
      <c r="J470" s="113"/>
      <c r="L470" s="113"/>
      <c r="M470" s="113"/>
      <c r="N470" s="113"/>
      <c r="P470" s="113"/>
      <c r="Q470" s="113"/>
      <c r="R470" s="113"/>
      <c r="T470" s="113"/>
      <c r="U470" s="113"/>
      <c r="V470" s="113"/>
    </row>
    <row r="471" customFormat="false" ht="15" hidden="false" customHeight="true" outlineLevel="0" collapsed="false">
      <c r="H471" s="113"/>
      <c r="I471" s="113"/>
      <c r="J471" s="113"/>
      <c r="L471" s="113"/>
      <c r="M471" s="113"/>
      <c r="N471" s="113"/>
      <c r="P471" s="113"/>
      <c r="Q471" s="113"/>
      <c r="R471" s="113"/>
      <c r="T471" s="113"/>
      <c r="U471" s="113"/>
      <c r="V471" s="113"/>
    </row>
    <row r="472" customFormat="false" ht="15" hidden="false" customHeight="true" outlineLevel="0" collapsed="false">
      <c r="H472" s="113"/>
      <c r="I472" s="113"/>
      <c r="J472" s="113"/>
      <c r="L472" s="113"/>
      <c r="M472" s="113"/>
      <c r="N472" s="113"/>
      <c r="P472" s="113"/>
      <c r="Q472" s="113"/>
      <c r="R472" s="113"/>
      <c r="T472" s="113"/>
      <c r="U472" s="113"/>
      <c r="V472" s="113"/>
    </row>
    <row r="473" customFormat="false" ht="15" hidden="false" customHeight="true" outlineLevel="0" collapsed="false">
      <c r="H473" s="113"/>
      <c r="I473" s="113"/>
      <c r="J473" s="113"/>
      <c r="L473" s="113"/>
      <c r="M473" s="113"/>
      <c r="N473" s="113"/>
      <c r="P473" s="113"/>
      <c r="Q473" s="113"/>
      <c r="R473" s="113"/>
      <c r="T473" s="113"/>
      <c r="U473" s="113"/>
      <c r="V473" s="113"/>
    </row>
    <row r="474" customFormat="false" ht="15" hidden="false" customHeight="true" outlineLevel="0" collapsed="false">
      <c r="H474" s="113"/>
      <c r="I474" s="113"/>
      <c r="J474" s="113"/>
      <c r="L474" s="113"/>
      <c r="M474" s="113"/>
      <c r="N474" s="113"/>
      <c r="P474" s="113"/>
      <c r="Q474" s="113"/>
      <c r="R474" s="113"/>
      <c r="T474" s="113"/>
      <c r="U474" s="113"/>
      <c r="V474" s="113"/>
    </row>
    <row r="475" customFormat="false" ht="15" hidden="false" customHeight="true" outlineLevel="0" collapsed="false">
      <c r="H475" s="113"/>
      <c r="I475" s="113"/>
      <c r="J475" s="113"/>
      <c r="L475" s="113"/>
      <c r="M475" s="113"/>
      <c r="N475" s="113"/>
      <c r="P475" s="113"/>
      <c r="Q475" s="113"/>
      <c r="R475" s="113"/>
      <c r="T475" s="113"/>
      <c r="U475" s="113"/>
      <c r="V475" s="113"/>
    </row>
    <row r="476" customFormat="false" ht="15" hidden="false" customHeight="true" outlineLevel="0" collapsed="false">
      <c r="H476" s="113"/>
      <c r="I476" s="113"/>
      <c r="J476" s="113"/>
      <c r="L476" s="113"/>
      <c r="M476" s="113"/>
      <c r="N476" s="113"/>
      <c r="P476" s="113"/>
      <c r="Q476" s="113"/>
      <c r="R476" s="113"/>
      <c r="T476" s="113"/>
      <c r="U476" s="113"/>
      <c r="V476" s="113"/>
    </row>
    <row r="477" customFormat="false" ht="15" hidden="false" customHeight="true" outlineLevel="0" collapsed="false">
      <c r="H477" s="113"/>
      <c r="I477" s="113"/>
      <c r="J477" s="113"/>
      <c r="L477" s="113"/>
      <c r="M477" s="113"/>
      <c r="N477" s="113"/>
      <c r="P477" s="113"/>
      <c r="Q477" s="113"/>
      <c r="R477" s="113"/>
      <c r="T477" s="113"/>
      <c r="U477" s="113"/>
      <c r="V477" s="113"/>
    </row>
    <row r="478" customFormat="false" ht="15" hidden="false" customHeight="true" outlineLevel="0" collapsed="false">
      <c r="H478" s="113"/>
      <c r="I478" s="113"/>
      <c r="J478" s="113"/>
      <c r="L478" s="113"/>
      <c r="M478" s="113"/>
      <c r="N478" s="113"/>
      <c r="P478" s="113"/>
      <c r="Q478" s="113"/>
      <c r="R478" s="113"/>
      <c r="T478" s="113"/>
      <c r="U478" s="113"/>
      <c r="V478" s="113"/>
    </row>
    <row r="479" customFormat="false" ht="15" hidden="false" customHeight="true" outlineLevel="0" collapsed="false">
      <c r="H479" s="113"/>
      <c r="I479" s="113"/>
      <c r="J479" s="113"/>
      <c r="L479" s="113"/>
      <c r="M479" s="113"/>
      <c r="N479" s="113"/>
      <c r="P479" s="113"/>
      <c r="Q479" s="113"/>
      <c r="R479" s="113"/>
      <c r="T479" s="113"/>
      <c r="U479" s="113"/>
      <c r="V479" s="113"/>
    </row>
    <row r="480" customFormat="false" ht="15" hidden="false" customHeight="true" outlineLevel="0" collapsed="false">
      <c r="H480" s="113"/>
      <c r="I480" s="113"/>
      <c r="J480" s="113"/>
      <c r="L480" s="113"/>
      <c r="M480" s="113"/>
      <c r="N480" s="113"/>
      <c r="P480" s="113"/>
      <c r="Q480" s="113"/>
      <c r="R480" s="113"/>
      <c r="T480" s="113"/>
      <c r="U480" s="113"/>
      <c r="V480" s="113"/>
    </row>
    <row r="481" customFormat="false" ht="15" hidden="false" customHeight="true" outlineLevel="0" collapsed="false">
      <c r="H481" s="113"/>
      <c r="I481" s="113"/>
      <c r="J481" s="113"/>
      <c r="L481" s="113"/>
      <c r="M481" s="113"/>
      <c r="N481" s="113"/>
      <c r="P481" s="113"/>
      <c r="Q481" s="113"/>
      <c r="R481" s="113"/>
      <c r="T481" s="113"/>
      <c r="U481" s="113"/>
      <c r="V481" s="113"/>
    </row>
    <row r="482" customFormat="false" ht="15" hidden="false" customHeight="true" outlineLevel="0" collapsed="false">
      <c r="H482" s="113"/>
      <c r="I482" s="113"/>
      <c r="J482" s="113"/>
      <c r="L482" s="113"/>
      <c r="M482" s="113"/>
      <c r="N482" s="113"/>
      <c r="P482" s="113"/>
      <c r="Q482" s="113"/>
      <c r="R482" s="113"/>
      <c r="T482" s="113"/>
      <c r="U482" s="113"/>
      <c r="V482" s="113"/>
    </row>
    <row r="483" customFormat="false" ht="15" hidden="false" customHeight="true" outlineLevel="0" collapsed="false">
      <c r="H483" s="113"/>
      <c r="I483" s="113"/>
      <c r="J483" s="113"/>
      <c r="L483" s="113"/>
      <c r="M483" s="113"/>
      <c r="N483" s="113"/>
      <c r="P483" s="113"/>
      <c r="Q483" s="113"/>
      <c r="R483" s="113"/>
      <c r="T483" s="113"/>
      <c r="U483" s="113"/>
      <c r="V483" s="113"/>
    </row>
    <row r="484" customFormat="false" ht="15" hidden="false" customHeight="true" outlineLevel="0" collapsed="false">
      <c r="H484" s="113"/>
      <c r="I484" s="113"/>
      <c r="J484" s="113"/>
      <c r="L484" s="113"/>
      <c r="M484" s="113"/>
      <c r="N484" s="113"/>
      <c r="P484" s="113"/>
      <c r="Q484" s="113"/>
      <c r="R484" s="113"/>
      <c r="T484" s="113"/>
      <c r="U484" s="113"/>
      <c r="V484" s="113"/>
    </row>
    <row r="485" customFormat="false" ht="15" hidden="false" customHeight="true" outlineLevel="0" collapsed="false">
      <c r="H485" s="113"/>
      <c r="I485" s="113"/>
      <c r="J485" s="113"/>
      <c r="L485" s="113"/>
      <c r="M485" s="113"/>
      <c r="N485" s="113"/>
      <c r="P485" s="113"/>
      <c r="Q485" s="113"/>
      <c r="R485" s="113"/>
      <c r="T485" s="113"/>
      <c r="U485" s="113"/>
      <c r="V485" s="113"/>
    </row>
    <row r="486" customFormat="false" ht="15" hidden="false" customHeight="true" outlineLevel="0" collapsed="false">
      <c r="H486" s="113"/>
      <c r="I486" s="113"/>
      <c r="J486" s="113"/>
      <c r="L486" s="113"/>
      <c r="M486" s="113"/>
      <c r="N486" s="113"/>
      <c r="P486" s="113"/>
      <c r="Q486" s="113"/>
      <c r="R486" s="113"/>
      <c r="T486" s="113"/>
      <c r="U486" s="113"/>
      <c r="V486" s="113"/>
    </row>
    <row r="487" customFormat="false" ht="15" hidden="false" customHeight="true" outlineLevel="0" collapsed="false">
      <c r="H487" s="113"/>
      <c r="I487" s="113"/>
      <c r="J487" s="113"/>
      <c r="L487" s="113"/>
      <c r="M487" s="113"/>
      <c r="N487" s="113"/>
      <c r="P487" s="113"/>
      <c r="Q487" s="113"/>
      <c r="R487" s="113"/>
      <c r="T487" s="113"/>
      <c r="U487" s="113"/>
      <c r="V487" s="113"/>
    </row>
    <row r="488" customFormat="false" ht="15" hidden="false" customHeight="true" outlineLevel="0" collapsed="false">
      <c r="H488" s="113"/>
      <c r="I488" s="113"/>
      <c r="J488" s="113"/>
      <c r="L488" s="113"/>
      <c r="M488" s="113"/>
      <c r="N488" s="113"/>
      <c r="P488" s="113"/>
      <c r="Q488" s="113"/>
      <c r="R488" s="113"/>
      <c r="T488" s="113"/>
      <c r="U488" s="113"/>
      <c r="V488" s="113"/>
    </row>
    <row r="489" customFormat="false" ht="15" hidden="false" customHeight="true" outlineLevel="0" collapsed="false">
      <c r="H489" s="113"/>
      <c r="I489" s="113"/>
      <c r="J489" s="113"/>
      <c r="L489" s="113"/>
      <c r="M489" s="113"/>
      <c r="N489" s="113"/>
      <c r="P489" s="113"/>
      <c r="Q489" s="113"/>
      <c r="R489" s="113"/>
      <c r="T489" s="113"/>
      <c r="U489" s="113"/>
      <c r="V489" s="113"/>
    </row>
    <row r="490" customFormat="false" ht="15" hidden="false" customHeight="true" outlineLevel="0" collapsed="false">
      <c r="H490" s="113"/>
      <c r="I490" s="113"/>
      <c r="J490" s="113"/>
      <c r="L490" s="113"/>
      <c r="M490" s="113"/>
      <c r="N490" s="113"/>
      <c r="P490" s="113"/>
      <c r="Q490" s="113"/>
      <c r="R490" s="113"/>
      <c r="T490" s="113"/>
      <c r="U490" s="113"/>
      <c r="V490" s="113"/>
    </row>
    <row r="491" customFormat="false" ht="15" hidden="false" customHeight="true" outlineLevel="0" collapsed="false">
      <c r="H491" s="113"/>
      <c r="I491" s="113"/>
      <c r="J491" s="113"/>
      <c r="L491" s="113"/>
      <c r="M491" s="113"/>
      <c r="N491" s="113"/>
      <c r="P491" s="113"/>
      <c r="Q491" s="113"/>
      <c r="R491" s="113"/>
      <c r="T491" s="113"/>
      <c r="U491" s="113"/>
      <c r="V491" s="113"/>
    </row>
    <row r="492" customFormat="false" ht="15" hidden="false" customHeight="true" outlineLevel="0" collapsed="false">
      <c r="H492" s="113"/>
      <c r="I492" s="113"/>
      <c r="J492" s="113"/>
      <c r="L492" s="113"/>
      <c r="M492" s="113"/>
      <c r="N492" s="113"/>
      <c r="P492" s="113"/>
      <c r="Q492" s="113"/>
      <c r="R492" s="113"/>
      <c r="T492" s="113"/>
      <c r="U492" s="113"/>
      <c r="V492" s="113"/>
    </row>
    <row r="493" customFormat="false" ht="15" hidden="false" customHeight="true" outlineLevel="0" collapsed="false">
      <c r="H493" s="113"/>
      <c r="I493" s="113"/>
      <c r="J493" s="113"/>
      <c r="L493" s="113"/>
      <c r="M493" s="113"/>
      <c r="N493" s="113"/>
      <c r="P493" s="113"/>
      <c r="Q493" s="113"/>
      <c r="R493" s="113"/>
      <c r="T493" s="113"/>
      <c r="U493" s="113"/>
      <c r="V493" s="113"/>
    </row>
    <row r="494" customFormat="false" ht="15" hidden="false" customHeight="true" outlineLevel="0" collapsed="false">
      <c r="H494" s="113"/>
      <c r="I494" s="113"/>
      <c r="J494" s="113"/>
      <c r="L494" s="113"/>
      <c r="M494" s="113"/>
      <c r="N494" s="113"/>
      <c r="P494" s="113"/>
      <c r="Q494" s="113"/>
      <c r="R494" s="113"/>
      <c r="T494" s="113"/>
      <c r="U494" s="113"/>
      <c r="V494" s="113"/>
    </row>
    <row r="495" customFormat="false" ht="15" hidden="false" customHeight="true" outlineLevel="0" collapsed="false">
      <c r="H495" s="113"/>
      <c r="I495" s="113"/>
      <c r="J495" s="113"/>
      <c r="L495" s="113"/>
      <c r="M495" s="113"/>
      <c r="N495" s="113"/>
      <c r="P495" s="113"/>
      <c r="Q495" s="113"/>
      <c r="R495" s="113"/>
      <c r="T495" s="113"/>
      <c r="U495" s="113"/>
      <c r="V495" s="113"/>
    </row>
    <row r="496" customFormat="false" ht="15" hidden="false" customHeight="true" outlineLevel="0" collapsed="false">
      <c r="H496" s="113"/>
      <c r="I496" s="113"/>
      <c r="J496" s="113"/>
      <c r="L496" s="113"/>
      <c r="M496" s="113"/>
      <c r="N496" s="113"/>
      <c r="P496" s="113"/>
      <c r="Q496" s="113"/>
      <c r="R496" s="113"/>
      <c r="T496" s="113"/>
      <c r="U496" s="113"/>
      <c r="V496" s="113"/>
    </row>
    <row r="497" customFormat="false" ht="15" hidden="false" customHeight="true" outlineLevel="0" collapsed="false">
      <c r="H497" s="113"/>
      <c r="I497" s="113"/>
      <c r="J497" s="113"/>
      <c r="L497" s="113"/>
      <c r="M497" s="113"/>
      <c r="N497" s="113"/>
      <c r="P497" s="113"/>
      <c r="Q497" s="113"/>
      <c r="R497" s="113"/>
      <c r="T497" s="113"/>
      <c r="U497" s="113"/>
      <c r="V497" s="113"/>
    </row>
    <row r="498" customFormat="false" ht="15" hidden="false" customHeight="true" outlineLevel="0" collapsed="false">
      <c r="H498" s="113"/>
      <c r="I498" s="113"/>
      <c r="J498" s="113"/>
      <c r="L498" s="113"/>
      <c r="M498" s="113"/>
      <c r="N498" s="113"/>
      <c r="P498" s="113"/>
      <c r="Q498" s="113"/>
      <c r="R498" s="113"/>
      <c r="T498" s="113"/>
      <c r="U498" s="113"/>
      <c r="V498" s="113"/>
    </row>
    <row r="499" customFormat="false" ht="15" hidden="false" customHeight="true" outlineLevel="0" collapsed="false">
      <c r="H499" s="113"/>
      <c r="I499" s="113"/>
      <c r="J499" s="113"/>
      <c r="L499" s="113"/>
      <c r="M499" s="113"/>
      <c r="N499" s="113"/>
      <c r="P499" s="113"/>
      <c r="Q499" s="113"/>
      <c r="R499" s="113"/>
      <c r="T499" s="113"/>
      <c r="U499" s="113"/>
      <c r="V499" s="113"/>
    </row>
    <row r="500" customFormat="false" ht="15" hidden="false" customHeight="true" outlineLevel="0" collapsed="false">
      <c r="H500" s="113"/>
      <c r="I500" s="113"/>
      <c r="J500" s="113"/>
      <c r="L500" s="113"/>
      <c r="M500" s="113"/>
      <c r="N500" s="113"/>
      <c r="P500" s="113"/>
      <c r="Q500" s="113"/>
      <c r="R500" s="113"/>
      <c r="T500" s="113"/>
      <c r="U500" s="113"/>
      <c r="V500" s="113"/>
    </row>
    <row r="501" customFormat="false" ht="15" hidden="false" customHeight="true" outlineLevel="0" collapsed="false">
      <c r="H501" s="113"/>
      <c r="I501" s="113"/>
      <c r="J501" s="113"/>
      <c r="L501" s="113"/>
      <c r="M501" s="113"/>
      <c r="N501" s="113"/>
      <c r="P501" s="113"/>
      <c r="Q501" s="113"/>
      <c r="R501" s="113"/>
      <c r="T501" s="113"/>
      <c r="U501" s="113"/>
      <c r="V501" s="113"/>
    </row>
    <row r="502" customFormat="false" ht="15" hidden="false" customHeight="true" outlineLevel="0" collapsed="false">
      <c r="H502" s="113"/>
      <c r="I502" s="113"/>
      <c r="J502" s="113"/>
      <c r="L502" s="113"/>
      <c r="M502" s="113"/>
      <c r="N502" s="113"/>
      <c r="P502" s="113"/>
      <c r="Q502" s="113"/>
      <c r="R502" s="113"/>
      <c r="T502" s="113"/>
      <c r="U502" s="113"/>
      <c r="V502" s="113"/>
    </row>
    <row r="503" customFormat="false" ht="15" hidden="false" customHeight="true" outlineLevel="0" collapsed="false">
      <c r="H503" s="113"/>
      <c r="I503" s="113"/>
      <c r="J503" s="113"/>
      <c r="L503" s="113"/>
      <c r="M503" s="113"/>
      <c r="N503" s="113"/>
      <c r="P503" s="113"/>
      <c r="Q503" s="113"/>
      <c r="R503" s="113"/>
      <c r="T503" s="113"/>
      <c r="U503" s="113"/>
      <c r="V503" s="113"/>
    </row>
    <row r="504" customFormat="false" ht="15" hidden="false" customHeight="true" outlineLevel="0" collapsed="false">
      <c r="H504" s="113"/>
      <c r="I504" s="113"/>
      <c r="J504" s="113"/>
      <c r="L504" s="113"/>
      <c r="M504" s="113"/>
      <c r="N504" s="113"/>
      <c r="P504" s="113"/>
      <c r="Q504" s="113"/>
      <c r="R504" s="113"/>
      <c r="T504" s="113"/>
      <c r="U504" s="113"/>
      <c r="V504" s="113"/>
    </row>
    <row r="505" customFormat="false" ht="15" hidden="false" customHeight="true" outlineLevel="0" collapsed="false">
      <c r="H505" s="113"/>
      <c r="I505" s="113"/>
      <c r="J505" s="113"/>
      <c r="L505" s="113"/>
      <c r="M505" s="113"/>
      <c r="N505" s="113"/>
      <c r="P505" s="113"/>
      <c r="Q505" s="113"/>
      <c r="R505" s="113"/>
      <c r="T505" s="113"/>
      <c r="U505" s="113"/>
      <c r="V505" s="113"/>
    </row>
    <row r="506" customFormat="false" ht="15" hidden="false" customHeight="true" outlineLevel="0" collapsed="false">
      <c r="H506" s="113"/>
      <c r="I506" s="113"/>
      <c r="J506" s="113"/>
      <c r="L506" s="113"/>
      <c r="M506" s="113"/>
      <c r="N506" s="113"/>
      <c r="P506" s="113"/>
      <c r="Q506" s="113"/>
      <c r="R506" s="113"/>
      <c r="T506" s="113"/>
      <c r="U506" s="113"/>
      <c r="V506" s="113"/>
    </row>
    <row r="507" customFormat="false" ht="15" hidden="false" customHeight="true" outlineLevel="0" collapsed="false">
      <c r="H507" s="113"/>
      <c r="I507" s="113"/>
      <c r="J507" s="113"/>
      <c r="L507" s="113"/>
      <c r="M507" s="113"/>
      <c r="N507" s="113"/>
      <c r="P507" s="113"/>
      <c r="Q507" s="113"/>
      <c r="R507" s="113"/>
      <c r="T507" s="113"/>
      <c r="U507" s="113"/>
      <c r="V507" s="113"/>
    </row>
    <row r="508" customFormat="false" ht="15" hidden="false" customHeight="true" outlineLevel="0" collapsed="false">
      <c r="H508" s="113"/>
      <c r="I508" s="113"/>
      <c r="J508" s="113"/>
      <c r="L508" s="113"/>
      <c r="M508" s="113"/>
      <c r="N508" s="113"/>
      <c r="P508" s="113"/>
      <c r="Q508" s="113"/>
      <c r="R508" s="113"/>
      <c r="T508" s="113"/>
      <c r="U508" s="113"/>
      <c r="V508" s="113"/>
    </row>
    <row r="509" customFormat="false" ht="15" hidden="false" customHeight="true" outlineLevel="0" collapsed="false">
      <c r="H509" s="113"/>
      <c r="I509" s="113"/>
      <c r="J509" s="113"/>
      <c r="L509" s="113"/>
      <c r="M509" s="113"/>
      <c r="N509" s="113"/>
      <c r="P509" s="113"/>
      <c r="Q509" s="113"/>
      <c r="R509" s="113"/>
      <c r="T509" s="113"/>
      <c r="U509" s="113"/>
      <c r="V509" s="113"/>
    </row>
    <row r="510" customFormat="false" ht="15" hidden="false" customHeight="true" outlineLevel="0" collapsed="false">
      <c r="H510" s="113"/>
      <c r="I510" s="113"/>
      <c r="J510" s="113"/>
      <c r="L510" s="113"/>
      <c r="M510" s="113"/>
      <c r="N510" s="113"/>
      <c r="P510" s="113"/>
      <c r="Q510" s="113"/>
      <c r="R510" s="113"/>
      <c r="T510" s="113"/>
      <c r="U510" s="113"/>
      <c r="V510" s="113"/>
    </row>
    <row r="511" customFormat="false" ht="15" hidden="false" customHeight="true" outlineLevel="0" collapsed="false">
      <c r="H511" s="113"/>
      <c r="I511" s="113"/>
      <c r="J511" s="113"/>
      <c r="L511" s="113"/>
      <c r="M511" s="113"/>
      <c r="N511" s="113"/>
      <c r="P511" s="113"/>
      <c r="Q511" s="113"/>
      <c r="R511" s="113"/>
      <c r="T511" s="113"/>
      <c r="U511" s="113"/>
      <c r="V511" s="113"/>
    </row>
    <row r="512" customFormat="false" ht="15" hidden="false" customHeight="true" outlineLevel="0" collapsed="false">
      <c r="H512" s="113"/>
      <c r="I512" s="113"/>
      <c r="J512" s="113"/>
      <c r="L512" s="113"/>
      <c r="M512" s="113"/>
      <c r="N512" s="113"/>
      <c r="P512" s="113"/>
      <c r="Q512" s="113"/>
      <c r="R512" s="113"/>
      <c r="T512" s="113"/>
      <c r="U512" s="113"/>
      <c r="V512" s="113"/>
    </row>
    <row r="513" customFormat="false" ht="15" hidden="false" customHeight="true" outlineLevel="0" collapsed="false">
      <c r="H513" s="113"/>
      <c r="I513" s="113"/>
      <c r="J513" s="113"/>
      <c r="L513" s="113"/>
      <c r="M513" s="113"/>
      <c r="N513" s="113"/>
      <c r="P513" s="113"/>
      <c r="Q513" s="113"/>
      <c r="R513" s="113"/>
      <c r="T513" s="113"/>
      <c r="U513" s="113"/>
      <c r="V513" s="113"/>
    </row>
    <row r="514" customFormat="false" ht="15" hidden="false" customHeight="true" outlineLevel="0" collapsed="false">
      <c r="H514" s="113"/>
      <c r="I514" s="113"/>
      <c r="J514" s="113"/>
      <c r="L514" s="113"/>
      <c r="M514" s="113"/>
      <c r="N514" s="113"/>
      <c r="P514" s="113"/>
      <c r="Q514" s="113"/>
      <c r="R514" s="113"/>
      <c r="T514" s="113"/>
      <c r="U514" s="113"/>
      <c r="V514" s="113"/>
    </row>
    <row r="515" customFormat="false" ht="15" hidden="false" customHeight="true" outlineLevel="0" collapsed="false">
      <c r="H515" s="113"/>
      <c r="I515" s="113"/>
      <c r="J515" s="113"/>
      <c r="L515" s="113"/>
      <c r="M515" s="113"/>
      <c r="N515" s="113"/>
      <c r="P515" s="113"/>
      <c r="Q515" s="113"/>
      <c r="R515" s="113"/>
      <c r="T515" s="113"/>
      <c r="U515" s="113"/>
      <c r="V515" s="113"/>
    </row>
    <row r="516" customFormat="false" ht="15" hidden="false" customHeight="true" outlineLevel="0" collapsed="false">
      <c r="H516" s="113"/>
      <c r="I516" s="113"/>
      <c r="J516" s="113"/>
      <c r="L516" s="113"/>
      <c r="M516" s="113"/>
      <c r="N516" s="113"/>
      <c r="P516" s="113"/>
      <c r="Q516" s="113"/>
      <c r="R516" s="113"/>
      <c r="T516" s="113"/>
      <c r="U516" s="113"/>
      <c r="V516" s="113"/>
    </row>
    <row r="517" customFormat="false" ht="15" hidden="false" customHeight="true" outlineLevel="0" collapsed="false">
      <c r="H517" s="113"/>
      <c r="I517" s="113"/>
      <c r="J517" s="113"/>
      <c r="L517" s="113"/>
      <c r="M517" s="113"/>
      <c r="N517" s="113"/>
      <c r="P517" s="113"/>
      <c r="Q517" s="113"/>
      <c r="R517" s="113"/>
      <c r="T517" s="113"/>
      <c r="U517" s="113"/>
      <c r="V517" s="113"/>
    </row>
    <row r="518" customFormat="false" ht="15" hidden="false" customHeight="true" outlineLevel="0" collapsed="false">
      <c r="H518" s="113"/>
      <c r="I518" s="113"/>
      <c r="J518" s="113"/>
      <c r="L518" s="113"/>
      <c r="M518" s="113"/>
      <c r="N518" s="113"/>
      <c r="P518" s="113"/>
      <c r="Q518" s="113"/>
      <c r="R518" s="113"/>
      <c r="T518" s="113"/>
      <c r="U518" s="113"/>
      <c r="V518" s="113"/>
    </row>
    <row r="519" customFormat="false" ht="15" hidden="false" customHeight="true" outlineLevel="0" collapsed="false">
      <c r="H519" s="113"/>
      <c r="I519" s="113"/>
      <c r="J519" s="113"/>
      <c r="L519" s="113"/>
      <c r="M519" s="113"/>
      <c r="N519" s="113"/>
      <c r="P519" s="113"/>
      <c r="Q519" s="113"/>
      <c r="R519" s="113"/>
      <c r="T519" s="113"/>
      <c r="U519" s="113"/>
      <c r="V519" s="113"/>
    </row>
    <row r="520" customFormat="false" ht="15" hidden="false" customHeight="true" outlineLevel="0" collapsed="false">
      <c r="H520" s="113"/>
      <c r="I520" s="113"/>
      <c r="J520" s="113"/>
      <c r="L520" s="113"/>
      <c r="M520" s="113"/>
      <c r="N520" s="113"/>
      <c r="P520" s="113"/>
      <c r="Q520" s="113"/>
      <c r="R520" s="113"/>
      <c r="T520" s="113"/>
      <c r="U520" s="113"/>
      <c r="V520" s="113"/>
    </row>
    <row r="521" customFormat="false" ht="15" hidden="false" customHeight="true" outlineLevel="0" collapsed="false">
      <c r="H521" s="113"/>
      <c r="I521" s="113"/>
      <c r="J521" s="113"/>
      <c r="L521" s="113"/>
      <c r="M521" s="113"/>
      <c r="N521" s="113"/>
      <c r="P521" s="113"/>
      <c r="Q521" s="113"/>
      <c r="R521" s="113"/>
      <c r="T521" s="113"/>
      <c r="U521" s="113"/>
      <c r="V521" s="113"/>
    </row>
    <row r="522" customFormat="false" ht="15" hidden="false" customHeight="true" outlineLevel="0" collapsed="false">
      <c r="H522" s="113"/>
      <c r="I522" s="113"/>
      <c r="J522" s="113"/>
      <c r="L522" s="113"/>
      <c r="M522" s="113"/>
      <c r="N522" s="113"/>
      <c r="P522" s="113"/>
      <c r="Q522" s="113"/>
      <c r="R522" s="113"/>
      <c r="T522" s="113"/>
      <c r="U522" s="113"/>
      <c r="V522" s="113"/>
    </row>
    <row r="523" customFormat="false" ht="15" hidden="false" customHeight="true" outlineLevel="0" collapsed="false">
      <c r="H523" s="113"/>
      <c r="I523" s="113"/>
      <c r="J523" s="113"/>
      <c r="L523" s="113"/>
      <c r="M523" s="113"/>
      <c r="N523" s="113"/>
      <c r="P523" s="113"/>
      <c r="Q523" s="113"/>
      <c r="R523" s="113"/>
      <c r="T523" s="113"/>
      <c r="U523" s="113"/>
      <c r="V523" s="113"/>
    </row>
    <row r="524" customFormat="false" ht="15" hidden="false" customHeight="true" outlineLevel="0" collapsed="false">
      <c r="H524" s="113"/>
      <c r="I524" s="113"/>
      <c r="J524" s="113"/>
      <c r="L524" s="113"/>
      <c r="M524" s="113"/>
      <c r="N524" s="113"/>
      <c r="P524" s="113"/>
      <c r="Q524" s="113"/>
      <c r="R524" s="113"/>
      <c r="T524" s="113"/>
      <c r="U524" s="113"/>
      <c r="V524" s="113"/>
    </row>
    <row r="525" customFormat="false" ht="15" hidden="false" customHeight="true" outlineLevel="0" collapsed="false">
      <c r="H525" s="113"/>
      <c r="I525" s="113"/>
      <c r="J525" s="113"/>
      <c r="L525" s="113"/>
      <c r="M525" s="113"/>
      <c r="N525" s="113"/>
      <c r="P525" s="113"/>
      <c r="Q525" s="113"/>
      <c r="R525" s="113"/>
      <c r="T525" s="113"/>
      <c r="U525" s="113"/>
      <c r="V525" s="113"/>
    </row>
    <row r="526" customFormat="false" ht="15" hidden="false" customHeight="true" outlineLevel="0" collapsed="false">
      <c r="H526" s="113"/>
      <c r="I526" s="113"/>
      <c r="J526" s="113"/>
      <c r="L526" s="113"/>
      <c r="M526" s="113"/>
      <c r="N526" s="113"/>
      <c r="P526" s="113"/>
      <c r="Q526" s="113"/>
      <c r="R526" s="113"/>
      <c r="T526" s="113"/>
      <c r="U526" s="113"/>
      <c r="V526" s="113"/>
    </row>
    <row r="527" customFormat="false" ht="15" hidden="false" customHeight="true" outlineLevel="0" collapsed="false">
      <c r="H527" s="113"/>
      <c r="I527" s="113"/>
      <c r="J527" s="113"/>
      <c r="L527" s="113"/>
      <c r="M527" s="113"/>
      <c r="N527" s="113"/>
      <c r="P527" s="113"/>
      <c r="Q527" s="113"/>
      <c r="R527" s="113"/>
      <c r="T527" s="113"/>
      <c r="U527" s="113"/>
      <c r="V527" s="113"/>
    </row>
    <row r="528" customFormat="false" ht="15" hidden="false" customHeight="true" outlineLevel="0" collapsed="false">
      <c r="H528" s="113"/>
      <c r="I528" s="113"/>
      <c r="J528" s="113"/>
      <c r="L528" s="113"/>
      <c r="M528" s="113"/>
      <c r="N528" s="113"/>
      <c r="P528" s="113"/>
      <c r="Q528" s="113"/>
      <c r="R528" s="113"/>
      <c r="T528" s="113"/>
      <c r="U528" s="113"/>
      <c r="V528" s="113"/>
    </row>
    <row r="529" customFormat="false" ht="15" hidden="false" customHeight="true" outlineLevel="0" collapsed="false">
      <c r="H529" s="113"/>
      <c r="I529" s="113"/>
      <c r="J529" s="113"/>
      <c r="L529" s="113"/>
      <c r="M529" s="113"/>
      <c r="N529" s="113"/>
      <c r="P529" s="113"/>
      <c r="Q529" s="113"/>
      <c r="R529" s="113"/>
      <c r="T529" s="113"/>
      <c r="U529" s="113"/>
      <c r="V529" s="113"/>
    </row>
    <row r="530" customFormat="false" ht="15" hidden="false" customHeight="true" outlineLevel="0" collapsed="false">
      <c r="H530" s="113"/>
      <c r="I530" s="113"/>
      <c r="J530" s="113"/>
      <c r="L530" s="113"/>
      <c r="M530" s="113"/>
      <c r="N530" s="113"/>
      <c r="P530" s="113"/>
      <c r="Q530" s="113"/>
      <c r="R530" s="113"/>
      <c r="T530" s="113"/>
      <c r="U530" s="113"/>
      <c r="V530" s="113"/>
    </row>
    <row r="531" customFormat="false" ht="15" hidden="false" customHeight="true" outlineLevel="0" collapsed="false">
      <c r="H531" s="113"/>
      <c r="I531" s="113"/>
      <c r="J531" s="113"/>
      <c r="L531" s="113"/>
      <c r="M531" s="113"/>
      <c r="N531" s="113"/>
      <c r="P531" s="113"/>
      <c r="Q531" s="113"/>
      <c r="R531" s="113"/>
      <c r="T531" s="113"/>
      <c r="U531" s="113"/>
      <c r="V531" s="113"/>
    </row>
    <row r="532" customFormat="false" ht="15" hidden="false" customHeight="true" outlineLevel="0" collapsed="false">
      <c r="H532" s="113"/>
      <c r="I532" s="113"/>
      <c r="J532" s="113"/>
      <c r="L532" s="113"/>
      <c r="M532" s="113"/>
      <c r="N532" s="113"/>
      <c r="P532" s="113"/>
      <c r="Q532" s="113"/>
      <c r="R532" s="113"/>
      <c r="T532" s="113"/>
      <c r="U532" s="113"/>
      <c r="V532" s="113"/>
    </row>
    <row r="533" customFormat="false" ht="15" hidden="false" customHeight="true" outlineLevel="0" collapsed="false">
      <c r="H533" s="113"/>
      <c r="I533" s="113"/>
      <c r="J533" s="113"/>
      <c r="L533" s="113"/>
      <c r="M533" s="113"/>
      <c r="N533" s="113"/>
      <c r="P533" s="113"/>
      <c r="Q533" s="113"/>
      <c r="R533" s="113"/>
      <c r="T533" s="113"/>
      <c r="U533" s="113"/>
      <c r="V533" s="113"/>
    </row>
    <row r="534" customFormat="false" ht="15" hidden="false" customHeight="true" outlineLevel="0" collapsed="false">
      <c r="H534" s="113"/>
      <c r="I534" s="113"/>
      <c r="J534" s="113"/>
      <c r="L534" s="113"/>
      <c r="M534" s="113"/>
      <c r="N534" s="113"/>
      <c r="P534" s="113"/>
      <c r="Q534" s="113"/>
      <c r="R534" s="113"/>
      <c r="T534" s="113"/>
      <c r="U534" s="113"/>
      <c r="V534" s="113"/>
    </row>
    <row r="535" customFormat="false" ht="15" hidden="false" customHeight="true" outlineLevel="0" collapsed="false">
      <c r="H535" s="113"/>
      <c r="I535" s="113"/>
      <c r="J535" s="113"/>
      <c r="L535" s="113"/>
      <c r="M535" s="113"/>
      <c r="N535" s="113"/>
      <c r="P535" s="113"/>
      <c r="Q535" s="113"/>
      <c r="R535" s="113"/>
      <c r="T535" s="113"/>
      <c r="U535" s="113"/>
      <c r="V535" s="113"/>
    </row>
    <row r="536" customFormat="false" ht="15" hidden="false" customHeight="true" outlineLevel="0" collapsed="false">
      <c r="H536" s="113"/>
      <c r="I536" s="113"/>
      <c r="J536" s="113"/>
      <c r="L536" s="113"/>
      <c r="M536" s="113"/>
      <c r="N536" s="113"/>
      <c r="P536" s="113"/>
      <c r="Q536" s="113"/>
      <c r="R536" s="113"/>
      <c r="T536" s="113"/>
      <c r="U536" s="113"/>
      <c r="V536" s="113"/>
    </row>
    <row r="537" customFormat="false" ht="15" hidden="false" customHeight="true" outlineLevel="0" collapsed="false">
      <c r="H537" s="113"/>
      <c r="I537" s="113"/>
      <c r="J537" s="113"/>
      <c r="L537" s="113"/>
      <c r="M537" s="113"/>
      <c r="N537" s="113"/>
      <c r="P537" s="113"/>
      <c r="Q537" s="113"/>
      <c r="R537" s="113"/>
      <c r="T537" s="113"/>
      <c r="U537" s="113"/>
      <c r="V537" s="113"/>
    </row>
    <row r="538" customFormat="false" ht="15" hidden="false" customHeight="true" outlineLevel="0" collapsed="false">
      <c r="H538" s="113"/>
      <c r="I538" s="113"/>
      <c r="J538" s="113"/>
      <c r="L538" s="113"/>
      <c r="M538" s="113"/>
      <c r="N538" s="113"/>
      <c r="P538" s="113"/>
      <c r="Q538" s="113"/>
      <c r="R538" s="113"/>
      <c r="T538" s="113"/>
      <c r="U538" s="113"/>
      <c r="V538" s="113"/>
    </row>
    <row r="539" customFormat="false" ht="15" hidden="false" customHeight="true" outlineLevel="0" collapsed="false">
      <c r="H539" s="113"/>
      <c r="I539" s="113"/>
      <c r="J539" s="113"/>
      <c r="L539" s="113"/>
      <c r="M539" s="113"/>
      <c r="N539" s="113"/>
      <c r="P539" s="113"/>
      <c r="Q539" s="113"/>
      <c r="R539" s="113"/>
      <c r="T539" s="113"/>
      <c r="U539" s="113"/>
      <c r="V539" s="113"/>
    </row>
    <row r="540" customFormat="false" ht="15" hidden="false" customHeight="true" outlineLevel="0" collapsed="false">
      <c r="H540" s="113"/>
      <c r="I540" s="113"/>
      <c r="J540" s="113"/>
      <c r="L540" s="113"/>
      <c r="M540" s="113"/>
      <c r="N540" s="113"/>
      <c r="P540" s="113"/>
      <c r="Q540" s="113"/>
      <c r="R540" s="113"/>
      <c r="T540" s="113"/>
      <c r="U540" s="113"/>
      <c r="V540" s="113"/>
    </row>
    <row r="541" customFormat="false" ht="15" hidden="false" customHeight="true" outlineLevel="0" collapsed="false">
      <c r="H541" s="113"/>
      <c r="I541" s="113"/>
      <c r="J541" s="113"/>
      <c r="L541" s="113"/>
      <c r="M541" s="113"/>
      <c r="N541" s="113"/>
      <c r="P541" s="113"/>
      <c r="Q541" s="113"/>
      <c r="R541" s="113"/>
      <c r="T541" s="113"/>
      <c r="U541" s="113"/>
      <c r="V541" s="113"/>
    </row>
    <row r="542" customFormat="false" ht="15" hidden="false" customHeight="true" outlineLevel="0" collapsed="false">
      <c r="H542" s="113"/>
      <c r="I542" s="113"/>
      <c r="J542" s="113"/>
      <c r="L542" s="113"/>
      <c r="M542" s="113"/>
      <c r="N542" s="113"/>
      <c r="P542" s="113"/>
      <c r="Q542" s="113"/>
      <c r="R542" s="113"/>
      <c r="T542" s="113"/>
      <c r="U542" s="113"/>
      <c r="V542" s="113"/>
    </row>
    <row r="543" customFormat="false" ht="15" hidden="false" customHeight="true" outlineLevel="0" collapsed="false">
      <c r="H543" s="113"/>
      <c r="I543" s="113"/>
      <c r="J543" s="113"/>
      <c r="L543" s="113"/>
      <c r="M543" s="113"/>
      <c r="N543" s="113"/>
      <c r="P543" s="113"/>
      <c r="Q543" s="113"/>
      <c r="R543" s="113"/>
      <c r="T543" s="113"/>
      <c r="U543" s="113"/>
      <c r="V543" s="113"/>
    </row>
    <row r="544" customFormat="false" ht="15" hidden="false" customHeight="true" outlineLevel="0" collapsed="false">
      <c r="H544" s="113"/>
      <c r="I544" s="113"/>
      <c r="J544" s="113"/>
      <c r="L544" s="113"/>
      <c r="M544" s="113"/>
      <c r="N544" s="113"/>
      <c r="P544" s="113"/>
      <c r="Q544" s="113"/>
      <c r="R544" s="113"/>
      <c r="T544" s="113"/>
      <c r="U544" s="113"/>
      <c r="V544" s="113"/>
    </row>
    <row r="545" customFormat="false" ht="15" hidden="false" customHeight="true" outlineLevel="0" collapsed="false">
      <c r="H545" s="113"/>
      <c r="I545" s="113"/>
      <c r="J545" s="113"/>
      <c r="L545" s="113"/>
      <c r="M545" s="113"/>
      <c r="N545" s="113"/>
      <c r="P545" s="113"/>
      <c r="Q545" s="113"/>
      <c r="R545" s="113"/>
      <c r="T545" s="113"/>
      <c r="U545" s="113"/>
      <c r="V545" s="113"/>
    </row>
    <row r="546" customFormat="false" ht="15" hidden="false" customHeight="true" outlineLevel="0" collapsed="false">
      <c r="H546" s="113"/>
      <c r="I546" s="113"/>
      <c r="J546" s="113"/>
      <c r="L546" s="113"/>
      <c r="M546" s="113"/>
      <c r="N546" s="113"/>
      <c r="P546" s="113"/>
      <c r="Q546" s="113"/>
      <c r="R546" s="113"/>
      <c r="T546" s="113"/>
      <c r="U546" s="113"/>
      <c r="V546" s="113"/>
    </row>
    <row r="547" customFormat="false" ht="15" hidden="false" customHeight="true" outlineLevel="0" collapsed="false">
      <c r="H547" s="113"/>
      <c r="I547" s="113"/>
      <c r="J547" s="113"/>
      <c r="L547" s="113"/>
      <c r="M547" s="113"/>
      <c r="N547" s="113"/>
      <c r="P547" s="113"/>
      <c r="Q547" s="113"/>
      <c r="R547" s="113"/>
      <c r="T547" s="113"/>
      <c r="U547" s="113"/>
      <c r="V547" s="113"/>
    </row>
    <row r="548" customFormat="false" ht="15" hidden="false" customHeight="true" outlineLevel="0" collapsed="false">
      <c r="H548" s="113"/>
      <c r="I548" s="113"/>
      <c r="J548" s="113"/>
      <c r="L548" s="113"/>
      <c r="M548" s="113"/>
      <c r="N548" s="113"/>
      <c r="P548" s="113"/>
      <c r="Q548" s="113"/>
      <c r="R548" s="113"/>
      <c r="T548" s="113"/>
      <c r="U548" s="113"/>
      <c r="V548" s="113"/>
    </row>
    <row r="549" customFormat="false" ht="15" hidden="false" customHeight="true" outlineLevel="0" collapsed="false">
      <c r="H549" s="113"/>
      <c r="I549" s="113"/>
      <c r="J549" s="113"/>
      <c r="L549" s="113"/>
      <c r="M549" s="113"/>
      <c r="N549" s="113"/>
      <c r="P549" s="113"/>
      <c r="Q549" s="113"/>
      <c r="R549" s="113"/>
      <c r="T549" s="113"/>
      <c r="U549" s="113"/>
      <c r="V549" s="113"/>
    </row>
    <row r="550" customFormat="false" ht="15" hidden="false" customHeight="true" outlineLevel="0" collapsed="false">
      <c r="H550" s="113"/>
      <c r="I550" s="113"/>
      <c r="J550" s="113"/>
      <c r="L550" s="113"/>
      <c r="M550" s="113"/>
      <c r="N550" s="113"/>
      <c r="P550" s="113"/>
      <c r="Q550" s="113"/>
      <c r="R550" s="113"/>
      <c r="T550" s="113"/>
      <c r="U550" s="113"/>
      <c r="V550" s="113"/>
    </row>
    <row r="551" customFormat="false" ht="15" hidden="false" customHeight="true" outlineLevel="0" collapsed="false">
      <c r="H551" s="113"/>
      <c r="I551" s="113"/>
      <c r="J551" s="113"/>
      <c r="L551" s="113"/>
      <c r="M551" s="113"/>
      <c r="N551" s="113"/>
      <c r="P551" s="113"/>
      <c r="Q551" s="113"/>
      <c r="R551" s="113"/>
      <c r="T551" s="113"/>
      <c r="U551" s="113"/>
      <c r="V551" s="113"/>
    </row>
    <row r="552" customFormat="false" ht="15" hidden="false" customHeight="true" outlineLevel="0" collapsed="false">
      <c r="H552" s="113"/>
      <c r="I552" s="113"/>
      <c r="J552" s="113"/>
      <c r="L552" s="113"/>
      <c r="M552" s="113"/>
      <c r="N552" s="113"/>
      <c r="P552" s="113"/>
      <c r="Q552" s="113"/>
      <c r="R552" s="113"/>
      <c r="T552" s="113"/>
      <c r="U552" s="113"/>
      <c r="V552" s="113"/>
    </row>
    <row r="553" customFormat="false" ht="15" hidden="false" customHeight="true" outlineLevel="0" collapsed="false">
      <c r="H553" s="113"/>
      <c r="I553" s="113"/>
      <c r="J553" s="113"/>
      <c r="L553" s="113"/>
      <c r="M553" s="113"/>
      <c r="N553" s="113"/>
      <c r="P553" s="113"/>
      <c r="Q553" s="113"/>
      <c r="R553" s="113"/>
      <c r="T553" s="113"/>
      <c r="U553" s="113"/>
      <c r="V553" s="113"/>
    </row>
    <row r="554" customFormat="false" ht="15" hidden="false" customHeight="true" outlineLevel="0" collapsed="false">
      <c r="H554" s="113"/>
      <c r="I554" s="113"/>
      <c r="J554" s="113"/>
      <c r="L554" s="113"/>
      <c r="M554" s="113"/>
      <c r="N554" s="113"/>
      <c r="P554" s="113"/>
      <c r="Q554" s="113"/>
      <c r="R554" s="113"/>
      <c r="T554" s="113"/>
      <c r="U554" s="113"/>
      <c r="V554" s="113"/>
    </row>
    <row r="555" customFormat="false" ht="15" hidden="false" customHeight="true" outlineLevel="0" collapsed="false">
      <c r="H555" s="113"/>
      <c r="I555" s="113"/>
      <c r="J555" s="113"/>
      <c r="L555" s="113"/>
      <c r="M555" s="113"/>
      <c r="N555" s="113"/>
      <c r="P555" s="113"/>
      <c r="Q555" s="113"/>
      <c r="R555" s="113"/>
      <c r="T555" s="113"/>
      <c r="U555" s="113"/>
      <c r="V555" s="113"/>
    </row>
    <row r="556" customFormat="false" ht="15" hidden="false" customHeight="true" outlineLevel="0" collapsed="false">
      <c r="H556" s="113"/>
      <c r="I556" s="113"/>
      <c r="J556" s="113"/>
      <c r="L556" s="113"/>
      <c r="M556" s="113"/>
      <c r="N556" s="113"/>
      <c r="P556" s="113"/>
      <c r="Q556" s="113"/>
      <c r="R556" s="113"/>
      <c r="T556" s="113"/>
      <c r="U556" s="113"/>
      <c r="V556" s="113"/>
    </row>
    <row r="557" customFormat="false" ht="15" hidden="false" customHeight="true" outlineLevel="0" collapsed="false">
      <c r="H557" s="113"/>
      <c r="I557" s="113"/>
      <c r="J557" s="113"/>
      <c r="L557" s="113"/>
      <c r="M557" s="113"/>
      <c r="N557" s="113"/>
      <c r="P557" s="113"/>
      <c r="Q557" s="113"/>
      <c r="R557" s="113"/>
      <c r="T557" s="113"/>
      <c r="U557" s="113"/>
      <c r="V557" s="113"/>
    </row>
    <row r="558" customFormat="false" ht="15" hidden="false" customHeight="true" outlineLevel="0" collapsed="false">
      <c r="H558" s="113"/>
      <c r="I558" s="113"/>
      <c r="J558" s="113"/>
      <c r="L558" s="113"/>
      <c r="M558" s="113"/>
      <c r="N558" s="113"/>
      <c r="P558" s="113"/>
      <c r="Q558" s="113"/>
      <c r="R558" s="113"/>
      <c r="T558" s="113"/>
      <c r="U558" s="113"/>
      <c r="V558" s="113"/>
    </row>
    <row r="559" customFormat="false" ht="15" hidden="false" customHeight="true" outlineLevel="0" collapsed="false">
      <c r="H559" s="113"/>
      <c r="I559" s="113"/>
      <c r="J559" s="113"/>
      <c r="L559" s="113"/>
      <c r="M559" s="113"/>
      <c r="N559" s="113"/>
      <c r="P559" s="113"/>
      <c r="Q559" s="113"/>
      <c r="R559" s="113"/>
      <c r="T559" s="113"/>
      <c r="U559" s="113"/>
      <c r="V559" s="113"/>
    </row>
    <row r="560" customFormat="false" ht="15" hidden="false" customHeight="true" outlineLevel="0" collapsed="false">
      <c r="H560" s="113"/>
      <c r="I560" s="113"/>
      <c r="J560" s="113"/>
      <c r="L560" s="113"/>
      <c r="M560" s="113"/>
      <c r="N560" s="113"/>
      <c r="P560" s="113"/>
      <c r="Q560" s="113"/>
      <c r="R560" s="113"/>
      <c r="T560" s="113"/>
      <c r="U560" s="113"/>
      <c r="V560" s="113"/>
    </row>
    <row r="561" customFormat="false" ht="15" hidden="false" customHeight="true" outlineLevel="0" collapsed="false">
      <c r="H561" s="113"/>
      <c r="I561" s="113"/>
      <c r="J561" s="113"/>
      <c r="L561" s="113"/>
      <c r="M561" s="113"/>
      <c r="N561" s="113"/>
      <c r="P561" s="113"/>
      <c r="Q561" s="113"/>
      <c r="R561" s="113"/>
      <c r="T561" s="113"/>
      <c r="U561" s="113"/>
      <c r="V561" s="113"/>
    </row>
    <row r="562" customFormat="false" ht="15" hidden="false" customHeight="true" outlineLevel="0" collapsed="false">
      <c r="H562" s="113"/>
      <c r="I562" s="113"/>
      <c r="J562" s="113"/>
      <c r="L562" s="113"/>
      <c r="M562" s="113"/>
      <c r="N562" s="113"/>
      <c r="P562" s="113"/>
      <c r="Q562" s="113"/>
      <c r="R562" s="113"/>
      <c r="T562" s="113"/>
      <c r="U562" s="113"/>
      <c r="V562" s="113"/>
    </row>
    <row r="563" customFormat="false" ht="15" hidden="false" customHeight="true" outlineLevel="0" collapsed="false">
      <c r="H563" s="113"/>
      <c r="I563" s="113"/>
      <c r="J563" s="113"/>
      <c r="L563" s="113"/>
      <c r="M563" s="113"/>
      <c r="N563" s="113"/>
      <c r="P563" s="113"/>
      <c r="Q563" s="113"/>
      <c r="R563" s="113"/>
      <c r="T563" s="113"/>
      <c r="U563" s="113"/>
      <c r="V563" s="113"/>
    </row>
    <row r="564" customFormat="false" ht="15" hidden="false" customHeight="true" outlineLevel="0" collapsed="false">
      <c r="H564" s="113"/>
      <c r="I564" s="113"/>
      <c r="J564" s="113"/>
      <c r="L564" s="113"/>
      <c r="M564" s="113"/>
      <c r="N564" s="113"/>
      <c r="P564" s="113"/>
      <c r="Q564" s="113"/>
      <c r="R564" s="113"/>
      <c r="T564" s="113"/>
      <c r="U564" s="113"/>
      <c r="V564" s="113"/>
    </row>
    <row r="565" customFormat="false" ht="15" hidden="false" customHeight="true" outlineLevel="0" collapsed="false">
      <c r="H565" s="113"/>
      <c r="I565" s="113"/>
      <c r="J565" s="113"/>
      <c r="L565" s="113"/>
      <c r="M565" s="113"/>
      <c r="N565" s="113"/>
      <c r="P565" s="113"/>
      <c r="Q565" s="113"/>
      <c r="R565" s="113"/>
      <c r="T565" s="113"/>
      <c r="U565" s="113"/>
      <c r="V565" s="113"/>
    </row>
    <row r="566" customFormat="false" ht="15" hidden="false" customHeight="true" outlineLevel="0" collapsed="false">
      <c r="H566" s="113"/>
      <c r="I566" s="113"/>
      <c r="J566" s="113"/>
      <c r="L566" s="113"/>
      <c r="M566" s="113"/>
      <c r="N566" s="113"/>
      <c r="P566" s="113"/>
      <c r="Q566" s="113"/>
      <c r="R566" s="113"/>
      <c r="T566" s="113"/>
      <c r="U566" s="113"/>
      <c r="V566" s="113"/>
    </row>
    <row r="567" customFormat="false" ht="15" hidden="false" customHeight="true" outlineLevel="0" collapsed="false">
      <c r="H567" s="113"/>
      <c r="I567" s="113"/>
      <c r="J567" s="113"/>
      <c r="L567" s="113"/>
      <c r="M567" s="113"/>
      <c r="N567" s="113"/>
      <c r="P567" s="113"/>
      <c r="Q567" s="113"/>
      <c r="R567" s="113"/>
      <c r="T567" s="113"/>
      <c r="U567" s="113"/>
      <c r="V567" s="113"/>
    </row>
    <row r="568" customFormat="false" ht="15" hidden="false" customHeight="true" outlineLevel="0" collapsed="false">
      <c r="H568" s="113"/>
      <c r="I568" s="113"/>
      <c r="J568" s="113"/>
      <c r="L568" s="113"/>
      <c r="M568" s="113"/>
      <c r="N568" s="113"/>
      <c r="P568" s="113"/>
      <c r="Q568" s="113"/>
      <c r="R568" s="113"/>
      <c r="T568" s="113"/>
      <c r="U568" s="113"/>
      <c r="V568" s="113"/>
    </row>
    <row r="569" customFormat="false" ht="15" hidden="false" customHeight="true" outlineLevel="0" collapsed="false">
      <c r="H569" s="113"/>
      <c r="I569" s="113"/>
      <c r="J569" s="113"/>
      <c r="L569" s="113"/>
      <c r="M569" s="113"/>
      <c r="N569" s="113"/>
      <c r="P569" s="113"/>
      <c r="Q569" s="113"/>
      <c r="R569" s="113"/>
      <c r="T569" s="113"/>
      <c r="U569" s="113"/>
      <c r="V569" s="113"/>
    </row>
    <row r="570" customFormat="false" ht="15" hidden="false" customHeight="true" outlineLevel="0" collapsed="false">
      <c r="H570" s="113"/>
      <c r="I570" s="113"/>
      <c r="J570" s="113"/>
      <c r="L570" s="113"/>
      <c r="M570" s="113"/>
      <c r="N570" s="113"/>
      <c r="P570" s="113"/>
      <c r="Q570" s="113"/>
      <c r="R570" s="113"/>
      <c r="T570" s="113"/>
      <c r="U570" s="113"/>
      <c r="V570" s="113"/>
    </row>
    <row r="571" customFormat="false" ht="15" hidden="false" customHeight="true" outlineLevel="0" collapsed="false">
      <c r="H571" s="113"/>
      <c r="I571" s="113"/>
      <c r="J571" s="113"/>
      <c r="L571" s="113"/>
      <c r="M571" s="113"/>
      <c r="N571" s="113"/>
      <c r="P571" s="113"/>
      <c r="Q571" s="113"/>
      <c r="R571" s="113"/>
      <c r="T571" s="113"/>
      <c r="U571" s="113"/>
      <c r="V571" s="113"/>
    </row>
    <row r="572" customFormat="false" ht="15" hidden="false" customHeight="true" outlineLevel="0" collapsed="false">
      <c r="H572" s="113"/>
      <c r="I572" s="113"/>
      <c r="J572" s="113"/>
      <c r="L572" s="113"/>
      <c r="M572" s="113"/>
      <c r="N572" s="113"/>
      <c r="P572" s="113"/>
      <c r="Q572" s="113"/>
      <c r="R572" s="113"/>
      <c r="T572" s="113"/>
      <c r="U572" s="113"/>
      <c r="V572" s="113"/>
    </row>
    <row r="573" customFormat="false" ht="15" hidden="false" customHeight="true" outlineLevel="0" collapsed="false">
      <c r="H573" s="113"/>
      <c r="I573" s="113"/>
      <c r="J573" s="113"/>
      <c r="L573" s="113"/>
      <c r="M573" s="113"/>
      <c r="N573" s="113"/>
      <c r="P573" s="113"/>
      <c r="Q573" s="113"/>
      <c r="R573" s="113"/>
      <c r="T573" s="113"/>
      <c r="U573" s="113"/>
      <c r="V573" s="113"/>
    </row>
    <row r="574" customFormat="false" ht="15" hidden="false" customHeight="true" outlineLevel="0" collapsed="false">
      <c r="H574" s="113"/>
      <c r="I574" s="113"/>
      <c r="J574" s="113"/>
      <c r="L574" s="113"/>
      <c r="M574" s="113"/>
      <c r="N574" s="113"/>
      <c r="P574" s="113"/>
      <c r="Q574" s="113"/>
      <c r="R574" s="113"/>
      <c r="T574" s="113"/>
      <c r="U574" s="113"/>
      <c r="V574" s="113"/>
    </row>
    <row r="575" customFormat="false" ht="15" hidden="false" customHeight="true" outlineLevel="0" collapsed="false">
      <c r="H575" s="113"/>
      <c r="I575" s="113"/>
      <c r="J575" s="113"/>
      <c r="L575" s="113"/>
      <c r="M575" s="113"/>
      <c r="N575" s="113"/>
      <c r="P575" s="113"/>
      <c r="Q575" s="113"/>
      <c r="R575" s="113"/>
      <c r="T575" s="113"/>
      <c r="U575" s="113"/>
      <c r="V575" s="113"/>
    </row>
    <row r="576" customFormat="false" ht="15" hidden="false" customHeight="true" outlineLevel="0" collapsed="false">
      <c r="H576" s="113"/>
      <c r="I576" s="113"/>
      <c r="J576" s="113"/>
      <c r="L576" s="113"/>
      <c r="M576" s="113"/>
      <c r="N576" s="113"/>
      <c r="P576" s="113"/>
      <c r="Q576" s="113"/>
      <c r="R576" s="113"/>
      <c r="T576" s="113"/>
      <c r="U576" s="113"/>
      <c r="V576" s="113"/>
    </row>
    <row r="577" customFormat="false" ht="15" hidden="false" customHeight="true" outlineLevel="0" collapsed="false">
      <c r="H577" s="113"/>
      <c r="I577" s="113"/>
      <c r="J577" s="113"/>
      <c r="L577" s="113"/>
      <c r="M577" s="113"/>
      <c r="N577" s="113"/>
      <c r="P577" s="113"/>
      <c r="Q577" s="113"/>
      <c r="R577" s="113"/>
      <c r="T577" s="113"/>
      <c r="U577" s="113"/>
      <c r="V577" s="113"/>
    </row>
    <row r="578" customFormat="false" ht="15" hidden="false" customHeight="true" outlineLevel="0" collapsed="false">
      <c r="H578" s="113"/>
      <c r="I578" s="113"/>
      <c r="J578" s="113"/>
      <c r="L578" s="113"/>
      <c r="M578" s="113"/>
      <c r="N578" s="113"/>
      <c r="P578" s="113"/>
      <c r="Q578" s="113"/>
      <c r="R578" s="113"/>
      <c r="T578" s="113"/>
      <c r="U578" s="113"/>
      <c r="V578" s="113"/>
    </row>
    <row r="579" customFormat="false" ht="15" hidden="false" customHeight="true" outlineLevel="0" collapsed="false">
      <c r="H579" s="113"/>
      <c r="I579" s="113"/>
      <c r="J579" s="113"/>
      <c r="L579" s="113"/>
      <c r="M579" s="113"/>
      <c r="N579" s="113"/>
      <c r="P579" s="113"/>
      <c r="Q579" s="113"/>
      <c r="R579" s="113"/>
      <c r="T579" s="113"/>
      <c r="U579" s="113"/>
      <c r="V579" s="113"/>
    </row>
    <row r="580" customFormat="false" ht="15" hidden="false" customHeight="true" outlineLevel="0" collapsed="false">
      <c r="H580" s="113"/>
      <c r="I580" s="113"/>
      <c r="J580" s="113"/>
      <c r="L580" s="113"/>
      <c r="M580" s="113"/>
      <c r="N580" s="113"/>
      <c r="P580" s="113"/>
      <c r="Q580" s="113"/>
      <c r="R580" s="113"/>
      <c r="T580" s="113"/>
      <c r="U580" s="113"/>
      <c r="V580" s="113"/>
    </row>
    <row r="581" customFormat="false" ht="15" hidden="false" customHeight="true" outlineLevel="0" collapsed="false">
      <c r="H581" s="113"/>
      <c r="I581" s="113"/>
      <c r="J581" s="113"/>
      <c r="L581" s="113"/>
      <c r="M581" s="113"/>
      <c r="N581" s="113"/>
      <c r="P581" s="113"/>
      <c r="Q581" s="113"/>
      <c r="R581" s="113"/>
      <c r="T581" s="113"/>
      <c r="U581" s="113"/>
      <c r="V581" s="113"/>
    </row>
    <row r="582" customFormat="false" ht="15" hidden="false" customHeight="true" outlineLevel="0" collapsed="false">
      <c r="H582" s="113"/>
      <c r="I582" s="113"/>
      <c r="J582" s="113"/>
      <c r="L582" s="113"/>
      <c r="M582" s="113"/>
      <c r="N582" s="113"/>
      <c r="P582" s="113"/>
      <c r="Q582" s="113"/>
      <c r="R582" s="113"/>
      <c r="T582" s="113"/>
      <c r="U582" s="113"/>
      <c r="V582" s="113"/>
    </row>
    <row r="583" customFormat="false" ht="15" hidden="false" customHeight="true" outlineLevel="0" collapsed="false">
      <c r="H583" s="113"/>
      <c r="I583" s="113"/>
      <c r="J583" s="113"/>
      <c r="L583" s="113"/>
      <c r="M583" s="113"/>
      <c r="N583" s="113"/>
      <c r="P583" s="113"/>
      <c r="Q583" s="113"/>
      <c r="R583" s="113"/>
      <c r="T583" s="113"/>
      <c r="U583" s="113"/>
      <c r="V583" s="113"/>
    </row>
    <row r="584" customFormat="false" ht="15" hidden="false" customHeight="true" outlineLevel="0" collapsed="false">
      <c r="H584" s="113"/>
      <c r="I584" s="113"/>
      <c r="J584" s="113"/>
      <c r="L584" s="113"/>
      <c r="M584" s="113"/>
      <c r="N584" s="113"/>
      <c r="P584" s="113"/>
      <c r="Q584" s="113"/>
      <c r="R584" s="113"/>
      <c r="T584" s="113"/>
      <c r="U584" s="113"/>
      <c r="V584" s="113"/>
    </row>
    <row r="585" customFormat="false" ht="15" hidden="false" customHeight="true" outlineLevel="0" collapsed="false">
      <c r="H585" s="113"/>
      <c r="I585" s="113"/>
      <c r="J585" s="113"/>
      <c r="L585" s="113"/>
      <c r="M585" s="113"/>
      <c r="N585" s="113"/>
      <c r="P585" s="113"/>
      <c r="Q585" s="113"/>
      <c r="R585" s="113"/>
      <c r="T585" s="113"/>
      <c r="U585" s="113"/>
      <c r="V585" s="113"/>
    </row>
    <row r="586" customFormat="false" ht="15" hidden="false" customHeight="true" outlineLevel="0" collapsed="false">
      <c r="H586" s="113"/>
      <c r="I586" s="113"/>
      <c r="J586" s="113"/>
      <c r="L586" s="113"/>
      <c r="M586" s="113"/>
      <c r="N586" s="113"/>
      <c r="P586" s="113"/>
      <c r="Q586" s="113"/>
      <c r="R586" s="113"/>
      <c r="T586" s="113"/>
      <c r="U586" s="113"/>
      <c r="V586" s="113"/>
    </row>
    <row r="587" customFormat="false" ht="15" hidden="false" customHeight="true" outlineLevel="0" collapsed="false">
      <c r="H587" s="113"/>
      <c r="I587" s="113"/>
      <c r="J587" s="113"/>
      <c r="L587" s="113"/>
      <c r="M587" s="113"/>
      <c r="N587" s="113"/>
      <c r="P587" s="113"/>
      <c r="Q587" s="113"/>
      <c r="R587" s="113"/>
      <c r="T587" s="113"/>
      <c r="U587" s="113"/>
      <c r="V587" s="113"/>
    </row>
    <row r="588" customFormat="false" ht="15" hidden="false" customHeight="true" outlineLevel="0" collapsed="false">
      <c r="H588" s="113"/>
      <c r="I588" s="113"/>
      <c r="J588" s="113"/>
      <c r="L588" s="113"/>
      <c r="M588" s="113"/>
      <c r="N588" s="113"/>
      <c r="P588" s="113"/>
      <c r="Q588" s="113"/>
      <c r="R588" s="113"/>
      <c r="T588" s="113"/>
      <c r="U588" s="113"/>
      <c r="V588" s="113"/>
    </row>
    <row r="589" customFormat="false" ht="15" hidden="false" customHeight="true" outlineLevel="0" collapsed="false">
      <c r="H589" s="113"/>
      <c r="I589" s="113"/>
      <c r="J589" s="113"/>
      <c r="L589" s="113"/>
      <c r="M589" s="113"/>
      <c r="N589" s="113"/>
      <c r="P589" s="113"/>
      <c r="Q589" s="113"/>
      <c r="R589" s="113"/>
      <c r="T589" s="113"/>
      <c r="U589" s="113"/>
      <c r="V589" s="113"/>
    </row>
    <row r="590" customFormat="false" ht="15" hidden="false" customHeight="true" outlineLevel="0" collapsed="false">
      <c r="H590" s="113"/>
      <c r="I590" s="113"/>
      <c r="J590" s="113"/>
      <c r="L590" s="113"/>
      <c r="M590" s="113"/>
      <c r="N590" s="113"/>
      <c r="P590" s="113"/>
      <c r="Q590" s="113"/>
      <c r="R590" s="113"/>
      <c r="T590" s="113"/>
      <c r="U590" s="113"/>
      <c r="V590" s="113"/>
    </row>
    <row r="591" customFormat="false" ht="15" hidden="false" customHeight="true" outlineLevel="0" collapsed="false">
      <c r="H591" s="113"/>
      <c r="I591" s="113"/>
      <c r="J591" s="113"/>
      <c r="L591" s="113"/>
      <c r="M591" s="113"/>
      <c r="N591" s="113"/>
      <c r="P591" s="113"/>
      <c r="Q591" s="113"/>
      <c r="R591" s="113"/>
      <c r="T591" s="113"/>
      <c r="U591" s="113"/>
      <c r="V591" s="113"/>
    </row>
    <row r="592" customFormat="false" ht="15" hidden="false" customHeight="true" outlineLevel="0" collapsed="false">
      <c r="H592" s="113"/>
      <c r="I592" s="113"/>
      <c r="J592" s="113"/>
      <c r="L592" s="113"/>
      <c r="M592" s="113"/>
      <c r="N592" s="113"/>
      <c r="P592" s="113"/>
      <c r="Q592" s="113"/>
      <c r="R592" s="113"/>
      <c r="T592" s="113"/>
      <c r="U592" s="113"/>
      <c r="V592" s="113"/>
    </row>
    <row r="593" customFormat="false" ht="15" hidden="false" customHeight="true" outlineLevel="0" collapsed="false">
      <c r="H593" s="113"/>
      <c r="I593" s="113"/>
      <c r="J593" s="113"/>
      <c r="L593" s="113"/>
      <c r="M593" s="113"/>
      <c r="N593" s="113"/>
      <c r="P593" s="113"/>
      <c r="Q593" s="113"/>
      <c r="R593" s="113"/>
      <c r="T593" s="113"/>
      <c r="U593" s="113"/>
      <c r="V593" s="113"/>
    </row>
    <row r="594" customFormat="false" ht="15" hidden="false" customHeight="true" outlineLevel="0" collapsed="false">
      <c r="H594" s="113"/>
      <c r="I594" s="113"/>
      <c r="J594" s="113"/>
      <c r="L594" s="113"/>
      <c r="M594" s="113"/>
      <c r="N594" s="113"/>
      <c r="P594" s="113"/>
      <c r="Q594" s="113"/>
      <c r="R594" s="113"/>
      <c r="T594" s="113"/>
      <c r="U594" s="113"/>
      <c r="V594" s="113"/>
    </row>
    <row r="595" customFormat="false" ht="15" hidden="false" customHeight="true" outlineLevel="0" collapsed="false">
      <c r="H595" s="113"/>
      <c r="I595" s="113"/>
      <c r="J595" s="113"/>
      <c r="L595" s="113"/>
      <c r="M595" s="113"/>
      <c r="N595" s="113"/>
      <c r="P595" s="113"/>
      <c r="Q595" s="113"/>
      <c r="R595" s="113"/>
      <c r="T595" s="113"/>
      <c r="U595" s="113"/>
      <c r="V595" s="113"/>
    </row>
    <row r="596" customFormat="false" ht="15" hidden="false" customHeight="true" outlineLevel="0" collapsed="false">
      <c r="H596" s="113"/>
      <c r="I596" s="113"/>
      <c r="J596" s="113"/>
      <c r="L596" s="113"/>
      <c r="M596" s="113"/>
      <c r="N596" s="113"/>
      <c r="P596" s="113"/>
      <c r="Q596" s="113"/>
      <c r="R596" s="113"/>
      <c r="T596" s="113"/>
      <c r="U596" s="113"/>
      <c r="V596" s="113"/>
    </row>
    <row r="597" customFormat="false" ht="15" hidden="false" customHeight="true" outlineLevel="0" collapsed="false">
      <c r="H597" s="113"/>
      <c r="I597" s="113"/>
      <c r="J597" s="113"/>
      <c r="L597" s="113"/>
      <c r="M597" s="113"/>
      <c r="N597" s="113"/>
      <c r="P597" s="113"/>
      <c r="Q597" s="113"/>
      <c r="R597" s="113"/>
      <c r="T597" s="113"/>
      <c r="U597" s="113"/>
      <c r="V597" s="113"/>
    </row>
    <row r="598" customFormat="false" ht="15" hidden="false" customHeight="true" outlineLevel="0" collapsed="false">
      <c r="H598" s="113"/>
      <c r="I598" s="113"/>
      <c r="J598" s="113"/>
      <c r="L598" s="113"/>
      <c r="M598" s="113"/>
      <c r="N598" s="113"/>
      <c r="P598" s="113"/>
      <c r="Q598" s="113"/>
      <c r="R598" s="113"/>
      <c r="T598" s="113"/>
      <c r="U598" s="113"/>
      <c r="V598" s="113"/>
    </row>
    <row r="599" customFormat="false" ht="15" hidden="false" customHeight="true" outlineLevel="0" collapsed="false">
      <c r="H599" s="113"/>
      <c r="I599" s="113"/>
      <c r="J599" s="113"/>
      <c r="L599" s="113"/>
      <c r="M599" s="113"/>
      <c r="N599" s="113"/>
      <c r="P599" s="113"/>
      <c r="Q599" s="113"/>
      <c r="R599" s="113"/>
      <c r="T599" s="113"/>
      <c r="U599" s="113"/>
      <c r="V599" s="113"/>
    </row>
    <row r="600" customFormat="false" ht="15" hidden="false" customHeight="true" outlineLevel="0" collapsed="false">
      <c r="H600" s="113"/>
      <c r="I600" s="113"/>
      <c r="J600" s="113"/>
      <c r="L600" s="113"/>
      <c r="M600" s="113"/>
      <c r="N600" s="113"/>
      <c r="P600" s="113"/>
      <c r="Q600" s="113"/>
      <c r="R600" s="113"/>
      <c r="T600" s="113"/>
      <c r="U600" s="113"/>
      <c r="V600" s="113"/>
    </row>
    <row r="601" customFormat="false" ht="15" hidden="false" customHeight="true" outlineLevel="0" collapsed="false">
      <c r="H601" s="113"/>
      <c r="I601" s="113"/>
      <c r="J601" s="113"/>
      <c r="L601" s="113"/>
      <c r="M601" s="113"/>
      <c r="N601" s="113"/>
      <c r="P601" s="113"/>
      <c r="Q601" s="113"/>
      <c r="R601" s="113"/>
      <c r="T601" s="113"/>
      <c r="U601" s="113"/>
      <c r="V601" s="113"/>
    </row>
    <row r="602" customFormat="false" ht="15" hidden="false" customHeight="true" outlineLevel="0" collapsed="false">
      <c r="H602" s="113"/>
      <c r="I602" s="113"/>
      <c r="J602" s="113"/>
      <c r="L602" s="113"/>
      <c r="M602" s="113"/>
      <c r="N602" s="113"/>
      <c r="P602" s="113"/>
      <c r="Q602" s="113"/>
      <c r="R602" s="113"/>
      <c r="T602" s="113"/>
      <c r="U602" s="113"/>
      <c r="V602" s="113"/>
    </row>
    <row r="603" customFormat="false" ht="15" hidden="false" customHeight="true" outlineLevel="0" collapsed="false">
      <c r="H603" s="113"/>
      <c r="I603" s="113"/>
      <c r="J603" s="113"/>
      <c r="L603" s="113"/>
      <c r="M603" s="113"/>
      <c r="N603" s="113"/>
      <c r="P603" s="113"/>
      <c r="Q603" s="113"/>
      <c r="R603" s="113"/>
      <c r="T603" s="113"/>
      <c r="U603" s="113"/>
      <c r="V603" s="113"/>
    </row>
    <row r="604" customFormat="false" ht="15" hidden="false" customHeight="true" outlineLevel="0" collapsed="false">
      <c r="H604" s="113"/>
      <c r="I604" s="113"/>
      <c r="J604" s="113"/>
      <c r="L604" s="113"/>
      <c r="M604" s="113"/>
      <c r="N604" s="113"/>
      <c r="P604" s="113"/>
      <c r="Q604" s="113"/>
      <c r="R604" s="113"/>
      <c r="T604" s="113"/>
      <c r="U604" s="113"/>
      <c r="V604" s="113"/>
    </row>
    <row r="605" customFormat="false" ht="15" hidden="false" customHeight="true" outlineLevel="0" collapsed="false">
      <c r="H605" s="113"/>
      <c r="I605" s="113"/>
      <c r="J605" s="113"/>
      <c r="L605" s="113"/>
      <c r="M605" s="113"/>
      <c r="N605" s="113"/>
      <c r="P605" s="113"/>
      <c r="Q605" s="113"/>
      <c r="R605" s="113"/>
      <c r="T605" s="113"/>
      <c r="U605" s="113"/>
      <c r="V605" s="113"/>
    </row>
    <row r="606" customFormat="false" ht="15" hidden="false" customHeight="true" outlineLevel="0" collapsed="false">
      <c r="H606" s="113"/>
      <c r="I606" s="113"/>
      <c r="J606" s="113"/>
      <c r="L606" s="113"/>
      <c r="M606" s="113"/>
      <c r="N606" s="113"/>
      <c r="P606" s="113"/>
      <c r="Q606" s="113"/>
      <c r="R606" s="113"/>
      <c r="T606" s="113"/>
      <c r="U606" s="113"/>
      <c r="V606" s="113"/>
    </row>
    <row r="607" customFormat="false" ht="15" hidden="false" customHeight="true" outlineLevel="0" collapsed="false">
      <c r="H607" s="113"/>
      <c r="I607" s="113"/>
      <c r="J607" s="113"/>
      <c r="L607" s="113"/>
      <c r="M607" s="113"/>
      <c r="N607" s="113"/>
      <c r="P607" s="113"/>
      <c r="Q607" s="113"/>
      <c r="R607" s="113"/>
      <c r="T607" s="113"/>
      <c r="U607" s="113"/>
      <c r="V607" s="113"/>
    </row>
    <row r="608" customFormat="false" ht="15" hidden="false" customHeight="true" outlineLevel="0" collapsed="false">
      <c r="H608" s="113"/>
      <c r="I608" s="113"/>
      <c r="J608" s="113"/>
      <c r="L608" s="113"/>
      <c r="M608" s="113"/>
      <c r="N608" s="113"/>
      <c r="P608" s="113"/>
      <c r="Q608" s="113"/>
      <c r="R608" s="113"/>
      <c r="T608" s="113"/>
      <c r="U608" s="113"/>
      <c r="V608" s="113"/>
    </row>
    <row r="609" customFormat="false" ht="15" hidden="false" customHeight="true" outlineLevel="0" collapsed="false">
      <c r="H609" s="113"/>
      <c r="I609" s="113"/>
      <c r="J609" s="113"/>
      <c r="L609" s="113"/>
      <c r="M609" s="113"/>
      <c r="N609" s="113"/>
      <c r="P609" s="113"/>
      <c r="Q609" s="113"/>
      <c r="R609" s="113"/>
      <c r="T609" s="113"/>
      <c r="U609" s="113"/>
      <c r="V609" s="113"/>
    </row>
    <row r="610" customFormat="false" ht="15" hidden="false" customHeight="true" outlineLevel="0" collapsed="false">
      <c r="H610" s="113"/>
      <c r="I610" s="113"/>
      <c r="J610" s="113"/>
      <c r="L610" s="113"/>
      <c r="M610" s="113"/>
      <c r="N610" s="113"/>
      <c r="P610" s="113"/>
      <c r="Q610" s="113"/>
      <c r="R610" s="113"/>
      <c r="T610" s="113"/>
      <c r="U610" s="113"/>
      <c r="V610" s="113"/>
    </row>
    <row r="611" customFormat="false" ht="15" hidden="false" customHeight="true" outlineLevel="0" collapsed="false">
      <c r="H611" s="113"/>
      <c r="I611" s="113"/>
      <c r="J611" s="113"/>
      <c r="L611" s="113"/>
      <c r="M611" s="113"/>
      <c r="N611" s="113"/>
      <c r="P611" s="113"/>
      <c r="Q611" s="113"/>
      <c r="R611" s="113"/>
      <c r="T611" s="113"/>
      <c r="U611" s="113"/>
      <c r="V611" s="113"/>
    </row>
    <row r="612" customFormat="false" ht="15" hidden="false" customHeight="true" outlineLevel="0" collapsed="false">
      <c r="H612" s="113"/>
      <c r="I612" s="113"/>
      <c r="J612" s="113"/>
      <c r="L612" s="113"/>
      <c r="M612" s="113"/>
      <c r="N612" s="113"/>
      <c r="P612" s="113"/>
      <c r="Q612" s="113"/>
      <c r="R612" s="113"/>
      <c r="T612" s="113"/>
      <c r="U612" s="113"/>
      <c r="V612" s="113"/>
    </row>
    <row r="613" customFormat="false" ht="15" hidden="false" customHeight="true" outlineLevel="0" collapsed="false">
      <c r="H613" s="113"/>
      <c r="I613" s="113"/>
      <c r="J613" s="113"/>
      <c r="L613" s="113"/>
      <c r="M613" s="113"/>
      <c r="N613" s="113"/>
      <c r="P613" s="113"/>
      <c r="Q613" s="113"/>
      <c r="R613" s="113"/>
      <c r="T613" s="113"/>
      <c r="U613" s="113"/>
      <c r="V613" s="113"/>
    </row>
    <row r="614" customFormat="false" ht="15" hidden="false" customHeight="true" outlineLevel="0" collapsed="false">
      <c r="H614" s="113"/>
      <c r="I614" s="113"/>
      <c r="J614" s="113"/>
      <c r="L614" s="113"/>
      <c r="M614" s="113"/>
      <c r="N614" s="113"/>
      <c r="P614" s="113"/>
      <c r="Q614" s="113"/>
      <c r="R614" s="113"/>
      <c r="T614" s="113"/>
      <c r="U614" s="113"/>
      <c r="V614" s="113"/>
    </row>
    <row r="615" customFormat="false" ht="15" hidden="false" customHeight="true" outlineLevel="0" collapsed="false">
      <c r="H615" s="113"/>
      <c r="I615" s="113"/>
      <c r="J615" s="113"/>
      <c r="L615" s="113"/>
      <c r="M615" s="113"/>
      <c r="N615" s="113"/>
      <c r="P615" s="113"/>
      <c r="Q615" s="113"/>
      <c r="R615" s="113"/>
      <c r="T615" s="113"/>
      <c r="U615" s="113"/>
      <c r="V615" s="113"/>
    </row>
    <row r="616" customFormat="false" ht="15" hidden="false" customHeight="true" outlineLevel="0" collapsed="false">
      <c r="H616" s="113"/>
      <c r="I616" s="113"/>
      <c r="J616" s="113"/>
      <c r="L616" s="113"/>
      <c r="M616" s="113"/>
      <c r="N616" s="113"/>
      <c r="P616" s="113"/>
      <c r="Q616" s="113"/>
      <c r="R616" s="113"/>
      <c r="T616" s="113"/>
      <c r="U616" s="113"/>
      <c r="V616" s="113"/>
    </row>
    <row r="617" customFormat="false" ht="15" hidden="false" customHeight="true" outlineLevel="0" collapsed="false">
      <c r="H617" s="113"/>
      <c r="I617" s="113"/>
      <c r="J617" s="113"/>
      <c r="L617" s="113"/>
      <c r="M617" s="113"/>
      <c r="N617" s="113"/>
      <c r="P617" s="113"/>
      <c r="Q617" s="113"/>
      <c r="R617" s="113"/>
      <c r="T617" s="113"/>
      <c r="U617" s="113"/>
      <c r="V617" s="113"/>
    </row>
    <row r="618" customFormat="false" ht="15" hidden="false" customHeight="true" outlineLevel="0" collapsed="false">
      <c r="H618" s="113"/>
      <c r="I618" s="113"/>
      <c r="J618" s="113"/>
      <c r="L618" s="113"/>
      <c r="M618" s="113"/>
      <c r="N618" s="113"/>
      <c r="P618" s="113"/>
      <c r="Q618" s="113"/>
      <c r="R618" s="113"/>
      <c r="T618" s="113"/>
      <c r="U618" s="113"/>
      <c r="V618" s="113"/>
    </row>
    <row r="619" customFormat="false" ht="15" hidden="false" customHeight="true" outlineLevel="0" collapsed="false">
      <c r="H619" s="113"/>
      <c r="I619" s="113"/>
      <c r="J619" s="113"/>
      <c r="L619" s="113"/>
      <c r="M619" s="113"/>
      <c r="N619" s="113"/>
      <c r="P619" s="113"/>
      <c r="Q619" s="113"/>
      <c r="R619" s="113"/>
      <c r="T619" s="113"/>
      <c r="U619" s="113"/>
      <c r="V619" s="113"/>
    </row>
    <row r="620" customFormat="false" ht="15" hidden="false" customHeight="true" outlineLevel="0" collapsed="false">
      <c r="H620" s="113"/>
      <c r="I620" s="113"/>
      <c r="J620" s="113"/>
      <c r="L620" s="113"/>
      <c r="M620" s="113"/>
      <c r="N620" s="113"/>
      <c r="P620" s="113"/>
      <c r="Q620" s="113"/>
      <c r="R620" s="113"/>
      <c r="T620" s="113"/>
      <c r="U620" s="113"/>
      <c r="V620" s="113"/>
    </row>
    <row r="621" customFormat="false" ht="15" hidden="false" customHeight="true" outlineLevel="0" collapsed="false">
      <c r="H621" s="113"/>
      <c r="I621" s="113"/>
      <c r="J621" s="113"/>
      <c r="L621" s="113"/>
      <c r="M621" s="113"/>
      <c r="N621" s="113"/>
      <c r="P621" s="113"/>
      <c r="Q621" s="113"/>
      <c r="R621" s="113"/>
      <c r="T621" s="113"/>
      <c r="U621" s="113"/>
      <c r="V621" s="113"/>
    </row>
    <row r="622" customFormat="false" ht="15" hidden="false" customHeight="true" outlineLevel="0" collapsed="false">
      <c r="H622" s="113"/>
      <c r="I622" s="113"/>
      <c r="J622" s="113"/>
      <c r="L622" s="113"/>
      <c r="M622" s="113"/>
      <c r="N622" s="113"/>
      <c r="P622" s="113"/>
      <c r="Q622" s="113"/>
      <c r="R622" s="113"/>
      <c r="T622" s="113"/>
      <c r="U622" s="113"/>
      <c r="V622" s="113"/>
    </row>
    <row r="623" customFormat="false" ht="15" hidden="false" customHeight="true" outlineLevel="0" collapsed="false">
      <c r="H623" s="113"/>
      <c r="I623" s="113"/>
      <c r="J623" s="113"/>
      <c r="L623" s="113"/>
      <c r="M623" s="113"/>
      <c r="N623" s="113"/>
      <c r="P623" s="113"/>
      <c r="Q623" s="113"/>
      <c r="R623" s="113"/>
      <c r="T623" s="113"/>
      <c r="U623" s="113"/>
      <c r="V623" s="113"/>
    </row>
    <row r="624" customFormat="false" ht="15" hidden="false" customHeight="true" outlineLevel="0" collapsed="false">
      <c r="H624" s="113"/>
      <c r="I624" s="113"/>
      <c r="J624" s="113"/>
      <c r="L624" s="113"/>
      <c r="M624" s="113"/>
      <c r="N624" s="113"/>
      <c r="P624" s="113"/>
      <c r="Q624" s="113"/>
      <c r="R624" s="113"/>
      <c r="T624" s="113"/>
      <c r="U624" s="113"/>
      <c r="V624" s="113"/>
    </row>
    <row r="625" customFormat="false" ht="15" hidden="false" customHeight="true" outlineLevel="0" collapsed="false">
      <c r="H625" s="113"/>
      <c r="I625" s="113"/>
      <c r="J625" s="113"/>
      <c r="L625" s="113"/>
      <c r="M625" s="113"/>
      <c r="N625" s="113"/>
      <c r="P625" s="113"/>
      <c r="Q625" s="113"/>
      <c r="R625" s="113"/>
      <c r="T625" s="113"/>
      <c r="U625" s="113"/>
      <c r="V625" s="113"/>
    </row>
    <row r="626" customFormat="false" ht="15" hidden="false" customHeight="true" outlineLevel="0" collapsed="false">
      <c r="H626" s="113"/>
      <c r="I626" s="113"/>
      <c r="J626" s="113"/>
      <c r="L626" s="113"/>
      <c r="M626" s="113"/>
      <c r="N626" s="113"/>
      <c r="P626" s="113"/>
      <c r="Q626" s="113"/>
      <c r="R626" s="113"/>
      <c r="T626" s="113"/>
      <c r="U626" s="113"/>
      <c r="V626" s="113"/>
    </row>
    <row r="627" customFormat="false" ht="15" hidden="false" customHeight="true" outlineLevel="0" collapsed="false">
      <c r="H627" s="113"/>
      <c r="I627" s="113"/>
      <c r="J627" s="113"/>
      <c r="L627" s="113"/>
      <c r="M627" s="113"/>
      <c r="N627" s="113"/>
      <c r="P627" s="113"/>
      <c r="Q627" s="113"/>
      <c r="R627" s="113"/>
      <c r="T627" s="113"/>
      <c r="U627" s="113"/>
      <c r="V627" s="113"/>
    </row>
    <row r="628" customFormat="false" ht="15" hidden="false" customHeight="true" outlineLevel="0" collapsed="false">
      <c r="H628" s="113"/>
      <c r="I628" s="113"/>
      <c r="J628" s="113"/>
      <c r="L628" s="113"/>
      <c r="M628" s="113"/>
      <c r="N628" s="113"/>
      <c r="P628" s="113"/>
      <c r="Q628" s="113"/>
      <c r="R628" s="113"/>
      <c r="T628" s="113"/>
      <c r="U628" s="113"/>
      <c r="V628" s="113"/>
    </row>
    <row r="629" customFormat="false" ht="15" hidden="false" customHeight="true" outlineLevel="0" collapsed="false">
      <c r="H629" s="113"/>
      <c r="I629" s="113"/>
      <c r="J629" s="113"/>
      <c r="L629" s="113"/>
      <c r="M629" s="113"/>
      <c r="N629" s="113"/>
      <c r="P629" s="113"/>
      <c r="Q629" s="113"/>
      <c r="R629" s="113"/>
      <c r="T629" s="113"/>
      <c r="U629" s="113"/>
      <c r="V629" s="113"/>
    </row>
    <row r="630" customFormat="false" ht="15" hidden="false" customHeight="true" outlineLevel="0" collapsed="false">
      <c r="H630" s="113"/>
      <c r="I630" s="113"/>
      <c r="J630" s="113"/>
      <c r="L630" s="113"/>
      <c r="M630" s="113"/>
      <c r="N630" s="113"/>
      <c r="P630" s="113"/>
      <c r="Q630" s="113"/>
      <c r="R630" s="113"/>
      <c r="T630" s="113"/>
      <c r="U630" s="113"/>
      <c r="V630" s="113"/>
    </row>
    <row r="631" customFormat="false" ht="15" hidden="false" customHeight="true" outlineLevel="0" collapsed="false">
      <c r="H631" s="113"/>
      <c r="I631" s="113"/>
      <c r="J631" s="113"/>
      <c r="L631" s="113"/>
      <c r="M631" s="113"/>
      <c r="N631" s="113"/>
      <c r="P631" s="113"/>
      <c r="Q631" s="113"/>
      <c r="R631" s="113"/>
      <c r="T631" s="113"/>
      <c r="U631" s="113"/>
      <c r="V631" s="113"/>
    </row>
    <row r="632" customFormat="false" ht="15" hidden="false" customHeight="true" outlineLevel="0" collapsed="false">
      <c r="H632" s="113"/>
      <c r="I632" s="113"/>
      <c r="J632" s="113"/>
      <c r="L632" s="113"/>
      <c r="M632" s="113"/>
      <c r="N632" s="113"/>
      <c r="P632" s="113"/>
      <c r="Q632" s="113"/>
      <c r="R632" s="113"/>
      <c r="T632" s="113"/>
      <c r="U632" s="113"/>
      <c r="V632" s="113"/>
    </row>
    <row r="633" customFormat="false" ht="15" hidden="false" customHeight="true" outlineLevel="0" collapsed="false">
      <c r="H633" s="113"/>
      <c r="I633" s="113"/>
      <c r="J633" s="113"/>
      <c r="L633" s="113"/>
      <c r="M633" s="113"/>
      <c r="N633" s="113"/>
      <c r="P633" s="113"/>
      <c r="Q633" s="113"/>
      <c r="R633" s="113"/>
      <c r="T633" s="113"/>
      <c r="U633" s="113"/>
      <c r="V633" s="113"/>
    </row>
    <row r="634" customFormat="false" ht="15" hidden="false" customHeight="true" outlineLevel="0" collapsed="false">
      <c r="H634" s="113"/>
      <c r="I634" s="113"/>
      <c r="J634" s="113"/>
      <c r="L634" s="113"/>
      <c r="M634" s="113"/>
      <c r="N634" s="113"/>
      <c r="P634" s="113"/>
      <c r="Q634" s="113"/>
      <c r="R634" s="113"/>
      <c r="T634" s="113"/>
      <c r="U634" s="113"/>
      <c r="V634" s="113"/>
    </row>
    <row r="635" customFormat="false" ht="15" hidden="false" customHeight="true" outlineLevel="0" collapsed="false">
      <c r="H635" s="113"/>
      <c r="I635" s="113"/>
      <c r="J635" s="113"/>
      <c r="L635" s="113"/>
      <c r="M635" s="113"/>
      <c r="N635" s="113"/>
      <c r="P635" s="113"/>
      <c r="Q635" s="113"/>
      <c r="R635" s="113"/>
      <c r="T635" s="113"/>
      <c r="U635" s="113"/>
      <c r="V635" s="113"/>
    </row>
    <row r="636" customFormat="false" ht="15" hidden="false" customHeight="true" outlineLevel="0" collapsed="false">
      <c r="H636" s="113"/>
      <c r="I636" s="113"/>
      <c r="J636" s="113"/>
      <c r="L636" s="113"/>
      <c r="M636" s="113"/>
      <c r="N636" s="113"/>
      <c r="P636" s="113"/>
      <c r="Q636" s="113"/>
      <c r="R636" s="113"/>
      <c r="T636" s="113"/>
      <c r="U636" s="113"/>
      <c r="V636" s="113"/>
    </row>
    <row r="637" customFormat="false" ht="15" hidden="false" customHeight="true" outlineLevel="0" collapsed="false">
      <c r="H637" s="113"/>
      <c r="I637" s="113"/>
      <c r="J637" s="113"/>
      <c r="L637" s="113"/>
      <c r="M637" s="113"/>
      <c r="N637" s="113"/>
      <c r="P637" s="113"/>
      <c r="Q637" s="113"/>
      <c r="R637" s="113"/>
      <c r="T637" s="113"/>
      <c r="U637" s="113"/>
      <c r="V637" s="113"/>
    </row>
    <row r="638" customFormat="false" ht="15" hidden="false" customHeight="true" outlineLevel="0" collapsed="false">
      <c r="H638" s="113"/>
      <c r="I638" s="113"/>
      <c r="J638" s="113"/>
      <c r="L638" s="113"/>
      <c r="M638" s="113"/>
      <c r="N638" s="113"/>
      <c r="P638" s="113"/>
      <c r="Q638" s="113"/>
      <c r="R638" s="113"/>
      <c r="T638" s="113"/>
      <c r="U638" s="113"/>
      <c r="V638" s="113"/>
    </row>
    <row r="639" customFormat="false" ht="15" hidden="false" customHeight="true" outlineLevel="0" collapsed="false">
      <c r="H639" s="113"/>
      <c r="I639" s="113"/>
      <c r="J639" s="113"/>
      <c r="L639" s="113"/>
      <c r="M639" s="113"/>
      <c r="N639" s="113"/>
      <c r="P639" s="113"/>
      <c r="Q639" s="113"/>
      <c r="R639" s="113"/>
      <c r="T639" s="113"/>
      <c r="U639" s="113"/>
      <c r="V639" s="113"/>
    </row>
    <row r="640" customFormat="false" ht="15" hidden="false" customHeight="true" outlineLevel="0" collapsed="false">
      <c r="H640" s="113"/>
      <c r="I640" s="113"/>
      <c r="J640" s="113"/>
      <c r="L640" s="113"/>
      <c r="M640" s="113"/>
      <c r="N640" s="113"/>
      <c r="P640" s="113"/>
      <c r="Q640" s="113"/>
      <c r="R640" s="113"/>
      <c r="T640" s="113"/>
      <c r="U640" s="113"/>
      <c r="V640" s="113"/>
    </row>
    <row r="641" customFormat="false" ht="15" hidden="false" customHeight="true" outlineLevel="0" collapsed="false">
      <c r="H641" s="113"/>
      <c r="I641" s="113"/>
      <c r="J641" s="113"/>
      <c r="L641" s="113"/>
      <c r="M641" s="113"/>
      <c r="N641" s="113"/>
      <c r="P641" s="113"/>
      <c r="Q641" s="113"/>
      <c r="R641" s="113"/>
      <c r="T641" s="113"/>
      <c r="U641" s="113"/>
      <c r="V641" s="113"/>
    </row>
    <row r="642" customFormat="false" ht="15" hidden="false" customHeight="true" outlineLevel="0" collapsed="false">
      <c r="H642" s="113"/>
      <c r="I642" s="113"/>
      <c r="J642" s="113"/>
      <c r="L642" s="113"/>
      <c r="M642" s="113"/>
      <c r="N642" s="113"/>
      <c r="P642" s="113"/>
      <c r="Q642" s="113"/>
      <c r="R642" s="113"/>
      <c r="T642" s="113"/>
      <c r="U642" s="113"/>
      <c r="V642" s="113"/>
    </row>
    <row r="643" customFormat="false" ht="15" hidden="false" customHeight="true" outlineLevel="0" collapsed="false">
      <c r="H643" s="113"/>
      <c r="I643" s="113"/>
      <c r="J643" s="113"/>
      <c r="L643" s="113"/>
      <c r="M643" s="113"/>
      <c r="N643" s="113"/>
      <c r="P643" s="113"/>
      <c r="Q643" s="113"/>
      <c r="R643" s="113"/>
      <c r="T643" s="113"/>
      <c r="U643" s="113"/>
      <c r="V643" s="113"/>
    </row>
    <row r="644" customFormat="false" ht="15" hidden="false" customHeight="true" outlineLevel="0" collapsed="false">
      <c r="H644" s="113"/>
      <c r="I644" s="113"/>
      <c r="J644" s="113"/>
      <c r="L644" s="113"/>
      <c r="M644" s="113"/>
      <c r="N644" s="113"/>
      <c r="P644" s="113"/>
      <c r="Q644" s="113"/>
      <c r="R644" s="113"/>
      <c r="T644" s="113"/>
      <c r="U644" s="113"/>
      <c r="V644" s="113"/>
    </row>
    <row r="645" customFormat="false" ht="15" hidden="false" customHeight="true" outlineLevel="0" collapsed="false">
      <c r="H645" s="113"/>
      <c r="I645" s="113"/>
      <c r="J645" s="113"/>
      <c r="L645" s="113"/>
      <c r="M645" s="113"/>
      <c r="N645" s="113"/>
      <c r="P645" s="113"/>
      <c r="Q645" s="113"/>
      <c r="R645" s="113"/>
      <c r="T645" s="113"/>
      <c r="U645" s="113"/>
      <c r="V645" s="113"/>
    </row>
    <row r="646" customFormat="false" ht="15" hidden="false" customHeight="true" outlineLevel="0" collapsed="false">
      <c r="H646" s="113"/>
      <c r="I646" s="113"/>
      <c r="J646" s="113"/>
      <c r="L646" s="113"/>
      <c r="M646" s="113"/>
      <c r="N646" s="113"/>
      <c r="P646" s="113"/>
      <c r="Q646" s="113"/>
      <c r="R646" s="113"/>
      <c r="T646" s="113"/>
      <c r="U646" s="113"/>
      <c r="V646" s="113"/>
    </row>
    <row r="647" customFormat="false" ht="15" hidden="false" customHeight="true" outlineLevel="0" collapsed="false">
      <c r="H647" s="113"/>
      <c r="I647" s="113"/>
      <c r="J647" s="113"/>
      <c r="L647" s="113"/>
      <c r="M647" s="113"/>
      <c r="N647" s="113"/>
      <c r="P647" s="113"/>
      <c r="Q647" s="113"/>
      <c r="R647" s="113"/>
      <c r="T647" s="113"/>
      <c r="U647" s="113"/>
      <c r="V647" s="113"/>
    </row>
    <row r="648" customFormat="false" ht="15" hidden="false" customHeight="true" outlineLevel="0" collapsed="false">
      <c r="H648" s="113"/>
      <c r="I648" s="113"/>
      <c r="J648" s="113"/>
      <c r="L648" s="113"/>
      <c r="M648" s="113"/>
      <c r="N648" s="113"/>
      <c r="P648" s="113"/>
      <c r="Q648" s="113"/>
      <c r="R648" s="113"/>
      <c r="T648" s="113"/>
      <c r="U648" s="113"/>
      <c r="V648" s="113"/>
    </row>
    <row r="649" customFormat="false" ht="15" hidden="false" customHeight="true" outlineLevel="0" collapsed="false">
      <c r="H649" s="113"/>
      <c r="I649" s="113"/>
      <c r="J649" s="113"/>
      <c r="L649" s="113"/>
      <c r="M649" s="113"/>
      <c r="N649" s="113"/>
      <c r="P649" s="113"/>
      <c r="Q649" s="113"/>
      <c r="R649" s="113"/>
      <c r="T649" s="113"/>
      <c r="U649" s="113"/>
      <c r="V649" s="113"/>
    </row>
    <row r="650" customFormat="false" ht="15" hidden="false" customHeight="true" outlineLevel="0" collapsed="false">
      <c r="H650" s="113"/>
      <c r="I650" s="113"/>
      <c r="J650" s="113"/>
      <c r="L650" s="113"/>
      <c r="M650" s="113"/>
      <c r="N650" s="113"/>
      <c r="P650" s="113"/>
      <c r="Q650" s="113"/>
      <c r="R650" s="113"/>
      <c r="T650" s="113"/>
      <c r="U650" s="113"/>
      <c r="V650" s="113"/>
    </row>
    <row r="651" customFormat="false" ht="15" hidden="false" customHeight="true" outlineLevel="0" collapsed="false">
      <c r="H651" s="113"/>
      <c r="I651" s="113"/>
      <c r="J651" s="113"/>
      <c r="L651" s="113"/>
      <c r="M651" s="113"/>
      <c r="N651" s="113"/>
      <c r="P651" s="113"/>
      <c r="Q651" s="113"/>
      <c r="R651" s="113"/>
      <c r="T651" s="113"/>
      <c r="U651" s="113"/>
      <c r="V651" s="113"/>
    </row>
    <row r="652" customFormat="false" ht="15" hidden="false" customHeight="true" outlineLevel="0" collapsed="false">
      <c r="H652" s="113"/>
      <c r="I652" s="113"/>
      <c r="J652" s="113"/>
      <c r="L652" s="113"/>
      <c r="M652" s="113"/>
      <c r="N652" s="113"/>
      <c r="P652" s="113"/>
      <c r="Q652" s="113"/>
      <c r="R652" s="113"/>
      <c r="T652" s="113"/>
      <c r="U652" s="113"/>
      <c r="V652" s="113"/>
    </row>
    <row r="653" customFormat="false" ht="15" hidden="false" customHeight="true" outlineLevel="0" collapsed="false">
      <c r="H653" s="113"/>
      <c r="I653" s="113"/>
      <c r="J653" s="113"/>
      <c r="L653" s="113"/>
      <c r="M653" s="113"/>
      <c r="N653" s="113"/>
      <c r="P653" s="113"/>
      <c r="Q653" s="113"/>
      <c r="R653" s="113"/>
      <c r="T653" s="113"/>
      <c r="U653" s="113"/>
      <c r="V653" s="113"/>
    </row>
    <row r="654" customFormat="false" ht="15" hidden="false" customHeight="true" outlineLevel="0" collapsed="false">
      <c r="H654" s="113"/>
      <c r="I654" s="113"/>
      <c r="J654" s="113"/>
      <c r="L654" s="113"/>
      <c r="M654" s="113"/>
      <c r="N654" s="113"/>
      <c r="P654" s="113"/>
      <c r="Q654" s="113"/>
      <c r="R654" s="113"/>
      <c r="T654" s="113"/>
      <c r="U654" s="113"/>
      <c r="V654" s="113"/>
    </row>
    <row r="655" customFormat="false" ht="15" hidden="false" customHeight="true" outlineLevel="0" collapsed="false">
      <c r="H655" s="113"/>
      <c r="I655" s="113"/>
      <c r="J655" s="113"/>
      <c r="L655" s="113"/>
      <c r="M655" s="113"/>
      <c r="N655" s="113"/>
      <c r="P655" s="113"/>
      <c r="Q655" s="113"/>
      <c r="R655" s="113"/>
      <c r="T655" s="113"/>
      <c r="U655" s="113"/>
      <c r="V655" s="113"/>
    </row>
    <row r="656" customFormat="false" ht="15" hidden="false" customHeight="true" outlineLevel="0" collapsed="false">
      <c r="H656" s="113"/>
      <c r="I656" s="113"/>
      <c r="J656" s="113"/>
      <c r="L656" s="113"/>
      <c r="M656" s="113"/>
      <c r="N656" s="113"/>
      <c r="P656" s="113"/>
      <c r="Q656" s="113"/>
      <c r="R656" s="113"/>
      <c r="T656" s="113"/>
      <c r="U656" s="113"/>
      <c r="V656" s="113"/>
    </row>
    <row r="657" customFormat="false" ht="15" hidden="false" customHeight="true" outlineLevel="0" collapsed="false">
      <c r="H657" s="113"/>
      <c r="I657" s="113"/>
      <c r="J657" s="113"/>
      <c r="L657" s="113"/>
      <c r="M657" s="113"/>
      <c r="N657" s="113"/>
      <c r="P657" s="113"/>
      <c r="Q657" s="113"/>
      <c r="R657" s="113"/>
      <c r="T657" s="113"/>
      <c r="U657" s="113"/>
      <c r="V657" s="113"/>
    </row>
    <row r="658" customFormat="false" ht="15" hidden="false" customHeight="true" outlineLevel="0" collapsed="false">
      <c r="H658" s="113"/>
      <c r="I658" s="113"/>
      <c r="J658" s="113"/>
      <c r="L658" s="113"/>
      <c r="M658" s="113"/>
      <c r="N658" s="113"/>
      <c r="P658" s="113"/>
      <c r="Q658" s="113"/>
      <c r="R658" s="113"/>
      <c r="T658" s="113"/>
      <c r="U658" s="113"/>
      <c r="V658" s="113"/>
    </row>
    <row r="659" customFormat="false" ht="15" hidden="false" customHeight="true" outlineLevel="0" collapsed="false">
      <c r="H659" s="113"/>
      <c r="I659" s="113"/>
      <c r="J659" s="113"/>
      <c r="L659" s="113"/>
      <c r="M659" s="113"/>
      <c r="N659" s="113"/>
      <c r="P659" s="113"/>
      <c r="Q659" s="113"/>
      <c r="R659" s="113"/>
      <c r="T659" s="113"/>
      <c r="U659" s="113"/>
      <c r="V659" s="113"/>
    </row>
    <row r="660" customFormat="false" ht="15" hidden="false" customHeight="true" outlineLevel="0" collapsed="false">
      <c r="H660" s="113"/>
      <c r="I660" s="113"/>
      <c r="J660" s="113"/>
      <c r="L660" s="113"/>
      <c r="M660" s="113"/>
      <c r="N660" s="113"/>
      <c r="P660" s="113"/>
      <c r="Q660" s="113"/>
      <c r="R660" s="113"/>
      <c r="T660" s="113"/>
      <c r="U660" s="113"/>
      <c r="V660" s="113"/>
    </row>
    <row r="661" customFormat="false" ht="15" hidden="false" customHeight="true" outlineLevel="0" collapsed="false">
      <c r="H661" s="113"/>
      <c r="I661" s="113"/>
      <c r="J661" s="113"/>
      <c r="L661" s="113"/>
      <c r="M661" s="113"/>
      <c r="N661" s="113"/>
      <c r="P661" s="113"/>
      <c r="Q661" s="113"/>
      <c r="R661" s="113"/>
      <c r="T661" s="113"/>
      <c r="U661" s="113"/>
      <c r="V661" s="113"/>
    </row>
    <row r="662" customFormat="false" ht="15" hidden="false" customHeight="true" outlineLevel="0" collapsed="false">
      <c r="H662" s="113"/>
      <c r="I662" s="113"/>
      <c r="J662" s="113"/>
      <c r="L662" s="113"/>
      <c r="M662" s="113"/>
      <c r="N662" s="113"/>
      <c r="P662" s="113"/>
      <c r="Q662" s="113"/>
      <c r="R662" s="113"/>
      <c r="T662" s="113"/>
      <c r="U662" s="113"/>
      <c r="V662" s="113"/>
    </row>
    <row r="663" customFormat="false" ht="15" hidden="false" customHeight="true" outlineLevel="0" collapsed="false">
      <c r="H663" s="113"/>
      <c r="I663" s="113"/>
      <c r="J663" s="113"/>
      <c r="L663" s="113"/>
      <c r="M663" s="113"/>
      <c r="N663" s="113"/>
      <c r="P663" s="113"/>
      <c r="Q663" s="113"/>
      <c r="R663" s="113"/>
      <c r="T663" s="113"/>
      <c r="U663" s="113"/>
      <c r="V663" s="113"/>
    </row>
    <row r="664" customFormat="false" ht="15" hidden="false" customHeight="true" outlineLevel="0" collapsed="false">
      <c r="H664" s="113"/>
      <c r="I664" s="113"/>
      <c r="J664" s="113"/>
      <c r="L664" s="113"/>
      <c r="M664" s="113"/>
      <c r="N664" s="113"/>
      <c r="P664" s="113"/>
      <c r="Q664" s="113"/>
      <c r="R664" s="113"/>
      <c r="T664" s="113"/>
      <c r="U664" s="113"/>
      <c r="V664" s="113"/>
    </row>
    <row r="665" customFormat="false" ht="15" hidden="false" customHeight="true" outlineLevel="0" collapsed="false">
      <c r="H665" s="113"/>
      <c r="I665" s="113"/>
      <c r="J665" s="113"/>
      <c r="L665" s="113"/>
      <c r="M665" s="113"/>
      <c r="N665" s="113"/>
      <c r="P665" s="113"/>
      <c r="Q665" s="113"/>
      <c r="R665" s="113"/>
      <c r="T665" s="113"/>
      <c r="U665" s="113"/>
      <c r="V665" s="113"/>
    </row>
    <row r="666" customFormat="false" ht="15" hidden="false" customHeight="true" outlineLevel="0" collapsed="false">
      <c r="H666" s="113"/>
      <c r="I666" s="113"/>
      <c r="J666" s="113"/>
      <c r="L666" s="113"/>
      <c r="M666" s="113"/>
      <c r="N666" s="113"/>
      <c r="P666" s="113"/>
      <c r="Q666" s="113"/>
      <c r="R666" s="113"/>
      <c r="T666" s="113"/>
      <c r="U666" s="113"/>
      <c r="V666" s="113"/>
    </row>
    <row r="667" customFormat="false" ht="15" hidden="false" customHeight="true" outlineLevel="0" collapsed="false">
      <c r="H667" s="113"/>
      <c r="I667" s="113"/>
      <c r="J667" s="113"/>
      <c r="L667" s="113"/>
      <c r="M667" s="113"/>
      <c r="N667" s="113"/>
      <c r="P667" s="113"/>
      <c r="Q667" s="113"/>
      <c r="R667" s="113"/>
      <c r="T667" s="113"/>
      <c r="U667" s="113"/>
      <c r="V667" s="113"/>
    </row>
    <row r="668" customFormat="false" ht="15" hidden="false" customHeight="true" outlineLevel="0" collapsed="false">
      <c r="H668" s="113"/>
      <c r="I668" s="113"/>
      <c r="J668" s="113"/>
      <c r="L668" s="113"/>
      <c r="M668" s="113"/>
      <c r="N668" s="113"/>
      <c r="P668" s="113"/>
      <c r="Q668" s="113"/>
      <c r="R668" s="113"/>
      <c r="T668" s="113"/>
      <c r="U668" s="113"/>
      <c r="V668" s="113"/>
    </row>
    <row r="669" customFormat="false" ht="15" hidden="false" customHeight="true" outlineLevel="0" collapsed="false">
      <c r="H669" s="113"/>
      <c r="I669" s="113"/>
      <c r="J669" s="113"/>
      <c r="L669" s="113"/>
      <c r="M669" s="113"/>
      <c r="N669" s="113"/>
      <c r="P669" s="113"/>
      <c r="Q669" s="113"/>
      <c r="R669" s="113"/>
      <c r="T669" s="113"/>
      <c r="U669" s="113"/>
      <c r="V669" s="113"/>
    </row>
    <row r="670" customFormat="false" ht="15" hidden="false" customHeight="true" outlineLevel="0" collapsed="false">
      <c r="H670" s="113"/>
      <c r="I670" s="113"/>
      <c r="J670" s="113"/>
      <c r="L670" s="113"/>
      <c r="M670" s="113"/>
      <c r="N670" s="113"/>
      <c r="P670" s="113"/>
      <c r="Q670" s="113"/>
      <c r="R670" s="113"/>
      <c r="T670" s="113"/>
      <c r="U670" s="113"/>
      <c r="V670" s="113"/>
    </row>
    <row r="671" customFormat="false" ht="15" hidden="false" customHeight="true" outlineLevel="0" collapsed="false">
      <c r="H671" s="113"/>
      <c r="I671" s="113"/>
      <c r="J671" s="113"/>
      <c r="L671" s="113"/>
      <c r="M671" s="113"/>
      <c r="N671" s="113"/>
      <c r="P671" s="113"/>
      <c r="Q671" s="113"/>
      <c r="R671" s="113"/>
      <c r="T671" s="113"/>
      <c r="U671" s="113"/>
      <c r="V671" s="113"/>
    </row>
    <row r="672" customFormat="false" ht="15" hidden="false" customHeight="true" outlineLevel="0" collapsed="false">
      <c r="H672" s="113"/>
      <c r="I672" s="113"/>
      <c r="J672" s="113"/>
      <c r="L672" s="113"/>
      <c r="M672" s="113"/>
      <c r="N672" s="113"/>
      <c r="P672" s="113"/>
      <c r="Q672" s="113"/>
      <c r="R672" s="113"/>
      <c r="T672" s="113"/>
      <c r="U672" s="113"/>
      <c r="V672" s="113"/>
    </row>
    <row r="673" customFormat="false" ht="15" hidden="false" customHeight="true" outlineLevel="0" collapsed="false">
      <c r="H673" s="113"/>
      <c r="I673" s="113"/>
      <c r="J673" s="113"/>
      <c r="L673" s="113"/>
      <c r="M673" s="113"/>
      <c r="N673" s="113"/>
      <c r="P673" s="113"/>
      <c r="Q673" s="113"/>
      <c r="R673" s="113"/>
      <c r="T673" s="113"/>
      <c r="U673" s="113"/>
      <c r="V673" s="113"/>
    </row>
    <row r="674" customFormat="false" ht="15" hidden="false" customHeight="true" outlineLevel="0" collapsed="false">
      <c r="H674" s="113"/>
      <c r="I674" s="113"/>
      <c r="J674" s="113"/>
      <c r="L674" s="113"/>
      <c r="M674" s="113"/>
      <c r="N674" s="113"/>
      <c r="P674" s="113"/>
      <c r="Q674" s="113"/>
      <c r="R674" s="113"/>
      <c r="T674" s="113"/>
      <c r="U674" s="113"/>
      <c r="V674" s="113"/>
    </row>
    <row r="675" customFormat="false" ht="15" hidden="false" customHeight="true" outlineLevel="0" collapsed="false">
      <c r="H675" s="113"/>
      <c r="I675" s="113"/>
      <c r="J675" s="113"/>
      <c r="L675" s="113"/>
      <c r="M675" s="113"/>
      <c r="N675" s="113"/>
      <c r="P675" s="113"/>
      <c r="Q675" s="113"/>
      <c r="R675" s="113"/>
      <c r="T675" s="113"/>
      <c r="U675" s="113"/>
      <c r="V675" s="113"/>
    </row>
    <row r="676" customFormat="false" ht="15" hidden="false" customHeight="true" outlineLevel="0" collapsed="false">
      <c r="H676" s="113"/>
      <c r="I676" s="113"/>
      <c r="J676" s="113"/>
      <c r="L676" s="113"/>
      <c r="M676" s="113"/>
      <c r="N676" s="113"/>
      <c r="P676" s="113"/>
      <c r="Q676" s="113"/>
      <c r="R676" s="113"/>
      <c r="T676" s="113"/>
      <c r="U676" s="113"/>
      <c r="V676" s="113"/>
    </row>
    <row r="677" customFormat="false" ht="15" hidden="false" customHeight="true" outlineLevel="0" collapsed="false">
      <c r="H677" s="113"/>
      <c r="I677" s="113"/>
      <c r="J677" s="113"/>
      <c r="L677" s="113"/>
      <c r="M677" s="113"/>
      <c r="N677" s="113"/>
      <c r="P677" s="113"/>
      <c r="Q677" s="113"/>
      <c r="R677" s="113"/>
      <c r="T677" s="113"/>
      <c r="U677" s="113"/>
      <c r="V677" s="113"/>
    </row>
    <row r="678" customFormat="false" ht="15" hidden="false" customHeight="true" outlineLevel="0" collapsed="false">
      <c r="H678" s="113"/>
      <c r="I678" s="113"/>
      <c r="J678" s="113"/>
      <c r="L678" s="113"/>
      <c r="M678" s="113"/>
      <c r="N678" s="113"/>
      <c r="P678" s="113"/>
      <c r="Q678" s="113"/>
      <c r="R678" s="113"/>
      <c r="T678" s="113"/>
      <c r="U678" s="113"/>
      <c r="V678" s="113"/>
    </row>
    <row r="679" customFormat="false" ht="15" hidden="false" customHeight="true" outlineLevel="0" collapsed="false">
      <c r="H679" s="113"/>
      <c r="I679" s="113"/>
      <c r="J679" s="113"/>
      <c r="L679" s="113"/>
      <c r="M679" s="113"/>
      <c r="N679" s="113"/>
      <c r="P679" s="113"/>
      <c r="Q679" s="113"/>
      <c r="R679" s="113"/>
      <c r="T679" s="113"/>
      <c r="U679" s="113"/>
      <c r="V679" s="113"/>
    </row>
    <row r="680" customFormat="false" ht="15" hidden="false" customHeight="true" outlineLevel="0" collapsed="false">
      <c r="H680" s="113"/>
      <c r="I680" s="113"/>
      <c r="J680" s="113"/>
      <c r="L680" s="113"/>
      <c r="M680" s="113"/>
      <c r="N680" s="113"/>
      <c r="P680" s="113"/>
      <c r="Q680" s="113"/>
      <c r="R680" s="113"/>
      <c r="T680" s="113"/>
      <c r="U680" s="113"/>
      <c r="V680" s="113"/>
    </row>
    <row r="681" customFormat="false" ht="15" hidden="false" customHeight="true" outlineLevel="0" collapsed="false">
      <c r="H681" s="113"/>
      <c r="I681" s="113"/>
      <c r="J681" s="113"/>
      <c r="L681" s="113"/>
      <c r="M681" s="113"/>
      <c r="N681" s="113"/>
      <c r="P681" s="113"/>
      <c r="Q681" s="113"/>
      <c r="R681" s="113"/>
      <c r="T681" s="113"/>
      <c r="U681" s="113"/>
      <c r="V681" s="113"/>
    </row>
    <row r="682" customFormat="false" ht="15" hidden="false" customHeight="true" outlineLevel="0" collapsed="false">
      <c r="H682" s="113"/>
      <c r="I682" s="113"/>
      <c r="J682" s="113"/>
      <c r="L682" s="113"/>
      <c r="M682" s="113"/>
      <c r="N682" s="113"/>
      <c r="P682" s="113"/>
      <c r="Q682" s="113"/>
      <c r="R682" s="113"/>
      <c r="T682" s="113"/>
      <c r="U682" s="113"/>
      <c r="V682" s="113"/>
    </row>
    <row r="683" customFormat="false" ht="15" hidden="false" customHeight="true" outlineLevel="0" collapsed="false">
      <c r="H683" s="113"/>
      <c r="I683" s="113"/>
      <c r="J683" s="113"/>
      <c r="L683" s="113"/>
      <c r="M683" s="113"/>
      <c r="N683" s="113"/>
      <c r="P683" s="113"/>
      <c r="Q683" s="113"/>
      <c r="R683" s="113"/>
      <c r="T683" s="113"/>
      <c r="U683" s="113"/>
      <c r="V683" s="113"/>
    </row>
    <row r="684" customFormat="false" ht="15" hidden="false" customHeight="true" outlineLevel="0" collapsed="false">
      <c r="H684" s="113"/>
      <c r="I684" s="113"/>
      <c r="J684" s="113"/>
      <c r="L684" s="113"/>
      <c r="M684" s="113"/>
      <c r="N684" s="113"/>
      <c r="P684" s="113"/>
      <c r="Q684" s="113"/>
      <c r="R684" s="113"/>
      <c r="T684" s="113"/>
      <c r="U684" s="113"/>
      <c r="V684" s="113"/>
    </row>
    <row r="685" customFormat="false" ht="15" hidden="false" customHeight="true" outlineLevel="0" collapsed="false">
      <c r="H685" s="113"/>
      <c r="I685" s="113"/>
      <c r="J685" s="113"/>
      <c r="L685" s="113"/>
      <c r="M685" s="113"/>
      <c r="N685" s="113"/>
      <c r="P685" s="113"/>
      <c r="Q685" s="113"/>
      <c r="R685" s="113"/>
      <c r="T685" s="113"/>
      <c r="U685" s="113"/>
      <c r="V685" s="113"/>
    </row>
    <row r="686" customFormat="false" ht="15" hidden="false" customHeight="true" outlineLevel="0" collapsed="false">
      <c r="H686" s="113"/>
      <c r="I686" s="113"/>
      <c r="J686" s="113"/>
      <c r="L686" s="113"/>
      <c r="M686" s="113"/>
      <c r="N686" s="113"/>
      <c r="P686" s="113"/>
      <c r="Q686" s="113"/>
      <c r="R686" s="113"/>
      <c r="T686" s="113"/>
      <c r="U686" s="113"/>
      <c r="V686" s="113"/>
    </row>
    <row r="687" customFormat="false" ht="15" hidden="false" customHeight="true" outlineLevel="0" collapsed="false">
      <c r="H687" s="113"/>
      <c r="I687" s="113"/>
      <c r="J687" s="113"/>
      <c r="L687" s="113"/>
      <c r="M687" s="113"/>
      <c r="N687" s="113"/>
      <c r="P687" s="113"/>
      <c r="Q687" s="113"/>
      <c r="R687" s="113"/>
      <c r="T687" s="113"/>
      <c r="U687" s="113"/>
      <c r="V687" s="113"/>
    </row>
    <row r="688" customFormat="false" ht="15" hidden="false" customHeight="true" outlineLevel="0" collapsed="false">
      <c r="H688" s="113"/>
      <c r="I688" s="113"/>
      <c r="J688" s="113"/>
      <c r="L688" s="113"/>
      <c r="M688" s="113"/>
      <c r="N688" s="113"/>
      <c r="P688" s="113"/>
      <c r="Q688" s="113"/>
      <c r="R688" s="113"/>
      <c r="T688" s="113"/>
      <c r="U688" s="113"/>
      <c r="V688" s="113"/>
    </row>
    <row r="689" customFormat="false" ht="15" hidden="false" customHeight="true" outlineLevel="0" collapsed="false">
      <c r="H689" s="113"/>
      <c r="I689" s="113"/>
      <c r="J689" s="113"/>
      <c r="L689" s="113"/>
      <c r="M689" s="113"/>
      <c r="N689" s="113"/>
      <c r="P689" s="113"/>
      <c r="Q689" s="113"/>
      <c r="R689" s="113"/>
      <c r="T689" s="113"/>
      <c r="U689" s="113"/>
      <c r="V689" s="113"/>
    </row>
    <row r="690" customFormat="false" ht="15" hidden="false" customHeight="true" outlineLevel="0" collapsed="false">
      <c r="H690" s="113"/>
      <c r="I690" s="113"/>
      <c r="J690" s="113"/>
      <c r="L690" s="113"/>
      <c r="M690" s="113"/>
      <c r="N690" s="113"/>
      <c r="P690" s="113"/>
      <c r="Q690" s="113"/>
      <c r="R690" s="113"/>
      <c r="T690" s="113"/>
      <c r="U690" s="113"/>
      <c r="V690" s="113"/>
    </row>
    <row r="691" customFormat="false" ht="15" hidden="false" customHeight="true" outlineLevel="0" collapsed="false">
      <c r="H691" s="113"/>
      <c r="I691" s="113"/>
      <c r="J691" s="113"/>
      <c r="L691" s="113"/>
      <c r="M691" s="113"/>
      <c r="N691" s="113"/>
      <c r="P691" s="113"/>
      <c r="Q691" s="113"/>
      <c r="R691" s="113"/>
      <c r="T691" s="113"/>
      <c r="U691" s="113"/>
      <c r="V691" s="113"/>
    </row>
    <row r="692" customFormat="false" ht="15" hidden="false" customHeight="true" outlineLevel="0" collapsed="false">
      <c r="H692" s="113"/>
      <c r="I692" s="113"/>
      <c r="J692" s="113"/>
      <c r="L692" s="113"/>
      <c r="M692" s="113"/>
      <c r="N692" s="113"/>
      <c r="P692" s="113"/>
      <c r="Q692" s="113"/>
      <c r="R692" s="113"/>
      <c r="T692" s="113"/>
      <c r="U692" s="113"/>
      <c r="V692" s="113"/>
    </row>
    <row r="693" customFormat="false" ht="15" hidden="false" customHeight="true" outlineLevel="0" collapsed="false">
      <c r="H693" s="113"/>
      <c r="I693" s="113"/>
      <c r="J693" s="113"/>
      <c r="L693" s="113"/>
      <c r="M693" s="113"/>
      <c r="N693" s="113"/>
      <c r="P693" s="113"/>
      <c r="Q693" s="113"/>
      <c r="R693" s="113"/>
      <c r="T693" s="113"/>
      <c r="U693" s="113"/>
      <c r="V693" s="113"/>
    </row>
    <row r="694" customFormat="false" ht="15" hidden="false" customHeight="true" outlineLevel="0" collapsed="false">
      <c r="H694" s="113"/>
      <c r="I694" s="113"/>
      <c r="J694" s="113"/>
      <c r="L694" s="113"/>
      <c r="M694" s="113"/>
      <c r="N694" s="113"/>
      <c r="P694" s="113"/>
      <c r="Q694" s="113"/>
      <c r="R694" s="113"/>
      <c r="T694" s="113"/>
      <c r="U694" s="113"/>
      <c r="V694" s="113"/>
    </row>
    <row r="695" customFormat="false" ht="15" hidden="false" customHeight="true" outlineLevel="0" collapsed="false">
      <c r="H695" s="113"/>
      <c r="I695" s="113"/>
      <c r="J695" s="113"/>
      <c r="L695" s="113"/>
      <c r="M695" s="113"/>
      <c r="N695" s="113"/>
      <c r="P695" s="113"/>
      <c r="Q695" s="113"/>
      <c r="R695" s="113"/>
      <c r="T695" s="113"/>
      <c r="U695" s="113"/>
      <c r="V695" s="113"/>
    </row>
    <row r="696" customFormat="false" ht="15" hidden="false" customHeight="true" outlineLevel="0" collapsed="false">
      <c r="H696" s="113"/>
      <c r="I696" s="113"/>
      <c r="J696" s="113"/>
      <c r="L696" s="113"/>
      <c r="M696" s="113"/>
      <c r="N696" s="113"/>
      <c r="P696" s="113"/>
      <c r="Q696" s="113"/>
      <c r="R696" s="113"/>
      <c r="T696" s="113"/>
      <c r="U696" s="113"/>
      <c r="V696" s="113"/>
    </row>
    <row r="697" customFormat="false" ht="15" hidden="false" customHeight="true" outlineLevel="0" collapsed="false">
      <c r="H697" s="113"/>
      <c r="I697" s="113"/>
      <c r="J697" s="113"/>
      <c r="L697" s="113"/>
      <c r="M697" s="113"/>
      <c r="N697" s="113"/>
      <c r="P697" s="113"/>
      <c r="Q697" s="113"/>
      <c r="R697" s="113"/>
      <c r="T697" s="113"/>
      <c r="U697" s="113"/>
      <c r="V697" s="113"/>
    </row>
    <row r="698" customFormat="false" ht="15" hidden="false" customHeight="true" outlineLevel="0" collapsed="false">
      <c r="H698" s="113"/>
      <c r="I698" s="113"/>
      <c r="J698" s="113"/>
      <c r="L698" s="113"/>
      <c r="M698" s="113"/>
      <c r="N698" s="113"/>
      <c r="P698" s="113"/>
      <c r="Q698" s="113"/>
      <c r="R698" s="113"/>
      <c r="T698" s="113"/>
      <c r="U698" s="113"/>
      <c r="V698" s="113"/>
    </row>
    <row r="699" customFormat="false" ht="15" hidden="false" customHeight="true" outlineLevel="0" collapsed="false">
      <c r="H699" s="113"/>
      <c r="I699" s="113"/>
      <c r="J699" s="113"/>
      <c r="L699" s="113"/>
      <c r="M699" s="113"/>
      <c r="N699" s="113"/>
      <c r="P699" s="113"/>
      <c r="Q699" s="113"/>
      <c r="R699" s="113"/>
      <c r="T699" s="113"/>
      <c r="U699" s="113"/>
      <c r="V699" s="113"/>
    </row>
    <row r="700" customFormat="false" ht="15" hidden="false" customHeight="true" outlineLevel="0" collapsed="false">
      <c r="H700" s="113"/>
      <c r="I700" s="113"/>
      <c r="J700" s="113"/>
      <c r="L700" s="113"/>
      <c r="M700" s="113"/>
      <c r="N700" s="113"/>
      <c r="P700" s="113"/>
      <c r="Q700" s="113"/>
      <c r="R700" s="113"/>
      <c r="T700" s="113"/>
      <c r="U700" s="113"/>
      <c r="V700" s="113"/>
    </row>
    <row r="701" customFormat="false" ht="15" hidden="false" customHeight="true" outlineLevel="0" collapsed="false">
      <c r="H701" s="113"/>
      <c r="I701" s="113"/>
      <c r="J701" s="113"/>
      <c r="L701" s="113"/>
      <c r="M701" s="113"/>
      <c r="N701" s="113"/>
      <c r="P701" s="113"/>
      <c r="Q701" s="113"/>
      <c r="R701" s="113"/>
      <c r="T701" s="113"/>
      <c r="U701" s="113"/>
      <c r="V701" s="113"/>
    </row>
    <row r="702" customFormat="false" ht="15" hidden="false" customHeight="true" outlineLevel="0" collapsed="false">
      <c r="H702" s="113"/>
      <c r="I702" s="113"/>
      <c r="J702" s="113"/>
      <c r="L702" s="113"/>
      <c r="M702" s="113"/>
      <c r="N702" s="113"/>
      <c r="P702" s="113"/>
      <c r="Q702" s="113"/>
      <c r="R702" s="113"/>
      <c r="T702" s="113"/>
      <c r="U702" s="113"/>
      <c r="V702" s="113"/>
    </row>
    <row r="703" customFormat="false" ht="15" hidden="false" customHeight="true" outlineLevel="0" collapsed="false">
      <c r="H703" s="113"/>
      <c r="I703" s="113"/>
      <c r="J703" s="113"/>
      <c r="L703" s="113"/>
      <c r="M703" s="113"/>
      <c r="N703" s="113"/>
      <c r="P703" s="113"/>
      <c r="Q703" s="113"/>
      <c r="R703" s="113"/>
      <c r="T703" s="113"/>
      <c r="U703" s="113"/>
      <c r="V703" s="113"/>
    </row>
    <row r="704" customFormat="false" ht="15" hidden="false" customHeight="true" outlineLevel="0" collapsed="false">
      <c r="H704" s="113"/>
      <c r="I704" s="113"/>
      <c r="J704" s="113"/>
      <c r="L704" s="113"/>
      <c r="M704" s="113"/>
      <c r="N704" s="113"/>
      <c r="P704" s="113"/>
      <c r="Q704" s="113"/>
      <c r="R704" s="113"/>
      <c r="T704" s="113"/>
      <c r="U704" s="113"/>
      <c r="V704" s="113"/>
    </row>
    <row r="705" customFormat="false" ht="15" hidden="false" customHeight="true" outlineLevel="0" collapsed="false">
      <c r="H705" s="113"/>
      <c r="I705" s="113"/>
      <c r="J705" s="113"/>
      <c r="L705" s="113"/>
      <c r="M705" s="113"/>
      <c r="N705" s="113"/>
      <c r="P705" s="113"/>
      <c r="Q705" s="113"/>
      <c r="R705" s="113"/>
      <c r="T705" s="113"/>
      <c r="U705" s="113"/>
      <c r="V705" s="113"/>
    </row>
    <row r="706" customFormat="false" ht="15" hidden="false" customHeight="true" outlineLevel="0" collapsed="false">
      <c r="H706" s="113"/>
      <c r="I706" s="113"/>
      <c r="J706" s="113"/>
      <c r="L706" s="113"/>
      <c r="M706" s="113"/>
      <c r="N706" s="113"/>
      <c r="P706" s="113"/>
      <c r="Q706" s="113"/>
      <c r="R706" s="113"/>
      <c r="T706" s="113"/>
      <c r="U706" s="113"/>
      <c r="V706" s="113"/>
    </row>
    <row r="707" customFormat="false" ht="15" hidden="false" customHeight="true" outlineLevel="0" collapsed="false">
      <c r="H707" s="113"/>
      <c r="I707" s="113"/>
      <c r="J707" s="113"/>
      <c r="L707" s="113"/>
      <c r="M707" s="113"/>
      <c r="N707" s="113"/>
      <c r="P707" s="113"/>
      <c r="Q707" s="113"/>
      <c r="R707" s="113"/>
      <c r="T707" s="113"/>
      <c r="U707" s="113"/>
      <c r="V707" s="113"/>
    </row>
    <row r="708" customFormat="false" ht="15" hidden="false" customHeight="true" outlineLevel="0" collapsed="false">
      <c r="H708" s="113"/>
      <c r="I708" s="113"/>
      <c r="J708" s="113"/>
      <c r="L708" s="113"/>
      <c r="M708" s="113"/>
      <c r="N708" s="113"/>
      <c r="P708" s="113"/>
      <c r="Q708" s="113"/>
      <c r="R708" s="113"/>
      <c r="T708" s="113"/>
      <c r="U708" s="113"/>
      <c r="V708" s="113"/>
    </row>
    <row r="709" customFormat="false" ht="15" hidden="false" customHeight="true" outlineLevel="0" collapsed="false"/>
  </sheetData>
  <mergeCells count="62">
    <mergeCell ref="A7:Y7"/>
    <mergeCell ref="B9:I9"/>
    <mergeCell ref="K9:R9"/>
    <mergeCell ref="B10:C10"/>
    <mergeCell ref="D10:E10"/>
    <mergeCell ref="F10:G10"/>
    <mergeCell ref="H10:I10"/>
    <mergeCell ref="K10:L10"/>
    <mergeCell ref="M10:N10"/>
    <mergeCell ref="O10:P10"/>
    <mergeCell ref="Q10:R10"/>
    <mergeCell ref="B11:C11"/>
    <mergeCell ref="D11:E11"/>
    <mergeCell ref="F11:G11"/>
    <mergeCell ref="H11:I11"/>
    <mergeCell ref="K11:L11"/>
    <mergeCell ref="M11:N11"/>
    <mergeCell ref="O11:P11"/>
    <mergeCell ref="Q11:R11"/>
    <mergeCell ref="B12:C13"/>
    <mergeCell ref="D12:E13"/>
    <mergeCell ref="F12:G13"/>
    <mergeCell ref="H12:I13"/>
    <mergeCell ref="K12:L13"/>
    <mergeCell ref="M12:N13"/>
    <mergeCell ref="O12:P13"/>
    <mergeCell ref="Q12:R13"/>
    <mergeCell ref="B14:C14"/>
    <mergeCell ref="D14:E14"/>
    <mergeCell ref="F14:G14"/>
    <mergeCell ref="H14:I14"/>
    <mergeCell ref="K14:L14"/>
    <mergeCell ref="M14:N14"/>
    <mergeCell ref="O14:P14"/>
    <mergeCell ref="Q14:R14"/>
    <mergeCell ref="B16:R16"/>
    <mergeCell ref="B17:D17"/>
    <mergeCell ref="E17:G17"/>
    <mergeCell ref="I17:K17"/>
    <mergeCell ref="M17:O17"/>
    <mergeCell ref="Q17:S17"/>
    <mergeCell ref="B18:D18"/>
    <mergeCell ref="E18:G18"/>
    <mergeCell ref="I18:K18"/>
    <mergeCell ref="M18:O18"/>
    <mergeCell ref="Q18:S18"/>
    <mergeCell ref="B19:D20"/>
    <mergeCell ref="E19:G20"/>
    <mergeCell ref="I19:K20"/>
    <mergeCell ref="M19:O20"/>
    <mergeCell ref="Q19:S20"/>
    <mergeCell ref="B21:D21"/>
    <mergeCell ref="E21:G21"/>
    <mergeCell ref="I21:K21"/>
    <mergeCell ref="M21:O21"/>
    <mergeCell ref="Q21:S21"/>
    <mergeCell ref="B22:D22"/>
    <mergeCell ref="E22:G22"/>
    <mergeCell ref="I22:K22"/>
    <mergeCell ref="M22:O22"/>
    <mergeCell ref="Q22:S22"/>
    <mergeCell ref="B23:S23"/>
  </mergeCells>
  <conditionalFormatting sqref="L49:M49">
    <cfRule type="expression" priority="2" aboveAverage="0" equalAverage="0" bottom="0" percent="0" rank="0" text="" dxfId="0">
      <formula>AND(ISNUMBER(L49),ISNUMBER($G49),OR(AND($D49="P",L49&gt;=$G49),AND($D49="N",L49&lt;=$G49)))</formula>
    </cfRule>
    <cfRule type="expression" priority="3" aboveAverage="0" equalAverage="0" bottom="0" percent="0" rank="0" text="" dxfId="1">
      <formula>AND(ISNUMBER(L49),ISNUMBER($G49),OR(AND($D49="P",L49&lt;$G49),AND($D49="N",L49&gt;$G49)))</formula>
    </cfRule>
  </conditionalFormatting>
  <conditionalFormatting sqref="X36:X113">
    <cfRule type="expression" priority="4" aboveAverage="0" equalAverage="0" bottom="0" percent="0" rank="0" text="" dxfId="0">
      <formula>$Y36="✓ On Target"</formula>
    </cfRule>
    <cfRule type="expression" priority="5" aboveAverage="0" equalAverage="0" bottom="0" percent="0" rank="0" text="" dxfId="1">
      <formula>$Y36="✗ Off Target"</formula>
    </cfRule>
    <cfRule type="expression" priority="6" aboveAverage="0" equalAverage="0" bottom="0" percent="0" rank="0" text="" dxfId="2">
      <formula>$Y36="— No Data"</formula>
    </cfRule>
    <cfRule type="expression" priority="7" aboveAverage="0" equalAverage="0" bottom="0" percent="0" rank="0" text="" dxfId="3">
      <formula>$Y36="⊘ Non Target"</formula>
    </cfRule>
  </conditionalFormatting>
  <conditionalFormatting sqref="Y36:Y113">
    <cfRule type="expression" priority="8" aboveAverage="0" equalAverage="0" bottom="0" percent="0" rank="0" text="" dxfId="0">
      <formula>Y36="✓ On Target"</formula>
    </cfRule>
    <cfRule type="expression" priority="9" aboveAverage="0" equalAverage="0" bottom="0" percent="0" rank="0" text="" dxfId="1">
      <formula>Y36="✗ Off Target"</formula>
    </cfRule>
    <cfRule type="expression" priority="10" aboveAverage="0" equalAverage="0" bottom="0" percent="0" rank="0" text="" dxfId="2">
      <formula>Y36="— No Data"</formula>
    </cfRule>
    <cfRule type="expression" priority="11" aboveAverage="0" equalAverage="0" bottom="0" percent="0" rank="0" text="" dxfId="3">
      <formula>Y36="⊘ Non Target"</formula>
    </cfRule>
  </conditionalFormatting>
  <conditionalFormatting sqref="H36:W48 H49:K49 H50:W113 N49:W49">
    <cfRule type="expression" priority="12" aboveAverage="0" equalAverage="0" bottom="0" percent="0" rank="0" text="" dxfId="0">
      <formula>AND(ISNUMBER(H36),ISNUMBER($G36),OR(AND($D36="P",H36&gt;=$G36),AND($D36="N",H36&lt;=$G36)))</formula>
    </cfRule>
    <cfRule type="expression" priority="13" aboveAverage="0" equalAverage="0" bottom="0" percent="0" rank="0" text="" dxfId="1">
      <formula>AND(ISNUMBER(H36),ISNUMBER($G36),OR(AND($D36="P",H36&lt;$G36),AND($D36="N",H36&gt;$G36)))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96"/>
  <sheetViews>
    <sheetView showFormulas="false" showGridLines="fals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J56" activeCellId="0" sqref="J56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8"/>
    <col collapsed="false" customWidth="true" hidden="false" outlineLevel="0" max="3" min="3" style="1" width="13"/>
    <col collapsed="false" customWidth="true" hidden="true" outlineLevel="0" max="4" min="4" style="1" width="3"/>
    <col collapsed="false" customWidth="true" hidden="false" outlineLevel="0" max="5" min="5" style="1" width="9"/>
    <col collapsed="false" customWidth="true" hidden="false" outlineLevel="0" max="7" min="6" style="1" width="10"/>
    <col collapsed="false" customWidth="true" hidden="false" outlineLevel="0" max="10" min="8" style="1" width="7"/>
    <col collapsed="false" customWidth="true" hidden="false" outlineLevel="0" max="11" min="11" style="1" width="8"/>
    <col collapsed="false" customWidth="true" hidden="false" outlineLevel="0" max="14" min="12" style="1" width="7"/>
    <col collapsed="false" customWidth="true" hidden="false" outlineLevel="0" max="15" min="15" style="1" width="8"/>
    <col collapsed="false" customWidth="true" hidden="false" outlineLevel="0" max="18" min="16" style="1" width="7"/>
    <col collapsed="false" customWidth="true" hidden="false" outlineLevel="0" max="19" min="19" style="1" width="8"/>
    <col collapsed="false" customWidth="true" hidden="false" outlineLevel="0" max="22" min="20" style="1" width="7"/>
    <col collapsed="false" customWidth="true" hidden="false" outlineLevel="0" max="23" min="23" style="1" width="8"/>
    <col collapsed="false" customWidth="true" hidden="false" outlineLevel="0" max="24" min="24" style="1" width="10"/>
    <col collapsed="false" customWidth="true" hidden="false" outlineLevel="0" max="25" min="25" style="1" width="14"/>
    <col collapsed="false" customWidth="true" hidden="false" outlineLevel="0" max="26" min="26" style="1" width="16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30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30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30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2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21.75" hidden="false" customHeight="true" outlineLevel="0" collapsed="false">
      <c r="A7" s="3" t="s">
        <v>526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9" customFormat="false" ht="24" hidden="false" customHeight="true" outlineLevel="0" collapsed="false">
      <c r="B9" s="159" t="s">
        <v>486</v>
      </c>
      <c r="C9" s="159"/>
      <c r="D9" s="159"/>
      <c r="E9" s="159"/>
      <c r="F9" s="159"/>
      <c r="G9" s="159"/>
      <c r="H9" s="159"/>
      <c r="I9" s="159"/>
      <c r="K9" s="159" t="s">
        <v>487</v>
      </c>
      <c r="L9" s="159"/>
      <c r="M9" s="159"/>
      <c r="N9" s="159"/>
      <c r="O9" s="159"/>
      <c r="P9" s="159"/>
      <c r="Q9" s="159"/>
      <c r="R9" s="159"/>
    </row>
    <row r="10" customFormat="false" ht="6" hidden="false" customHeight="true" outlineLevel="0" collapsed="false">
      <c r="B10" s="4"/>
      <c r="C10" s="4"/>
      <c r="D10" s="5"/>
      <c r="E10" s="5"/>
      <c r="F10" s="6"/>
      <c r="G10" s="6"/>
      <c r="H10" s="7"/>
      <c r="I10" s="7"/>
      <c r="K10" s="4"/>
      <c r="L10" s="4"/>
      <c r="M10" s="5"/>
      <c r="N10" s="5"/>
      <c r="O10" s="6"/>
      <c r="P10" s="6"/>
      <c r="Q10" s="7"/>
      <c r="R10" s="7"/>
    </row>
    <row r="11" customFormat="false" ht="19.5" hidden="false" customHeight="true" outlineLevel="0" collapsed="false">
      <c r="B11" s="9" t="s">
        <v>488</v>
      </c>
      <c r="C11" s="9"/>
      <c r="D11" s="9" t="s">
        <v>489</v>
      </c>
      <c r="E11" s="9"/>
      <c r="F11" s="9" t="s">
        <v>490</v>
      </c>
      <c r="G11" s="9"/>
      <c r="H11" s="9" t="s">
        <v>248</v>
      </c>
      <c r="I11" s="9"/>
      <c r="K11" s="9" t="s">
        <v>488</v>
      </c>
      <c r="L11" s="9"/>
      <c r="M11" s="9" t="s">
        <v>489</v>
      </c>
      <c r="N11" s="9"/>
      <c r="O11" s="9" t="s">
        <v>490</v>
      </c>
      <c r="P11" s="9"/>
      <c r="Q11" s="9" t="s">
        <v>248</v>
      </c>
      <c r="R11" s="9"/>
    </row>
    <row r="12" customFormat="false" ht="24" hidden="false" customHeight="true" outlineLevel="0" collapsed="false">
      <c r="B12" s="160" t="n">
        <v>23</v>
      </c>
      <c r="C12" s="160"/>
      <c r="D12" s="161" t="n">
        <v>13</v>
      </c>
      <c r="E12" s="161"/>
      <c r="F12" s="162" t="n">
        <v>3</v>
      </c>
      <c r="G12" s="162"/>
      <c r="H12" s="163" t="n">
        <v>2</v>
      </c>
      <c r="I12" s="163"/>
      <c r="K12" s="160" t="n">
        <v>7</v>
      </c>
      <c r="L12" s="160"/>
      <c r="M12" s="161" t="n">
        <v>2</v>
      </c>
      <c r="N12" s="161"/>
      <c r="O12" s="162" t="n">
        <v>1</v>
      </c>
      <c r="P12" s="162"/>
      <c r="Q12" s="163" t="n">
        <v>0</v>
      </c>
      <c r="R12" s="163"/>
    </row>
    <row r="13" customFormat="false" ht="24" hidden="false" customHeight="true" outlineLevel="0" collapsed="false">
      <c r="B13" s="160"/>
      <c r="C13" s="160"/>
      <c r="D13" s="161"/>
      <c r="E13" s="161"/>
      <c r="F13" s="162"/>
      <c r="G13" s="162"/>
      <c r="H13" s="163"/>
      <c r="I13" s="163"/>
      <c r="K13" s="160"/>
      <c r="L13" s="160"/>
      <c r="M13" s="161"/>
      <c r="N13" s="161"/>
      <c r="O13" s="162"/>
      <c r="P13" s="162"/>
      <c r="Q13" s="163"/>
      <c r="R13" s="163"/>
    </row>
    <row r="14" customFormat="false" ht="3.75" hidden="false" customHeight="true" outlineLevel="0" collapsed="false">
      <c r="B14" s="18"/>
      <c r="C14" s="18"/>
      <c r="D14" s="18"/>
      <c r="E14" s="18"/>
      <c r="F14" s="18"/>
      <c r="G14" s="18"/>
      <c r="H14" s="18"/>
      <c r="I14" s="18"/>
      <c r="K14" s="18"/>
      <c r="L14" s="18"/>
      <c r="M14" s="18"/>
      <c r="N14" s="18"/>
      <c r="O14" s="18"/>
      <c r="P14" s="18"/>
      <c r="Q14" s="18"/>
      <c r="R14" s="18"/>
    </row>
    <row r="16" customFormat="false" ht="25.5" hidden="false" customHeight="true" outlineLevel="0" collapsed="false">
      <c r="B16" s="164" t="s">
        <v>527</v>
      </c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</row>
    <row r="17" customFormat="false" ht="6" hidden="false" customHeight="true" outlineLevel="0" collapsed="false">
      <c r="B17" s="165"/>
      <c r="C17" s="165"/>
      <c r="D17" s="165"/>
      <c r="E17" s="5"/>
      <c r="F17" s="5"/>
      <c r="G17" s="5"/>
      <c r="I17" s="6"/>
      <c r="J17" s="6"/>
      <c r="K17" s="6"/>
      <c r="M17" s="7"/>
      <c r="N17" s="7"/>
      <c r="O17" s="7"/>
      <c r="Q17" s="8"/>
      <c r="R17" s="8"/>
      <c r="S17" s="8"/>
    </row>
    <row r="18" customFormat="false" ht="21.75" hidden="false" customHeight="true" outlineLevel="0" collapsed="false">
      <c r="B18" s="9" t="s">
        <v>492</v>
      </c>
      <c r="C18" s="9"/>
      <c r="D18" s="9"/>
      <c r="E18" s="9" t="s">
        <v>489</v>
      </c>
      <c r="F18" s="9"/>
      <c r="G18" s="9"/>
      <c r="I18" s="9" t="s">
        <v>490</v>
      </c>
      <c r="J18" s="9"/>
      <c r="K18" s="9"/>
      <c r="M18" s="9" t="s">
        <v>248</v>
      </c>
      <c r="N18" s="9"/>
      <c r="O18" s="9"/>
      <c r="Q18" s="166" t="s">
        <v>5</v>
      </c>
      <c r="R18" s="166"/>
      <c r="S18" s="166"/>
    </row>
    <row r="19" customFormat="false" ht="27.75" hidden="false" customHeight="true" outlineLevel="0" collapsed="false">
      <c r="B19" s="167" t="n">
        <v>30</v>
      </c>
      <c r="C19" s="167"/>
      <c r="D19" s="167"/>
      <c r="E19" s="168" t="n">
        <v>15</v>
      </c>
      <c r="F19" s="168"/>
      <c r="G19" s="168"/>
      <c r="I19" s="169" t="n">
        <v>4</v>
      </c>
      <c r="J19" s="169"/>
      <c r="K19" s="169"/>
      <c r="M19" s="170" t="n">
        <v>2</v>
      </c>
      <c r="N19" s="170"/>
      <c r="O19" s="170"/>
      <c r="Q19" s="171" t="n">
        <v>25</v>
      </c>
      <c r="R19" s="171"/>
      <c r="S19" s="171"/>
    </row>
    <row r="20" customFormat="false" ht="27.75" hidden="false" customHeight="true" outlineLevel="0" collapsed="false">
      <c r="B20" s="167"/>
      <c r="C20" s="167"/>
      <c r="D20" s="167"/>
      <c r="E20" s="168"/>
      <c r="F20" s="168"/>
      <c r="G20" s="168"/>
      <c r="I20" s="169"/>
      <c r="J20" s="169"/>
      <c r="K20" s="169"/>
      <c r="M20" s="170"/>
      <c r="N20" s="170"/>
      <c r="O20" s="170"/>
      <c r="Q20" s="171"/>
      <c r="R20" s="171"/>
      <c r="S20" s="171"/>
    </row>
    <row r="21" customFormat="false" ht="21.75" hidden="false" customHeight="true" outlineLevel="0" collapsed="false">
      <c r="B21" s="15" t="s">
        <v>493</v>
      </c>
      <c r="C21" s="15"/>
      <c r="D21" s="15"/>
      <c r="E21" s="15" t="s">
        <v>528</v>
      </c>
      <c r="F21" s="15"/>
      <c r="G21" s="15"/>
      <c r="I21" s="15" t="s">
        <v>529</v>
      </c>
      <c r="J21" s="15"/>
      <c r="K21" s="15"/>
      <c r="M21" s="15" t="s">
        <v>530</v>
      </c>
      <c r="N21" s="15"/>
      <c r="O21" s="15"/>
      <c r="Q21" s="172" t="s">
        <v>531</v>
      </c>
      <c r="R21" s="172"/>
      <c r="S21" s="172"/>
    </row>
    <row r="22" customFormat="false" ht="3.75" hidden="false" customHeight="true" outlineLevel="0" collapsed="false">
      <c r="B22" s="18"/>
      <c r="C22" s="18"/>
      <c r="D22" s="18"/>
      <c r="E22" s="18"/>
      <c r="F22" s="18"/>
      <c r="G22" s="18"/>
      <c r="I22" s="18"/>
      <c r="J22" s="18"/>
      <c r="K22" s="18"/>
      <c r="M22" s="18"/>
      <c r="N22" s="18"/>
      <c r="O22" s="18"/>
      <c r="Q22" s="18"/>
      <c r="R22" s="18"/>
      <c r="S22" s="18"/>
    </row>
    <row r="23" customFormat="false" ht="24" hidden="false" customHeight="true" outlineLevel="0" collapsed="false">
      <c r="B23" s="47" t="s">
        <v>532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</row>
    <row r="24" customFormat="false" ht="24" hidden="false" customHeight="true" outlineLevel="0" collapsed="false">
      <c r="B24" s="48" t="s">
        <v>23</v>
      </c>
      <c r="C24" s="48" t="s">
        <v>29</v>
      </c>
      <c r="D24" s="48" t="s">
        <v>65</v>
      </c>
      <c r="E24" s="48" t="s">
        <v>66</v>
      </c>
      <c r="F24" s="48" t="s">
        <v>67</v>
      </c>
      <c r="G24" s="48" t="s">
        <v>30</v>
      </c>
    </row>
    <row r="25" customFormat="false" ht="21.75" hidden="false" customHeight="true" outlineLevel="0" collapsed="false">
      <c r="B25" s="55" t="s">
        <v>35</v>
      </c>
      <c r="C25" s="65" t="n">
        <v>10</v>
      </c>
      <c r="D25" s="57" t="n">
        <v>4</v>
      </c>
      <c r="E25" s="58" t="n">
        <v>0</v>
      </c>
      <c r="F25" s="59" t="n">
        <v>1</v>
      </c>
      <c r="G25" s="60" t="n">
        <v>1</v>
      </c>
    </row>
    <row r="26" customFormat="false" ht="21.75" hidden="false" customHeight="true" outlineLevel="0" collapsed="false">
      <c r="B26" s="49" t="s">
        <v>34</v>
      </c>
      <c r="C26" s="66" t="n">
        <v>7</v>
      </c>
      <c r="D26" s="51" t="n">
        <v>3</v>
      </c>
      <c r="E26" s="52" t="n">
        <v>2</v>
      </c>
      <c r="F26" s="53" t="n">
        <v>1</v>
      </c>
      <c r="G26" s="54" t="n">
        <v>0.6</v>
      </c>
    </row>
    <row r="27" customFormat="false" ht="21.75" hidden="false" customHeight="true" outlineLevel="0" collapsed="false">
      <c r="B27" s="55" t="s">
        <v>36</v>
      </c>
      <c r="C27" s="65" t="n">
        <v>10</v>
      </c>
      <c r="D27" s="57" t="n">
        <v>8</v>
      </c>
      <c r="E27" s="58" t="n">
        <v>1</v>
      </c>
      <c r="F27" s="59" t="n">
        <v>0</v>
      </c>
      <c r="G27" s="60" t="n">
        <v>0.888888888888889</v>
      </c>
    </row>
    <row r="28" customFormat="false" ht="21.75" hidden="false" customHeight="true" outlineLevel="0" collapsed="false">
      <c r="B28" s="49" t="s">
        <v>39</v>
      </c>
      <c r="C28" s="66" t="n">
        <v>0</v>
      </c>
      <c r="D28" s="51" t="n">
        <v>0</v>
      </c>
      <c r="E28" s="52" t="n">
        <v>0</v>
      </c>
      <c r="F28" s="53" t="n">
        <v>0</v>
      </c>
      <c r="G28" s="54" t="s">
        <v>32</v>
      </c>
    </row>
    <row r="29" customFormat="false" ht="21.75" hidden="false" customHeight="true" outlineLevel="0" collapsed="false">
      <c r="B29" s="55" t="s">
        <v>37</v>
      </c>
      <c r="C29" s="65" t="n">
        <v>2</v>
      </c>
      <c r="D29" s="57" t="n">
        <v>0</v>
      </c>
      <c r="E29" s="58" t="n">
        <v>1</v>
      </c>
      <c r="F29" s="59" t="n">
        <v>0</v>
      </c>
      <c r="G29" s="60" t="n">
        <v>0</v>
      </c>
    </row>
    <row r="30" customFormat="false" ht="25.5" hidden="false" customHeight="true" outlineLevel="0" collapsed="false">
      <c r="B30" s="61" t="s">
        <v>47</v>
      </c>
      <c r="C30" s="63" t="n">
        <v>30</v>
      </c>
      <c r="D30" s="63" t="n">
        <v>15</v>
      </c>
      <c r="E30" s="63" t="n">
        <v>4</v>
      </c>
      <c r="F30" s="63" t="n">
        <v>2</v>
      </c>
      <c r="G30" s="64" t="n">
        <v>0.789473684210526</v>
      </c>
    </row>
    <row r="31" customFormat="false" ht="15.75" hidden="false" customHeight="true" outlineLevel="0" collapsed="false"/>
    <row r="32" customFormat="false" ht="15.75" hidden="false" customHeight="true" outlineLevel="0" collapsed="false"/>
    <row r="35" customFormat="false" ht="25.5" hidden="false" customHeight="true" outlineLevel="0" collapsed="false">
      <c r="A35" s="67" t="s">
        <v>69</v>
      </c>
      <c r="B35" s="67" t="s">
        <v>70</v>
      </c>
      <c r="C35" s="67" t="s">
        <v>71</v>
      </c>
      <c r="D35" s="67" t="s">
        <v>72</v>
      </c>
      <c r="E35" s="67" t="s">
        <v>499</v>
      </c>
      <c r="F35" s="67" t="s">
        <v>500</v>
      </c>
      <c r="G35" s="67" t="s">
        <v>74</v>
      </c>
      <c r="H35" s="67" t="s">
        <v>75</v>
      </c>
      <c r="I35" s="67" t="s">
        <v>76</v>
      </c>
      <c r="J35" s="67" t="s">
        <v>77</v>
      </c>
      <c r="K35" s="173" t="s">
        <v>78</v>
      </c>
      <c r="L35" s="67" t="s">
        <v>79</v>
      </c>
      <c r="M35" s="67" t="s">
        <v>80</v>
      </c>
      <c r="N35" s="67" t="s">
        <v>81</v>
      </c>
      <c r="O35" s="173" t="s">
        <v>82</v>
      </c>
      <c r="P35" s="67" t="s">
        <v>83</v>
      </c>
      <c r="Q35" s="67" t="s">
        <v>84</v>
      </c>
      <c r="R35" s="67" t="s">
        <v>85</v>
      </c>
      <c r="S35" s="173" t="s">
        <v>86</v>
      </c>
      <c r="T35" s="67" t="s">
        <v>87</v>
      </c>
      <c r="U35" s="67" t="s">
        <v>88</v>
      </c>
      <c r="V35" s="67" t="s">
        <v>89</v>
      </c>
      <c r="W35" s="173" t="s">
        <v>90</v>
      </c>
      <c r="X35" s="67" t="s">
        <v>91</v>
      </c>
      <c r="Y35" s="67" t="s">
        <v>92</v>
      </c>
      <c r="Z35" s="68" t="s">
        <v>93</v>
      </c>
    </row>
    <row r="36" customFormat="false" ht="25.5" hidden="false" customHeight="true" outlineLevel="0" collapsed="false">
      <c r="A36" s="69" t="s">
        <v>111</v>
      </c>
      <c r="B36" s="70" t="s">
        <v>112</v>
      </c>
      <c r="C36" s="71" t="s">
        <v>35</v>
      </c>
      <c r="D36" s="71" t="s">
        <v>97</v>
      </c>
      <c r="E36" s="69" t="s">
        <v>501</v>
      </c>
      <c r="F36" s="87" t="n">
        <v>0.017</v>
      </c>
      <c r="G36" s="88" t="n">
        <v>0.0145</v>
      </c>
      <c r="H36" s="89" t="n">
        <v>0</v>
      </c>
      <c r="I36" s="89" t="n">
        <v>0.0106951871657754</v>
      </c>
      <c r="J36" s="89" t="n">
        <v>0.00446428571428571</v>
      </c>
      <c r="K36" s="174" t="n">
        <f aca="false">IF(COUNT(H36:J36)=0,"",AVERAGE(H36:J36))</f>
        <v>0.00505315762668704</v>
      </c>
      <c r="L36" s="90" t="n">
        <v>0.00334448160535117</v>
      </c>
      <c r="M36" s="90" t="n">
        <v>0.00711743772241993</v>
      </c>
      <c r="N36" s="90" t="n">
        <v>0.0187265917602996</v>
      </c>
      <c r="O36" s="174" t="n">
        <f aca="false">IF(COUNT(L36:N36)=0,"",AVERAGE(L36:N36))</f>
        <v>0.00972950369602357</v>
      </c>
      <c r="P36" s="90" t="n">
        <v>0.00268096514745308</v>
      </c>
      <c r="Q36" s="90"/>
      <c r="R36" s="90"/>
      <c r="S36" s="174" t="n">
        <f aca="false">IF(COUNT(P36:R36)=0,"",AVERAGE(P36:R36))</f>
        <v>0.00268096514745308</v>
      </c>
      <c r="T36" s="90"/>
      <c r="U36" s="90"/>
      <c r="V36" s="90"/>
      <c r="W36" s="174" t="str">
        <f aca="false">IF(COUNT(T36:V36)=0,"",AVERAGE(T36:V36))</f>
        <v/>
      </c>
      <c r="X36" s="92" t="n">
        <v>0.0041988196160191</v>
      </c>
      <c r="Y36" s="114" t="s">
        <v>104</v>
      </c>
      <c r="Z36" s="78" t="s">
        <v>100</v>
      </c>
    </row>
    <row r="37" customFormat="false" ht="25.5" hidden="false" customHeight="true" outlineLevel="0" collapsed="false">
      <c r="A37" s="69" t="s">
        <v>116</v>
      </c>
      <c r="B37" s="70" t="s">
        <v>117</v>
      </c>
      <c r="C37" s="71" t="s">
        <v>35</v>
      </c>
      <c r="D37" s="71" t="s">
        <v>97</v>
      </c>
      <c r="E37" s="69" t="s">
        <v>501</v>
      </c>
      <c r="F37" s="94" t="n">
        <v>0.0054</v>
      </c>
      <c r="G37" s="88" t="n">
        <v>0.0046</v>
      </c>
      <c r="H37" s="89" t="n">
        <v>0</v>
      </c>
      <c r="I37" s="89" t="n">
        <v>0</v>
      </c>
      <c r="J37" s="89" t="n">
        <v>0</v>
      </c>
      <c r="K37" s="174" t="n">
        <f aca="false">IF(COUNT(H37:J37)=0,"",AVERAGE(H37:J37))</f>
        <v>0</v>
      </c>
      <c r="L37" s="90" t="n">
        <v>0</v>
      </c>
      <c r="M37" s="90" t="n">
        <v>0</v>
      </c>
      <c r="N37" s="90" t="n">
        <v>0</v>
      </c>
      <c r="O37" s="175" t="n">
        <f aca="false">IF(COUNT(L37:N37)=0,"",AVERAGE(L37:N37))</f>
        <v>0</v>
      </c>
      <c r="P37" s="124" t="n">
        <v>0</v>
      </c>
      <c r="Q37" s="124"/>
      <c r="R37" s="124"/>
      <c r="S37" s="175" t="n">
        <f aca="false">IF(COUNT(P37:R37)=0,"",AVERAGE(P37:R37))</f>
        <v>0</v>
      </c>
      <c r="T37" s="124"/>
      <c r="U37" s="124"/>
      <c r="V37" s="124"/>
      <c r="W37" s="175" t="str">
        <f aca="false">IF(COUNT(T37:V37)=0,"",AVERAGE(T37:V37))</f>
        <v/>
      </c>
      <c r="X37" s="125" t="n">
        <v>0</v>
      </c>
      <c r="Y37" s="114" t="s">
        <v>104</v>
      </c>
      <c r="Z37" s="78" t="s">
        <v>100</v>
      </c>
    </row>
    <row r="38" customFormat="false" ht="25.5" hidden="false" customHeight="true" outlineLevel="0" collapsed="false">
      <c r="A38" s="69" t="s">
        <v>118</v>
      </c>
      <c r="B38" s="70" t="s">
        <v>119</v>
      </c>
      <c r="C38" s="71" t="s">
        <v>35</v>
      </c>
      <c r="D38" s="71" t="s">
        <v>97</v>
      </c>
      <c r="E38" s="69" t="s">
        <v>501</v>
      </c>
      <c r="F38" s="87" t="s">
        <v>32</v>
      </c>
      <c r="G38" s="91" t="s">
        <v>32</v>
      </c>
      <c r="H38" s="89" t="n">
        <v>0.0558210251954822</v>
      </c>
      <c r="I38" s="89" t="n">
        <v>0.0372171706491859</v>
      </c>
      <c r="J38" s="89" t="n">
        <v>0.0294555191907171</v>
      </c>
      <c r="K38" s="174" t="n">
        <f aca="false">IF(COUNT(H38:J38)=0,"",AVERAGE(H38:J38))</f>
        <v>0.0408312383451284</v>
      </c>
      <c r="L38" s="90" t="n">
        <v>0.0464504820333041</v>
      </c>
      <c r="M38" s="90" t="n">
        <v>0.0593742301059374</v>
      </c>
      <c r="N38" s="90" t="n">
        <v>0.0734170978073417</v>
      </c>
      <c r="O38" s="174" t="n">
        <f aca="false">IF(COUNT(L38:N38)=0,"",AVERAGE(L38:N38))</f>
        <v>0.0597472699821944</v>
      </c>
      <c r="P38" s="90" t="n">
        <v>0.0516611584623413</v>
      </c>
      <c r="Q38" s="90"/>
      <c r="R38" s="90"/>
      <c r="S38" s="174" t="n">
        <f aca="false">IF(COUNT(P38:R38)=0,"",AVERAGE(P38:R38))</f>
        <v>0.0516611584623413</v>
      </c>
      <c r="T38" s="90"/>
      <c r="U38" s="90"/>
      <c r="V38" s="90"/>
      <c r="W38" s="174" t="str">
        <f aca="false">IF(COUNT(T38:V38)=0,"",AVERAGE(T38:V38))</f>
        <v/>
      </c>
      <c r="X38" s="92" t="n">
        <v>0.0436408601892162</v>
      </c>
      <c r="Y38" s="114" t="s">
        <v>120</v>
      </c>
      <c r="Z38" s="78" t="s">
        <v>100</v>
      </c>
    </row>
    <row r="39" customFormat="false" ht="25.5" hidden="false" customHeight="true" outlineLevel="0" collapsed="false">
      <c r="A39" s="69" t="s">
        <v>127</v>
      </c>
      <c r="B39" s="70" t="s">
        <v>128</v>
      </c>
      <c r="C39" s="71" t="s">
        <v>35</v>
      </c>
      <c r="D39" s="71" t="s">
        <v>110</v>
      </c>
      <c r="E39" s="69" t="s">
        <v>501</v>
      </c>
      <c r="F39" s="102" t="s">
        <v>32</v>
      </c>
      <c r="G39" s="75" t="s">
        <v>32</v>
      </c>
      <c r="H39" s="81" t="n">
        <v>0.00649913344887348</v>
      </c>
      <c r="I39" s="81" t="n">
        <v>0.00706880301602262</v>
      </c>
      <c r="J39" s="81" t="n">
        <v>0.00545652964714442</v>
      </c>
      <c r="K39" s="176" t="n">
        <f aca="false">IF(COUNT(H39:J39)=0,"",AVERAGE(H39:J39))</f>
        <v>0.00634148870401351</v>
      </c>
      <c r="L39" s="103" t="n">
        <v>0.00569044006069803</v>
      </c>
      <c r="M39" s="103" t="n">
        <v>0.00695134061569017</v>
      </c>
      <c r="N39" s="103" t="n">
        <v>0.00695134061569017</v>
      </c>
      <c r="O39" s="176" t="n">
        <f aca="false">IF(COUNT(L39:N39)=0,"",AVERAGE(L39:N39))</f>
        <v>0.00653104043069279</v>
      </c>
      <c r="P39" s="103" t="n">
        <v>0.00381471389645777</v>
      </c>
      <c r="Q39" s="103"/>
      <c r="R39" s="103"/>
      <c r="S39" s="176" t="n">
        <f aca="false">IF(COUNT(P39:R39)=0,"",AVERAGE(P39:R39))</f>
        <v>0.00381471389645777</v>
      </c>
      <c r="T39" s="103"/>
      <c r="U39" s="103"/>
      <c r="V39" s="103"/>
      <c r="W39" s="176" t="str">
        <f aca="false">IF(COUNT(T39:V39)=0,"",AVERAGE(T39:V39))</f>
        <v/>
      </c>
      <c r="X39" s="104" t="n">
        <v>0.00601596438235577</v>
      </c>
      <c r="Y39" s="114" t="s">
        <v>120</v>
      </c>
      <c r="Z39" s="78" t="s">
        <v>100</v>
      </c>
    </row>
    <row r="40" customFormat="false" ht="25.5" hidden="false" customHeight="true" outlineLevel="0" collapsed="false">
      <c r="A40" s="69" t="s">
        <v>129</v>
      </c>
      <c r="B40" s="70" t="s">
        <v>130</v>
      </c>
      <c r="C40" s="71" t="s">
        <v>35</v>
      </c>
      <c r="D40" s="71" t="s">
        <v>110</v>
      </c>
      <c r="E40" s="69" t="s">
        <v>501</v>
      </c>
      <c r="F40" s="102" t="s">
        <v>32</v>
      </c>
      <c r="G40" s="75" t="s">
        <v>32</v>
      </c>
      <c r="H40" s="81" t="n">
        <v>0.00289055314676127</v>
      </c>
      <c r="I40" s="81" t="n">
        <v>0.00448521916411825</v>
      </c>
      <c r="J40" s="81" t="n">
        <v>0.00317919075144509</v>
      </c>
      <c r="K40" s="176" t="n">
        <f aca="false">IF(COUNT(H40:J40)=0,"",AVERAGE(H40:J40))</f>
        <v>0.00351832102077487</v>
      </c>
      <c r="L40" s="103" t="n">
        <v>0.00368509212730318</v>
      </c>
      <c r="M40" s="103" t="n">
        <v>0.00511627906976744</v>
      </c>
      <c r="N40" s="103" t="n">
        <v>0.00511627906976744</v>
      </c>
      <c r="O40" s="176" t="n">
        <f aca="false">IF(COUNT(L40:N40)=0,"",AVERAGE(L40:N40))</f>
        <v>0.00463921675561269</v>
      </c>
      <c r="P40" s="103" t="n">
        <v>0.00297717499173007</v>
      </c>
      <c r="Q40" s="103"/>
      <c r="R40" s="103"/>
      <c r="S40" s="176" t="n">
        <f aca="false">IF(COUNT(P40:R40)=0,"",AVERAGE(P40:R40))</f>
        <v>0.00297717499173007</v>
      </c>
      <c r="T40" s="103"/>
      <c r="U40" s="103"/>
      <c r="V40" s="103"/>
      <c r="W40" s="176" t="str">
        <f aca="false">IF(COUNT(T40:V40)=0,"",AVERAGE(T40:V40))</f>
        <v/>
      </c>
      <c r="X40" s="104" t="n">
        <v>0.00360170657403903</v>
      </c>
      <c r="Y40" s="114" t="s">
        <v>120</v>
      </c>
      <c r="Z40" s="78" t="s">
        <v>100</v>
      </c>
    </row>
    <row r="41" customFormat="false" ht="25.5" hidden="false" customHeight="true" outlineLevel="0" collapsed="false">
      <c r="A41" s="69" t="s">
        <v>139</v>
      </c>
      <c r="B41" s="70" t="s">
        <v>140</v>
      </c>
      <c r="C41" s="71" t="s">
        <v>35</v>
      </c>
      <c r="D41" s="71" t="s">
        <v>97</v>
      </c>
      <c r="E41" s="69" t="s">
        <v>501</v>
      </c>
      <c r="F41" s="87" t="n">
        <v>0.646</v>
      </c>
      <c r="G41" s="88" t="s">
        <v>141</v>
      </c>
      <c r="H41" s="89" t="n">
        <v>0.724910394265233</v>
      </c>
      <c r="I41" s="89" t="n">
        <v>0.537698412698413</v>
      </c>
      <c r="J41" s="89" t="n">
        <v>0.669354838709677</v>
      </c>
      <c r="K41" s="174" t="n">
        <f aca="false">IF(COUNT(H41:J41)=0,"",AVERAGE(H41:J41))</f>
        <v>0.643987881891108</v>
      </c>
      <c r="L41" s="90" t="n">
        <v>0.733333333333333</v>
      </c>
      <c r="M41" s="90" t="n">
        <v>0.710829493087558</v>
      </c>
      <c r="N41" s="90" t="n">
        <v>0.751190476190476</v>
      </c>
      <c r="O41" s="174" t="n">
        <f aca="false">IF(COUNT(L41:N41)=0,"",AVERAGE(L41:N41))</f>
        <v>0.731784434203789</v>
      </c>
      <c r="P41" s="90" t="n">
        <v>0.975218658892128</v>
      </c>
      <c r="Q41" s="90"/>
      <c r="R41" s="90"/>
      <c r="S41" s="174" t="n">
        <f aca="false">IF(COUNT(P41:R41)=0,"",AVERAGE(P41:R41))</f>
        <v>0.975218658892128</v>
      </c>
      <c r="T41" s="90"/>
      <c r="U41" s="90"/>
      <c r="V41" s="90"/>
      <c r="W41" s="174" t="str">
        <f aca="false">IF(COUNT(T41:V41)=0,"",AVERAGE(T41:V41))</f>
        <v/>
      </c>
      <c r="X41" s="92" t="n">
        <v>0.68866060761222</v>
      </c>
      <c r="Y41" s="114" t="s">
        <v>104</v>
      </c>
      <c r="Z41" s="78" t="s">
        <v>100</v>
      </c>
    </row>
    <row r="42" customFormat="false" ht="25.5" hidden="false" customHeight="true" outlineLevel="0" collapsed="false">
      <c r="A42" s="69" t="s">
        <v>142</v>
      </c>
      <c r="B42" s="70" t="s">
        <v>143</v>
      </c>
      <c r="C42" s="71" t="s">
        <v>35</v>
      </c>
      <c r="D42" s="71" t="s">
        <v>97</v>
      </c>
      <c r="E42" s="69" t="s">
        <v>501</v>
      </c>
      <c r="F42" s="96" t="n">
        <v>3.9</v>
      </c>
      <c r="G42" s="97" t="n">
        <v>3.77</v>
      </c>
      <c r="H42" s="120" t="n">
        <v>3.14345991561181</v>
      </c>
      <c r="I42" s="120" t="n">
        <v>3.10650887573965</v>
      </c>
      <c r="J42" s="120" t="n">
        <v>3.48587570621469</v>
      </c>
      <c r="K42" s="180" t="n">
        <f aca="false">IF(COUNT(H42:J42)=0,"",AVERAGE(H42:J42))</f>
        <v>3.24528149918872</v>
      </c>
      <c r="L42" s="98" t="n">
        <v>2.77358490566038</v>
      </c>
      <c r="M42" s="98" t="n">
        <v>2.94605809128631</v>
      </c>
      <c r="N42" s="98" t="n">
        <v>2.58724832214765</v>
      </c>
      <c r="O42" s="180" t="n">
        <f aca="false">IF(COUNT(L42:N42)=0,"",AVERAGE(L42:N42))</f>
        <v>2.76896377303145</v>
      </c>
      <c r="P42" s="98" t="n">
        <v>2.65319865319865</v>
      </c>
      <c r="Q42" s="98"/>
      <c r="R42" s="98"/>
      <c r="S42" s="180" t="n">
        <f aca="false">IF(COUNT(P42:R42)=0,"",AVERAGE(P42:R42))</f>
        <v>2.65319865319865</v>
      </c>
      <c r="T42" s="98"/>
      <c r="U42" s="98"/>
      <c r="V42" s="98"/>
      <c r="W42" s="180" t="str">
        <f aca="false">IF(COUNT(T42:V42)=0,"",AVERAGE(T42:V42))</f>
        <v/>
      </c>
      <c r="X42" s="100" t="n">
        <v>3.00943320242455</v>
      </c>
      <c r="Y42" s="114" t="s">
        <v>104</v>
      </c>
      <c r="Z42" s="78" t="s">
        <v>100</v>
      </c>
    </row>
    <row r="43" customFormat="false" ht="25.5" hidden="false" customHeight="true" outlineLevel="0" collapsed="false">
      <c r="A43" s="69" t="s">
        <v>152</v>
      </c>
      <c r="B43" s="70" t="s">
        <v>153</v>
      </c>
      <c r="C43" s="71" t="s">
        <v>34</v>
      </c>
      <c r="D43" s="71" t="s">
        <v>97</v>
      </c>
      <c r="E43" s="69" t="s">
        <v>501</v>
      </c>
      <c r="F43" s="87" t="n">
        <v>0.253</v>
      </c>
      <c r="G43" s="88" t="n">
        <v>0.2</v>
      </c>
      <c r="H43" s="89" t="n">
        <v>0.246575342465753</v>
      </c>
      <c r="I43" s="89" t="n">
        <v>0.338235294117647</v>
      </c>
      <c r="J43" s="89" t="n">
        <v>0.263736263736264</v>
      </c>
      <c r="K43" s="174" t="n">
        <f aca="false">IF(COUNT(H43:J43)=0,"",AVERAGE(H43:J43))</f>
        <v>0.282848966773221</v>
      </c>
      <c r="L43" s="90" t="n">
        <v>0.225352112676056</v>
      </c>
      <c r="M43" s="90" t="n">
        <v>0.154761904761905</v>
      </c>
      <c r="N43" s="90" t="n">
        <v>0.258823529411765</v>
      </c>
      <c r="O43" s="174" t="n">
        <f aca="false">IF(COUNT(L43:N43)=0,"",AVERAGE(L43:N43))</f>
        <v>0.212979182283242</v>
      </c>
      <c r="P43" s="90" t="n">
        <v>0.336538461538462</v>
      </c>
      <c r="Q43" s="90"/>
      <c r="R43" s="90"/>
      <c r="S43" s="174" t="n">
        <f aca="false">IF(COUNT(P43:R43)=0,"",AVERAGE(P43:R43))</f>
        <v>0.336538461538462</v>
      </c>
      <c r="T43" s="90"/>
      <c r="U43" s="90"/>
      <c r="V43" s="90"/>
      <c r="W43" s="174" t="str">
        <f aca="false">IF(COUNT(T43:V43)=0,"",AVERAGE(T43:V43))</f>
        <v/>
      </c>
      <c r="X43" s="92" t="n">
        <v>0.254100539724639</v>
      </c>
      <c r="Y43" s="114" t="s">
        <v>113</v>
      </c>
      <c r="Z43" s="78" t="s">
        <v>100</v>
      </c>
    </row>
    <row r="44" customFormat="false" ht="25.5" hidden="false" customHeight="true" outlineLevel="0" collapsed="false">
      <c r="A44" s="69" t="s">
        <v>154</v>
      </c>
      <c r="B44" s="70" t="s">
        <v>155</v>
      </c>
      <c r="C44" s="71" t="s">
        <v>34</v>
      </c>
      <c r="D44" s="71" t="s">
        <v>97</v>
      </c>
      <c r="E44" s="69" t="s">
        <v>501</v>
      </c>
      <c r="F44" s="102" t="n">
        <v>0.18</v>
      </c>
      <c r="G44" s="82" t="n">
        <v>0</v>
      </c>
      <c r="H44" s="103"/>
      <c r="I44" s="103"/>
      <c r="J44" s="81" t="n">
        <v>0</v>
      </c>
      <c r="K44" s="176" t="n">
        <f aca="false">IF(COUNT(H44:J44)=0,"",SUM(H44:J44))</f>
        <v>0</v>
      </c>
      <c r="L44" s="74" t="n">
        <v>0</v>
      </c>
      <c r="M44" s="103" t="n">
        <v>0</v>
      </c>
      <c r="N44" s="103" t="n">
        <v>0</v>
      </c>
      <c r="O44" s="176" t="n">
        <f aca="false">IF(COUNT(L44:N44)=0,"",SUM(L44:N44))</f>
        <v>0</v>
      </c>
      <c r="P44" s="103" t="n">
        <v>0</v>
      </c>
      <c r="Q44" s="103"/>
      <c r="R44" s="103"/>
      <c r="S44" s="176" t="n">
        <v>0</v>
      </c>
      <c r="T44" s="103"/>
      <c r="U44" s="103"/>
      <c r="V44" s="103"/>
      <c r="W44" s="176" t="n">
        <v>0</v>
      </c>
      <c r="X44" s="104" t="n">
        <v>0</v>
      </c>
      <c r="Y44" s="114" t="s">
        <v>104</v>
      </c>
      <c r="Z44" s="78" t="s">
        <v>100</v>
      </c>
    </row>
    <row r="45" customFormat="false" ht="25.5" hidden="false" customHeight="true" outlineLevel="0" collapsed="false">
      <c r="A45" s="69" t="s">
        <v>156</v>
      </c>
      <c r="B45" s="70" t="s">
        <v>157</v>
      </c>
      <c r="C45" s="71" t="s">
        <v>34</v>
      </c>
      <c r="D45" s="71" t="s">
        <v>110</v>
      </c>
      <c r="E45" s="69" t="s">
        <v>501</v>
      </c>
      <c r="F45" s="87" t="n">
        <v>0.974</v>
      </c>
      <c r="G45" s="88" t="n">
        <v>0.98</v>
      </c>
      <c r="H45" s="89" t="n">
        <v>0.956375838926175</v>
      </c>
      <c r="I45" s="89" t="n">
        <v>1</v>
      </c>
      <c r="J45" s="89" t="n">
        <v>0.903703703703704</v>
      </c>
      <c r="K45" s="174" t="n">
        <f aca="false">IF(COUNT(H45:J45)=0,"",AVERAGE(H45:J45))</f>
        <v>0.953359847543293</v>
      </c>
      <c r="L45" s="90" t="n">
        <v>1</v>
      </c>
      <c r="M45" s="90" t="n">
        <v>1</v>
      </c>
      <c r="N45" s="90" t="n">
        <v>0.999051233396584</v>
      </c>
      <c r="O45" s="174" t="n">
        <f aca="false">IF(COUNT(L45:N45)=0,"",AVERAGE(L45:N45))</f>
        <v>0.999683744465528</v>
      </c>
      <c r="P45" s="90" t="n">
        <v>1</v>
      </c>
      <c r="Q45" s="90"/>
      <c r="R45" s="90"/>
      <c r="S45" s="174" t="n">
        <f aca="false">IF(COUNT(P45:R45)=0,"",AVERAGE(P45:R45))</f>
        <v>1</v>
      </c>
      <c r="T45" s="90"/>
      <c r="U45" s="90"/>
      <c r="V45" s="90"/>
      <c r="W45" s="174" t="str">
        <f aca="false">IF(COUNT(T45:V45)=0,"",AVERAGE(T45:V45))</f>
        <v/>
      </c>
      <c r="X45" s="92" t="n">
        <v>0.976679923771647</v>
      </c>
      <c r="Y45" s="114" t="s">
        <v>113</v>
      </c>
      <c r="Z45" s="78" t="s">
        <v>100</v>
      </c>
    </row>
    <row r="46" customFormat="false" ht="25.5" hidden="false" customHeight="true" outlineLevel="0" collapsed="false">
      <c r="A46" s="69" t="s">
        <v>160</v>
      </c>
      <c r="B46" s="70" t="s">
        <v>161</v>
      </c>
      <c r="C46" s="71" t="s">
        <v>34</v>
      </c>
      <c r="D46" s="71" t="s">
        <v>110</v>
      </c>
      <c r="E46" s="69" t="s">
        <v>501</v>
      </c>
      <c r="F46" s="87" t="n">
        <v>1</v>
      </c>
      <c r="G46" s="88" t="n">
        <v>1</v>
      </c>
      <c r="H46" s="89" t="n">
        <v>1</v>
      </c>
      <c r="I46" s="89" t="n">
        <v>1</v>
      </c>
      <c r="J46" s="89" t="n">
        <v>1</v>
      </c>
      <c r="K46" s="174" t="n">
        <f aca="false">IF(COUNT(H46:J46)=0,"",AVERAGE(H46:J46))</f>
        <v>1</v>
      </c>
      <c r="L46" s="90" t="n">
        <v>1</v>
      </c>
      <c r="M46" s="90" t="n">
        <v>1</v>
      </c>
      <c r="N46" s="90" t="n">
        <v>1</v>
      </c>
      <c r="O46" s="174" t="n">
        <f aca="false">IF(COUNT(L46:N46)=0,"",AVERAGE(L46:N46))</f>
        <v>1</v>
      </c>
      <c r="P46" s="90" t="n">
        <v>1</v>
      </c>
      <c r="Q46" s="90"/>
      <c r="R46" s="90"/>
      <c r="S46" s="174" t="n">
        <f aca="false">IF(COUNT(P46:R46)=0,"",AVERAGE(P46:R46))</f>
        <v>1</v>
      </c>
      <c r="T46" s="90"/>
      <c r="U46" s="90"/>
      <c r="V46" s="90"/>
      <c r="W46" s="174" t="str">
        <f aca="false">IF(COUNT(T46:V46)=0,"",AVERAGE(T46:V46))</f>
        <v/>
      </c>
      <c r="X46" s="92" t="n">
        <v>1</v>
      </c>
      <c r="Y46" s="114" t="s">
        <v>104</v>
      </c>
      <c r="Z46" s="78" t="s">
        <v>100</v>
      </c>
    </row>
    <row r="47" customFormat="false" ht="25.5" hidden="false" customHeight="true" outlineLevel="0" collapsed="false">
      <c r="A47" s="69" t="s">
        <v>162</v>
      </c>
      <c r="B47" s="70" t="s">
        <v>163</v>
      </c>
      <c r="C47" s="71" t="s">
        <v>34</v>
      </c>
      <c r="D47" s="71" t="s">
        <v>97</v>
      </c>
      <c r="E47" s="69" t="s">
        <v>501</v>
      </c>
      <c r="F47" s="87" t="n">
        <v>0.01</v>
      </c>
      <c r="G47" s="88" t="n">
        <v>0.012</v>
      </c>
      <c r="H47" s="89" t="n">
        <v>0</v>
      </c>
      <c r="I47" s="89" t="n">
        <v>0</v>
      </c>
      <c r="J47" s="89" t="n">
        <v>0.00352378555247924</v>
      </c>
      <c r="K47" s="174" t="n">
        <f aca="false">IF(COUNT(H47:J47)=0,"",AVERAGE(H47:J47))</f>
        <v>0.00117459518415975</v>
      </c>
      <c r="L47" s="90" t="n">
        <v>0.00260671228413164</v>
      </c>
      <c r="M47" s="90" t="n">
        <v>0.00786369593709043</v>
      </c>
      <c r="N47" s="90" t="n">
        <v>0.0111464968152866</v>
      </c>
      <c r="O47" s="174" t="n">
        <f aca="false">IF(COUNT(L47:N47)=0,"",AVERAGE(L47:N47))</f>
        <v>0.00720563501216956</v>
      </c>
      <c r="P47" s="90" t="n">
        <v>0.0108548168249661</v>
      </c>
      <c r="Q47" s="90"/>
      <c r="R47" s="90"/>
      <c r="S47" s="174" t="n">
        <f aca="false">IF(COUNT(P47:R47)=0,"",AVERAGE(P47:R47))</f>
        <v>0.0108548168249661</v>
      </c>
      <c r="T47" s="90"/>
      <c r="U47" s="90"/>
      <c r="V47" s="90"/>
      <c r="W47" s="174" t="str">
        <f aca="false">IF(COUNT(T47:V47)=0,"",AVERAGE(T47:V47))</f>
        <v/>
      </c>
      <c r="X47" s="92" t="n">
        <v>0.00189065373414569</v>
      </c>
      <c r="Y47" s="114" t="s">
        <v>104</v>
      </c>
      <c r="Z47" s="78" t="s">
        <v>100</v>
      </c>
    </row>
    <row r="48" customFormat="false" ht="25.5" hidden="false" customHeight="true" outlineLevel="0" collapsed="false">
      <c r="A48" s="69" t="s">
        <v>164</v>
      </c>
      <c r="B48" s="70" t="s">
        <v>165</v>
      </c>
      <c r="C48" s="71" t="s">
        <v>166</v>
      </c>
      <c r="D48" s="71" t="s">
        <v>110</v>
      </c>
      <c r="E48" s="69" t="s">
        <v>501</v>
      </c>
      <c r="F48" s="87" t="n">
        <v>0.788</v>
      </c>
      <c r="G48" s="88" t="n">
        <v>0.9</v>
      </c>
      <c r="H48" s="89" t="n">
        <v>0.9057</v>
      </c>
      <c r="I48" s="90" t="n">
        <v>0.883720930232558</v>
      </c>
      <c r="J48" s="90" t="n">
        <v>0.8788</v>
      </c>
      <c r="K48" s="174" t="n">
        <f aca="false">IF(COUNT(H48:J48)=0,"",AVERAGE(H48:J48))</f>
        <v>0.889406976744186</v>
      </c>
      <c r="L48" s="90" t="n">
        <v>0.6596</v>
      </c>
      <c r="M48" s="90" t="n">
        <v>0.7824</v>
      </c>
      <c r="N48" s="90" t="n">
        <v>0.8</v>
      </c>
      <c r="O48" s="174" t="n">
        <f aca="false">IF(COUNT(L48:N48)=0,"",AVERAGE(L48:N48))</f>
        <v>0.747333333333333</v>
      </c>
      <c r="P48" s="90" t="n">
        <v>0.944</v>
      </c>
      <c r="Q48" s="90"/>
      <c r="R48" s="90"/>
      <c r="S48" s="174" t="n">
        <f aca="false">IF(COUNT(P48:R48)=0,"",AVERAGE(P48:R48))</f>
        <v>0.944</v>
      </c>
      <c r="T48" s="90"/>
      <c r="U48" s="90"/>
      <c r="V48" s="90"/>
      <c r="W48" s="174" t="str">
        <f aca="false">IF(COUNT(T48:V48)=0,"",AVERAGE(T48:V48))</f>
        <v/>
      </c>
      <c r="X48" s="92" t="n">
        <v>0.9057</v>
      </c>
      <c r="Y48" s="114" t="s">
        <v>104</v>
      </c>
      <c r="Z48" s="78" t="s">
        <v>105</v>
      </c>
    </row>
    <row r="49" customFormat="false" ht="25.5" hidden="false" customHeight="true" outlineLevel="0" collapsed="false">
      <c r="A49" s="69" t="s">
        <v>167</v>
      </c>
      <c r="B49" s="70" t="s">
        <v>168</v>
      </c>
      <c r="C49" s="71" t="s">
        <v>166</v>
      </c>
      <c r="D49" s="71" t="s">
        <v>110</v>
      </c>
      <c r="E49" s="69" t="s">
        <v>501</v>
      </c>
      <c r="F49" s="87" t="n">
        <v>0.988</v>
      </c>
      <c r="G49" s="88" t="n">
        <v>0.99</v>
      </c>
      <c r="H49" s="89" t="n">
        <v>1</v>
      </c>
      <c r="I49" s="89" t="n">
        <v>1</v>
      </c>
      <c r="J49" s="89" t="n">
        <v>1</v>
      </c>
      <c r="K49" s="174" t="n">
        <f aca="false">IF(COUNT(H49:J49)=0,"",AVERAGE(H49:J49))</f>
        <v>1</v>
      </c>
      <c r="L49" s="174" t="n">
        <f aca="false">IF(COUNT(I49:K49)=0,"",AVERAGE(I49:K49))</f>
        <v>1</v>
      </c>
      <c r="M49" s="174" t="n">
        <f aca="false">IF(COUNT(J49:L49)=0,"",AVERAGE(J49:L49))</f>
        <v>1</v>
      </c>
      <c r="N49" s="90"/>
      <c r="O49" s="174" t="n">
        <f aca="false">IF(COUNT(L49:N49)=0,"",AVERAGE(L49:N49))</f>
        <v>1</v>
      </c>
      <c r="P49" s="90"/>
      <c r="Q49" s="90"/>
      <c r="R49" s="90"/>
      <c r="S49" s="174" t="str">
        <f aca="false">IF(COUNT(P49:R49)=0,"",AVERAGE(P49:R49))</f>
        <v/>
      </c>
      <c r="T49" s="90"/>
      <c r="U49" s="90"/>
      <c r="V49" s="90"/>
      <c r="W49" s="174" t="str">
        <f aca="false">IF(COUNT(T49:V49)=0,"",AVERAGE(T49:V49))</f>
        <v/>
      </c>
      <c r="X49" s="92" t="n">
        <v>1</v>
      </c>
      <c r="Y49" s="114" t="s">
        <v>104</v>
      </c>
      <c r="Z49" s="78" t="s">
        <v>100</v>
      </c>
    </row>
    <row r="50" customFormat="false" ht="25.5" hidden="false" customHeight="true" outlineLevel="0" collapsed="false">
      <c r="A50" s="69" t="s">
        <v>169</v>
      </c>
      <c r="B50" s="70" t="s">
        <v>170</v>
      </c>
      <c r="C50" s="71" t="s">
        <v>166</v>
      </c>
      <c r="D50" s="71" t="s">
        <v>110</v>
      </c>
      <c r="E50" s="69" t="s">
        <v>501</v>
      </c>
      <c r="F50" s="87" t="n">
        <v>0.92</v>
      </c>
      <c r="G50" s="88" t="n">
        <v>0.93</v>
      </c>
      <c r="H50" s="89" t="n">
        <v>0.964976958525346</v>
      </c>
      <c r="I50" s="89" t="n">
        <v>1</v>
      </c>
      <c r="J50" s="89" t="n">
        <v>1</v>
      </c>
      <c r="K50" s="174" t="n">
        <f aca="false">IF(COUNT(H50:J50)=0,"",AVERAGE(H50:J50))</f>
        <v>0.988325652841782</v>
      </c>
      <c r="L50" s="90" t="n">
        <v>1</v>
      </c>
      <c r="M50" s="90" t="n">
        <v>1</v>
      </c>
      <c r="N50" s="90" t="n">
        <v>0.985862393967955</v>
      </c>
      <c r="O50" s="174" t="n">
        <f aca="false">IF(COUNT(L50:N50)=0,"",AVERAGE(L50:N50))</f>
        <v>0.995287464655985</v>
      </c>
      <c r="P50" s="90" t="n">
        <v>1</v>
      </c>
      <c r="Q50" s="90"/>
      <c r="R50" s="90"/>
      <c r="S50" s="174" t="n">
        <f aca="false">IF(COUNT(P50:R50)=0,"",AVERAGE(P50:R50))</f>
        <v>1</v>
      </c>
      <c r="T50" s="90"/>
      <c r="U50" s="90"/>
      <c r="V50" s="90"/>
      <c r="W50" s="174" t="str">
        <f aca="false">IF(COUNT(T50:V50)=0,"",AVERAGE(T50:V50))</f>
        <v/>
      </c>
      <c r="X50" s="92" t="n">
        <v>0.996723007933771</v>
      </c>
      <c r="Y50" s="114" t="s">
        <v>104</v>
      </c>
      <c r="Z50" s="78" t="s">
        <v>100</v>
      </c>
    </row>
    <row r="51" customFormat="false" ht="25.5" hidden="false" customHeight="true" outlineLevel="0" collapsed="false">
      <c r="A51" s="69" t="s">
        <v>171</v>
      </c>
      <c r="B51" s="70" t="s">
        <v>172</v>
      </c>
      <c r="C51" s="71" t="s">
        <v>166</v>
      </c>
      <c r="D51" s="71" t="s">
        <v>97</v>
      </c>
      <c r="E51" s="69" t="s">
        <v>501</v>
      </c>
      <c r="F51" s="72" t="n">
        <v>0.55</v>
      </c>
      <c r="G51" s="73" t="s">
        <v>32</v>
      </c>
      <c r="H51" s="106" t="n">
        <v>0</v>
      </c>
      <c r="I51" s="106" t="n">
        <v>0</v>
      </c>
      <c r="J51" s="106" t="n">
        <v>0</v>
      </c>
      <c r="K51" s="182" t="n">
        <f aca="false">IF(COUNT(H51:J51)=0,"",SUM(H51:J51))</f>
        <v>0</v>
      </c>
      <c r="L51" s="74" t="n">
        <v>0</v>
      </c>
      <c r="M51" s="74" t="n">
        <v>0</v>
      </c>
      <c r="N51" s="74" t="n">
        <v>0</v>
      </c>
      <c r="O51" s="182" t="n">
        <f aca="false">IF(COUNT(L51:N51)=0,"",SUM(L51:N51))</f>
        <v>0</v>
      </c>
      <c r="P51" s="74" t="n">
        <v>0</v>
      </c>
      <c r="Q51" s="74"/>
      <c r="R51" s="74"/>
      <c r="S51" s="182" t="n">
        <v>0</v>
      </c>
      <c r="T51" s="74"/>
      <c r="U51" s="74"/>
      <c r="V51" s="74"/>
      <c r="W51" s="182" t="n">
        <v>0</v>
      </c>
      <c r="X51" s="76" t="n">
        <v>0</v>
      </c>
      <c r="Y51" s="114" t="s">
        <v>120</v>
      </c>
      <c r="Z51" s="78" t="s">
        <v>100</v>
      </c>
    </row>
    <row r="52" customFormat="false" ht="25.5" hidden="false" customHeight="true" outlineLevel="0" collapsed="false">
      <c r="A52" s="69" t="s">
        <v>178</v>
      </c>
      <c r="B52" s="70" t="s">
        <v>179</v>
      </c>
      <c r="C52" s="71" t="s">
        <v>166</v>
      </c>
      <c r="D52" s="71" t="s">
        <v>97</v>
      </c>
      <c r="E52" s="69" t="s">
        <v>501</v>
      </c>
      <c r="F52" s="87" t="n">
        <v>0.019</v>
      </c>
      <c r="G52" s="88" t="n">
        <v>0.0162</v>
      </c>
      <c r="H52" s="89" t="n">
        <v>0.05</v>
      </c>
      <c r="I52" s="89" t="n">
        <v>0.022972972972973</v>
      </c>
      <c r="J52" s="89" t="n">
        <v>0.0118298514976089</v>
      </c>
      <c r="K52" s="174" t="n">
        <f aca="false">IF(COUNT(H52:J52)=0,"",AVERAGE(H52:J52))</f>
        <v>0.0282676081568606</v>
      </c>
      <c r="L52" s="90" t="n">
        <v>0.0120560443141088</v>
      </c>
      <c r="M52" s="90" t="n">
        <v>0.0098</v>
      </c>
      <c r="N52" s="90" t="n">
        <v>0.0420986490732014</v>
      </c>
      <c r="O52" s="174" t="n">
        <f aca="false">IF(COUNT(L52:N52)=0,"",AVERAGE(L52:N52))</f>
        <v>0.0213182311291034</v>
      </c>
      <c r="P52" s="90" t="n">
        <v>0.0322</v>
      </c>
      <c r="Q52" s="90"/>
      <c r="R52" s="90"/>
      <c r="S52" s="174" t="n">
        <f aca="false">IF(COUNT(P52:R52)=0,"",AVERAGE(P52:R52))</f>
        <v>0.0322</v>
      </c>
      <c r="T52" s="90"/>
      <c r="U52" s="90"/>
      <c r="V52" s="90"/>
      <c r="W52" s="174" t="str">
        <f aca="false">IF(COUNT(T52:V52)=0,"",AVERAGE(T52:V52))</f>
        <v/>
      </c>
      <c r="X52" s="92" t="n">
        <v>0.0201618262354847</v>
      </c>
      <c r="Y52" s="114" t="s">
        <v>113</v>
      </c>
      <c r="Z52" s="78" t="s">
        <v>100</v>
      </c>
    </row>
    <row r="53" customFormat="false" ht="25.5" hidden="false" customHeight="true" outlineLevel="0" collapsed="false">
      <c r="A53" s="69" t="s">
        <v>182</v>
      </c>
      <c r="B53" s="70" t="s">
        <v>183</v>
      </c>
      <c r="C53" s="71" t="s">
        <v>166</v>
      </c>
      <c r="D53" s="71" t="s">
        <v>97</v>
      </c>
      <c r="E53" s="69" t="s">
        <v>501</v>
      </c>
      <c r="F53" s="87" t="n">
        <v>0.072</v>
      </c>
      <c r="G53" s="88" t="n">
        <v>0.0612</v>
      </c>
      <c r="H53" s="89" t="n">
        <v>0</v>
      </c>
      <c r="I53" s="89" t="n">
        <v>0</v>
      </c>
      <c r="J53" s="89" t="n">
        <v>0</v>
      </c>
      <c r="K53" s="174" t="n">
        <f aca="false">IF(COUNT(H53:J53)=0,"",AVERAGE(H53:J53))</f>
        <v>0</v>
      </c>
      <c r="L53" s="90" t="n">
        <v>0</v>
      </c>
      <c r="M53" s="90" t="n">
        <v>0</v>
      </c>
      <c r="N53" s="90"/>
      <c r="O53" s="174" t="n">
        <f aca="false">IF(COUNT(L53:N53)=0,"",AVERAGE(L53:N53))</f>
        <v>0</v>
      </c>
      <c r="P53" s="90"/>
      <c r="Q53" s="90"/>
      <c r="R53" s="90"/>
      <c r="S53" s="174" t="str">
        <f aca="false">IF(COUNT(P53:R53)=0,"",AVERAGE(P53:R53))</f>
        <v/>
      </c>
      <c r="T53" s="90"/>
      <c r="U53" s="90"/>
      <c r="V53" s="90"/>
      <c r="W53" s="174" t="str">
        <f aca="false">IF(COUNT(T53:V53)=0,"",AVERAGE(T53:V53))</f>
        <v/>
      </c>
      <c r="X53" s="92" t="n">
        <v>0</v>
      </c>
      <c r="Y53" s="114" t="s">
        <v>104</v>
      </c>
      <c r="Z53" s="78" t="s">
        <v>100</v>
      </c>
    </row>
    <row r="54" customFormat="false" ht="25.5" hidden="false" customHeight="true" outlineLevel="0" collapsed="false">
      <c r="A54" s="69" t="s">
        <v>186</v>
      </c>
      <c r="B54" s="70" t="s">
        <v>187</v>
      </c>
      <c r="C54" s="71" t="s">
        <v>166</v>
      </c>
      <c r="D54" s="71" t="s">
        <v>97</v>
      </c>
      <c r="E54" s="69" t="s">
        <v>501</v>
      </c>
      <c r="F54" s="102" t="n">
        <v>0.027</v>
      </c>
      <c r="G54" s="82" t="n">
        <v>0.0135</v>
      </c>
      <c r="H54" s="81" t="n">
        <v>0.00843881856540084</v>
      </c>
      <c r="I54" s="81" t="n">
        <v>0.00591715976331361</v>
      </c>
      <c r="J54" s="81" t="n">
        <v>0.0282485875706215</v>
      </c>
      <c r="K54" s="176" t="n">
        <f aca="false">IF(COUNT(H54:J54)=0,"",AVERAGE(H54:J54))</f>
        <v>0.0142015219664453</v>
      </c>
      <c r="L54" s="103" t="n">
        <v>0.00813008130081301</v>
      </c>
      <c r="M54" s="103" t="n">
        <v>0.00446428571428571</v>
      </c>
      <c r="N54" s="103" t="n">
        <v>0.00357142857142857</v>
      </c>
      <c r="O54" s="176" t="n">
        <f aca="false">IF(COUNT(L54:N54)=0,"",AVERAGE(L54:N54))</f>
        <v>0.00538859852884243</v>
      </c>
      <c r="P54" s="103" t="n">
        <v>0</v>
      </c>
      <c r="Q54" s="103"/>
      <c r="R54" s="103"/>
      <c r="S54" s="176" t="n">
        <f aca="false">IF(COUNT(P54:R54)=0,"",AVERAGE(P54:R54))</f>
        <v>0</v>
      </c>
      <c r="T54" s="103"/>
      <c r="U54" s="103"/>
      <c r="V54" s="103"/>
      <c r="W54" s="176" t="str">
        <f aca="false">IF(COUNT(T54:V54)=0,"",AVERAGE(T54:V54))</f>
        <v/>
      </c>
      <c r="X54" s="104" t="n">
        <v>0.0111658016336292</v>
      </c>
      <c r="Y54" s="114" t="s">
        <v>104</v>
      </c>
      <c r="Z54" s="78" t="s">
        <v>100</v>
      </c>
    </row>
    <row r="55" customFormat="false" ht="25.5" hidden="false" customHeight="true" outlineLevel="0" collapsed="false">
      <c r="A55" s="69" t="s">
        <v>198</v>
      </c>
      <c r="B55" s="70" t="s">
        <v>199</v>
      </c>
      <c r="C55" s="71" t="s">
        <v>166</v>
      </c>
      <c r="D55" s="71" t="s">
        <v>110</v>
      </c>
      <c r="E55" s="69" t="s">
        <v>501</v>
      </c>
      <c r="F55" s="87" t="n">
        <v>0.821</v>
      </c>
      <c r="G55" s="88" t="n">
        <v>0.848</v>
      </c>
      <c r="H55" s="89" t="n">
        <v>1</v>
      </c>
      <c r="I55" s="89" t="n">
        <v>1</v>
      </c>
      <c r="J55" s="90" t="n">
        <v>1</v>
      </c>
      <c r="K55" s="174" t="n">
        <f aca="false">IF(COUNT(H55:J55)=0,"",AVERAGE(H55:J55))</f>
        <v>1</v>
      </c>
      <c r="L55" s="90" t="n">
        <v>1</v>
      </c>
      <c r="M55" s="90" t="n">
        <v>0.8571</v>
      </c>
      <c r="N55" s="90" t="n">
        <v>1</v>
      </c>
      <c r="O55" s="174" t="n">
        <f aca="false">IF(COUNT(L55:N55)=0,"",AVERAGE(L55:N55))</f>
        <v>0.952366666666667</v>
      </c>
      <c r="P55" s="90" t="n">
        <v>1</v>
      </c>
      <c r="Q55" s="90"/>
      <c r="R55" s="90"/>
      <c r="S55" s="174" t="n">
        <f aca="false">IF(COUNT(P55:R55)=0,"",AVERAGE(P55:R55))</f>
        <v>1</v>
      </c>
      <c r="T55" s="90"/>
      <c r="U55" s="90"/>
      <c r="V55" s="90"/>
      <c r="W55" s="174" t="str">
        <f aca="false">IF(COUNT(T55:V55)=0,"",AVERAGE(T55:V55))</f>
        <v/>
      </c>
      <c r="X55" s="92" t="n">
        <v>1</v>
      </c>
      <c r="Y55" s="114" t="s">
        <v>104</v>
      </c>
      <c r="Z55" s="78" t="s">
        <v>190</v>
      </c>
    </row>
    <row r="56" customFormat="false" ht="25.5" hidden="false" customHeight="true" outlineLevel="0" collapsed="false">
      <c r="A56" s="69" t="s">
        <v>211</v>
      </c>
      <c r="B56" s="70" t="s">
        <v>212</v>
      </c>
      <c r="C56" s="71" t="s">
        <v>213</v>
      </c>
      <c r="D56" s="71" t="s">
        <v>110</v>
      </c>
      <c r="E56" s="69" t="s">
        <v>501</v>
      </c>
      <c r="F56" s="87" t="s">
        <v>32</v>
      </c>
      <c r="G56" s="91" t="n">
        <v>1</v>
      </c>
      <c r="H56" s="89" t="n">
        <v>0</v>
      </c>
      <c r="I56" s="89" t="n">
        <v>0</v>
      </c>
      <c r="J56" s="89" t="n">
        <v>1</v>
      </c>
      <c r="K56" s="174" t="n">
        <f aca="false">IF(COUNT(H56:J56)=0,"",LOOKUP(2,1/(H56:J56&lt;&gt;""),H56:J56))</f>
        <v>1</v>
      </c>
      <c r="L56" s="90" t="n">
        <v>1</v>
      </c>
      <c r="M56" s="90" t="n">
        <v>1</v>
      </c>
      <c r="N56" s="90" t="n">
        <v>1</v>
      </c>
      <c r="O56" s="174" t="n">
        <f aca="false">IF(COUNT(L56:N56)=0,"",LOOKUP(2,1/(L56:N56&lt;&gt;""),L56:N56))</f>
        <v>1</v>
      </c>
      <c r="P56" s="90" t="n">
        <v>1</v>
      </c>
      <c r="Q56" s="90"/>
      <c r="R56" s="90"/>
      <c r="S56" s="174" t="n">
        <f aca="false">IF(COUNT(P56:R56)=0,"",LOOKUP(2,1/(P56:R56&lt;&gt;""),P56:R56))</f>
        <v>1</v>
      </c>
      <c r="T56" s="90"/>
      <c r="U56" s="90"/>
      <c r="V56" s="90"/>
      <c r="W56" s="174" t="str">
        <f aca="false">IF(COUNT(T56:V56)=0,"",LOOKUP(2,1/(T56:V56&lt;&gt;""),T56:V56))</f>
        <v/>
      </c>
      <c r="X56" s="92" t="n">
        <v>0.611111111111111</v>
      </c>
      <c r="Y56" s="114" t="s">
        <v>120</v>
      </c>
      <c r="Z56" s="78" t="s">
        <v>214</v>
      </c>
    </row>
    <row r="57" customFormat="false" ht="25.5" hidden="false" customHeight="true" outlineLevel="0" collapsed="false">
      <c r="A57" s="69" t="s">
        <v>262</v>
      </c>
      <c r="B57" s="70" t="s">
        <v>263</v>
      </c>
      <c r="C57" s="71" t="s">
        <v>35</v>
      </c>
      <c r="D57" s="71" t="s">
        <v>110</v>
      </c>
      <c r="E57" s="183" t="s">
        <v>502</v>
      </c>
      <c r="F57" s="87" t="s">
        <v>32</v>
      </c>
      <c r="G57" s="91" t="s">
        <v>32</v>
      </c>
      <c r="H57" s="184"/>
      <c r="I57" s="184"/>
      <c r="J57" s="184"/>
      <c r="K57" s="185" t="n">
        <v>1</v>
      </c>
      <c r="L57" s="184"/>
      <c r="M57" s="184"/>
      <c r="N57" s="184"/>
      <c r="O57" s="186"/>
      <c r="P57" s="184"/>
      <c r="Q57" s="184"/>
      <c r="R57" s="184"/>
      <c r="S57" s="186"/>
      <c r="T57" s="184"/>
      <c r="U57" s="184"/>
      <c r="V57" s="184"/>
      <c r="W57" s="186"/>
      <c r="X57" s="92" t="n">
        <v>1</v>
      </c>
      <c r="Y57" s="114" t="s">
        <v>120</v>
      </c>
      <c r="Z57" s="78" t="s">
        <v>264</v>
      </c>
    </row>
    <row r="58" customFormat="false" ht="25.5" hidden="false" customHeight="true" outlineLevel="0" collapsed="false">
      <c r="A58" s="69" t="s">
        <v>277</v>
      </c>
      <c r="B58" s="70" t="s">
        <v>278</v>
      </c>
      <c r="C58" s="71" t="s">
        <v>35</v>
      </c>
      <c r="D58" s="71" t="s">
        <v>110</v>
      </c>
      <c r="E58" s="183" t="s">
        <v>502</v>
      </c>
      <c r="F58" s="87" t="n">
        <v>0.5879</v>
      </c>
      <c r="G58" s="91" t="s">
        <v>32</v>
      </c>
      <c r="H58" s="184"/>
      <c r="I58" s="184"/>
      <c r="J58" s="184"/>
      <c r="K58" s="185" t="n">
        <v>0.9986</v>
      </c>
      <c r="L58" s="184"/>
      <c r="M58" s="184"/>
      <c r="N58" s="184"/>
      <c r="O58" s="186" t="n">
        <v>0.999</v>
      </c>
      <c r="P58" s="184"/>
      <c r="Q58" s="184"/>
      <c r="R58" s="184"/>
      <c r="S58" s="186"/>
      <c r="T58" s="184"/>
      <c r="U58" s="184"/>
      <c r="V58" s="184"/>
      <c r="W58" s="186"/>
      <c r="X58" s="92" t="n">
        <v>0.9986</v>
      </c>
      <c r="Y58" s="114" t="s">
        <v>120</v>
      </c>
      <c r="Z58" s="78" t="s">
        <v>190</v>
      </c>
    </row>
    <row r="59" customFormat="false" ht="25.5" hidden="false" customHeight="true" outlineLevel="0" collapsed="false">
      <c r="A59" s="69" t="s">
        <v>305</v>
      </c>
      <c r="B59" s="70" t="s">
        <v>306</v>
      </c>
      <c r="C59" s="71" t="s">
        <v>34</v>
      </c>
      <c r="D59" s="71" t="s">
        <v>97</v>
      </c>
      <c r="E59" s="183" t="s">
        <v>502</v>
      </c>
      <c r="F59" s="87" t="s">
        <v>32</v>
      </c>
      <c r="G59" s="91" t="s">
        <v>32</v>
      </c>
      <c r="H59" s="184"/>
      <c r="I59" s="184"/>
      <c r="J59" s="184"/>
      <c r="K59" s="185" t="n">
        <v>0.28448275862069</v>
      </c>
      <c r="L59" s="184"/>
      <c r="M59" s="184"/>
      <c r="N59" s="184"/>
      <c r="O59" s="186" t="n">
        <v>233</v>
      </c>
      <c r="P59" s="184"/>
      <c r="Q59" s="184"/>
      <c r="R59" s="184"/>
      <c r="S59" s="186"/>
      <c r="T59" s="184"/>
      <c r="U59" s="184"/>
      <c r="V59" s="184"/>
      <c r="W59" s="186"/>
      <c r="X59" s="92" t="n">
        <v>0.28448275862069</v>
      </c>
      <c r="Y59" s="114" t="s">
        <v>120</v>
      </c>
      <c r="Z59" s="78" t="s">
        <v>307</v>
      </c>
    </row>
    <row r="60" customFormat="false" ht="25.5" hidden="false" customHeight="true" outlineLevel="0" collapsed="false">
      <c r="A60" s="69" t="s">
        <v>339</v>
      </c>
      <c r="B60" s="70" t="s">
        <v>340</v>
      </c>
      <c r="C60" s="71" t="s">
        <v>166</v>
      </c>
      <c r="D60" s="71" t="s">
        <v>110</v>
      </c>
      <c r="E60" s="183" t="s">
        <v>502</v>
      </c>
      <c r="F60" s="87" t="n">
        <v>0.91</v>
      </c>
      <c r="G60" s="88" t="n">
        <v>0.92</v>
      </c>
      <c r="H60" s="184"/>
      <c r="I60" s="184"/>
      <c r="J60" s="184"/>
      <c r="K60" s="185" t="n">
        <v>1</v>
      </c>
      <c r="L60" s="184"/>
      <c r="M60" s="184"/>
      <c r="N60" s="184"/>
      <c r="O60" s="186" t="n">
        <v>1</v>
      </c>
      <c r="P60" s="184"/>
      <c r="Q60" s="184"/>
      <c r="R60" s="184"/>
      <c r="S60" s="186"/>
      <c r="T60" s="184"/>
      <c r="U60" s="184"/>
      <c r="V60" s="184"/>
      <c r="W60" s="186"/>
      <c r="X60" s="92" t="n">
        <v>1</v>
      </c>
      <c r="Y60" s="114" t="s">
        <v>104</v>
      </c>
      <c r="Z60" s="78" t="s">
        <v>341</v>
      </c>
    </row>
    <row r="61" customFormat="false" ht="25.5" hidden="false" customHeight="true" outlineLevel="0" collapsed="false">
      <c r="A61" s="69" t="s">
        <v>357</v>
      </c>
      <c r="B61" s="70" t="s">
        <v>358</v>
      </c>
      <c r="C61" s="71" t="s">
        <v>166</v>
      </c>
      <c r="D61" s="71" t="s">
        <v>97</v>
      </c>
      <c r="E61" s="183" t="s">
        <v>502</v>
      </c>
      <c r="F61" s="102" t="n">
        <v>15.7</v>
      </c>
      <c r="G61" s="122" t="n">
        <v>7.85</v>
      </c>
      <c r="H61" s="191"/>
      <c r="I61" s="191"/>
      <c r="J61" s="191"/>
      <c r="K61" s="193" t="n">
        <v>0</v>
      </c>
      <c r="L61" s="191"/>
      <c r="M61" s="191"/>
      <c r="N61" s="191"/>
      <c r="O61" s="193" t="n">
        <v>0</v>
      </c>
      <c r="P61" s="191"/>
      <c r="Q61" s="191"/>
      <c r="R61" s="191"/>
      <c r="S61" s="193"/>
      <c r="T61" s="191"/>
      <c r="U61" s="191"/>
      <c r="V61" s="191"/>
      <c r="W61" s="193"/>
      <c r="X61" s="104" t="n">
        <v>0</v>
      </c>
      <c r="Y61" s="114" t="s">
        <v>104</v>
      </c>
      <c r="Z61" s="78" t="s">
        <v>100</v>
      </c>
    </row>
    <row r="62" customFormat="false" ht="25.5" hidden="false" customHeight="true" outlineLevel="0" collapsed="false">
      <c r="A62" s="69" t="s">
        <v>377</v>
      </c>
      <c r="B62" s="70" t="s">
        <v>378</v>
      </c>
      <c r="C62" s="71" t="s">
        <v>236</v>
      </c>
      <c r="D62" s="71" t="s">
        <v>110</v>
      </c>
      <c r="E62" s="183" t="s">
        <v>502</v>
      </c>
      <c r="F62" s="87" t="n">
        <v>0.483</v>
      </c>
      <c r="G62" s="88" t="n">
        <v>0.5606</v>
      </c>
      <c r="H62" s="184"/>
      <c r="I62" s="184"/>
      <c r="J62" s="184"/>
      <c r="K62" s="185" t="n">
        <v>0.408376963350785</v>
      </c>
      <c r="L62" s="184"/>
      <c r="M62" s="184"/>
      <c r="N62" s="184"/>
      <c r="O62" s="186" t="n">
        <v>0.340277777777778</v>
      </c>
      <c r="P62" s="184"/>
      <c r="Q62" s="184"/>
      <c r="R62" s="184"/>
      <c r="S62" s="186"/>
      <c r="T62" s="184"/>
      <c r="U62" s="184"/>
      <c r="V62" s="184"/>
      <c r="W62" s="186"/>
      <c r="X62" s="92" t="n">
        <v>0.0817307692307692</v>
      </c>
      <c r="Y62" s="114" t="s">
        <v>113</v>
      </c>
      <c r="Z62" s="78" t="s">
        <v>190</v>
      </c>
    </row>
    <row r="63" customFormat="false" ht="25.5" hidden="false" customHeight="true" outlineLevel="0" collapsed="false">
      <c r="A63" s="69" t="s">
        <v>379</v>
      </c>
      <c r="B63" s="70" t="s">
        <v>380</v>
      </c>
      <c r="C63" s="71" t="s">
        <v>236</v>
      </c>
      <c r="D63" s="71" t="s">
        <v>97</v>
      </c>
      <c r="E63" s="183" t="s">
        <v>502</v>
      </c>
      <c r="F63" s="87" t="s">
        <v>32</v>
      </c>
      <c r="G63" s="91" t="s">
        <v>32</v>
      </c>
      <c r="H63" s="184"/>
      <c r="I63" s="184"/>
      <c r="J63" s="184"/>
      <c r="K63" s="185" t="n">
        <v>0.107861060329068</v>
      </c>
      <c r="L63" s="184"/>
      <c r="M63" s="184"/>
      <c r="N63" s="184"/>
      <c r="O63" s="186"/>
      <c r="P63" s="184"/>
      <c r="Q63" s="184"/>
      <c r="R63" s="184"/>
      <c r="S63" s="186"/>
      <c r="T63" s="184"/>
      <c r="U63" s="184"/>
      <c r="V63" s="184"/>
      <c r="W63" s="186"/>
      <c r="X63" s="92"/>
      <c r="Y63" s="114" t="s">
        <v>120</v>
      </c>
      <c r="Z63" s="78" t="s">
        <v>105</v>
      </c>
    </row>
    <row r="64" customFormat="false" ht="25.5" hidden="false" customHeight="true" outlineLevel="0" collapsed="false">
      <c r="A64" s="69" t="s">
        <v>220</v>
      </c>
      <c r="B64" s="70" t="s">
        <v>221</v>
      </c>
      <c r="C64" s="71" t="s">
        <v>35</v>
      </c>
      <c r="D64" s="71" t="s">
        <v>97</v>
      </c>
      <c r="E64" s="183" t="s">
        <v>501</v>
      </c>
      <c r="F64" s="115" t="n">
        <v>6</v>
      </c>
      <c r="G64" s="116" t="n">
        <v>5</v>
      </c>
      <c r="H64" s="184"/>
      <c r="I64" s="184"/>
      <c r="J64" s="184"/>
      <c r="K64" s="187" t="str">
        <f aca="false">IF(COUNT(H64:J64)=0,"",AVERAGE(H64:J64))</f>
        <v/>
      </c>
      <c r="L64" s="184"/>
      <c r="M64" s="184"/>
      <c r="N64" s="184"/>
      <c r="O64" s="187" t="str">
        <f aca="false">IF(COUNT(L64:N64)=0,"",AVERAGE(L64:N64))</f>
        <v/>
      </c>
      <c r="P64" s="184"/>
      <c r="Q64" s="184"/>
      <c r="R64" s="184"/>
      <c r="S64" s="187" t="str">
        <f aca="false">IF(COUNT(P64:R64)=0,"",AVERAGE(P64:R64))</f>
        <v/>
      </c>
      <c r="T64" s="184"/>
      <c r="U64" s="184"/>
      <c r="V64" s="184"/>
      <c r="W64" s="187" t="str">
        <f aca="false">IF(COUNT(T64:V64)=0,"",AVERAGE(T64:V64))</f>
        <v/>
      </c>
      <c r="X64" s="118"/>
      <c r="Y64" s="114" t="s">
        <v>99</v>
      </c>
      <c r="Z64" s="78" t="s">
        <v>100</v>
      </c>
    </row>
    <row r="65" customFormat="false" ht="25.5" hidden="false" customHeight="true" outlineLevel="0" collapsed="false">
      <c r="A65" s="69" t="s">
        <v>222</v>
      </c>
      <c r="B65" s="70" t="s">
        <v>223</v>
      </c>
      <c r="C65" s="71" t="s">
        <v>34</v>
      </c>
      <c r="D65" s="71" t="s">
        <v>97</v>
      </c>
      <c r="E65" s="183" t="s">
        <v>501</v>
      </c>
      <c r="F65" s="115" t="n">
        <v>0.14</v>
      </c>
      <c r="G65" s="116" t="n">
        <v>0.07</v>
      </c>
      <c r="H65" s="184"/>
      <c r="I65" s="184"/>
      <c r="J65" s="184"/>
      <c r="K65" s="187" t="str">
        <f aca="false">IF(COUNT(H65:J65)=0,"",AVERAGE(H65:J65))</f>
        <v/>
      </c>
      <c r="L65" s="184"/>
      <c r="M65" s="184"/>
      <c r="N65" s="184"/>
      <c r="O65" s="187" t="str">
        <f aca="false">IF(COUNT(L65:N65)=0,"",AVERAGE(L65:N65))</f>
        <v/>
      </c>
      <c r="P65" s="184"/>
      <c r="Q65" s="184"/>
      <c r="R65" s="184"/>
      <c r="S65" s="187" t="str">
        <f aca="false">IF(COUNT(P65:R65)=0,"",AVERAGE(P65:R65))</f>
        <v/>
      </c>
      <c r="T65" s="184"/>
      <c r="U65" s="184"/>
      <c r="V65" s="184"/>
      <c r="W65" s="187" t="str">
        <f aca="false">IF(COUNT(T65:V65)=0,"",AVERAGE(T65:V65))</f>
        <v/>
      </c>
      <c r="X65" s="118"/>
      <c r="Y65" s="114" t="s">
        <v>99</v>
      </c>
      <c r="Z65" s="78" t="s">
        <v>224</v>
      </c>
    </row>
    <row r="66" customFormat="false" ht="25.5" hidden="false" customHeight="true" outlineLevel="0" collapsed="false">
      <c r="H66" s="113"/>
      <c r="I66" s="113"/>
      <c r="J66" s="113"/>
      <c r="L66" s="113"/>
      <c r="M66" s="113"/>
      <c r="N66" s="113"/>
      <c r="P66" s="113"/>
      <c r="Q66" s="113"/>
      <c r="R66" s="113"/>
      <c r="T66" s="113"/>
      <c r="U66" s="113"/>
      <c r="V66" s="113"/>
    </row>
    <row r="67" customFormat="false" ht="25.5" hidden="false" customHeight="true" outlineLevel="0" collapsed="false">
      <c r="H67" s="113"/>
      <c r="I67" s="113"/>
      <c r="J67" s="113"/>
      <c r="L67" s="113"/>
      <c r="M67" s="113"/>
      <c r="N67" s="113"/>
      <c r="P67" s="113"/>
      <c r="Q67" s="113"/>
      <c r="R67" s="113"/>
      <c r="T67" s="113"/>
      <c r="U67" s="113"/>
      <c r="V67" s="113"/>
    </row>
    <row r="68" customFormat="false" ht="25.5" hidden="false" customHeight="true" outlineLevel="0" collapsed="false">
      <c r="H68" s="113"/>
      <c r="I68" s="113"/>
      <c r="J68" s="113"/>
      <c r="L68" s="113"/>
      <c r="M68" s="113"/>
      <c r="N68" s="113"/>
      <c r="P68" s="113"/>
      <c r="Q68" s="113"/>
      <c r="R68" s="113"/>
      <c r="T68" s="113"/>
      <c r="U68" s="113"/>
      <c r="V68" s="113"/>
    </row>
    <row r="69" customFormat="false" ht="25.5" hidden="false" customHeight="true" outlineLevel="0" collapsed="false">
      <c r="H69" s="113"/>
      <c r="I69" s="113"/>
      <c r="J69" s="113"/>
      <c r="L69" s="113"/>
      <c r="M69" s="113"/>
      <c r="N69" s="113"/>
      <c r="P69" s="113"/>
      <c r="Q69" s="113"/>
      <c r="R69" s="113"/>
      <c r="T69" s="113"/>
      <c r="U69" s="113"/>
      <c r="V69" s="113"/>
    </row>
    <row r="70" customFormat="false" ht="25.5" hidden="false" customHeight="true" outlineLevel="0" collapsed="false">
      <c r="H70" s="113"/>
      <c r="I70" s="113"/>
      <c r="J70" s="113"/>
      <c r="L70" s="113"/>
      <c r="M70" s="113"/>
      <c r="N70" s="113"/>
      <c r="P70" s="113"/>
      <c r="Q70" s="113"/>
      <c r="R70" s="113"/>
      <c r="T70" s="113"/>
      <c r="U70" s="113"/>
      <c r="V70" s="113"/>
    </row>
    <row r="71" customFormat="false" ht="25.5" hidden="false" customHeight="true" outlineLevel="0" collapsed="false">
      <c r="H71" s="113"/>
      <c r="I71" s="113"/>
      <c r="J71" s="113"/>
      <c r="L71" s="113"/>
      <c r="M71" s="113"/>
      <c r="N71" s="113"/>
      <c r="P71" s="113"/>
      <c r="Q71" s="113"/>
      <c r="R71" s="113"/>
      <c r="T71" s="113"/>
      <c r="U71" s="113"/>
      <c r="V71" s="113"/>
    </row>
    <row r="72" customFormat="false" ht="25.5" hidden="false" customHeight="true" outlineLevel="0" collapsed="false">
      <c r="H72" s="113"/>
      <c r="I72" s="113"/>
      <c r="J72" s="113"/>
      <c r="L72" s="113"/>
      <c r="M72" s="113"/>
      <c r="N72" s="113"/>
      <c r="P72" s="113"/>
      <c r="Q72" s="113"/>
      <c r="R72" s="113"/>
      <c r="T72" s="113"/>
      <c r="U72" s="113"/>
      <c r="V72" s="113"/>
    </row>
    <row r="73" customFormat="false" ht="25.5" hidden="false" customHeight="true" outlineLevel="0" collapsed="false">
      <c r="H73" s="113"/>
      <c r="I73" s="113"/>
      <c r="J73" s="113"/>
      <c r="L73" s="113"/>
      <c r="M73" s="113"/>
      <c r="N73" s="113"/>
      <c r="P73" s="113"/>
      <c r="Q73" s="113"/>
      <c r="R73" s="113"/>
      <c r="T73" s="113"/>
      <c r="U73" s="113"/>
      <c r="V73" s="113"/>
    </row>
    <row r="74" customFormat="false" ht="25.5" hidden="false" customHeight="true" outlineLevel="0" collapsed="false">
      <c r="H74" s="113"/>
      <c r="I74" s="113"/>
      <c r="J74" s="113"/>
      <c r="L74" s="113"/>
      <c r="M74" s="113"/>
      <c r="N74" s="113"/>
      <c r="P74" s="113"/>
      <c r="Q74" s="113"/>
      <c r="R74" s="113"/>
      <c r="T74" s="113"/>
      <c r="U74" s="113"/>
      <c r="V74" s="113"/>
    </row>
    <row r="75" customFormat="false" ht="25.5" hidden="false" customHeight="true" outlineLevel="0" collapsed="false">
      <c r="H75" s="113"/>
      <c r="I75" s="113"/>
      <c r="J75" s="113"/>
      <c r="L75" s="113"/>
      <c r="M75" s="113"/>
      <c r="N75" s="113"/>
      <c r="P75" s="113"/>
      <c r="Q75" s="113"/>
      <c r="R75" s="113"/>
      <c r="T75" s="113"/>
      <c r="U75" s="113"/>
      <c r="V75" s="113"/>
    </row>
    <row r="76" customFormat="false" ht="25.5" hidden="false" customHeight="true" outlineLevel="0" collapsed="false">
      <c r="H76" s="113"/>
      <c r="I76" s="113"/>
      <c r="J76" s="113"/>
      <c r="L76" s="113"/>
      <c r="M76" s="113"/>
      <c r="N76" s="113"/>
      <c r="P76" s="113"/>
      <c r="Q76" s="113"/>
      <c r="R76" s="113"/>
      <c r="T76" s="113"/>
      <c r="U76" s="113"/>
      <c r="V76" s="113"/>
    </row>
    <row r="77" customFormat="false" ht="25.5" hidden="false" customHeight="true" outlineLevel="0" collapsed="false">
      <c r="H77" s="113"/>
      <c r="I77" s="113"/>
      <c r="J77" s="113"/>
      <c r="L77" s="113"/>
      <c r="M77" s="113"/>
      <c r="N77" s="113"/>
      <c r="P77" s="113"/>
      <c r="Q77" s="113"/>
      <c r="R77" s="113"/>
      <c r="T77" s="113"/>
      <c r="U77" s="113"/>
      <c r="V77" s="113"/>
    </row>
    <row r="78" customFormat="false" ht="25.5" hidden="false" customHeight="true" outlineLevel="0" collapsed="false">
      <c r="H78" s="113"/>
      <c r="I78" s="113"/>
      <c r="J78" s="113"/>
      <c r="L78" s="113"/>
      <c r="M78" s="113"/>
      <c r="N78" s="113"/>
      <c r="P78" s="113"/>
      <c r="Q78" s="113"/>
      <c r="R78" s="113"/>
      <c r="T78" s="113"/>
      <c r="U78" s="113"/>
      <c r="V78" s="113"/>
    </row>
    <row r="79" customFormat="false" ht="25.5" hidden="false" customHeight="true" outlineLevel="0" collapsed="false">
      <c r="H79" s="113"/>
      <c r="I79" s="113"/>
      <c r="J79" s="113"/>
      <c r="L79" s="113"/>
      <c r="M79" s="113"/>
      <c r="N79" s="113"/>
      <c r="P79" s="113"/>
      <c r="Q79" s="113"/>
      <c r="R79" s="113"/>
      <c r="T79" s="113"/>
      <c r="U79" s="113"/>
      <c r="V79" s="113"/>
    </row>
    <row r="80" customFormat="false" ht="25.5" hidden="false" customHeight="true" outlineLevel="0" collapsed="false">
      <c r="H80" s="113"/>
      <c r="I80" s="113"/>
      <c r="J80" s="113"/>
      <c r="L80" s="113"/>
      <c r="M80" s="113"/>
      <c r="N80" s="113"/>
      <c r="P80" s="113"/>
      <c r="Q80" s="113"/>
      <c r="R80" s="113"/>
      <c r="T80" s="113"/>
      <c r="U80" s="113"/>
      <c r="V80" s="113"/>
    </row>
    <row r="81" customFormat="false" ht="25.5" hidden="false" customHeight="true" outlineLevel="0" collapsed="false">
      <c r="H81" s="113"/>
      <c r="I81" s="113"/>
      <c r="J81" s="113"/>
      <c r="L81" s="113"/>
      <c r="M81" s="113"/>
      <c r="N81" s="113"/>
      <c r="P81" s="113"/>
      <c r="Q81" s="113"/>
      <c r="R81" s="113"/>
      <c r="T81" s="113"/>
      <c r="U81" s="113"/>
      <c r="V81" s="113"/>
    </row>
    <row r="82" customFormat="false" ht="25.5" hidden="false" customHeight="true" outlineLevel="0" collapsed="false">
      <c r="H82" s="113"/>
      <c r="I82" s="113"/>
      <c r="J82" s="113"/>
      <c r="L82" s="113"/>
      <c r="M82" s="113"/>
      <c r="N82" s="113"/>
      <c r="P82" s="113"/>
      <c r="Q82" s="113"/>
      <c r="R82" s="113"/>
      <c r="T82" s="113"/>
      <c r="U82" s="113"/>
      <c r="V82" s="113"/>
    </row>
    <row r="83" customFormat="false" ht="25.5" hidden="false" customHeight="true" outlineLevel="0" collapsed="false">
      <c r="H83" s="113"/>
      <c r="I83" s="113"/>
      <c r="J83" s="113"/>
      <c r="L83" s="113"/>
      <c r="M83" s="113"/>
      <c r="N83" s="113"/>
      <c r="P83" s="113"/>
      <c r="Q83" s="113"/>
      <c r="R83" s="113"/>
      <c r="T83" s="113"/>
      <c r="U83" s="113"/>
      <c r="V83" s="113"/>
    </row>
    <row r="84" customFormat="false" ht="25.5" hidden="false" customHeight="true" outlineLevel="0" collapsed="false">
      <c r="H84" s="113"/>
      <c r="I84" s="113"/>
      <c r="J84" s="113"/>
      <c r="L84" s="113"/>
      <c r="M84" s="113"/>
      <c r="N84" s="113"/>
      <c r="P84" s="113"/>
      <c r="Q84" s="113"/>
      <c r="R84" s="113"/>
      <c r="T84" s="113"/>
      <c r="U84" s="113"/>
      <c r="V84" s="113"/>
    </row>
    <row r="85" customFormat="false" ht="25.5" hidden="false" customHeight="true" outlineLevel="0" collapsed="false">
      <c r="H85" s="113"/>
      <c r="I85" s="113"/>
      <c r="J85" s="113"/>
      <c r="L85" s="113"/>
      <c r="M85" s="113"/>
      <c r="N85" s="113"/>
      <c r="P85" s="113"/>
      <c r="Q85" s="113"/>
      <c r="R85" s="113"/>
      <c r="T85" s="113"/>
      <c r="U85" s="113"/>
      <c r="V85" s="113"/>
    </row>
    <row r="86" customFormat="false" ht="25.5" hidden="false" customHeight="true" outlineLevel="0" collapsed="false">
      <c r="H86" s="113"/>
      <c r="I86" s="113"/>
      <c r="J86" s="113"/>
      <c r="L86" s="113"/>
      <c r="M86" s="113"/>
      <c r="N86" s="113"/>
      <c r="P86" s="113"/>
      <c r="Q86" s="113"/>
      <c r="R86" s="113"/>
      <c r="T86" s="113"/>
      <c r="U86" s="113"/>
      <c r="V86" s="113"/>
    </row>
    <row r="87" customFormat="false" ht="25.5" hidden="false" customHeight="true" outlineLevel="0" collapsed="false">
      <c r="H87" s="113"/>
      <c r="I87" s="113"/>
      <c r="J87" s="113"/>
      <c r="L87" s="113"/>
      <c r="M87" s="113"/>
      <c r="N87" s="113"/>
      <c r="P87" s="113"/>
      <c r="Q87" s="113"/>
      <c r="R87" s="113"/>
      <c r="T87" s="113"/>
      <c r="U87" s="113"/>
      <c r="V87" s="113"/>
    </row>
    <row r="88" customFormat="false" ht="25.5" hidden="false" customHeight="true" outlineLevel="0" collapsed="false">
      <c r="H88" s="113"/>
      <c r="I88" s="113"/>
      <c r="J88" s="113"/>
      <c r="L88" s="113"/>
      <c r="M88" s="113"/>
      <c r="N88" s="113"/>
      <c r="P88" s="113"/>
      <c r="Q88" s="113"/>
      <c r="R88" s="113"/>
      <c r="T88" s="113"/>
      <c r="U88" s="113"/>
      <c r="V88" s="113"/>
    </row>
    <row r="89" customFormat="false" ht="25.5" hidden="false" customHeight="true" outlineLevel="0" collapsed="false">
      <c r="H89" s="113"/>
      <c r="I89" s="113"/>
      <c r="J89" s="113"/>
      <c r="L89" s="113"/>
      <c r="M89" s="113"/>
      <c r="N89" s="113"/>
      <c r="P89" s="113"/>
      <c r="Q89" s="113"/>
      <c r="R89" s="113"/>
      <c r="T89" s="113"/>
      <c r="U89" s="113"/>
      <c r="V89" s="113"/>
    </row>
    <row r="90" customFormat="false" ht="25.5" hidden="false" customHeight="true" outlineLevel="0" collapsed="false">
      <c r="H90" s="113"/>
      <c r="I90" s="113"/>
      <c r="J90" s="113"/>
      <c r="L90" s="113"/>
      <c r="M90" s="113"/>
      <c r="N90" s="113"/>
      <c r="P90" s="113"/>
      <c r="Q90" s="113"/>
      <c r="R90" s="113"/>
      <c r="T90" s="113"/>
      <c r="U90" s="113"/>
      <c r="V90" s="113"/>
    </row>
    <row r="91" customFormat="false" ht="25.5" hidden="false" customHeight="true" outlineLevel="0" collapsed="false">
      <c r="H91" s="113"/>
      <c r="I91" s="113"/>
      <c r="J91" s="113"/>
      <c r="L91" s="113"/>
      <c r="M91" s="113"/>
      <c r="N91" s="113"/>
      <c r="P91" s="113"/>
      <c r="Q91" s="113"/>
      <c r="R91" s="113"/>
      <c r="T91" s="113"/>
      <c r="U91" s="113"/>
      <c r="V91" s="113"/>
    </row>
    <row r="92" customFormat="false" ht="25.5" hidden="false" customHeight="true" outlineLevel="0" collapsed="false">
      <c r="H92" s="113"/>
      <c r="I92" s="113"/>
      <c r="J92" s="113"/>
      <c r="L92" s="113"/>
      <c r="M92" s="113"/>
      <c r="N92" s="113"/>
      <c r="P92" s="113"/>
      <c r="Q92" s="113"/>
      <c r="R92" s="113"/>
      <c r="T92" s="113"/>
      <c r="U92" s="113"/>
      <c r="V92" s="113"/>
    </row>
    <row r="93" customFormat="false" ht="25.5" hidden="false" customHeight="true" outlineLevel="0" collapsed="false">
      <c r="H93" s="113"/>
      <c r="I93" s="113"/>
      <c r="J93" s="113"/>
      <c r="L93" s="113"/>
      <c r="M93" s="113"/>
      <c r="N93" s="113"/>
      <c r="P93" s="113"/>
      <c r="Q93" s="113"/>
      <c r="R93" s="113"/>
      <c r="T93" s="113"/>
      <c r="U93" s="113"/>
      <c r="V93" s="113"/>
    </row>
    <row r="94" customFormat="false" ht="25.5" hidden="false" customHeight="true" outlineLevel="0" collapsed="false">
      <c r="H94" s="113"/>
      <c r="I94" s="113"/>
      <c r="J94" s="113"/>
      <c r="L94" s="113"/>
      <c r="M94" s="113"/>
      <c r="N94" s="113"/>
      <c r="P94" s="113"/>
      <c r="Q94" s="113"/>
      <c r="R94" s="113"/>
      <c r="T94" s="113"/>
      <c r="U94" s="113"/>
      <c r="V94" s="113"/>
    </row>
    <row r="95" customFormat="false" ht="25.5" hidden="false" customHeight="true" outlineLevel="0" collapsed="false">
      <c r="H95" s="113"/>
      <c r="I95" s="113"/>
      <c r="J95" s="113"/>
      <c r="L95" s="113"/>
      <c r="M95" s="113"/>
      <c r="N95" s="113"/>
      <c r="P95" s="113"/>
      <c r="Q95" s="113"/>
      <c r="R95" s="113"/>
      <c r="T95" s="113"/>
      <c r="U95" s="113"/>
      <c r="V95" s="113"/>
    </row>
    <row r="96" customFormat="false" ht="25.5" hidden="false" customHeight="true" outlineLevel="0" collapsed="false">
      <c r="H96" s="113"/>
      <c r="I96" s="113"/>
      <c r="J96" s="113"/>
      <c r="L96" s="113"/>
      <c r="M96" s="113"/>
      <c r="N96" s="113"/>
      <c r="P96" s="113"/>
      <c r="Q96" s="113"/>
      <c r="R96" s="113"/>
      <c r="T96" s="113"/>
      <c r="U96" s="113"/>
      <c r="V96" s="113"/>
    </row>
    <row r="97" customFormat="false" ht="25.5" hidden="false" customHeight="true" outlineLevel="0" collapsed="false">
      <c r="H97" s="113"/>
      <c r="I97" s="113"/>
      <c r="J97" s="113"/>
      <c r="L97" s="113"/>
      <c r="M97" s="113"/>
      <c r="N97" s="113"/>
      <c r="P97" s="113"/>
      <c r="Q97" s="113"/>
      <c r="R97" s="113"/>
      <c r="T97" s="113"/>
      <c r="U97" s="113"/>
      <c r="V97" s="113"/>
    </row>
    <row r="98" customFormat="false" ht="25.5" hidden="false" customHeight="true" outlineLevel="0" collapsed="false">
      <c r="H98" s="113"/>
      <c r="I98" s="113"/>
      <c r="J98" s="113"/>
      <c r="L98" s="113"/>
      <c r="M98" s="113"/>
      <c r="N98" s="113"/>
      <c r="P98" s="113"/>
      <c r="Q98" s="113"/>
      <c r="R98" s="113"/>
      <c r="T98" s="113"/>
      <c r="U98" s="113"/>
      <c r="V98" s="113"/>
    </row>
    <row r="99" customFormat="false" ht="25.5" hidden="false" customHeight="true" outlineLevel="0" collapsed="false">
      <c r="H99" s="113"/>
      <c r="I99" s="113"/>
      <c r="J99" s="113"/>
      <c r="L99" s="113"/>
      <c r="M99" s="113"/>
      <c r="N99" s="113"/>
      <c r="P99" s="113"/>
      <c r="Q99" s="113"/>
      <c r="R99" s="113"/>
      <c r="T99" s="113"/>
      <c r="U99" s="113"/>
      <c r="V99" s="113"/>
    </row>
    <row r="100" customFormat="false" ht="25.5" hidden="false" customHeight="true" outlineLevel="0" collapsed="false">
      <c r="H100" s="113"/>
      <c r="I100" s="113"/>
      <c r="J100" s="113"/>
      <c r="L100" s="113"/>
      <c r="M100" s="113"/>
      <c r="N100" s="113"/>
      <c r="P100" s="113"/>
      <c r="Q100" s="113"/>
      <c r="R100" s="113"/>
      <c r="T100" s="113"/>
      <c r="U100" s="113"/>
      <c r="V100" s="113"/>
    </row>
    <row r="101" customFormat="false" ht="25.5" hidden="false" customHeight="true" outlineLevel="0" collapsed="false">
      <c r="H101" s="113"/>
      <c r="I101" s="113"/>
      <c r="J101" s="113"/>
      <c r="L101" s="113"/>
      <c r="M101" s="113"/>
      <c r="N101" s="113"/>
      <c r="P101" s="113"/>
      <c r="Q101" s="113"/>
      <c r="R101" s="113"/>
      <c r="T101" s="113"/>
      <c r="U101" s="113"/>
      <c r="V101" s="113"/>
    </row>
    <row r="102" customFormat="false" ht="25.5" hidden="false" customHeight="true" outlineLevel="0" collapsed="false">
      <c r="H102" s="113"/>
      <c r="I102" s="113"/>
      <c r="J102" s="113"/>
      <c r="L102" s="113"/>
      <c r="M102" s="113"/>
      <c r="N102" s="113"/>
      <c r="P102" s="113"/>
      <c r="Q102" s="113"/>
      <c r="R102" s="113"/>
      <c r="T102" s="113"/>
      <c r="U102" s="113"/>
      <c r="V102" s="113"/>
    </row>
    <row r="103" customFormat="false" ht="15" hidden="false" customHeight="true" outlineLevel="0" collapsed="false">
      <c r="H103" s="113"/>
      <c r="I103" s="113"/>
      <c r="J103" s="113"/>
      <c r="L103" s="113"/>
      <c r="M103" s="113"/>
      <c r="N103" s="113"/>
      <c r="P103" s="113"/>
      <c r="Q103" s="113"/>
      <c r="R103" s="113"/>
      <c r="T103" s="113"/>
      <c r="U103" s="113"/>
      <c r="V103" s="113"/>
    </row>
    <row r="104" customFormat="false" ht="15" hidden="false" customHeight="true" outlineLevel="0" collapsed="false">
      <c r="H104" s="113"/>
      <c r="I104" s="113"/>
      <c r="J104" s="113"/>
      <c r="L104" s="113"/>
      <c r="M104" s="113"/>
      <c r="N104" s="113"/>
      <c r="P104" s="113"/>
      <c r="Q104" s="113"/>
      <c r="R104" s="113"/>
      <c r="T104" s="113"/>
      <c r="U104" s="113"/>
      <c r="V104" s="113"/>
    </row>
    <row r="105" customFormat="false" ht="15" hidden="false" customHeight="true" outlineLevel="0" collapsed="false">
      <c r="H105" s="113"/>
      <c r="I105" s="113"/>
      <c r="J105" s="113"/>
      <c r="L105" s="113"/>
      <c r="M105" s="113"/>
      <c r="N105" s="113"/>
      <c r="P105" s="113"/>
      <c r="Q105" s="113"/>
      <c r="R105" s="113"/>
      <c r="T105" s="113"/>
      <c r="U105" s="113"/>
      <c r="V105" s="113"/>
    </row>
    <row r="106" customFormat="false" ht="15" hidden="false" customHeight="true" outlineLevel="0" collapsed="false">
      <c r="H106" s="113"/>
      <c r="I106" s="113"/>
      <c r="J106" s="113"/>
      <c r="L106" s="113"/>
      <c r="M106" s="113"/>
      <c r="N106" s="113"/>
      <c r="P106" s="113"/>
      <c r="Q106" s="113"/>
      <c r="R106" s="113"/>
      <c r="T106" s="113"/>
      <c r="U106" s="113"/>
      <c r="V106" s="113"/>
    </row>
    <row r="107" customFormat="false" ht="15" hidden="false" customHeight="true" outlineLevel="0" collapsed="false">
      <c r="H107" s="113"/>
      <c r="I107" s="113"/>
      <c r="J107" s="113"/>
      <c r="L107" s="113"/>
      <c r="M107" s="113"/>
      <c r="N107" s="113"/>
      <c r="P107" s="113"/>
      <c r="Q107" s="113"/>
      <c r="R107" s="113"/>
      <c r="T107" s="113"/>
      <c r="U107" s="113"/>
      <c r="V107" s="113"/>
    </row>
    <row r="108" customFormat="false" ht="15" hidden="false" customHeight="true" outlineLevel="0" collapsed="false">
      <c r="H108" s="113"/>
      <c r="I108" s="113"/>
      <c r="J108" s="113"/>
      <c r="L108" s="113"/>
      <c r="M108" s="113"/>
      <c r="N108" s="113"/>
      <c r="P108" s="113"/>
      <c r="Q108" s="113"/>
      <c r="R108" s="113"/>
      <c r="T108" s="113"/>
      <c r="U108" s="113"/>
      <c r="V108" s="113"/>
    </row>
    <row r="109" customFormat="false" ht="15" hidden="false" customHeight="true" outlineLevel="0" collapsed="false">
      <c r="H109" s="113"/>
      <c r="I109" s="113"/>
      <c r="J109" s="113"/>
      <c r="L109" s="113"/>
      <c r="M109" s="113"/>
      <c r="N109" s="113"/>
      <c r="P109" s="113"/>
      <c r="Q109" s="113"/>
      <c r="R109" s="113"/>
      <c r="T109" s="113"/>
      <c r="U109" s="113"/>
      <c r="V109" s="113"/>
    </row>
    <row r="110" customFormat="false" ht="15" hidden="false" customHeight="true" outlineLevel="0" collapsed="false">
      <c r="H110" s="113"/>
      <c r="I110" s="113"/>
      <c r="J110" s="113"/>
      <c r="L110" s="113"/>
      <c r="M110" s="113"/>
      <c r="N110" s="113"/>
      <c r="P110" s="113"/>
      <c r="Q110" s="113"/>
      <c r="R110" s="113"/>
      <c r="T110" s="113"/>
      <c r="U110" s="113"/>
      <c r="V110" s="113"/>
    </row>
    <row r="111" customFormat="false" ht="15" hidden="false" customHeight="true" outlineLevel="0" collapsed="false">
      <c r="H111" s="113"/>
      <c r="I111" s="113"/>
      <c r="J111" s="113"/>
      <c r="L111" s="113"/>
      <c r="M111" s="113"/>
      <c r="N111" s="113"/>
      <c r="P111" s="113"/>
      <c r="Q111" s="113"/>
      <c r="R111" s="113"/>
      <c r="T111" s="113"/>
      <c r="U111" s="113"/>
      <c r="V111" s="113"/>
    </row>
    <row r="112" customFormat="false" ht="15" hidden="false" customHeight="true" outlineLevel="0" collapsed="false">
      <c r="H112" s="113"/>
      <c r="I112" s="113"/>
      <c r="J112" s="113"/>
      <c r="L112" s="113"/>
      <c r="M112" s="113"/>
      <c r="N112" s="113"/>
      <c r="P112" s="113"/>
      <c r="Q112" s="113"/>
      <c r="R112" s="113"/>
      <c r="T112" s="113"/>
      <c r="U112" s="113"/>
      <c r="V112" s="113"/>
    </row>
    <row r="113" customFormat="false" ht="15" hidden="false" customHeight="true" outlineLevel="0" collapsed="false">
      <c r="H113" s="113"/>
      <c r="I113" s="113"/>
      <c r="J113" s="113"/>
      <c r="L113" s="113"/>
      <c r="M113" s="113"/>
      <c r="N113" s="113"/>
      <c r="P113" s="113"/>
      <c r="Q113" s="113"/>
      <c r="R113" s="113"/>
      <c r="T113" s="113"/>
      <c r="U113" s="113"/>
      <c r="V113" s="113"/>
    </row>
    <row r="114" customFormat="false" ht="15" hidden="false" customHeight="true" outlineLevel="0" collapsed="false">
      <c r="H114" s="113"/>
      <c r="I114" s="113"/>
      <c r="J114" s="113"/>
      <c r="L114" s="113"/>
      <c r="M114" s="113"/>
      <c r="N114" s="113"/>
      <c r="P114" s="113"/>
      <c r="Q114" s="113"/>
      <c r="R114" s="113"/>
      <c r="T114" s="113"/>
      <c r="U114" s="113"/>
      <c r="V114" s="113"/>
    </row>
    <row r="115" customFormat="false" ht="15" hidden="false" customHeight="true" outlineLevel="0" collapsed="false">
      <c r="H115" s="113"/>
      <c r="I115" s="113"/>
      <c r="J115" s="113"/>
      <c r="L115" s="113"/>
      <c r="M115" s="113"/>
      <c r="N115" s="113"/>
      <c r="P115" s="113"/>
      <c r="Q115" s="113"/>
      <c r="R115" s="113"/>
      <c r="T115" s="113"/>
      <c r="U115" s="113"/>
      <c r="V115" s="113"/>
    </row>
    <row r="116" customFormat="false" ht="15" hidden="false" customHeight="true" outlineLevel="0" collapsed="false">
      <c r="H116" s="113"/>
      <c r="I116" s="113"/>
      <c r="J116" s="113"/>
      <c r="L116" s="113"/>
      <c r="M116" s="113"/>
      <c r="N116" s="113"/>
      <c r="P116" s="113"/>
      <c r="Q116" s="113"/>
      <c r="R116" s="113"/>
      <c r="T116" s="113"/>
      <c r="U116" s="113"/>
      <c r="V116" s="113"/>
    </row>
    <row r="117" customFormat="false" ht="15" hidden="false" customHeight="true" outlineLevel="0" collapsed="false">
      <c r="H117" s="113"/>
      <c r="I117" s="113"/>
      <c r="J117" s="113"/>
      <c r="L117" s="113"/>
      <c r="M117" s="113"/>
      <c r="N117" s="113"/>
      <c r="P117" s="113"/>
      <c r="Q117" s="113"/>
      <c r="R117" s="113"/>
      <c r="T117" s="113"/>
      <c r="U117" s="113"/>
      <c r="V117" s="113"/>
    </row>
    <row r="118" customFormat="false" ht="15" hidden="false" customHeight="true" outlineLevel="0" collapsed="false">
      <c r="H118" s="113"/>
      <c r="I118" s="113"/>
      <c r="J118" s="113"/>
      <c r="L118" s="113"/>
      <c r="M118" s="113"/>
      <c r="N118" s="113"/>
      <c r="P118" s="113"/>
      <c r="Q118" s="113"/>
      <c r="R118" s="113"/>
      <c r="T118" s="113"/>
      <c r="U118" s="113"/>
      <c r="V118" s="113"/>
    </row>
    <row r="119" customFormat="false" ht="15" hidden="false" customHeight="true" outlineLevel="0" collapsed="false">
      <c r="H119" s="113"/>
      <c r="I119" s="113"/>
      <c r="J119" s="113"/>
      <c r="L119" s="113"/>
      <c r="M119" s="113"/>
      <c r="N119" s="113"/>
      <c r="P119" s="113"/>
      <c r="Q119" s="113"/>
      <c r="R119" s="113"/>
      <c r="T119" s="113"/>
      <c r="U119" s="113"/>
      <c r="V119" s="113"/>
    </row>
    <row r="120" customFormat="false" ht="15" hidden="false" customHeight="true" outlineLevel="0" collapsed="false">
      <c r="H120" s="113"/>
      <c r="I120" s="113"/>
      <c r="J120" s="113"/>
      <c r="L120" s="113"/>
      <c r="M120" s="113"/>
      <c r="N120" s="113"/>
      <c r="P120" s="113"/>
      <c r="Q120" s="113"/>
      <c r="R120" s="113"/>
      <c r="T120" s="113"/>
      <c r="U120" s="113"/>
      <c r="V120" s="113"/>
    </row>
    <row r="121" customFormat="false" ht="15" hidden="false" customHeight="true" outlineLevel="0" collapsed="false">
      <c r="H121" s="113"/>
      <c r="I121" s="113"/>
      <c r="J121" s="113"/>
      <c r="L121" s="113"/>
      <c r="M121" s="113"/>
      <c r="N121" s="113"/>
      <c r="P121" s="113"/>
      <c r="Q121" s="113"/>
      <c r="R121" s="113"/>
      <c r="T121" s="113"/>
      <c r="U121" s="113"/>
      <c r="V121" s="113"/>
    </row>
    <row r="122" customFormat="false" ht="15" hidden="false" customHeight="true" outlineLevel="0" collapsed="false">
      <c r="H122" s="113"/>
      <c r="I122" s="113"/>
      <c r="J122" s="113"/>
      <c r="L122" s="113"/>
      <c r="M122" s="113"/>
      <c r="N122" s="113"/>
      <c r="P122" s="113"/>
      <c r="Q122" s="113"/>
      <c r="R122" s="113"/>
      <c r="T122" s="113"/>
      <c r="U122" s="113"/>
      <c r="V122" s="113"/>
    </row>
    <row r="123" customFormat="false" ht="15" hidden="false" customHeight="true" outlineLevel="0" collapsed="false">
      <c r="H123" s="113"/>
      <c r="I123" s="113"/>
      <c r="J123" s="113"/>
      <c r="L123" s="113"/>
      <c r="M123" s="113"/>
      <c r="N123" s="113"/>
      <c r="P123" s="113"/>
      <c r="Q123" s="113"/>
      <c r="R123" s="113"/>
      <c r="T123" s="113"/>
      <c r="U123" s="113"/>
      <c r="V123" s="113"/>
    </row>
    <row r="124" customFormat="false" ht="15" hidden="false" customHeight="true" outlineLevel="0" collapsed="false">
      <c r="H124" s="113"/>
      <c r="I124" s="113"/>
      <c r="J124" s="113"/>
      <c r="L124" s="113"/>
      <c r="M124" s="113"/>
      <c r="N124" s="113"/>
      <c r="P124" s="113"/>
      <c r="Q124" s="113"/>
      <c r="R124" s="113"/>
      <c r="T124" s="113"/>
      <c r="U124" s="113"/>
      <c r="V124" s="113"/>
    </row>
    <row r="125" customFormat="false" ht="15" hidden="false" customHeight="true" outlineLevel="0" collapsed="false">
      <c r="H125" s="113"/>
      <c r="I125" s="113"/>
      <c r="J125" s="113"/>
      <c r="L125" s="113"/>
      <c r="M125" s="113"/>
      <c r="N125" s="113"/>
      <c r="P125" s="113"/>
      <c r="Q125" s="113"/>
      <c r="R125" s="113"/>
      <c r="T125" s="113"/>
      <c r="U125" s="113"/>
      <c r="V125" s="113"/>
    </row>
    <row r="126" customFormat="false" ht="15" hidden="false" customHeight="true" outlineLevel="0" collapsed="false">
      <c r="H126" s="113"/>
      <c r="I126" s="113"/>
      <c r="J126" s="113"/>
      <c r="L126" s="113"/>
      <c r="M126" s="113"/>
      <c r="N126" s="113"/>
      <c r="P126" s="113"/>
      <c r="Q126" s="113"/>
      <c r="R126" s="113"/>
      <c r="T126" s="113"/>
      <c r="U126" s="113"/>
      <c r="V126" s="113"/>
    </row>
    <row r="127" customFormat="false" ht="15" hidden="false" customHeight="true" outlineLevel="0" collapsed="false">
      <c r="H127" s="113"/>
      <c r="I127" s="113"/>
      <c r="J127" s="113"/>
      <c r="L127" s="113"/>
      <c r="M127" s="113"/>
      <c r="N127" s="113"/>
      <c r="P127" s="113"/>
      <c r="Q127" s="113"/>
      <c r="R127" s="113"/>
      <c r="T127" s="113"/>
      <c r="U127" s="113"/>
      <c r="V127" s="113"/>
    </row>
    <row r="128" customFormat="false" ht="15" hidden="false" customHeight="true" outlineLevel="0" collapsed="false">
      <c r="H128" s="113"/>
      <c r="I128" s="113"/>
      <c r="J128" s="113"/>
      <c r="L128" s="113"/>
      <c r="M128" s="113"/>
      <c r="N128" s="113"/>
      <c r="P128" s="113"/>
      <c r="Q128" s="113"/>
      <c r="R128" s="113"/>
      <c r="T128" s="113"/>
      <c r="U128" s="113"/>
      <c r="V128" s="113"/>
    </row>
    <row r="129" customFormat="false" ht="15" hidden="false" customHeight="true" outlineLevel="0" collapsed="false">
      <c r="H129" s="113"/>
      <c r="I129" s="113"/>
      <c r="J129" s="113"/>
      <c r="L129" s="113"/>
      <c r="M129" s="113"/>
      <c r="N129" s="113"/>
      <c r="P129" s="113"/>
      <c r="Q129" s="113"/>
      <c r="R129" s="113"/>
      <c r="T129" s="113"/>
      <c r="U129" s="113"/>
      <c r="V129" s="113"/>
    </row>
    <row r="130" customFormat="false" ht="15" hidden="false" customHeight="true" outlineLevel="0" collapsed="false">
      <c r="H130" s="113"/>
      <c r="I130" s="113"/>
      <c r="J130" s="113"/>
      <c r="L130" s="113"/>
      <c r="M130" s="113"/>
      <c r="N130" s="113"/>
      <c r="P130" s="113"/>
      <c r="Q130" s="113"/>
      <c r="R130" s="113"/>
      <c r="T130" s="113"/>
      <c r="U130" s="113"/>
      <c r="V130" s="113"/>
    </row>
    <row r="131" customFormat="false" ht="15" hidden="false" customHeight="true" outlineLevel="0" collapsed="false">
      <c r="H131" s="113"/>
      <c r="I131" s="113"/>
      <c r="J131" s="113"/>
      <c r="L131" s="113"/>
      <c r="M131" s="113"/>
      <c r="N131" s="113"/>
      <c r="P131" s="113"/>
      <c r="Q131" s="113"/>
      <c r="R131" s="113"/>
      <c r="T131" s="113"/>
      <c r="U131" s="113"/>
      <c r="V131" s="113"/>
    </row>
    <row r="132" customFormat="false" ht="15" hidden="false" customHeight="true" outlineLevel="0" collapsed="false">
      <c r="H132" s="113"/>
      <c r="I132" s="113"/>
      <c r="J132" s="113"/>
      <c r="L132" s="113"/>
      <c r="M132" s="113"/>
      <c r="N132" s="113"/>
      <c r="P132" s="113"/>
      <c r="Q132" s="113"/>
      <c r="R132" s="113"/>
      <c r="T132" s="113"/>
      <c r="U132" s="113"/>
      <c r="V132" s="113"/>
    </row>
    <row r="133" customFormat="false" ht="15" hidden="false" customHeight="true" outlineLevel="0" collapsed="false">
      <c r="H133" s="113"/>
      <c r="I133" s="113"/>
      <c r="J133" s="113"/>
      <c r="L133" s="113"/>
      <c r="M133" s="113"/>
      <c r="N133" s="113"/>
      <c r="P133" s="113"/>
      <c r="Q133" s="113"/>
      <c r="R133" s="113"/>
      <c r="T133" s="113"/>
      <c r="U133" s="113"/>
      <c r="V133" s="113"/>
    </row>
    <row r="134" customFormat="false" ht="15" hidden="false" customHeight="true" outlineLevel="0" collapsed="false">
      <c r="H134" s="113"/>
      <c r="I134" s="113"/>
      <c r="J134" s="113"/>
      <c r="L134" s="113"/>
      <c r="M134" s="113"/>
      <c r="N134" s="113"/>
      <c r="P134" s="113"/>
      <c r="Q134" s="113"/>
      <c r="R134" s="113"/>
      <c r="T134" s="113"/>
      <c r="U134" s="113"/>
      <c r="V134" s="113"/>
    </row>
    <row r="135" customFormat="false" ht="15" hidden="false" customHeight="true" outlineLevel="0" collapsed="false">
      <c r="H135" s="113"/>
      <c r="I135" s="113"/>
      <c r="J135" s="113"/>
      <c r="L135" s="113"/>
      <c r="M135" s="113"/>
      <c r="N135" s="113"/>
      <c r="P135" s="113"/>
      <c r="Q135" s="113"/>
      <c r="R135" s="113"/>
      <c r="T135" s="113"/>
      <c r="U135" s="113"/>
      <c r="V135" s="113"/>
    </row>
    <row r="136" customFormat="false" ht="15" hidden="false" customHeight="true" outlineLevel="0" collapsed="false">
      <c r="H136" s="113"/>
      <c r="I136" s="113"/>
      <c r="J136" s="113"/>
      <c r="L136" s="113"/>
      <c r="M136" s="113"/>
      <c r="N136" s="113"/>
      <c r="P136" s="113"/>
      <c r="Q136" s="113"/>
      <c r="R136" s="113"/>
      <c r="T136" s="113"/>
      <c r="U136" s="113"/>
      <c r="V136" s="113"/>
    </row>
    <row r="137" customFormat="false" ht="15" hidden="false" customHeight="true" outlineLevel="0" collapsed="false">
      <c r="H137" s="113"/>
      <c r="I137" s="113"/>
      <c r="J137" s="113"/>
      <c r="L137" s="113"/>
      <c r="M137" s="113"/>
      <c r="N137" s="113"/>
      <c r="P137" s="113"/>
      <c r="Q137" s="113"/>
      <c r="R137" s="113"/>
      <c r="T137" s="113"/>
      <c r="U137" s="113"/>
      <c r="V137" s="113"/>
    </row>
    <row r="138" customFormat="false" ht="15" hidden="false" customHeight="true" outlineLevel="0" collapsed="false">
      <c r="H138" s="113"/>
      <c r="I138" s="113"/>
      <c r="J138" s="113"/>
      <c r="L138" s="113"/>
      <c r="M138" s="113"/>
      <c r="N138" s="113"/>
      <c r="P138" s="113"/>
      <c r="Q138" s="113"/>
      <c r="R138" s="113"/>
      <c r="T138" s="113"/>
      <c r="U138" s="113"/>
      <c r="V138" s="113"/>
    </row>
    <row r="139" customFormat="false" ht="15" hidden="false" customHeight="true" outlineLevel="0" collapsed="false">
      <c r="H139" s="113"/>
      <c r="I139" s="113"/>
      <c r="J139" s="113"/>
      <c r="L139" s="113"/>
      <c r="M139" s="113"/>
      <c r="N139" s="113"/>
      <c r="P139" s="113"/>
      <c r="Q139" s="113"/>
      <c r="R139" s="113"/>
      <c r="T139" s="113"/>
      <c r="U139" s="113"/>
      <c r="V139" s="113"/>
    </row>
    <row r="140" customFormat="false" ht="15" hidden="false" customHeight="true" outlineLevel="0" collapsed="false">
      <c r="H140" s="113"/>
      <c r="I140" s="113"/>
      <c r="J140" s="113"/>
      <c r="L140" s="113"/>
      <c r="M140" s="113"/>
      <c r="N140" s="113"/>
      <c r="P140" s="113"/>
      <c r="Q140" s="113"/>
      <c r="R140" s="113"/>
      <c r="T140" s="113"/>
      <c r="U140" s="113"/>
      <c r="V140" s="113"/>
    </row>
    <row r="141" customFormat="false" ht="15" hidden="false" customHeight="true" outlineLevel="0" collapsed="false">
      <c r="H141" s="113"/>
      <c r="I141" s="113"/>
      <c r="J141" s="113"/>
      <c r="L141" s="113"/>
      <c r="M141" s="113"/>
      <c r="N141" s="113"/>
      <c r="P141" s="113"/>
      <c r="Q141" s="113"/>
      <c r="R141" s="113"/>
      <c r="T141" s="113"/>
      <c r="U141" s="113"/>
      <c r="V141" s="113"/>
    </row>
    <row r="142" customFormat="false" ht="15" hidden="false" customHeight="true" outlineLevel="0" collapsed="false">
      <c r="H142" s="113"/>
      <c r="I142" s="113"/>
      <c r="J142" s="113"/>
      <c r="L142" s="113"/>
      <c r="M142" s="113"/>
      <c r="N142" s="113"/>
      <c r="P142" s="113"/>
      <c r="Q142" s="113"/>
      <c r="R142" s="113"/>
      <c r="T142" s="113"/>
      <c r="U142" s="113"/>
      <c r="V142" s="113"/>
    </row>
    <row r="143" customFormat="false" ht="15" hidden="false" customHeight="true" outlineLevel="0" collapsed="false">
      <c r="H143" s="113"/>
      <c r="I143" s="113"/>
      <c r="J143" s="113"/>
      <c r="L143" s="113"/>
      <c r="M143" s="113"/>
      <c r="N143" s="113"/>
      <c r="P143" s="113"/>
      <c r="Q143" s="113"/>
      <c r="R143" s="113"/>
      <c r="T143" s="113"/>
      <c r="U143" s="113"/>
      <c r="V143" s="113"/>
    </row>
    <row r="144" customFormat="false" ht="15" hidden="false" customHeight="true" outlineLevel="0" collapsed="false">
      <c r="H144" s="113"/>
      <c r="I144" s="113"/>
      <c r="J144" s="113"/>
      <c r="L144" s="113"/>
      <c r="M144" s="113"/>
      <c r="N144" s="113"/>
      <c r="P144" s="113"/>
      <c r="Q144" s="113"/>
      <c r="R144" s="113"/>
      <c r="T144" s="113"/>
      <c r="U144" s="113"/>
      <c r="V144" s="113"/>
    </row>
    <row r="145" customFormat="false" ht="15" hidden="false" customHeight="true" outlineLevel="0" collapsed="false">
      <c r="H145" s="113"/>
      <c r="I145" s="113"/>
      <c r="J145" s="113"/>
      <c r="L145" s="113"/>
      <c r="M145" s="113"/>
      <c r="N145" s="113"/>
      <c r="P145" s="113"/>
      <c r="Q145" s="113"/>
      <c r="R145" s="113"/>
      <c r="T145" s="113"/>
      <c r="U145" s="113"/>
      <c r="V145" s="113"/>
    </row>
    <row r="146" customFormat="false" ht="15" hidden="false" customHeight="true" outlineLevel="0" collapsed="false">
      <c r="H146" s="113"/>
      <c r="I146" s="113"/>
      <c r="J146" s="113"/>
      <c r="L146" s="113"/>
      <c r="M146" s="113"/>
      <c r="N146" s="113"/>
      <c r="P146" s="113"/>
      <c r="Q146" s="113"/>
      <c r="R146" s="113"/>
      <c r="T146" s="113"/>
      <c r="U146" s="113"/>
      <c r="V146" s="113"/>
    </row>
    <row r="147" customFormat="false" ht="15" hidden="false" customHeight="true" outlineLevel="0" collapsed="false">
      <c r="H147" s="113"/>
      <c r="I147" s="113"/>
      <c r="J147" s="113"/>
      <c r="L147" s="113"/>
      <c r="M147" s="113"/>
      <c r="N147" s="113"/>
      <c r="P147" s="113"/>
      <c r="Q147" s="113"/>
      <c r="R147" s="113"/>
      <c r="T147" s="113"/>
      <c r="U147" s="113"/>
      <c r="V147" s="113"/>
    </row>
    <row r="148" customFormat="false" ht="15" hidden="false" customHeight="true" outlineLevel="0" collapsed="false">
      <c r="H148" s="113"/>
      <c r="I148" s="113"/>
      <c r="J148" s="113"/>
      <c r="L148" s="113"/>
      <c r="M148" s="113"/>
      <c r="N148" s="113"/>
      <c r="P148" s="113"/>
      <c r="Q148" s="113"/>
      <c r="R148" s="113"/>
      <c r="T148" s="113"/>
      <c r="U148" s="113"/>
      <c r="V148" s="113"/>
    </row>
    <row r="149" customFormat="false" ht="15" hidden="false" customHeight="true" outlineLevel="0" collapsed="false">
      <c r="H149" s="113"/>
      <c r="I149" s="113"/>
      <c r="J149" s="113"/>
      <c r="L149" s="113"/>
      <c r="M149" s="113"/>
      <c r="N149" s="113"/>
      <c r="P149" s="113"/>
      <c r="Q149" s="113"/>
      <c r="R149" s="113"/>
      <c r="T149" s="113"/>
      <c r="U149" s="113"/>
      <c r="V149" s="113"/>
    </row>
    <row r="150" customFormat="false" ht="15" hidden="false" customHeight="true" outlineLevel="0" collapsed="false">
      <c r="H150" s="113"/>
      <c r="I150" s="113"/>
      <c r="J150" s="113"/>
      <c r="L150" s="113"/>
      <c r="M150" s="113"/>
      <c r="N150" s="113"/>
      <c r="P150" s="113"/>
      <c r="Q150" s="113"/>
      <c r="R150" s="113"/>
      <c r="T150" s="113"/>
      <c r="U150" s="113"/>
      <c r="V150" s="113"/>
    </row>
    <row r="151" customFormat="false" ht="15" hidden="false" customHeight="true" outlineLevel="0" collapsed="false">
      <c r="H151" s="113"/>
      <c r="I151" s="113"/>
      <c r="J151" s="113"/>
      <c r="L151" s="113"/>
      <c r="M151" s="113"/>
      <c r="N151" s="113"/>
      <c r="P151" s="113"/>
      <c r="Q151" s="113"/>
      <c r="R151" s="113"/>
      <c r="T151" s="113"/>
      <c r="U151" s="113"/>
      <c r="V151" s="113"/>
    </row>
    <row r="152" customFormat="false" ht="15" hidden="false" customHeight="true" outlineLevel="0" collapsed="false">
      <c r="H152" s="113"/>
      <c r="I152" s="113"/>
      <c r="J152" s="113"/>
      <c r="L152" s="113"/>
      <c r="M152" s="113"/>
      <c r="N152" s="113"/>
      <c r="P152" s="113"/>
      <c r="Q152" s="113"/>
      <c r="R152" s="113"/>
      <c r="T152" s="113"/>
      <c r="U152" s="113"/>
      <c r="V152" s="113"/>
    </row>
    <row r="153" customFormat="false" ht="15" hidden="false" customHeight="true" outlineLevel="0" collapsed="false">
      <c r="H153" s="113"/>
      <c r="I153" s="113"/>
      <c r="J153" s="113"/>
      <c r="L153" s="113"/>
      <c r="M153" s="113"/>
      <c r="N153" s="113"/>
      <c r="P153" s="113"/>
      <c r="Q153" s="113"/>
      <c r="R153" s="113"/>
      <c r="T153" s="113"/>
      <c r="U153" s="113"/>
      <c r="V153" s="113"/>
    </row>
    <row r="154" customFormat="false" ht="15" hidden="false" customHeight="true" outlineLevel="0" collapsed="false">
      <c r="H154" s="113"/>
      <c r="I154" s="113"/>
      <c r="J154" s="113"/>
      <c r="L154" s="113"/>
      <c r="M154" s="113"/>
      <c r="N154" s="113"/>
      <c r="P154" s="113"/>
      <c r="Q154" s="113"/>
      <c r="R154" s="113"/>
      <c r="T154" s="113"/>
      <c r="U154" s="113"/>
      <c r="V154" s="113"/>
    </row>
    <row r="155" customFormat="false" ht="15" hidden="false" customHeight="true" outlineLevel="0" collapsed="false">
      <c r="H155" s="113"/>
      <c r="I155" s="113"/>
      <c r="J155" s="113"/>
      <c r="L155" s="113"/>
      <c r="M155" s="113"/>
      <c r="N155" s="113"/>
      <c r="P155" s="113"/>
      <c r="Q155" s="113"/>
      <c r="R155" s="113"/>
      <c r="T155" s="113"/>
      <c r="U155" s="113"/>
      <c r="V155" s="113"/>
    </row>
    <row r="156" customFormat="false" ht="15" hidden="false" customHeight="true" outlineLevel="0" collapsed="false">
      <c r="H156" s="113"/>
      <c r="I156" s="113"/>
      <c r="J156" s="113"/>
      <c r="L156" s="113"/>
      <c r="M156" s="113"/>
      <c r="N156" s="113"/>
      <c r="P156" s="113"/>
      <c r="Q156" s="113"/>
      <c r="R156" s="113"/>
      <c r="T156" s="113"/>
      <c r="U156" s="113"/>
      <c r="V156" s="113"/>
    </row>
    <row r="157" customFormat="false" ht="15" hidden="false" customHeight="true" outlineLevel="0" collapsed="false">
      <c r="H157" s="113"/>
      <c r="I157" s="113"/>
      <c r="J157" s="113"/>
      <c r="L157" s="113"/>
      <c r="M157" s="113"/>
      <c r="N157" s="113"/>
      <c r="P157" s="113"/>
      <c r="Q157" s="113"/>
      <c r="R157" s="113"/>
      <c r="T157" s="113"/>
      <c r="U157" s="113"/>
      <c r="V157" s="113"/>
    </row>
    <row r="158" customFormat="false" ht="15" hidden="false" customHeight="true" outlineLevel="0" collapsed="false">
      <c r="H158" s="113"/>
      <c r="I158" s="113"/>
      <c r="J158" s="113"/>
      <c r="L158" s="113"/>
      <c r="M158" s="113"/>
      <c r="N158" s="113"/>
      <c r="P158" s="113"/>
      <c r="Q158" s="113"/>
      <c r="R158" s="113"/>
      <c r="T158" s="113"/>
      <c r="U158" s="113"/>
      <c r="V158" s="113"/>
    </row>
    <row r="159" customFormat="false" ht="15" hidden="false" customHeight="true" outlineLevel="0" collapsed="false">
      <c r="H159" s="113"/>
      <c r="I159" s="113"/>
      <c r="J159" s="113"/>
      <c r="L159" s="113"/>
      <c r="M159" s="113"/>
      <c r="N159" s="113"/>
      <c r="P159" s="113"/>
      <c r="Q159" s="113"/>
      <c r="R159" s="113"/>
      <c r="T159" s="113"/>
      <c r="U159" s="113"/>
      <c r="V159" s="113"/>
    </row>
    <row r="160" customFormat="false" ht="15" hidden="false" customHeight="true" outlineLevel="0" collapsed="false">
      <c r="H160" s="113"/>
      <c r="I160" s="113"/>
      <c r="J160" s="113"/>
      <c r="L160" s="113"/>
      <c r="M160" s="113"/>
      <c r="N160" s="113"/>
      <c r="P160" s="113"/>
      <c r="Q160" s="113"/>
      <c r="R160" s="113"/>
      <c r="T160" s="113"/>
      <c r="U160" s="113"/>
      <c r="V160" s="113"/>
    </row>
    <row r="161" customFormat="false" ht="15" hidden="false" customHeight="true" outlineLevel="0" collapsed="false">
      <c r="H161" s="113"/>
      <c r="I161" s="113"/>
      <c r="J161" s="113"/>
      <c r="L161" s="113"/>
      <c r="M161" s="113"/>
      <c r="N161" s="113"/>
      <c r="P161" s="113"/>
      <c r="Q161" s="113"/>
      <c r="R161" s="113"/>
      <c r="T161" s="113"/>
      <c r="U161" s="113"/>
      <c r="V161" s="113"/>
    </row>
    <row r="162" customFormat="false" ht="15" hidden="false" customHeight="true" outlineLevel="0" collapsed="false">
      <c r="H162" s="113"/>
      <c r="I162" s="113"/>
      <c r="J162" s="113"/>
      <c r="L162" s="113"/>
      <c r="M162" s="113"/>
      <c r="N162" s="113"/>
      <c r="P162" s="113"/>
      <c r="Q162" s="113"/>
      <c r="R162" s="113"/>
      <c r="T162" s="113"/>
      <c r="U162" s="113"/>
      <c r="V162" s="113"/>
    </row>
    <row r="163" customFormat="false" ht="15" hidden="false" customHeight="true" outlineLevel="0" collapsed="false">
      <c r="H163" s="113"/>
      <c r="I163" s="113"/>
      <c r="J163" s="113"/>
      <c r="L163" s="113"/>
      <c r="M163" s="113"/>
      <c r="N163" s="113"/>
      <c r="P163" s="113"/>
      <c r="Q163" s="113"/>
      <c r="R163" s="113"/>
      <c r="T163" s="113"/>
      <c r="U163" s="113"/>
      <c r="V163" s="113"/>
    </row>
    <row r="164" customFormat="false" ht="15" hidden="false" customHeight="true" outlineLevel="0" collapsed="false">
      <c r="H164" s="113"/>
      <c r="I164" s="113"/>
      <c r="J164" s="113"/>
      <c r="L164" s="113"/>
      <c r="M164" s="113"/>
      <c r="N164" s="113"/>
      <c r="P164" s="113"/>
      <c r="Q164" s="113"/>
      <c r="R164" s="113"/>
      <c r="T164" s="113"/>
      <c r="U164" s="113"/>
      <c r="V164" s="113"/>
    </row>
    <row r="165" customFormat="false" ht="15" hidden="false" customHeight="true" outlineLevel="0" collapsed="false">
      <c r="H165" s="113"/>
      <c r="I165" s="113"/>
      <c r="J165" s="113"/>
      <c r="L165" s="113"/>
      <c r="M165" s="113"/>
      <c r="N165" s="113"/>
      <c r="P165" s="113"/>
      <c r="Q165" s="113"/>
      <c r="R165" s="113"/>
      <c r="T165" s="113"/>
      <c r="U165" s="113"/>
      <c r="V165" s="113"/>
    </row>
    <row r="166" customFormat="false" ht="15" hidden="false" customHeight="true" outlineLevel="0" collapsed="false">
      <c r="H166" s="113"/>
      <c r="I166" s="113"/>
      <c r="J166" s="113"/>
      <c r="L166" s="113"/>
      <c r="M166" s="113"/>
      <c r="N166" s="113"/>
      <c r="P166" s="113"/>
      <c r="Q166" s="113"/>
      <c r="R166" s="113"/>
      <c r="T166" s="113"/>
      <c r="U166" s="113"/>
      <c r="V166" s="113"/>
    </row>
    <row r="167" customFormat="false" ht="15" hidden="false" customHeight="true" outlineLevel="0" collapsed="false">
      <c r="H167" s="113"/>
      <c r="I167" s="113"/>
      <c r="J167" s="113"/>
      <c r="L167" s="113"/>
      <c r="M167" s="113"/>
      <c r="N167" s="113"/>
      <c r="P167" s="113"/>
      <c r="Q167" s="113"/>
      <c r="R167" s="113"/>
      <c r="T167" s="113"/>
      <c r="U167" s="113"/>
      <c r="V167" s="113"/>
    </row>
    <row r="168" customFormat="false" ht="15" hidden="false" customHeight="true" outlineLevel="0" collapsed="false">
      <c r="H168" s="113"/>
      <c r="I168" s="113"/>
      <c r="J168" s="113"/>
      <c r="L168" s="113"/>
      <c r="M168" s="113"/>
      <c r="N168" s="113"/>
      <c r="P168" s="113"/>
      <c r="Q168" s="113"/>
      <c r="R168" s="113"/>
      <c r="T168" s="113"/>
      <c r="U168" s="113"/>
      <c r="V168" s="113"/>
    </row>
    <row r="169" customFormat="false" ht="15" hidden="false" customHeight="true" outlineLevel="0" collapsed="false">
      <c r="H169" s="113"/>
      <c r="I169" s="113"/>
      <c r="J169" s="113"/>
      <c r="L169" s="113"/>
      <c r="M169" s="113"/>
      <c r="N169" s="113"/>
      <c r="P169" s="113"/>
      <c r="Q169" s="113"/>
      <c r="R169" s="113"/>
      <c r="T169" s="113"/>
      <c r="U169" s="113"/>
      <c r="V169" s="113"/>
    </row>
    <row r="170" customFormat="false" ht="15" hidden="false" customHeight="true" outlineLevel="0" collapsed="false">
      <c r="H170" s="113"/>
      <c r="I170" s="113"/>
      <c r="J170" s="113"/>
      <c r="L170" s="113"/>
      <c r="M170" s="113"/>
      <c r="N170" s="113"/>
      <c r="P170" s="113"/>
      <c r="Q170" s="113"/>
      <c r="R170" s="113"/>
      <c r="T170" s="113"/>
      <c r="U170" s="113"/>
      <c r="V170" s="113"/>
    </row>
    <row r="171" customFormat="false" ht="15" hidden="false" customHeight="true" outlineLevel="0" collapsed="false">
      <c r="H171" s="113"/>
      <c r="I171" s="113"/>
      <c r="J171" s="113"/>
      <c r="L171" s="113"/>
      <c r="M171" s="113"/>
      <c r="N171" s="113"/>
      <c r="P171" s="113"/>
      <c r="Q171" s="113"/>
      <c r="R171" s="113"/>
      <c r="T171" s="113"/>
      <c r="U171" s="113"/>
      <c r="V171" s="113"/>
    </row>
    <row r="172" customFormat="false" ht="15" hidden="false" customHeight="true" outlineLevel="0" collapsed="false">
      <c r="H172" s="113"/>
      <c r="I172" s="113"/>
      <c r="J172" s="113"/>
      <c r="L172" s="113"/>
      <c r="M172" s="113"/>
      <c r="N172" s="113"/>
      <c r="P172" s="113"/>
      <c r="Q172" s="113"/>
      <c r="R172" s="113"/>
      <c r="T172" s="113"/>
      <c r="U172" s="113"/>
      <c r="V172" s="113"/>
    </row>
    <row r="173" customFormat="false" ht="15" hidden="false" customHeight="true" outlineLevel="0" collapsed="false">
      <c r="H173" s="113"/>
      <c r="I173" s="113"/>
      <c r="J173" s="113"/>
      <c r="L173" s="113"/>
      <c r="M173" s="113"/>
      <c r="N173" s="113"/>
      <c r="P173" s="113"/>
      <c r="Q173" s="113"/>
      <c r="R173" s="113"/>
      <c r="T173" s="113"/>
      <c r="U173" s="113"/>
      <c r="V173" s="113"/>
    </row>
    <row r="174" customFormat="false" ht="15" hidden="false" customHeight="true" outlineLevel="0" collapsed="false">
      <c r="H174" s="113"/>
      <c r="I174" s="113"/>
      <c r="J174" s="113"/>
      <c r="L174" s="113"/>
      <c r="M174" s="113"/>
      <c r="N174" s="113"/>
      <c r="P174" s="113"/>
      <c r="Q174" s="113"/>
      <c r="R174" s="113"/>
      <c r="T174" s="113"/>
      <c r="U174" s="113"/>
      <c r="V174" s="113"/>
    </row>
    <row r="175" customFormat="false" ht="15" hidden="false" customHeight="true" outlineLevel="0" collapsed="false">
      <c r="H175" s="113"/>
      <c r="I175" s="113"/>
      <c r="J175" s="113"/>
      <c r="L175" s="113"/>
      <c r="M175" s="113"/>
      <c r="N175" s="113"/>
      <c r="P175" s="113"/>
      <c r="Q175" s="113"/>
      <c r="R175" s="113"/>
      <c r="T175" s="113"/>
      <c r="U175" s="113"/>
      <c r="V175" s="113"/>
    </row>
    <row r="176" customFormat="false" ht="15" hidden="false" customHeight="true" outlineLevel="0" collapsed="false">
      <c r="H176" s="113"/>
      <c r="I176" s="113"/>
      <c r="J176" s="113"/>
      <c r="L176" s="113"/>
      <c r="M176" s="113"/>
      <c r="N176" s="113"/>
      <c r="P176" s="113"/>
      <c r="Q176" s="113"/>
      <c r="R176" s="113"/>
      <c r="T176" s="113"/>
      <c r="U176" s="113"/>
      <c r="V176" s="113"/>
    </row>
    <row r="177" customFormat="false" ht="15" hidden="false" customHeight="true" outlineLevel="0" collapsed="false">
      <c r="H177" s="113"/>
      <c r="I177" s="113"/>
      <c r="J177" s="113"/>
      <c r="L177" s="113"/>
      <c r="M177" s="113"/>
      <c r="N177" s="113"/>
      <c r="P177" s="113"/>
      <c r="Q177" s="113"/>
      <c r="R177" s="113"/>
      <c r="T177" s="113"/>
      <c r="U177" s="113"/>
      <c r="V177" s="113"/>
    </row>
    <row r="178" customFormat="false" ht="15" hidden="false" customHeight="true" outlineLevel="0" collapsed="false">
      <c r="H178" s="113"/>
      <c r="I178" s="113"/>
      <c r="J178" s="113"/>
      <c r="L178" s="113"/>
      <c r="M178" s="113"/>
      <c r="N178" s="113"/>
      <c r="P178" s="113"/>
      <c r="Q178" s="113"/>
      <c r="R178" s="113"/>
      <c r="T178" s="113"/>
      <c r="U178" s="113"/>
      <c r="V178" s="113"/>
    </row>
    <row r="179" customFormat="false" ht="15" hidden="false" customHeight="true" outlineLevel="0" collapsed="false">
      <c r="H179" s="113"/>
      <c r="I179" s="113"/>
      <c r="J179" s="113"/>
      <c r="L179" s="113"/>
      <c r="M179" s="113"/>
      <c r="N179" s="113"/>
      <c r="P179" s="113"/>
      <c r="Q179" s="113"/>
      <c r="R179" s="113"/>
      <c r="T179" s="113"/>
      <c r="U179" s="113"/>
      <c r="V179" s="113"/>
    </row>
    <row r="180" customFormat="false" ht="15" hidden="false" customHeight="true" outlineLevel="0" collapsed="false">
      <c r="H180" s="113"/>
      <c r="I180" s="113"/>
      <c r="J180" s="113"/>
      <c r="L180" s="113"/>
      <c r="M180" s="113"/>
      <c r="N180" s="113"/>
      <c r="P180" s="113"/>
      <c r="Q180" s="113"/>
      <c r="R180" s="113"/>
      <c r="T180" s="113"/>
      <c r="U180" s="113"/>
      <c r="V180" s="113"/>
    </row>
    <row r="181" customFormat="false" ht="15" hidden="false" customHeight="true" outlineLevel="0" collapsed="false">
      <c r="H181" s="113"/>
      <c r="I181" s="113"/>
      <c r="J181" s="113"/>
      <c r="L181" s="113"/>
      <c r="M181" s="113"/>
      <c r="N181" s="113"/>
      <c r="P181" s="113"/>
      <c r="Q181" s="113"/>
      <c r="R181" s="113"/>
      <c r="T181" s="113"/>
      <c r="U181" s="113"/>
      <c r="V181" s="113"/>
    </row>
    <row r="182" customFormat="false" ht="15" hidden="false" customHeight="true" outlineLevel="0" collapsed="false">
      <c r="H182" s="113"/>
      <c r="I182" s="113"/>
      <c r="J182" s="113"/>
      <c r="L182" s="113"/>
      <c r="M182" s="113"/>
      <c r="N182" s="113"/>
      <c r="P182" s="113"/>
      <c r="Q182" s="113"/>
      <c r="R182" s="113"/>
      <c r="T182" s="113"/>
      <c r="U182" s="113"/>
      <c r="V182" s="113"/>
    </row>
    <row r="183" customFormat="false" ht="15" hidden="false" customHeight="true" outlineLevel="0" collapsed="false">
      <c r="H183" s="113"/>
      <c r="I183" s="113"/>
      <c r="J183" s="113"/>
      <c r="L183" s="113"/>
      <c r="M183" s="113"/>
      <c r="N183" s="113"/>
      <c r="P183" s="113"/>
      <c r="Q183" s="113"/>
      <c r="R183" s="113"/>
      <c r="T183" s="113"/>
      <c r="U183" s="113"/>
      <c r="V183" s="113"/>
    </row>
    <row r="184" customFormat="false" ht="15" hidden="false" customHeight="true" outlineLevel="0" collapsed="false">
      <c r="H184" s="113"/>
      <c r="I184" s="113"/>
      <c r="J184" s="113"/>
      <c r="L184" s="113"/>
      <c r="M184" s="113"/>
      <c r="N184" s="113"/>
      <c r="P184" s="113"/>
      <c r="Q184" s="113"/>
      <c r="R184" s="113"/>
      <c r="T184" s="113"/>
      <c r="U184" s="113"/>
      <c r="V184" s="113"/>
    </row>
    <row r="185" customFormat="false" ht="15" hidden="false" customHeight="true" outlineLevel="0" collapsed="false">
      <c r="H185" s="113"/>
      <c r="I185" s="113"/>
      <c r="J185" s="113"/>
      <c r="L185" s="113"/>
      <c r="M185" s="113"/>
      <c r="N185" s="113"/>
      <c r="P185" s="113"/>
      <c r="Q185" s="113"/>
      <c r="R185" s="113"/>
      <c r="T185" s="113"/>
      <c r="U185" s="113"/>
      <c r="V185" s="113"/>
    </row>
    <row r="186" customFormat="false" ht="15" hidden="false" customHeight="true" outlineLevel="0" collapsed="false">
      <c r="H186" s="113"/>
      <c r="I186" s="113"/>
      <c r="J186" s="113"/>
      <c r="L186" s="113"/>
      <c r="M186" s="113"/>
      <c r="N186" s="113"/>
      <c r="P186" s="113"/>
      <c r="Q186" s="113"/>
      <c r="R186" s="113"/>
      <c r="T186" s="113"/>
      <c r="U186" s="113"/>
      <c r="V186" s="113"/>
    </row>
    <row r="187" customFormat="false" ht="15" hidden="false" customHeight="true" outlineLevel="0" collapsed="false">
      <c r="H187" s="113"/>
      <c r="I187" s="113"/>
      <c r="J187" s="113"/>
      <c r="L187" s="113"/>
      <c r="M187" s="113"/>
      <c r="N187" s="113"/>
      <c r="P187" s="113"/>
      <c r="Q187" s="113"/>
      <c r="R187" s="113"/>
      <c r="T187" s="113"/>
      <c r="U187" s="113"/>
      <c r="V187" s="113"/>
    </row>
    <row r="188" customFormat="false" ht="15" hidden="false" customHeight="true" outlineLevel="0" collapsed="false">
      <c r="H188" s="113"/>
      <c r="I188" s="113"/>
      <c r="J188" s="113"/>
      <c r="L188" s="113"/>
      <c r="M188" s="113"/>
      <c r="N188" s="113"/>
      <c r="P188" s="113"/>
      <c r="Q188" s="113"/>
      <c r="R188" s="113"/>
      <c r="T188" s="113"/>
      <c r="U188" s="113"/>
      <c r="V188" s="113"/>
    </row>
    <row r="189" customFormat="false" ht="15" hidden="false" customHeight="true" outlineLevel="0" collapsed="false">
      <c r="H189" s="113"/>
      <c r="I189" s="113"/>
      <c r="J189" s="113"/>
      <c r="L189" s="113"/>
      <c r="M189" s="113"/>
      <c r="N189" s="113"/>
      <c r="P189" s="113"/>
      <c r="Q189" s="113"/>
      <c r="R189" s="113"/>
      <c r="T189" s="113"/>
      <c r="U189" s="113"/>
      <c r="V189" s="113"/>
    </row>
    <row r="190" customFormat="false" ht="15" hidden="false" customHeight="true" outlineLevel="0" collapsed="false">
      <c r="H190" s="113"/>
      <c r="I190" s="113"/>
      <c r="J190" s="113"/>
      <c r="L190" s="113"/>
      <c r="M190" s="113"/>
      <c r="N190" s="113"/>
      <c r="P190" s="113"/>
      <c r="Q190" s="113"/>
      <c r="R190" s="113"/>
      <c r="T190" s="113"/>
      <c r="U190" s="113"/>
      <c r="V190" s="113"/>
    </row>
    <row r="191" customFormat="false" ht="15" hidden="false" customHeight="true" outlineLevel="0" collapsed="false">
      <c r="H191" s="113"/>
      <c r="I191" s="113"/>
      <c r="J191" s="113"/>
      <c r="L191" s="113"/>
      <c r="M191" s="113"/>
      <c r="N191" s="113"/>
      <c r="P191" s="113"/>
      <c r="Q191" s="113"/>
      <c r="R191" s="113"/>
      <c r="T191" s="113"/>
      <c r="U191" s="113"/>
      <c r="V191" s="113"/>
    </row>
    <row r="192" customFormat="false" ht="15" hidden="false" customHeight="true" outlineLevel="0" collapsed="false">
      <c r="H192" s="113"/>
      <c r="I192" s="113"/>
      <c r="J192" s="113"/>
      <c r="L192" s="113"/>
      <c r="M192" s="113"/>
      <c r="N192" s="113"/>
      <c r="P192" s="113"/>
      <c r="Q192" s="113"/>
      <c r="R192" s="113"/>
      <c r="T192" s="113"/>
      <c r="U192" s="113"/>
      <c r="V192" s="113"/>
    </row>
    <row r="193" customFormat="false" ht="15" hidden="false" customHeight="true" outlineLevel="0" collapsed="false">
      <c r="H193" s="113"/>
      <c r="I193" s="113"/>
      <c r="J193" s="113"/>
      <c r="L193" s="113"/>
      <c r="M193" s="113"/>
      <c r="N193" s="113"/>
      <c r="P193" s="113"/>
      <c r="Q193" s="113"/>
      <c r="R193" s="113"/>
      <c r="T193" s="113"/>
      <c r="U193" s="113"/>
      <c r="V193" s="113"/>
    </row>
    <row r="194" customFormat="false" ht="15" hidden="false" customHeight="true" outlineLevel="0" collapsed="false">
      <c r="H194" s="113"/>
      <c r="I194" s="113"/>
      <c r="J194" s="113"/>
      <c r="L194" s="113"/>
      <c r="M194" s="113"/>
      <c r="N194" s="113"/>
      <c r="P194" s="113"/>
      <c r="Q194" s="113"/>
      <c r="R194" s="113"/>
      <c r="T194" s="113"/>
      <c r="U194" s="113"/>
      <c r="V194" s="113"/>
    </row>
    <row r="195" customFormat="false" ht="15" hidden="false" customHeight="true" outlineLevel="0" collapsed="false">
      <c r="H195" s="113"/>
      <c r="I195" s="113"/>
      <c r="J195" s="113"/>
      <c r="L195" s="113"/>
      <c r="M195" s="113"/>
      <c r="N195" s="113"/>
      <c r="P195" s="113"/>
      <c r="Q195" s="113"/>
      <c r="R195" s="113"/>
      <c r="T195" s="113"/>
      <c r="U195" s="113"/>
      <c r="V195" s="113"/>
    </row>
    <row r="196" customFormat="false" ht="15" hidden="false" customHeight="true" outlineLevel="0" collapsed="false">
      <c r="H196" s="113"/>
      <c r="I196" s="113"/>
      <c r="J196" s="113"/>
      <c r="L196" s="113"/>
      <c r="M196" s="113"/>
      <c r="N196" s="113"/>
      <c r="P196" s="113"/>
      <c r="Q196" s="113"/>
      <c r="R196" s="113"/>
      <c r="T196" s="113"/>
      <c r="U196" s="113"/>
      <c r="V196" s="113"/>
    </row>
    <row r="197" customFormat="false" ht="15" hidden="false" customHeight="true" outlineLevel="0" collapsed="false">
      <c r="H197" s="113"/>
      <c r="I197" s="113"/>
      <c r="J197" s="113"/>
      <c r="L197" s="113"/>
      <c r="M197" s="113"/>
      <c r="N197" s="113"/>
      <c r="P197" s="113"/>
      <c r="Q197" s="113"/>
      <c r="R197" s="113"/>
      <c r="T197" s="113"/>
      <c r="U197" s="113"/>
      <c r="V197" s="113"/>
    </row>
    <row r="198" customFormat="false" ht="15" hidden="false" customHeight="true" outlineLevel="0" collapsed="false">
      <c r="H198" s="113"/>
      <c r="I198" s="113"/>
      <c r="J198" s="113"/>
      <c r="L198" s="113"/>
      <c r="M198" s="113"/>
      <c r="N198" s="113"/>
      <c r="P198" s="113"/>
      <c r="Q198" s="113"/>
      <c r="R198" s="113"/>
      <c r="T198" s="113"/>
      <c r="U198" s="113"/>
      <c r="V198" s="113"/>
    </row>
    <row r="199" customFormat="false" ht="15" hidden="false" customHeight="true" outlineLevel="0" collapsed="false">
      <c r="H199" s="113"/>
      <c r="I199" s="113"/>
      <c r="J199" s="113"/>
      <c r="L199" s="113"/>
      <c r="M199" s="113"/>
      <c r="N199" s="113"/>
      <c r="P199" s="113"/>
      <c r="Q199" s="113"/>
      <c r="R199" s="113"/>
      <c r="T199" s="113"/>
      <c r="U199" s="113"/>
      <c r="V199" s="113"/>
    </row>
    <row r="200" customFormat="false" ht="15" hidden="false" customHeight="true" outlineLevel="0" collapsed="false">
      <c r="H200" s="113"/>
      <c r="I200" s="113"/>
      <c r="J200" s="113"/>
      <c r="L200" s="113"/>
      <c r="M200" s="113"/>
      <c r="N200" s="113"/>
      <c r="P200" s="113"/>
      <c r="Q200" s="113"/>
      <c r="R200" s="113"/>
      <c r="T200" s="113"/>
      <c r="U200" s="113"/>
      <c r="V200" s="113"/>
    </row>
    <row r="201" customFormat="false" ht="15" hidden="false" customHeight="true" outlineLevel="0" collapsed="false">
      <c r="H201" s="113"/>
      <c r="I201" s="113"/>
      <c r="J201" s="113"/>
      <c r="L201" s="113"/>
      <c r="M201" s="113"/>
      <c r="N201" s="113"/>
      <c r="P201" s="113"/>
      <c r="Q201" s="113"/>
      <c r="R201" s="113"/>
      <c r="T201" s="113"/>
      <c r="U201" s="113"/>
      <c r="V201" s="113"/>
    </row>
    <row r="202" customFormat="false" ht="15" hidden="false" customHeight="true" outlineLevel="0" collapsed="false">
      <c r="H202" s="113"/>
      <c r="I202" s="113"/>
      <c r="J202" s="113"/>
      <c r="L202" s="113"/>
      <c r="M202" s="113"/>
      <c r="N202" s="113"/>
      <c r="P202" s="113"/>
      <c r="Q202" s="113"/>
      <c r="R202" s="113"/>
      <c r="T202" s="113"/>
      <c r="U202" s="113"/>
      <c r="V202" s="113"/>
    </row>
    <row r="203" customFormat="false" ht="15" hidden="false" customHeight="true" outlineLevel="0" collapsed="false">
      <c r="H203" s="113"/>
      <c r="I203" s="113"/>
      <c r="J203" s="113"/>
      <c r="L203" s="113"/>
      <c r="M203" s="113"/>
      <c r="N203" s="113"/>
      <c r="P203" s="113"/>
      <c r="Q203" s="113"/>
      <c r="R203" s="113"/>
      <c r="T203" s="113"/>
      <c r="U203" s="113"/>
      <c r="V203" s="113"/>
    </row>
    <row r="204" customFormat="false" ht="15" hidden="false" customHeight="true" outlineLevel="0" collapsed="false">
      <c r="H204" s="113"/>
      <c r="I204" s="113"/>
      <c r="J204" s="113"/>
      <c r="L204" s="113"/>
      <c r="M204" s="113"/>
      <c r="N204" s="113"/>
      <c r="P204" s="113"/>
      <c r="Q204" s="113"/>
      <c r="R204" s="113"/>
      <c r="T204" s="113"/>
      <c r="U204" s="113"/>
      <c r="V204" s="113"/>
    </row>
    <row r="205" customFormat="false" ht="15" hidden="false" customHeight="true" outlineLevel="0" collapsed="false">
      <c r="H205" s="113"/>
      <c r="I205" s="113"/>
      <c r="J205" s="113"/>
      <c r="L205" s="113"/>
      <c r="M205" s="113"/>
      <c r="N205" s="113"/>
      <c r="P205" s="113"/>
      <c r="Q205" s="113"/>
      <c r="R205" s="113"/>
      <c r="T205" s="113"/>
      <c r="U205" s="113"/>
      <c r="V205" s="113"/>
    </row>
    <row r="206" customFormat="false" ht="15" hidden="false" customHeight="true" outlineLevel="0" collapsed="false">
      <c r="H206" s="113"/>
      <c r="I206" s="113"/>
      <c r="J206" s="113"/>
      <c r="L206" s="113"/>
      <c r="M206" s="113"/>
      <c r="N206" s="113"/>
      <c r="P206" s="113"/>
      <c r="Q206" s="113"/>
      <c r="R206" s="113"/>
      <c r="T206" s="113"/>
      <c r="U206" s="113"/>
      <c r="V206" s="113"/>
    </row>
    <row r="207" customFormat="false" ht="15" hidden="false" customHeight="true" outlineLevel="0" collapsed="false">
      <c r="H207" s="113"/>
      <c r="I207" s="113"/>
      <c r="J207" s="113"/>
      <c r="L207" s="113"/>
      <c r="M207" s="113"/>
      <c r="N207" s="113"/>
      <c r="P207" s="113"/>
      <c r="Q207" s="113"/>
      <c r="R207" s="113"/>
      <c r="T207" s="113"/>
      <c r="U207" s="113"/>
      <c r="V207" s="113"/>
    </row>
    <row r="208" customFormat="false" ht="15" hidden="false" customHeight="true" outlineLevel="0" collapsed="false">
      <c r="H208" s="113"/>
      <c r="I208" s="113"/>
      <c r="J208" s="113"/>
      <c r="L208" s="113"/>
      <c r="M208" s="113"/>
      <c r="N208" s="113"/>
      <c r="P208" s="113"/>
      <c r="Q208" s="113"/>
      <c r="R208" s="113"/>
      <c r="T208" s="113"/>
      <c r="U208" s="113"/>
      <c r="V208" s="113"/>
    </row>
    <row r="209" customFormat="false" ht="15" hidden="false" customHeight="true" outlineLevel="0" collapsed="false">
      <c r="H209" s="113"/>
      <c r="I209" s="113"/>
      <c r="J209" s="113"/>
      <c r="L209" s="113"/>
      <c r="M209" s="113"/>
      <c r="N209" s="113"/>
      <c r="P209" s="113"/>
      <c r="Q209" s="113"/>
      <c r="R209" s="113"/>
      <c r="T209" s="113"/>
      <c r="U209" s="113"/>
      <c r="V209" s="113"/>
    </row>
    <row r="210" customFormat="false" ht="15" hidden="false" customHeight="true" outlineLevel="0" collapsed="false">
      <c r="H210" s="113"/>
      <c r="I210" s="113"/>
      <c r="J210" s="113"/>
      <c r="L210" s="113"/>
      <c r="M210" s="113"/>
      <c r="N210" s="113"/>
      <c r="P210" s="113"/>
      <c r="Q210" s="113"/>
      <c r="R210" s="113"/>
      <c r="T210" s="113"/>
      <c r="U210" s="113"/>
      <c r="V210" s="113"/>
    </row>
    <row r="211" customFormat="false" ht="15" hidden="false" customHeight="true" outlineLevel="0" collapsed="false">
      <c r="H211" s="113"/>
      <c r="I211" s="113"/>
      <c r="J211" s="113"/>
      <c r="L211" s="113"/>
      <c r="M211" s="113"/>
      <c r="N211" s="113"/>
      <c r="P211" s="113"/>
      <c r="Q211" s="113"/>
      <c r="R211" s="113"/>
      <c r="T211" s="113"/>
      <c r="U211" s="113"/>
      <c r="V211" s="113"/>
    </row>
    <row r="212" customFormat="false" ht="15" hidden="false" customHeight="true" outlineLevel="0" collapsed="false">
      <c r="H212" s="113"/>
      <c r="I212" s="113"/>
      <c r="J212" s="113"/>
      <c r="L212" s="113"/>
      <c r="M212" s="113"/>
      <c r="N212" s="113"/>
      <c r="P212" s="113"/>
      <c r="Q212" s="113"/>
      <c r="R212" s="113"/>
      <c r="T212" s="113"/>
      <c r="U212" s="113"/>
      <c r="V212" s="113"/>
    </row>
    <row r="213" customFormat="false" ht="15" hidden="false" customHeight="true" outlineLevel="0" collapsed="false">
      <c r="H213" s="113"/>
      <c r="I213" s="113"/>
      <c r="J213" s="113"/>
      <c r="L213" s="113"/>
      <c r="M213" s="113"/>
      <c r="N213" s="113"/>
      <c r="P213" s="113"/>
      <c r="Q213" s="113"/>
      <c r="R213" s="113"/>
      <c r="T213" s="113"/>
      <c r="U213" s="113"/>
      <c r="V213" s="113"/>
    </row>
    <row r="214" customFormat="false" ht="15" hidden="false" customHeight="true" outlineLevel="0" collapsed="false">
      <c r="H214" s="113"/>
      <c r="I214" s="113"/>
      <c r="J214" s="113"/>
      <c r="L214" s="113"/>
      <c r="M214" s="113"/>
      <c r="N214" s="113"/>
      <c r="P214" s="113"/>
      <c r="Q214" s="113"/>
      <c r="R214" s="113"/>
      <c r="T214" s="113"/>
      <c r="U214" s="113"/>
      <c r="V214" s="113"/>
    </row>
    <row r="215" customFormat="false" ht="15" hidden="false" customHeight="true" outlineLevel="0" collapsed="false">
      <c r="H215" s="113"/>
      <c r="I215" s="113"/>
      <c r="J215" s="113"/>
      <c r="L215" s="113"/>
      <c r="M215" s="113"/>
      <c r="N215" s="113"/>
      <c r="P215" s="113"/>
      <c r="Q215" s="113"/>
      <c r="R215" s="113"/>
      <c r="T215" s="113"/>
      <c r="U215" s="113"/>
      <c r="V215" s="113"/>
    </row>
    <row r="216" customFormat="false" ht="15" hidden="false" customHeight="true" outlineLevel="0" collapsed="false">
      <c r="H216" s="113"/>
      <c r="I216" s="113"/>
      <c r="J216" s="113"/>
      <c r="L216" s="113"/>
      <c r="M216" s="113"/>
      <c r="N216" s="113"/>
      <c r="P216" s="113"/>
      <c r="Q216" s="113"/>
      <c r="R216" s="113"/>
      <c r="T216" s="113"/>
      <c r="U216" s="113"/>
      <c r="V216" s="113"/>
    </row>
    <row r="217" customFormat="false" ht="15" hidden="false" customHeight="true" outlineLevel="0" collapsed="false">
      <c r="H217" s="113"/>
      <c r="I217" s="113"/>
      <c r="J217" s="113"/>
      <c r="L217" s="113"/>
      <c r="M217" s="113"/>
      <c r="N217" s="113"/>
      <c r="P217" s="113"/>
      <c r="Q217" s="113"/>
      <c r="R217" s="113"/>
      <c r="T217" s="113"/>
      <c r="U217" s="113"/>
      <c r="V217" s="113"/>
    </row>
    <row r="218" customFormat="false" ht="15" hidden="false" customHeight="true" outlineLevel="0" collapsed="false">
      <c r="H218" s="113"/>
      <c r="I218" s="113"/>
      <c r="J218" s="113"/>
      <c r="L218" s="113"/>
      <c r="M218" s="113"/>
      <c r="N218" s="113"/>
      <c r="P218" s="113"/>
      <c r="Q218" s="113"/>
      <c r="R218" s="113"/>
      <c r="T218" s="113"/>
      <c r="U218" s="113"/>
      <c r="V218" s="113"/>
    </row>
    <row r="219" customFormat="false" ht="15" hidden="false" customHeight="true" outlineLevel="0" collapsed="false">
      <c r="H219" s="113"/>
      <c r="I219" s="113"/>
      <c r="J219" s="113"/>
      <c r="L219" s="113"/>
      <c r="M219" s="113"/>
      <c r="N219" s="113"/>
      <c r="P219" s="113"/>
      <c r="Q219" s="113"/>
      <c r="R219" s="113"/>
      <c r="T219" s="113"/>
      <c r="U219" s="113"/>
      <c r="V219" s="113"/>
    </row>
    <row r="220" customFormat="false" ht="15" hidden="false" customHeight="true" outlineLevel="0" collapsed="false">
      <c r="H220" s="113"/>
      <c r="I220" s="113"/>
      <c r="J220" s="113"/>
      <c r="L220" s="113"/>
      <c r="M220" s="113"/>
      <c r="N220" s="113"/>
      <c r="P220" s="113"/>
      <c r="Q220" s="113"/>
      <c r="R220" s="113"/>
      <c r="T220" s="113"/>
      <c r="U220" s="113"/>
      <c r="V220" s="113"/>
    </row>
    <row r="221" customFormat="false" ht="15" hidden="false" customHeight="true" outlineLevel="0" collapsed="false">
      <c r="H221" s="113"/>
      <c r="I221" s="113"/>
      <c r="J221" s="113"/>
      <c r="L221" s="113"/>
      <c r="M221" s="113"/>
      <c r="N221" s="113"/>
      <c r="P221" s="113"/>
      <c r="Q221" s="113"/>
      <c r="R221" s="113"/>
      <c r="T221" s="113"/>
      <c r="U221" s="113"/>
      <c r="V221" s="113"/>
    </row>
    <row r="222" customFormat="false" ht="15" hidden="false" customHeight="true" outlineLevel="0" collapsed="false">
      <c r="H222" s="113"/>
      <c r="I222" s="113"/>
      <c r="J222" s="113"/>
      <c r="L222" s="113"/>
      <c r="M222" s="113"/>
      <c r="N222" s="113"/>
      <c r="P222" s="113"/>
      <c r="Q222" s="113"/>
      <c r="R222" s="113"/>
      <c r="T222" s="113"/>
      <c r="U222" s="113"/>
      <c r="V222" s="113"/>
    </row>
    <row r="223" customFormat="false" ht="15" hidden="false" customHeight="true" outlineLevel="0" collapsed="false">
      <c r="H223" s="113"/>
      <c r="I223" s="113"/>
      <c r="J223" s="113"/>
      <c r="L223" s="113"/>
      <c r="M223" s="113"/>
      <c r="N223" s="113"/>
      <c r="P223" s="113"/>
      <c r="Q223" s="113"/>
      <c r="R223" s="113"/>
      <c r="T223" s="113"/>
      <c r="U223" s="113"/>
      <c r="V223" s="113"/>
    </row>
    <row r="224" customFormat="false" ht="15" hidden="false" customHeight="true" outlineLevel="0" collapsed="false">
      <c r="H224" s="113"/>
      <c r="I224" s="113"/>
      <c r="J224" s="113"/>
      <c r="L224" s="113"/>
      <c r="M224" s="113"/>
      <c r="N224" s="113"/>
      <c r="P224" s="113"/>
      <c r="Q224" s="113"/>
      <c r="R224" s="113"/>
      <c r="T224" s="113"/>
      <c r="U224" s="113"/>
      <c r="V224" s="113"/>
    </row>
    <row r="225" customFormat="false" ht="15" hidden="false" customHeight="true" outlineLevel="0" collapsed="false">
      <c r="H225" s="113"/>
      <c r="I225" s="113"/>
      <c r="J225" s="113"/>
      <c r="L225" s="113"/>
      <c r="M225" s="113"/>
      <c r="N225" s="113"/>
      <c r="P225" s="113"/>
      <c r="Q225" s="113"/>
      <c r="R225" s="113"/>
      <c r="T225" s="113"/>
      <c r="U225" s="113"/>
      <c r="V225" s="113"/>
    </row>
    <row r="226" customFormat="false" ht="15" hidden="false" customHeight="true" outlineLevel="0" collapsed="false">
      <c r="H226" s="113"/>
      <c r="I226" s="113"/>
      <c r="J226" s="113"/>
      <c r="L226" s="113"/>
      <c r="M226" s="113"/>
      <c r="N226" s="113"/>
      <c r="P226" s="113"/>
      <c r="Q226" s="113"/>
      <c r="R226" s="113"/>
      <c r="T226" s="113"/>
      <c r="U226" s="113"/>
      <c r="V226" s="113"/>
    </row>
    <row r="227" customFormat="false" ht="15" hidden="false" customHeight="true" outlineLevel="0" collapsed="false">
      <c r="H227" s="113"/>
      <c r="I227" s="113"/>
      <c r="J227" s="113"/>
      <c r="L227" s="113"/>
      <c r="M227" s="113"/>
      <c r="N227" s="113"/>
      <c r="P227" s="113"/>
      <c r="Q227" s="113"/>
      <c r="R227" s="113"/>
      <c r="T227" s="113"/>
      <c r="U227" s="113"/>
      <c r="V227" s="113"/>
    </row>
    <row r="228" customFormat="false" ht="15" hidden="false" customHeight="true" outlineLevel="0" collapsed="false">
      <c r="H228" s="113"/>
      <c r="I228" s="113"/>
      <c r="J228" s="113"/>
      <c r="L228" s="113"/>
      <c r="M228" s="113"/>
      <c r="N228" s="113"/>
      <c r="P228" s="113"/>
      <c r="Q228" s="113"/>
      <c r="R228" s="113"/>
      <c r="T228" s="113"/>
      <c r="U228" s="113"/>
      <c r="V228" s="113"/>
    </row>
    <row r="229" customFormat="false" ht="15" hidden="false" customHeight="true" outlineLevel="0" collapsed="false">
      <c r="H229" s="113"/>
      <c r="I229" s="113"/>
      <c r="J229" s="113"/>
      <c r="L229" s="113"/>
      <c r="M229" s="113"/>
      <c r="N229" s="113"/>
      <c r="P229" s="113"/>
      <c r="Q229" s="113"/>
      <c r="R229" s="113"/>
      <c r="T229" s="113"/>
      <c r="U229" s="113"/>
      <c r="V229" s="113"/>
    </row>
    <row r="230" customFormat="false" ht="15" hidden="false" customHeight="true" outlineLevel="0" collapsed="false">
      <c r="H230" s="113"/>
      <c r="I230" s="113"/>
      <c r="J230" s="113"/>
      <c r="L230" s="113"/>
      <c r="M230" s="113"/>
      <c r="N230" s="113"/>
      <c r="P230" s="113"/>
      <c r="Q230" s="113"/>
      <c r="R230" s="113"/>
      <c r="T230" s="113"/>
      <c r="U230" s="113"/>
      <c r="V230" s="113"/>
    </row>
    <row r="231" customFormat="false" ht="15" hidden="false" customHeight="true" outlineLevel="0" collapsed="false">
      <c r="H231" s="113"/>
      <c r="I231" s="113"/>
      <c r="J231" s="113"/>
      <c r="L231" s="113"/>
      <c r="M231" s="113"/>
      <c r="N231" s="113"/>
      <c r="P231" s="113"/>
      <c r="Q231" s="113"/>
      <c r="R231" s="113"/>
      <c r="T231" s="113"/>
      <c r="U231" s="113"/>
      <c r="V231" s="113"/>
    </row>
    <row r="232" customFormat="false" ht="15" hidden="false" customHeight="true" outlineLevel="0" collapsed="false">
      <c r="H232" s="113"/>
      <c r="I232" s="113"/>
      <c r="J232" s="113"/>
      <c r="L232" s="113"/>
      <c r="M232" s="113"/>
      <c r="N232" s="113"/>
      <c r="P232" s="113"/>
      <c r="Q232" s="113"/>
      <c r="R232" s="113"/>
      <c r="T232" s="113"/>
      <c r="U232" s="113"/>
      <c r="V232" s="113"/>
    </row>
    <row r="233" customFormat="false" ht="15" hidden="false" customHeight="true" outlineLevel="0" collapsed="false">
      <c r="H233" s="113"/>
      <c r="I233" s="113"/>
      <c r="J233" s="113"/>
      <c r="L233" s="113"/>
      <c r="M233" s="113"/>
      <c r="N233" s="113"/>
      <c r="P233" s="113"/>
      <c r="Q233" s="113"/>
      <c r="R233" s="113"/>
      <c r="T233" s="113"/>
      <c r="U233" s="113"/>
      <c r="V233" s="113"/>
    </row>
    <row r="234" customFormat="false" ht="15" hidden="false" customHeight="true" outlineLevel="0" collapsed="false">
      <c r="H234" s="113"/>
      <c r="I234" s="113"/>
      <c r="J234" s="113"/>
      <c r="L234" s="113"/>
      <c r="M234" s="113"/>
      <c r="N234" s="113"/>
      <c r="P234" s="113"/>
      <c r="Q234" s="113"/>
      <c r="R234" s="113"/>
      <c r="T234" s="113"/>
      <c r="U234" s="113"/>
      <c r="V234" s="113"/>
    </row>
    <row r="235" customFormat="false" ht="15" hidden="false" customHeight="true" outlineLevel="0" collapsed="false">
      <c r="H235" s="113"/>
      <c r="I235" s="113"/>
      <c r="J235" s="113"/>
      <c r="L235" s="113"/>
      <c r="M235" s="113"/>
      <c r="N235" s="113"/>
      <c r="P235" s="113"/>
      <c r="Q235" s="113"/>
      <c r="R235" s="113"/>
      <c r="T235" s="113"/>
      <c r="U235" s="113"/>
      <c r="V235" s="113"/>
    </row>
    <row r="236" customFormat="false" ht="15" hidden="false" customHeight="true" outlineLevel="0" collapsed="false">
      <c r="H236" s="113"/>
      <c r="I236" s="113"/>
      <c r="J236" s="113"/>
      <c r="L236" s="113"/>
      <c r="M236" s="113"/>
      <c r="N236" s="113"/>
      <c r="P236" s="113"/>
      <c r="Q236" s="113"/>
      <c r="R236" s="113"/>
      <c r="T236" s="113"/>
      <c r="U236" s="113"/>
      <c r="V236" s="113"/>
    </row>
    <row r="237" customFormat="false" ht="15" hidden="false" customHeight="true" outlineLevel="0" collapsed="false">
      <c r="H237" s="113"/>
      <c r="I237" s="113"/>
      <c r="J237" s="113"/>
      <c r="L237" s="113"/>
      <c r="M237" s="113"/>
      <c r="N237" s="113"/>
      <c r="P237" s="113"/>
      <c r="Q237" s="113"/>
      <c r="R237" s="113"/>
      <c r="T237" s="113"/>
      <c r="U237" s="113"/>
      <c r="V237" s="113"/>
    </row>
    <row r="238" customFormat="false" ht="15" hidden="false" customHeight="true" outlineLevel="0" collapsed="false">
      <c r="H238" s="113"/>
      <c r="I238" s="113"/>
      <c r="J238" s="113"/>
      <c r="L238" s="113"/>
      <c r="M238" s="113"/>
      <c r="N238" s="113"/>
      <c r="P238" s="113"/>
      <c r="Q238" s="113"/>
      <c r="R238" s="113"/>
      <c r="T238" s="113"/>
      <c r="U238" s="113"/>
      <c r="V238" s="113"/>
    </row>
    <row r="239" customFormat="false" ht="15" hidden="false" customHeight="true" outlineLevel="0" collapsed="false">
      <c r="H239" s="113"/>
      <c r="I239" s="113"/>
      <c r="J239" s="113"/>
      <c r="L239" s="113"/>
      <c r="M239" s="113"/>
      <c r="N239" s="113"/>
      <c r="P239" s="113"/>
      <c r="Q239" s="113"/>
      <c r="R239" s="113"/>
      <c r="T239" s="113"/>
      <c r="U239" s="113"/>
      <c r="V239" s="113"/>
    </row>
    <row r="240" customFormat="false" ht="15" hidden="false" customHeight="true" outlineLevel="0" collapsed="false">
      <c r="H240" s="113"/>
      <c r="I240" s="113"/>
      <c r="J240" s="113"/>
      <c r="L240" s="113"/>
      <c r="M240" s="113"/>
      <c r="N240" s="113"/>
      <c r="P240" s="113"/>
      <c r="Q240" s="113"/>
      <c r="R240" s="113"/>
      <c r="T240" s="113"/>
      <c r="U240" s="113"/>
      <c r="V240" s="113"/>
    </row>
    <row r="241" customFormat="false" ht="15" hidden="false" customHeight="true" outlineLevel="0" collapsed="false">
      <c r="H241" s="113"/>
      <c r="I241" s="113"/>
      <c r="J241" s="113"/>
      <c r="L241" s="113"/>
      <c r="M241" s="113"/>
      <c r="N241" s="113"/>
      <c r="P241" s="113"/>
      <c r="Q241" s="113"/>
      <c r="R241" s="113"/>
      <c r="T241" s="113"/>
      <c r="U241" s="113"/>
      <c r="V241" s="113"/>
    </row>
    <row r="242" customFormat="false" ht="15" hidden="false" customHeight="true" outlineLevel="0" collapsed="false">
      <c r="H242" s="113"/>
      <c r="I242" s="113"/>
      <c r="J242" s="113"/>
      <c r="L242" s="113"/>
      <c r="M242" s="113"/>
      <c r="N242" s="113"/>
      <c r="P242" s="113"/>
      <c r="Q242" s="113"/>
      <c r="R242" s="113"/>
      <c r="T242" s="113"/>
      <c r="U242" s="113"/>
      <c r="V242" s="113"/>
    </row>
    <row r="243" customFormat="false" ht="15" hidden="false" customHeight="true" outlineLevel="0" collapsed="false">
      <c r="H243" s="113"/>
      <c r="I243" s="113"/>
      <c r="J243" s="113"/>
      <c r="L243" s="113"/>
      <c r="M243" s="113"/>
      <c r="N243" s="113"/>
      <c r="P243" s="113"/>
      <c r="Q243" s="113"/>
      <c r="R243" s="113"/>
      <c r="T243" s="113"/>
      <c r="U243" s="113"/>
      <c r="V243" s="113"/>
    </row>
    <row r="244" customFormat="false" ht="15" hidden="false" customHeight="true" outlineLevel="0" collapsed="false">
      <c r="H244" s="113"/>
      <c r="I244" s="113"/>
      <c r="J244" s="113"/>
      <c r="L244" s="113"/>
      <c r="M244" s="113"/>
      <c r="N244" s="113"/>
      <c r="P244" s="113"/>
      <c r="Q244" s="113"/>
      <c r="R244" s="113"/>
      <c r="T244" s="113"/>
      <c r="U244" s="113"/>
      <c r="V244" s="113"/>
    </row>
    <row r="245" customFormat="false" ht="15" hidden="false" customHeight="true" outlineLevel="0" collapsed="false">
      <c r="H245" s="113"/>
      <c r="I245" s="113"/>
      <c r="J245" s="113"/>
      <c r="L245" s="113"/>
      <c r="M245" s="113"/>
      <c r="N245" s="113"/>
      <c r="P245" s="113"/>
      <c r="Q245" s="113"/>
      <c r="R245" s="113"/>
      <c r="T245" s="113"/>
      <c r="U245" s="113"/>
      <c r="V245" s="113"/>
    </row>
    <row r="246" customFormat="false" ht="15" hidden="false" customHeight="true" outlineLevel="0" collapsed="false">
      <c r="H246" s="113"/>
      <c r="I246" s="113"/>
      <c r="J246" s="113"/>
      <c r="L246" s="113"/>
      <c r="M246" s="113"/>
      <c r="N246" s="113"/>
      <c r="P246" s="113"/>
      <c r="Q246" s="113"/>
      <c r="R246" s="113"/>
      <c r="T246" s="113"/>
      <c r="U246" s="113"/>
      <c r="V246" s="113"/>
    </row>
    <row r="247" customFormat="false" ht="15" hidden="false" customHeight="true" outlineLevel="0" collapsed="false">
      <c r="H247" s="113"/>
      <c r="I247" s="113"/>
      <c r="J247" s="113"/>
      <c r="L247" s="113"/>
      <c r="M247" s="113"/>
      <c r="N247" s="113"/>
      <c r="P247" s="113"/>
      <c r="Q247" s="113"/>
      <c r="R247" s="113"/>
      <c r="T247" s="113"/>
      <c r="U247" s="113"/>
      <c r="V247" s="113"/>
    </row>
    <row r="248" customFormat="false" ht="15" hidden="false" customHeight="true" outlineLevel="0" collapsed="false">
      <c r="H248" s="113"/>
      <c r="I248" s="113"/>
      <c r="J248" s="113"/>
      <c r="L248" s="113"/>
      <c r="M248" s="113"/>
      <c r="N248" s="113"/>
      <c r="P248" s="113"/>
      <c r="Q248" s="113"/>
      <c r="R248" s="113"/>
      <c r="T248" s="113"/>
      <c r="U248" s="113"/>
      <c r="V248" s="113"/>
    </row>
    <row r="249" customFormat="false" ht="15" hidden="false" customHeight="true" outlineLevel="0" collapsed="false">
      <c r="H249" s="113"/>
      <c r="I249" s="113"/>
      <c r="J249" s="113"/>
      <c r="L249" s="113"/>
      <c r="M249" s="113"/>
      <c r="N249" s="113"/>
      <c r="P249" s="113"/>
      <c r="Q249" s="113"/>
      <c r="R249" s="113"/>
      <c r="T249" s="113"/>
      <c r="U249" s="113"/>
      <c r="V249" s="113"/>
    </row>
    <row r="250" customFormat="false" ht="15" hidden="false" customHeight="true" outlineLevel="0" collapsed="false">
      <c r="H250" s="113"/>
      <c r="I250" s="113"/>
      <c r="J250" s="113"/>
      <c r="L250" s="113"/>
      <c r="M250" s="113"/>
      <c r="N250" s="113"/>
      <c r="P250" s="113"/>
      <c r="Q250" s="113"/>
      <c r="R250" s="113"/>
      <c r="T250" s="113"/>
      <c r="U250" s="113"/>
      <c r="V250" s="113"/>
    </row>
    <row r="251" customFormat="false" ht="15" hidden="false" customHeight="true" outlineLevel="0" collapsed="false">
      <c r="H251" s="113"/>
      <c r="I251" s="113"/>
      <c r="J251" s="113"/>
      <c r="L251" s="113"/>
      <c r="M251" s="113"/>
      <c r="N251" s="113"/>
      <c r="P251" s="113"/>
      <c r="Q251" s="113"/>
      <c r="R251" s="113"/>
      <c r="T251" s="113"/>
      <c r="U251" s="113"/>
      <c r="V251" s="113"/>
    </row>
    <row r="252" customFormat="false" ht="15" hidden="false" customHeight="true" outlineLevel="0" collapsed="false">
      <c r="H252" s="113"/>
      <c r="I252" s="113"/>
      <c r="J252" s="113"/>
      <c r="L252" s="113"/>
      <c r="M252" s="113"/>
      <c r="N252" s="113"/>
      <c r="P252" s="113"/>
      <c r="Q252" s="113"/>
      <c r="R252" s="113"/>
      <c r="T252" s="113"/>
      <c r="U252" s="113"/>
      <c r="V252" s="113"/>
    </row>
    <row r="253" customFormat="false" ht="15" hidden="false" customHeight="true" outlineLevel="0" collapsed="false">
      <c r="H253" s="113"/>
      <c r="I253" s="113"/>
      <c r="J253" s="113"/>
      <c r="L253" s="113"/>
      <c r="M253" s="113"/>
      <c r="N253" s="113"/>
      <c r="P253" s="113"/>
      <c r="Q253" s="113"/>
      <c r="R253" s="113"/>
      <c r="T253" s="113"/>
      <c r="U253" s="113"/>
      <c r="V253" s="113"/>
    </row>
    <row r="254" customFormat="false" ht="15" hidden="false" customHeight="true" outlineLevel="0" collapsed="false">
      <c r="H254" s="113"/>
      <c r="I254" s="113"/>
      <c r="J254" s="113"/>
      <c r="L254" s="113"/>
      <c r="M254" s="113"/>
      <c r="N254" s="113"/>
      <c r="P254" s="113"/>
      <c r="Q254" s="113"/>
      <c r="R254" s="113"/>
      <c r="T254" s="113"/>
      <c r="U254" s="113"/>
      <c r="V254" s="113"/>
    </row>
    <row r="255" customFormat="false" ht="15" hidden="false" customHeight="true" outlineLevel="0" collapsed="false">
      <c r="H255" s="113"/>
      <c r="I255" s="113"/>
      <c r="J255" s="113"/>
      <c r="L255" s="113"/>
      <c r="M255" s="113"/>
      <c r="N255" s="113"/>
      <c r="P255" s="113"/>
      <c r="Q255" s="113"/>
      <c r="R255" s="113"/>
      <c r="T255" s="113"/>
      <c r="U255" s="113"/>
      <c r="V255" s="113"/>
    </row>
    <row r="256" customFormat="false" ht="15" hidden="false" customHeight="true" outlineLevel="0" collapsed="false">
      <c r="H256" s="113"/>
      <c r="I256" s="113"/>
      <c r="J256" s="113"/>
      <c r="L256" s="113"/>
      <c r="M256" s="113"/>
      <c r="N256" s="113"/>
      <c r="P256" s="113"/>
      <c r="Q256" s="113"/>
      <c r="R256" s="113"/>
      <c r="T256" s="113"/>
      <c r="U256" s="113"/>
      <c r="V256" s="113"/>
    </row>
    <row r="257" customFormat="false" ht="15" hidden="false" customHeight="true" outlineLevel="0" collapsed="false">
      <c r="H257" s="113"/>
      <c r="I257" s="113"/>
      <c r="J257" s="113"/>
      <c r="L257" s="113"/>
      <c r="M257" s="113"/>
      <c r="N257" s="113"/>
      <c r="P257" s="113"/>
      <c r="Q257" s="113"/>
      <c r="R257" s="113"/>
      <c r="T257" s="113"/>
      <c r="U257" s="113"/>
      <c r="V257" s="113"/>
    </row>
    <row r="258" customFormat="false" ht="15" hidden="false" customHeight="true" outlineLevel="0" collapsed="false">
      <c r="H258" s="113"/>
      <c r="I258" s="113"/>
      <c r="J258" s="113"/>
      <c r="L258" s="113"/>
      <c r="M258" s="113"/>
      <c r="N258" s="113"/>
      <c r="P258" s="113"/>
      <c r="Q258" s="113"/>
      <c r="R258" s="113"/>
      <c r="T258" s="113"/>
      <c r="U258" s="113"/>
      <c r="V258" s="113"/>
    </row>
    <row r="259" customFormat="false" ht="15" hidden="false" customHeight="true" outlineLevel="0" collapsed="false">
      <c r="H259" s="113"/>
      <c r="I259" s="113"/>
      <c r="J259" s="113"/>
      <c r="L259" s="113"/>
      <c r="M259" s="113"/>
      <c r="N259" s="113"/>
      <c r="P259" s="113"/>
      <c r="Q259" s="113"/>
      <c r="R259" s="113"/>
      <c r="T259" s="113"/>
      <c r="U259" s="113"/>
      <c r="V259" s="113"/>
    </row>
    <row r="260" customFormat="false" ht="15" hidden="false" customHeight="true" outlineLevel="0" collapsed="false">
      <c r="H260" s="113"/>
      <c r="I260" s="113"/>
      <c r="J260" s="113"/>
      <c r="L260" s="113"/>
      <c r="M260" s="113"/>
      <c r="N260" s="113"/>
      <c r="P260" s="113"/>
      <c r="Q260" s="113"/>
      <c r="R260" s="113"/>
      <c r="T260" s="113"/>
      <c r="U260" s="113"/>
      <c r="V260" s="113"/>
    </row>
    <row r="261" customFormat="false" ht="15" hidden="false" customHeight="true" outlineLevel="0" collapsed="false">
      <c r="H261" s="113"/>
      <c r="I261" s="113"/>
      <c r="J261" s="113"/>
      <c r="L261" s="113"/>
      <c r="M261" s="113"/>
      <c r="N261" s="113"/>
      <c r="P261" s="113"/>
      <c r="Q261" s="113"/>
      <c r="R261" s="113"/>
      <c r="T261" s="113"/>
      <c r="U261" s="113"/>
      <c r="V261" s="113"/>
    </row>
    <row r="262" customFormat="false" ht="15" hidden="false" customHeight="true" outlineLevel="0" collapsed="false">
      <c r="H262" s="113"/>
      <c r="I262" s="113"/>
      <c r="J262" s="113"/>
      <c r="L262" s="113"/>
      <c r="M262" s="113"/>
      <c r="N262" s="113"/>
      <c r="P262" s="113"/>
      <c r="Q262" s="113"/>
      <c r="R262" s="113"/>
      <c r="T262" s="113"/>
      <c r="U262" s="113"/>
      <c r="V262" s="113"/>
    </row>
    <row r="263" customFormat="false" ht="15" hidden="false" customHeight="true" outlineLevel="0" collapsed="false">
      <c r="H263" s="113"/>
      <c r="I263" s="113"/>
      <c r="J263" s="113"/>
      <c r="L263" s="113"/>
      <c r="M263" s="113"/>
      <c r="N263" s="113"/>
      <c r="P263" s="113"/>
      <c r="Q263" s="113"/>
      <c r="R263" s="113"/>
      <c r="T263" s="113"/>
      <c r="U263" s="113"/>
      <c r="V263" s="113"/>
    </row>
    <row r="264" customFormat="false" ht="15" hidden="false" customHeight="true" outlineLevel="0" collapsed="false">
      <c r="H264" s="113"/>
      <c r="I264" s="113"/>
      <c r="J264" s="113"/>
      <c r="L264" s="113"/>
      <c r="M264" s="113"/>
      <c r="N264" s="113"/>
      <c r="P264" s="113"/>
      <c r="Q264" s="113"/>
      <c r="R264" s="113"/>
      <c r="T264" s="113"/>
      <c r="U264" s="113"/>
      <c r="V264" s="113"/>
    </row>
    <row r="265" customFormat="false" ht="15" hidden="false" customHeight="true" outlineLevel="0" collapsed="false">
      <c r="H265" s="113"/>
      <c r="I265" s="113"/>
      <c r="J265" s="113"/>
      <c r="L265" s="113"/>
      <c r="M265" s="113"/>
      <c r="N265" s="113"/>
      <c r="P265" s="113"/>
      <c r="Q265" s="113"/>
      <c r="R265" s="113"/>
      <c r="T265" s="113"/>
      <c r="U265" s="113"/>
      <c r="V265" s="113"/>
    </row>
    <row r="266" customFormat="false" ht="15" hidden="false" customHeight="true" outlineLevel="0" collapsed="false">
      <c r="H266" s="113"/>
      <c r="I266" s="113"/>
      <c r="J266" s="113"/>
      <c r="L266" s="113"/>
      <c r="M266" s="113"/>
      <c r="N266" s="113"/>
      <c r="P266" s="113"/>
      <c r="Q266" s="113"/>
      <c r="R266" s="113"/>
      <c r="T266" s="113"/>
      <c r="U266" s="113"/>
      <c r="V266" s="113"/>
    </row>
    <row r="267" customFormat="false" ht="15" hidden="false" customHeight="true" outlineLevel="0" collapsed="false">
      <c r="H267" s="113"/>
      <c r="I267" s="113"/>
      <c r="J267" s="113"/>
      <c r="L267" s="113"/>
      <c r="M267" s="113"/>
      <c r="N267" s="113"/>
      <c r="P267" s="113"/>
      <c r="Q267" s="113"/>
      <c r="R267" s="113"/>
      <c r="T267" s="113"/>
      <c r="U267" s="113"/>
      <c r="V267" s="113"/>
    </row>
    <row r="268" customFormat="false" ht="15" hidden="false" customHeight="true" outlineLevel="0" collapsed="false">
      <c r="H268" s="113"/>
      <c r="I268" s="113"/>
      <c r="J268" s="113"/>
      <c r="L268" s="113"/>
      <c r="M268" s="113"/>
      <c r="N268" s="113"/>
      <c r="P268" s="113"/>
      <c r="Q268" s="113"/>
      <c r="R268" s="113"/>
      <c r="T268" s="113"/>
      <c r="U268" s="113"/>
      <c r="V268" s="113"/>
    </row>
    <row r="269" customFormat="false" ht="15" hidden="false" customHeight="true" outlineLevel="0" collapsed="false">
      <c r="H269" s="113"/>
      <c r="I269" s="113"/>
      <c r="J269" s="113"/>
      <c r="L269" s="113"/>
      <c r="M269" s="113"/>
      <c r="N269" s="113"/>
      <c r="P269" s="113"/>
      <c r="Q269" s="113"/>
      <c r="R269" s="113"/>
      <c r="T269" s="113"/>
      <c r="U269" s="113"/>
      <c r="V269" s="113"/>
    </row>
    <row r="270" customFormat="false" ht="15" hidden="false" customHeight="true" outlineLevel="0" collapsed="false">
      <c r="H270" s="113"/>
      <c r="I270" s="113"/>
      <c r="J270" s="113"/>
      <c r="L270" s="113"/>
      <c r="M270" s="113"/>
      <c r="N270" s="113"/>
      <c r="P270" s="113"/>
      <c r="Q270" s="113"/>
      <c r="R270" s="113"/>
      <c r="T270" s="113"/>
      <c r="U270" s="113"/>
      <c r="V270" s="113"/>
    </row>
    <row r="271" customFormat="false" ht="15" hidden="false" customHeight="true" outlineLevel="0" collapsed="false">
      <c r="H271" s="113"/>
      <c r="I271" s="113"/>
      <c r="J271" s="113"/>
      <c r="L271" s="113"/>
      <c r="M271" s="113"/>
      <c r="N271" s="113"/>
      <c r="P271" s="113"/>
      <c r="Q271" s="113"/>
      <c r="R271" s="113"/>
      <c r="T271" s="113"/>
      <c r="U271" s="113"/>
      <c r="V271" s="113"/>
    </row>
    <row r="272" customFormat="false" ht="15" hidden="false" customHeight="true" outlineLevel="0" collapsed="false">
      <c r="H272" s="113"/>
      <c r="I272" s="113"/>
      <c r="J272" s="113"/>
      <c r="L272" s="113"/>
      <c r="M272" s="113"/>
      <c r="N272" s="113"/>
      <c r="P272" s="113"/>
      <c r="Q272" s="113"/>
      <c r="R272" s="113"/>
      <c r="T272" s="113"/>
      <c r="U272" s="113"/>
      <c r="V272" s="113"/>
    </row>
    <row r="273" customFormat="false" ht="15" hidden="false" customHeight="true" outlineLevel="0" collapsed="false">
      <c r="H273" s="113"/>
      <c r="I273" s="113"/>
      <c r="J273" s="113"/>
      <c r="L273" s="113"/>
      <c r="M273" s="113"/>
      <c r="N273" s="113"/>
      <c r="P273" s="113"/>
      <c r="Q273" s="113"/>
      <c r="R273" s="113"/>
      <c r="T273" s="113"/>
      <c r="U273" s="113"/>
      <c r="V273" s="113"/>
    </row>
    <row r="274" customFormat="false" ht="15" hidden="false" customHeight="true" outlineLevel="0" collapsed="false">
      <c r="H274" s="113"/>
      <c r="I274" s="113"/>
      <c r="J274" s="113"/>
      <c r="L274" s="113"/>
      <c r="M274" s="113"/>
      <c r="N274" s="113"/>
      <c r="P274" s="113"/>
      <c r="Q274" s="113"/>
      <c r="R274" s="113"/>
      <c r="T274" s="113"/>
      <c r="U274" s="113"/>
      <c r="V274" s="113"/>
    </row>
    <row r="275" customFormat="false" ht="15" hidden="false" customHeight="true" outlineLevel="0" collapsed="false">
      <c r="H275" s="113"/>
      <c r="I275" s="113"/>
      <c r="J275" s="113"/>
      <c r="L275" s="113"/>
      <c r="M275" s="113"/>
      <c r="N275" s="113"/>
      <c r="P275" s="113"/>
      <c r="Q275" s="113"/>
      <c r="R275" s="113"/>
      <c r="T275" s="113"/>
      <c r="U275" s="113"/>
      <c r="V275" s="113"/>
    </row>
    <row r="276" customFormat="false" ht="15" hidden="false" customHeight="true" outlineLevel="0" collapsed="false">
      <c r="H276" s="113"/>
      <c r="I276" s="113"/>
      <c r="J276" s="113"/>
      <c r="L276" s="113"/>
      <c r="M276" s="113"/>
      <c r="N276" s="113"/>
      <c r="P276" s="113"/>
      <c r="Q276" s="113"/>
      <c r="R276" s="113"/>
      <c r="T276" s="113"/>
      <c r="U276" s="113"/>
      <c r="V276" s="113"/>
    </row>
    <row r="277" customFormat="false" ht="15" hidden="false" customHeight="true" outlineLevel="0" collapsed="false">
      <c r="H277" s="113"/>
      <c r="I277" s="113"/>
      <c r="J277" s="113"/>
      <c r="L277" s="113"/>
      <c r="M277" s="113"/>
      <c r="N277" s="113"/>
      <c r="P277" s="113"/>
      <c r="Q277" s="113"/>
      <c r="R277" s="113"/>
      <c r="T277" s="113"/>
      <c r="U277" s="113"/>
      <c r="V277" s="113"/>
    </row>
    <row r="278" customFormat="false" ht="15" hidden="false" customHeight="true" outlineLevel="0" collapsed="false">
      <c r="H278" s="113"/>
      <c r="I278" s="113"/>
      <c r="J278" s="113"/>
      <c r="L278" s="113"/>
      <c r="M278" s="113"/>
      <c r="N278" s="113"/>
      <c r="P278" s="113"/>
      <c r="Q278" s="113"/>
      <c r="R278" s="113"/>
      <c r="T278" s="113"/>
      <c r="U278" s="113"/>
      <c r="V278" s="113"/>
    </row>
    <row r="279" customFormat="false" ht="15" hidden="false" customHeight="true" outlineLevel="0" collapsed="false">
      <c r="H279" s="113"/>
      <c r="I279" s="113"/>
      <c r="J279" s="113"/>
      <c r="L279" s="113"/>
      <c r="M279" s="113"/>
      <c r="N279" s="113"/>
      <c r="P279" s="113"/>
      <c r="Q279" s="113"/>
      <c r="R279" s="113"/>
      <c r="T279" s="113"/>
      <c r="U279" s="113"/>
      <c r="V279" s="113"/>
    </row>
    <row r="280" customFormat="false" ht="15" hidden="false" customHeight="true" outlineLevel="0" collapsed="false">
      <c r="H280" s="113"/>
      <c r="I280" s="113"/>
      <c r="J280" s="113"/>
      <c r="L280" s="113"/>
      <c r="M280" s="113"/>
      <c r="N280" s="113"/>
      <c r="P280" s="113"/>
      <c r="Q280" s="113"/>
      <c r="R280" s="113"/>
      <c r="T280" s="113"/>
      <c r="U280" s="113"/>
      <c r="V280" s="113"/>
    </row>
    <row r="281" customFormat="false" ht="15" hidden="false" customHeight="true" outlineLevel="0" collapsed="false">
      <c r="H281" s="113"/>
      <c r="I281" s="113"/>
      <c r="J281" s="113"/>
      <c r="L281" s="113"/>
      <c r="M281" s="113"/>
      <c r="N281" s="113"/>
      <c r="P281" s="113"/>
      <c r="Q281" s="113"/>
      <c r="R281" s="113"/>
      <c r="T281" s="113"/>
      <c r="U281" s="113"/>
      <c r="V281" s="113"/>
    </row>
    <row r="282" customFormat="false" ht="15" hidden="false" customHeight="true" outlineLevel="0" collapsed="false">
      <c r="H282" s="113"/>
      <c r="I282" s="113"/>
      <c r="J282" s="113"/>
      <c r="L282" s="113"/>
      <c r="M282" s="113"/>
      <c r="N282" s="113"/>
      <c r="P282" s="113"/>
      <c r="Q282" s="113"/>
      <c r="R282" s="113"/>
      <c r="T282" s="113"/>
      <c r="U282" s="113"/>
      <c r="V282" s="113"/>
    </row>
    <row r="283" customFormat="false" ht="15" hidden="false" customHeight="true" outlineLevel="0" collapsed="false">
      <c r="H283" s="113"/>
      <c r="I283" s="113"/>
      <c r="J283" s="113"/>
      <c r="L283" s="113"/>
      <c r="M283" s="113"/>
      <c r="N283" s="113"/>
      <c r="P283" s="113"/>
      <c r="Q283" s="113"/>
      <c r="R283" s="113"/>
      <c r="T283" s="113"/>
      <c r="U283" s="113"/>
      <c r="V283" s="113"/>
    </row>
    <row r="284" customFormat="false" ht="15" hidden="false" customHeight="true" outlineLevel="0" collapsed="false">
      <c r="H284" s="113"/>
      <c r="I284" s="113"/>
      <c r="J284" s="113"/>
      <c r="L284" s="113"/>
      <c r="M284" s="113"/>
      <c r="N284" s="113"/>
      <c r="P284" s="113"/>
      <c r="Q284" s="113"/>
      <c r="R284" s="113"/>
      <c r="T284" s="113"/>
      <c r="U284" s="113"/>
      <c r="V284" s="113"/>
    </row>
    <row r="285" customFormat="false" ht="15" hidden="false" customHeight="true" outlineLevel="0" collapsed="false">
      <c r="H285" s="113"/>
      <c r="I285" s="113"/>
      <c r="J285" s="113"/>
      <c r="L285" s="113"/>
      <c r="M285" s="113"/>
      <c r="N285" s="113"/>
      <c r="P285" s="113"/>
      <c r="Q285" s="113"/>
      <c r="R285" s="113"/>
      <c r="T285" s="113"/>
      <c r="U285" s="113"/>
      <c r="V285" s="113"/>
    </row>
    <row r="286" customFormat="false" ht="15" hidden="false" customHeight="true" outlineLevel="0" collapsed="false">
      <c r="H286" s="113"/>
      <c r="I286" s="113"/>
      <c r="J286" s="113"/>
      <c r="L286" s="113"/>
      <c r="M286" s="113"/>
      <c r="N286" s="113"/>
      <c r="P286" s="113"/>
      <c r="Q286" s="113"/>
      <c r="R286" s="113"/>
      <c r="T286" s="113"/>
      <c r="U286" s="113"/>
      <c r="V286" s="113"/>
    </row>
    <row r="287" customFormat="false" ht="15" hidden="false" customHeight="true" outlineLevel="0" collapsed="false">
      <c r="H287" s="113"/>
      <c r="I287" s="113"/>
      <c r="J287" s="113"/>
      <c r="L287" s="113"/>
      <c r="M287" s="113"/>
      <c r="N287" s="113"/>
      <c r="P287" s="113"/>
      <c r="Q287" s="113"/>
      <c r="R287" s="113"/>
      <c r="T287" s="113"/>
      <c r="U287" s="113"/>
      <c r="V287" s="113"/>
    </row>
    <row r="288" customFormat="false" ht="15" hidden="false" customHeight="true" outlineLevel="0" collapsed="false">
      <c r="H288" s="113"/>
      <c r="I288" s="113"/>
      <c r="J288" s="113"/>
      <c r="L288" s="113"/>
      <c r="M288" s="113"/>
      <c r="N288" s="113"/>
      <c r="P288" s="113"/>
      <c r="Q288" s="113"/>
      <c r="R288" s="113"/>
      <c r="T288" s="113"/>
      <c r="U288" s="113"/>
      <c r="V288" s="113"/>
    </row>
    <row r="289" customFormat="false" ht="15" hidden="false" customHeight="true" outlineLevel="0" collapsed="false">
      <c r="H289" s="113"/>
      <c r="I289" s="113"/>
      <c r="J289" s="113"/>
      <c r="L289" s="113"/>
      <c r="M289" s="113"/>
      <c r="N289" s="113"/>
      <c r="P289" s="113"/>
      <c r="Q289" s="113"/>
      <c r="R289" s="113"/>
      <c r="T289" s="113"/>
      <c r="U289" s="113"/>
      <c r="V289" s="113"/>
    </row>
    <row r="290" customFormat="false" ht="15" hidden="false" customHeight="true" outlineLevel="0" collapsed="false">
      <c r="H290" s="113"/>
      <c r="I290" s="113"/>
      <c r="J290" s="113"/>
      <c r="L290" s="113"/>
      <c r="M290" s="113"/>
      <c r="N290" s="113"/>
      <c r="P290" s="113"/>
      <c r="Q290" s="113"/>
      <c r="R290" s="113"/>
      <c r="T290" s="113"/>
      <c r="U290" s="113"/>
      <c r="V290" s="113"/>
    </row>
    <row r="291" customFormat="false" ht="15" hidden="false" customHeight="true" outlineLevel="0" collapsed="false">
      <c r="H291" s="113"/>
      <c r="I291" s="113"/>
      <c r="J291" s="113"/>
      <c r="L291" s="113"/>
      <c r="M291" s="113"/>
      <c r="N291" s="113"/>
      <c r="P291" s="113"/>
      <c r="Q291" s="113"/>
      <c r="R291" s="113"/>
      <c r="T291" s="113"/>
      <c r="U291" s="113"/>
      <c r="V291" s="113"/>
    </row>
    <row r="292" customFormat="false" ht="15" hidden="false" customHeight="true" outlineLevel="0" collapsed="false">
      <c r="H292" s="113"/>
      <c r="I292" s="113"/>
      <c r="J292" s="113"/>
      <c r="L292" s="113"/>
      <c r="M292" s="113"/>
      <c r="N292" s="113"/>
      <c r="P292" s="113"/>
      <c r="Q292" s="113"/>
      <c r="R292" s="113"/>
      <c r="T292" s="113"/>
      <c r="U292" s="113"/>
      <c r="V292" s="113"/>
    </row>
    <row r="293" customFormat="false" ht="15" hidden="false" customHeight="true" outlineLevel="0" collapsed="false">
      <c r="H293" s="113"/>
      <c r="I293" s="113"/>
      <c r="J293" s="113"/>
      <c r="L293" s="113"/>
      <c r="M293" s="113"/>
      <c r="N293" s="113"/>
      <c r="P293" s="113"/>
      <c r="Q293" s="113"/>
      <c r="R293" s="113"/>
      <c r="T293" s="113"/>
      <c r="U293" s="113"/>
      <c r="V293" s="113"/>
    </row>
    <row r="294" customFormat="false" ht="15" hidden="false" customHeight="true" outlineLevel="0" collapsed="false">
      <c r="H294" s="113"/>
      <c r="I294" s="113"/>
      <c r="J294" s="113"/>
      <c r="L294" s="113"/>
      <c r="M294" s="113"/>
      <c r="N294" s="113"/>
      <c r="P294" s="113"/>
      <c r="Q294" s="113"/>
      <c r="R294" s="113"/>
      <c r="T294" s="113"/>
      <c r="U294" s="113"/>
      <c r="V294" s="113"/>
    </row>
    <row r="295" customFormat="false" ht="15" hidden="false" customHeight="true" outlineLevel="0" collapsed="false">
      <c r="H295" s="113"/>
      <c r="I295" s="113"/>
      <c r="J295" s="113"/>
      <c r="L295" s="113"/>
      <c r="M295" s="113"/>
      <c r="N295" s="113"/>
      <c r="P295" s="113"/>
      <c r="Q295" s="113"/>
      <c r="R295" s="113"/>
      <c r="T295" s="113"/>
      <c r="U295" s="113"/>
      <c r="V295" s="113"/>
    </row>
    <row r="296" customFormat="false" ht="15" hidden="false" customHeight="true" outlineLevel="0" collapsed="false">
      <c r="H296" s="113"/>
      <c r="I296" s="113"/>
      <c r="J296" s="113"/>
      <c r="L296" s="113"/>
      <c r="M296" s="113"/>
      <c r="N296" s="113"/>
      <c r="P296" s="113"/>
      <c r="Q296" s="113"/>
      <c r="R296" s="113"/>
      <c r="T296" s="113"/>
      <c r="U296" s="113"/>
      <c r="V296" s="113"/>
    </row>
    <row r="297" customFormat="false" ht="15" hidden="false" customHeight="true" outlineLevel="0" collapsed="false">
      <c r="H297" s="113"/>
      <c r="I297" s="113"/>
      <c r="J297" s="113"/>
      <c r="L297" s="113"/>
      <c r="M297" s="113"/>
      <c r="N297" s="113"/>
      <c r="P297" s="113"/>
      <c r="Q297" s="113"/>
      <c r="R297" s="113"/>
      <c r="T297" s="113"/>
      <c r="U297" s="113"/>
      <c r="V297" s="113"/>
    </row>
    <row r="298" customFormat="false" ht="15" hidden="false" customHeight="true" outlineLevel="0" collapsed="false">
      <c r="H298" s="113"/>
      <c r="I298" s="113"/>
      <c r="J298" s="113"/>
      <c r="L298" s="113"/>
      <c r="M298" s="113"/>
      <c r="N298" s="113"/>
      <c r="P298" s="113"/>
      <c r="Q298" s="113"/>
      <c r="R298" s="113"/>
      <c r="T298" s="113"/>
      <c r="U298" s="113"/>
      <c r="V298" s="113"/>
    </row>
    <row r="299" customFormat="false" ht="15" hidden="false" customHeight="true" outlineLevel="0" collapsed="false">
      <c r="H299" s="113"/>
      <c r="I299" s="113"/>
      <c r="J299" s="113"/>
      <c r="L299" s="113"/>
      <c r="M299" s="113"/>
      <c r="N299" s="113"/>
      <c r="P299" s="113"/>
      <c r="Q299" s="113"/>
      <c r="R299" s="113"/>
      <c r="T299" s="113"/>
      <c r="U299" s="113"/>
      <c r="V299" s="113"/>
    </row>
    <row r="300" customFormat="false" ht="15" hidden="false" customHeight="true" outlineLevel="0" collapsed="false">
      <c r="H300" s="113"/>
      <c r="I300" s="113"/>
      <c r="J300" s="113"/>
      <c r="L300" s="113"/>
      <c r="M300" s="113"/>
      <c r="N300" s="113"/>
      <c r="P300" s="113"/>
      <c r="Q300" s="113"/>
      <c r="R300" s="113"/>
      <c r="T300" s="113"/>
      <c r="U300" s="113"/>
      <c r="V300" s="113"/>
    </row>
    <row r="301" customFormat="false" ht="15" hidden="false" customHeight="true" outlineLevel="0" collapsed="false">
      <c r="H301" s="113"/>
      <c r="I301" s="113"/>
      <c r="J301" s="113"/>
      <c r="L301" s="113"/>
      <c r="M301" s="113"/>
      <c r="N301" s="113"/>
      <c r="P301" s="113"/>
      <c r="Q301" s="113"/>
      <c r="R301" s="113"/>
      <c r="T301" s="113"/>
      <c r="U301" s="113"/>
      <c r="V301" s="113"/>
    </row>
    <row r="302" customFormat="false" ht="15" hidden="false" customHeight="true" outlineLevel="0" collapsed="false">
      <c r="H302" s="113"/>
      <c r="I302" s="113"/>
      <c r="J302" s="113"/>
      <c r="L302" s="113"/>
      <c r="M302" s="113"/>
      <c r="N302" s="113"/>
      <c r="P302" s="113"/>
      <c r="Q302" s="113"/>
      <c r="R302" s="113"/>
      <c r="T302" s="113"/>
      <c r="U302" s="113"/>
      <c r="V302" s="113"/>
    </row>
    <row r="303" customFormat="false" ht="15" hidden="false" customHeight="true" outlineLevel="0" collapsed="false">
      <c r="H303" s="113"/>
      <c r="I303" s="113"/>
      <c r="J303" s="113"/>
      <c r="L303" s="113"/>
      <c r="M303" s="113"/>
      <c r="N303" s="113"/>
      <c r="P303" s="113"/>
      <c r="Q303" s="113"/>
      <c r="R303" s="113"/>
      <c r="T303" s="113"/>
      <c r="U303" s="113"/>
      <c r="V303" s="113"/>
    </row>
    <row r="304" customFormat="false" ht="15" hidden="false" customHeight="true" outlineLevel="0" collapsed="false">
      <c r="H304" s="113"/>
      <c r="I304" s="113"/>
      <c r="J304" s="113"/>
      <c r="L304" s="113"/>
      <c r="M304" s="113"/>
      <c r="N304" s="113"/>
      <c r="P304" s="113"/>
      <c r="Q304" s="113"/>
      <c r="R304" s="113"/>
      <c r="T304" s="113"/>
      <c r="U304" s="113"/>
      <c r="V304" s="113"/>
    </row>
    <row r="305" customFormat="false" ht="15" hidden="false" customHeight="true" outlineLevel="0" collapsed="false">
      <c r="H305" s="113"/>
      <c r="I305" s="113"/>
      <c r="J305" s="113"/>
      <c r="L305" s="113"/>
      <c r="M305" s="113"/>
      <c r="N305" s="113"/>
      <c r="P305" s="113"/>
      <c r="Q305" s="113"/>
      <c r="R305" s="113"/>
      <c r="T305" s="113"/>
      <c r="U305" s="113"/>
      <c r="V305" s="113"/>
    </row>
    <row r="306" customFormat="false" ht="15" hidden="false" customHeight="true" outlineLevel="0" collapsed="false">
      <c r="H306" s="113"/>
      <c r="I306" s="113"/>
      <c r="J306" s="113"/>
      <c r="L306" s="113"/>
      <c r="M306" s="113"/>
      <c r="N306" s="113"/>
      <c r="P306" s="113"/>
      <c r="Q306" s="113"/>
      <c r="R306" s="113"/>
      <c r="T306" s="113"/>
      <c r="U306" s="113"/>
      <c r="V306" s="113"/>
    </row>
    <row r="307" customFormat="false" ht="15" hidden="false" customHeight="true" outlineLevel="0" collapsed="false">
      <c r="H307" s="113"/>
      <c r="I307" s="113"/>
      <c r="J307" s="113"/>
      <c r="L307" s="113"/>
      <c r="M307" s="113"/>
      <c r="N307" s="113"/>
      <c r="P307" s="113"/>
      <c r="Q307" s="113"/>
      <c r="R307" s="113"/>
      <c r="T307" s="113"/>
      <c r="U307" s="113"/>
      <c r="V307" s="113"/>
    </row>
    <row r="308" customFormat="false" ht="15" hidden="false" customHeight="true" outlineLevel="0" collapsed="false">
      <c r="H308" s="113"/>
      <c r="I308" s="113"/>
      <c r="J308" s="113"/>
      <c r="L308" s="113"/>
      <c r="M308" s="113"/>
      <c r="N308" s="113"/>
      <c r="P308" s="113"/>
      <c r="Q308" s="113"/>
      <c r="R308" s="113"/>
      <c r="T308" s="113"/>
      <c r="U308" s="113"/>
      <c r="V308" s="113"/>
    </row>
    <row r="309" customFormat="false" ht="15" hidden="false" customHeight="true" outlineLevel="0" collapsed="false">
      <c r="H309" s="113"/>
      <c r="I309" s="113"/>
      <c r="J309" s="113"/>
      <c r="L309" s="113"/>
      <c r="M309" s="113"/>
      <c r="N309" s="113"/>
      <c r="P309" s="113"/>
      <c r="Q309" s="113"/>
      <c r="R309" s="113"/>
      <c r="T309" s="113"/>
      <c r="U309" s="113"/>
      <c r="V309" s="113"/>
    </row>
    <row r="310" customFormat="false" ht="15" hidden="false" customHeight="true" outlineLevel="0" collapsed="false">
      <c r="H310" s="113"/>
      <c r="I310" s="113"/>
      <c r="J310" s="113"/>
      <c r="L310" s="113"/>
      <c r="M310" s="113"/>
      <c r="N310" s="113"/>
      <c r="P310" s="113"/>
      <c r="Q310" s="113"/>
      <c r="R310" s="113"/>
      <c r="T310" s="113"/>
      <c r="U310" s="113"/>
      <c r="V310" s="113"/>
    </row>
    <row r="311" customFormat="false" ht="15" hidden="false" customHeight="true" outlineLevel="0" collapsed="false">
      <c r="H311" s="113"/>
      <c r="I311" s="113"/>
      <c r="J311" s="113"/>
      <c r="L311" s="113"/>
      <c r="M311" s="113"/>
      <c r="N311" s="113"/>
      <c r="P311" s="113"/>
      <c r="Q311" s="113"/>
      <c r="R311" s="113"/>
      <c r="T311" s="113"/>
      <c r="U311" s="113"/>
      <c r="V311" s="113"/>
    </row>
    <row r="312" customFormat="false" ht="15" hidden="false" customHeight="true" outlineLevel="0" collapsed="false">
      <c r="H312" s="113"/>
      <c r="I312" s="113"/>
      <c r="J312" s="113"/>
      <c r="L312" s="113"/>
      <c r="M312" s="113"/>
      <c r="N312" s="113"/>
      <c r="P312" s="113"/>
      <c r="Q312" s="113"/>
      <c r="R312" s="113"/>
      <c r="T312" s="113"/>
      <c r="U312" s="113"/>
      <c r="V312" s="113"/>
    </row>
    <row r="313" customFormat="false" ht="15" hidden="false" customHeight="true" outlineLevel="0" collapsed="false">
      <c r="H313" s="113"/>
      <c r="I313" s="113"/>
      <c r="J313" s="113"/>
      <c r="L313" s="113"/>
      <c r="M313" s="113"/>
      <c r="N313" s="113"/>
      <c r="P313" s="113"/>
      <c r="Q313" s="113"/>
      <c r="R313" s="113"/>
      <c r="T313" s="113"/>
      <c r="U313" s="113"/>
      <c r="V313" s="113"/>
    </row>
    <row r="314" customFormat="false" ht="15" hidden="false" customHeight="true" outlineLevel="0" collapsed="false">
      <c r="H314" s="113"/>
      <c r="I314" s="113"/>
      <c r="J314" s="113"/>
      <c r="L314" s="113"/>
      <c r="M314" s="113"/>
      <c r="N314" s="113"/>
      <c r="P314" s="113"/>
      <c r="Q314" s="113"/>
      <c r="R314" s="113"/>
      <c r="T314" s="113"/>
      <c r="U314" s="113"/>
      <c r="V314" s="113"/>
    </row>
    <row r="315" customFormat="false" ht="15" hidden="false" customHeight="true" outlineLevel="0" collapsed="false">
      <c r="H315" s="113"/>
      <c r="I315" s="113"/>
      <c r="J315" s="113"/>
      <c r="L315" s="113"/>
      <c r="M315" s="113"/>
      <c r="N315" s="113"/>
      <c r="P315" s="113"/>
      <c r="Q315" s="113"/>
      <c r="R315" s="113"/>
      <c r="T315" s="113"/>
      <c r="U315" s="113"/>
      <c r="V315" s="113"/>
    </row>
    <row r="316" customFormat="false" ht="15" hidden="false" customHeight="true" outlineLevel="0" collapsed="false">
      <c r="H316" s="113"/>
      <c r="I316" s="113"/>
      <c r="J316" s="113"/>
      <c r="L316" s="113"/>
      <c r="M316" s="113"/>
      <c r="N316" s="113"/>
      <c r="P316" s="113"/>
      <c r="Q316" s="113"/>
      <c r="R316" s="113"/>
      <c r="T316" s="113"/>
      <c r="U316" s="113"/>
      <c r="V316" s="113"/>
    </row>
    <row r="317" customFormat="false" ht="15" hidden="false" customHeight="true" outlineLevel="0" collapsed="false">
      <c r="H317" s="113"/>
      <c r="I317" s="113"/>
      <c r="J317" s="113"/>
      <c r="L317" s="113"/>
      <c r="M317" s="113"/>
      <c r="N317" s="113"/>
      <c r="P317" s="113"/>
      <c r="Q317" s="113"/>
      <c r="R317" s="113"/>
      <c r="T317" s="113"/>
      <c r="U317" s="113"/>
      <c r="V317" s="113"/>
    </row>
    <row r="318" customFormat="false" ht="15" hidden="false" customHeight="true" outlineLevel="0" collapsed="false">
      <c r="H318" s="113"/>
      <c r="I318" s="113"/>
      <c r="J318" s="113"/>
      <c r="L318" s="113"/>
      <c r="M318" s="113"/>
      <c r="N318" s="113"/>
      <c r="P318" s="113"/>
      <c r="Q318" s="113"/>
      <c r="R318" s="113"/>
      <c r="T318" s="113"/>
      <c r="U318" s="113"/>
      <c r="V318" s="113"/>
    </row>
    <row r="319" customFormat="false" ht="15" hidden="false" customHeight="true" outlineLevel="0" collapsed="false">
      <c r="H319" s="113"/>
      <c r="I319" s="113"/>
      <c r="J319" s="113"/>
      <c r="L319" s="113"/>
      <c r="M319" s="113"/>
      <c r="N319" s="113"/>
      <c r="P319" s="113"/>
      <c r="Q319" s="113"/>
      <c r="R319" s="113"/>
      <c r="T319" s="113"/>
      <c r="U319" s="113"/>
      <c r="V319" s="113"/>
    </row>
    <row r="320" customFormat="false" ht="15" hidden="false" customHeight="true" outlineLevel="0" collapsed="false">
      <c r="H320" s="113"/>
      <c r="I320" s="113"/>
      <c r="J320" s="113"/>
      <c r="L320" s="113"/>
      <c r="M320" s="113"/>
      <c r="N320" s="113"/>
      <c r="P320" s="113"/>
      <c r="Q320" s="113"/>
      <c r="R320" s="113"/>
      <c r="T320" s="113"/>
      <c r="U320" s="113"/>
      <c r="V320" s="113"/>
    </row>
    <row r="321" customFormat="false" ht="15" hidden="false" customHeight="true" outlineLevel="0" collapsed="false">
      <c r="H321" s="113"/>
      <c r="I321" s="113"/>
      <c r="J321" s="113"/>
      <c r="L321" s="113"/>
      <c r="M321" s="113"/>
      <c r="N321" s="113"/>
      <c r="P321" s="113"/>
      <c r="Q321" s="113"/>
      <c r="R321" s="113"/>
      <c r="T321" s="113"/>
      <c r="U321" s="113"/>
      <c r="V321" s="113"/>
    </row>
    <row r="322" customFormat="false" ht="15" hidden="false" customHeight="true" outlineLevel="0" collapsed="false">
      <c r="H322" s="113"/>
      <c r="I322" s="113"/>
      <c r="J322" s="113"/>
      <c r="L322" s="113"/>
      <c r="M322" s="113"/>
      <c r="N322" s="113"/>
      <c r="P322" s="113"/>
      <c r="Q322" s="113"/>
      <c r="R322" s="113"/>
      <c r="T322" s="113"/>
      <c r="U322" s="113"/>
      <c r="V322" s="113"/>
    </row>
    <row r="323" customFormat="false" ht="15" hidden="false" customHeight="true" outlineLevel="0" collapsed="false">
      <c r="H323" s="113"/>
      <c r="I323" s="113"/>
      <c r="J323" s="113"/>
      <c r="L323" s="113"/>
      <c r="M323" s="113"/>
      <c r="N323" s="113"/>
      <c r="P323" s="113"/>
      <c r="Q323" s="113"/>
      <c r="R323" s="113"/>
      <c r="T323" s="113"/>
      <c r="U323" s="113"/>
      <c r="V323" s="113"/>
    </row>
    <row r="324" customFormat="false" ht="15" hidden="false" customHeight="true" outlineLevel="0" collapsed="false">
      <c r="H324" s="113"/>
      <c r="I324" s="113"/>
      <c r="J324" s="113"/>
      <c r="L324" s="113"/>
      <c r="M324" s="113"/>
      <c r="N324" s="113"/>
      <c r="P324" s="113"/>
      <c r="Q324" s="113"/>
      <c r="R324" s="113"/>
      <c r="T324" s="113"/>
      <c r="U324" s="113"/>
      <c r="V324" s="113"/>
    </row>
    <row r="325" customFormat="false" ht="15" hidden="false" customHeight="true" outlineLevel="0" collapsed="false">
      <c r="H325" s="113"/>
      <c r="I325" s="113"/>
      <c r="J325" s="113"/>
      <c r="L325" s="113"/>
      <c r="M325" s="113"/>
      <c r="N325" s="113"/>
      <c r="P325" s="113"/>
      <c r="Q325" s="113"/>
      <c r="R325" s="113"/>
      <c r="T325" s="113"/>
      <c r="U325" s="113"/>
      <c r="V325" s="113"/>
    </row>
    <row r="326" customFormat="false" ht="15" hidden="false" customHeight="true" outlineLevel="0" collapsed="false">
      <c r="H326" s="113"/>
      <c r="I326" s="113"/>
      <c r="J326" s="113"/>
      <c r="L326" s="113"/>
      <c r="M326" s="113"/>
      <c r="N326" s="113"/>
      <c r="P326" s="113"/>
      <c r="Q326" s="113"/>
      <c r="R326" s="113"/>
      <c r="T326" s="113"/>
      <c r="U326" s="113"/>
      <c r="V326" s="113"/>
    </row>
    <row r="327" customFormat="false" ht="15" hidden="false" customHeight="true" outlineLevel="0" collapsed="false">
      <c r="H327" s="113"/>
      <c r="I327" s="113"/>
      <c r="J327" s="113"/>
      <c r="L327" s="113"/>
      <c r="M327" s="113"/>
      <c r="N327" s="113"/>
      <c r="P327" s="113"/>
      <c r="Q327" s="113"/>
      <c r="R327" s="113"/>
      <c r="T327" s="113"/>
      <c r="U327" s="113"/>
      <c r="V327" s="113"/>
    </row>
    <row r="328" customFormat="false" ht="15" hidden="false" customHeight="true" outlineLevel="0" collapsed="false">
      <c r="H328" s="113"/>
      <c r="I328" s="113"/>
      <c r="J328" s="113"/>
      <c r="L328" s="113"/>
      <c r="M328" s="113"/>
      <c r="N328" s="113"/>
      <c r="P328" s="113"/>
      <c r="Q328" s="113"/>
      <c r="R328" s="113"/>
      <c r="T328" s="113"/>
      <c r="U328" s="113"/>
      <c r="V328" s="113"/>
    </row>
    <row r="329" customFormat="false" ht="15" hidden="false" customHeight="true" outlineLevel="0" collapsed="false">
      <c r="H329" s="113"/>
      <c r="I329" s="113"/>
      <c r="J329" s="113"/>
      <c r="L329" s="113"/>
      <c r="M329" s="113"/>
      <c r="N329" s="113"/>
      <c r="P329" s="113"/>
      <c r="Q329" s="113"/>
      <c r="R329" s="113"/>
      <c r="T329" s="113"/>
      <c r="U329" s="113"/>
      <c r="V329" s="113"/>
    </row>
    <row r="330" customFormat="false" ht="15" hidden="false" customHeight="true" outlineLevel="0" collapsed="false">
      <c r="H330" s="113"/>
      <c r="I330" s="113"/>
      <c r="J330" s="113"/>
      <c r="L330" s="113"/>
      <c r="M330" s="113"/>
      <c r="N330" s="113"/>
      <c r="P330" s="113"/>
      <c r="Q330" s="113"/>
      <c r="R330" s="113"/>
      <c r="T330" s="113"/>
      <c r="U330" s="113"/>
      <c r="V330" s="113"/>
    </row>
    <row r="331" customFormat="false" ht="15" hidden="false" customHeight="true" outlineLevel="0" collapsed="false">
      <c r="H331" s="113"/>
      <c r="I331" s="113"/>
      <c r="J331" s="113"/>
      <c r="L331" s="113"/>
      <c r="M331" s="113"/>
      <c r="N331" s="113"/>
      <c r="P331" s="113"/>
      <c r="Q331" s="113"/>
      <c r="R331" s="113"/>
      <c r="T331" s="113"/>
      <c r="U331" s="113"/>
      <c r="V331" s="113"/>
    </row>
    <row r="332" customFormat="false" ht="15" hidden="false" customHeight="true" outlineLevel="0" collapsed="false">
      <c r="H332" s="113"/>
      <c r="I332" s="113"/>
      <c r="J332" s="113"/>
      <c r="L332" s="113"/>
      <c r="M332" s="113"/>
      <c r="N332" s="113"/>
      <c r="P332" s="113"/>
      <c r="Q332" s="113"/>
      <c r="R332" s="113"/>
      <c r="T332" s="113"/>
      <c r="U332" s="113"/>
      <c r="V332" s="113"/>
    </row>
    <row r="333" customFormat="false" ht="15" hidden="false" customHeight="true" outlineLevel="0" collapsed="false">
      <c r="H333" s="113"/>
      <c r="I333" s="113"/>
      <c r="J333" s="113"/>
      <c r="L333" s="113"/>
      <c r="M333" s="113"/>
      <c r="N333" s="113"/>
      <c r="P333" s="113"/>
      <c r="Q333" s="113"/>
      <c r="R333" s="113"/>
      <c r="T333" s="113"/>
      <c r="U333" s="113"/>
      <c r="V333" s="113"/>
    </row>
    <row r="334" customFormat="false" ht="15" hidden="false" customHeight="true" outlineLevel="0" collapsed="false">
      <c r="H334" s="113"/>
      <c r="I334" s="113"/>
      <c r="J334" s="113"/>
      <c r="L334" s="113"/>
      <c r="M334" s="113"/>
      <c r="N334" s="113"/>
      <c r="P334" s="113"/>
      <c r="Q334" s="113"/>
      <c r="R334" s="113"/>
      <c r="T334" s="113"/>
      <c r="U334" s="113"/>
      <c r="V334" s="113"/>
    </row>
    <row r="335" customFormat="false" ht="15" hidden="false" customHeight="true" outlineLevel="0" collapsed="false">
      <c r="H335" s="113"/>
      <c r="I335" s="113"/>
      <c r="J335" s="113"/>
      <c r="L335" s="113"/>
      <c r="M335" s="113"/>
      <c r="N335" s="113"/>
      <c r="P335" s="113"/>
      <c r="Q335" s="113"/>
      <c r="R335" s="113"/>
      <c r="T335" s="113"/>
      <c r="U335" s="113"/>
      <c r="V335" s="113"/>
    </row>
    <row r="336" customFormat="false" ht="15" hidden="false" customHeight="true" outlineLevel="0" collapsed="false">
      <c r="H336" s="113"/>
      <c r="I336" s="113"/>
      <c r="J336" s="113"/>
      <c r="L336" s="113"/>
      <c r="M336" s="113"/>
      <c r="N336" s="113"/>
      <c r="P336" s="113"/>
      <c r="Q336" s="113"/>
      <c r="R336" s="113"/>
      <c r="T336" s="113"/>
      <c r="U336" s="113"/>
      <c r="V336" s="113"/>
    </row>
    <row r="337" customFormat="false" ht="15" hidden="false" customHeight="true" outlineLevel="0" collapsed="false">
      <c r="H337" s="113"/>
      <c r="I337" s="113"/>
      <c r="J337" s="113"/>
      <c r="L337" s="113"/>
      <c r="M337" s="113"/>
      <c r="N337" s="113"/>
      <c r="P337" s="113"/>
      <c r="Q337" s="113"/>
      <c r="R337" s="113"/>
      <c r="T337" s="113"/>
      <c r="U337" s="113"/>
      <c r="V337" s="113"/>
    </row>
    <row r="338" customFormat="false" ht="15" hidden="false" customHeight="true" outlineLevel="0" collapsed="false">
      <c r="H338" s="113"/>
      <c r="I338" s="113"/>
      <c r="J338" s="113"/>
      <c r="L338" s="113"/>
      <c r="M338" s="113"/>
      <c r="N338" s="113"/>
      <c r="P338" s="113"/>
      <c r="Q338" s="113"/>
      <c r="R338" s="113"/>
      <c r="T338" s="113"/>
      <c r="U338" s="113"/>
      <c r="V338" s="113"/>
    </row>
    <row r="339" customFormat="false" ht="15" hidden="false" customHeight="true" outlineLevel="0" collapsed="false">
      <c r="H339" s="113"/>
      <c r="I339" s="113"/>
      <c r="J339" s="113"/>
      <c r="L339" s="113"/>
      <c r="M339" s="113"/>
      <c r="N339" s="113"/>
      <c r="P339" s="113"/>
      <c r="Q339" s="113"/>
      <c r="R339" s="113"/>
      <c r="T339" s="113"/>
      <c r="U339" s="113"/>
      <c r="V339" s="113"/>
    </row>
    <row r="340" customFormat="false" ht="15" hidden="false" customHeight="true" outlineLevel="0" collapsed="false">
      <c r="H340" s="113"/>
      <c r="I340" s="113"/>
      <c r="J340" s="113"/>
      <c r="L340" s="113"/>
      <c r="M340" s="113"/>
      <c r="N340" s="113"/>
      <c r="P340" s="113"/>
      <c r="Q340" s="113"/>
      <c r="R340" s="113"/>
      <c r="T340" s="113"/>
      <c r="U340" s="113"/>
      <c r="V340" s="113"/>
    </row>
    <row r="341" customFormat="false" ht="15" hidden="false" customHeight="true" outlineLevel="0" collapsed="false">
      <c r="H341" s="113"/>
      <c r="I341" s="113"/>
      <c r="J341" s="113"/>
      <c r="L341" s="113"/>
      <c r="M341" s="113"/>
      <c r="N341" s="113"/>
      <c r="P341" s="113"/>
      <c r="Q341" s="113"/>
      <c r="R341" s="113"/>
      <c r="T341" s="113"/>
      <c r="U341" s="113"/>
      <c r="V341" s="113"/>
    </row>
    <row r="342" customFormat="false" ht="15" hidden="false" customHeight="true" outlineLevel="0" collapsed="false">
      <c r="H342" s="113"/>
      <c r="I342" s="113"/>
      <c r="J342" s="113"/>
      <c r="L342" s="113"/>
      <c r="M342" s="113"/>
      <c r="N342" s="113"/>
      <c r="P342" s="113"/>
      <c r="Q342" s="113"/>
      <c r="R342" s="113"/>
      <c r="T342" s="113"/>
      <c r="U342" s="113"/>
      <c r="V342" s="113"/>
    </row>
    <row r="343" customFormat="false" ht="15" hidden="false" customHeight="true" outlineLevel="0" collapsed="false">
      <c r="H343" s="113"/>
      <c r="I343" s="113"/>
      <c r="J343" s="113"/>
      <c r="L343" s="113"/>
      <c r="M343" s="113"/>
      <c r="N343" s="113"/>
      <c r="P343" s="113"/>
      <c r="Q343" s="113"/>
      <c r="R343" s="113"/>
      <c r="T343" s="113"/>
      <c r="U343" s="113"/>
      <c r="V343" s="113"/>
    </row>
    <row r="344" customFormat="false" ht="15" hidden="false" customHeight="true" outlineLevel="0" collapsed="false">
      <c r="H344" s="113"/>
      <c r="I344" s="113"/>
      <c r="J344" s="113"/>
      <c r="L344" s="113"/>
      <c r="M344" s="113"/>
      <c r="N344" s="113"/>
      <c r="P344" s="113"/>
      <c r="Q344" s="113"/>
      <c r="R344" s="113"/>
      <c r="T344" s="113"/>
      <c r="U344" s="113"/>
      <c r="V344" s="113"/>
    </row>
    <row r="345" customFormat="false" ht="15" hidden="false" customHeight="true" outlineLevel="0" collapsed="false">
      <c r="H345" s="113"/>
      <c r="I345" s="113"/>
      <c r="J345" s="113"/>
      <c r="L345" s="113"/>
      <c r="M345" s="113"/>
      <c r="N345" s="113"/>
      <c r="P345" s="113"/>
      <c r="Q345" s="113"/>
      <c r="R345" s="113"/>
      <c r="T345" s="113"/>
      <c r="U345" s="113"/>
      <c r="V345" s="113"/>
    </row>
    <row r="346" customFormat="false" ht="15" hidden="false" customHeight="true" outlineLevel="0" collapsed="false">
      <c r="H346" s="113"/>
      <c r="I346" s="113"/>
      <c r="J346" s="113"/>
      <c r="L346" s="113"/>
      <c r="M346" s="113"/>
      <c r="N346" s="113"/>
      <c r="P346" s="113"/>
      <c r="Q346" s="113"/>
      <c r="R346" s="113"/>
      <c r="T346" s="113"/>
      <c r="U346" s="113"/>
      <c r="V346" s="113"/>
    </row>
    <row r="347" customFormat="false" ht="15" hidden="false" customHeight="true" outlineLevel="0" collapsed="false">
      <c r="H347" s="113"/>
      <c r="I347" s="113"/>
      <c r="J347" s="113"/>
      <c r="L347" s="113"/>
      <c r="M347" s="113"/>
      <c r="N347" s="113"/>
      <c r="P347" s="113"/>
      <c r="Q347" s="113"/>
      <c r="R347" s="113"/>
      <c r="T347" s="113"/>
      <c r="U347" s="113"/>
      <c r="V347" s="113"/>
    </row>
    <row r="348" customFormat="false" ht="15" hidden="false" customHeight="true" outlineLevel="0" collapsed="false">
      <c r="H348" s="113"/>
      <c r="I348" s="113"/>
      <c r="J348" s="113"/>
      <c r="L348" s="113"/>
      <c r="M348" s="113"/>
      <c r="N348" s="113"/>
      <c r="P348" s="113"/>
      <c r="Q348" s="113"/>
      <c r="R348" s="113"/>
      <c r="T348" s="113"/>
      <c r="U348" s="113"/>
      <c r="V348" s="113"/>
    </row>
    <row r="349" customFormat="false" ht="15" hidden="false" customHeight="true" outlineLevel="0" collapsed="false">
      <c r="H349" s="113"/>
      <c r="I349" s="113"/>
      <c r="J349" s="113"/>
      <c r="L349" s="113"/>
      <c r="M349" s="113"/>
      <c r="N349" s="113"/>
      <c r="P349" s="113"/>
      <c r="Q349" s="113"/>
      <c r="R349" s="113"/>
      <c r="T349" s="113"/>
      <c r="U349" s="113"/>
      <c r="V349" s="113"/>
    </row>
    <row r="350" customFormat="false" ht="15" hidden="false" customHeight="true" outlineLevel="0" collapsed="false">
      <c r="H350" s="113"/>
      <c r="I350" s="113"/>
      <c r="J350" s="113"/>
      <c r="L350" s="113"/>
      <c r="M350" s="113"/>
      <c r="N350" s="113"/>
      <c r="P350" s="113"/>
      <c r="Q350" s="113"/>
      <c r="R350" s="113"/>
      <c r="T350" s="113"/>
      <c r="U350" s="113"/>
      <c r="V350" s="113"/>
    </row>
    <row r="351" customFormat="false" ht="15" hidden="false" customHeight="true" outlineLevel="0" collapsed="false">
      <c r="H351" s="113"/>
      <c r="I351" s="113"/>
      <c r="J351" s="113"/>
      <c r="L351" s="113"/>
      <c r="M351" s="113"/>
      <c r="N351" s="113"/>
      <c r="P351" s="113"/>
      <c r="Q351" s="113"/>
      <c r="R351" s="113"/>
      <c r="T351" s="113"/>
      <c r="U351" s="113"/>
      <c r="V351" s="113"/>
    </row>
    <row r="352" customFormat="false" ht="15" hidden="false" customHeight="true" outlineLevel="0" collapsed="false">
      <c r="H352" s="113"/>
      <c r="I352" s="113"/>
      <c r="J352" s="113"/>
      <c r="L352" s="113"/>
      <c r="M352" s="113"/>
      <c r="N352" s="113"/>
      <c r="P352" s="113"/>
      <c r="Q352" s="113"/>
      <c r="R352" s="113"/>
      <c r="T352" s="113"/>
      <c r="U352" s="113"/>
      <c r="V352" s="113"/>
    </row>
    <row r="353" customFormat="false" ht="15" hidden="false" customHeight="true" outlineLevel="0" collapsed="false">
      <c r="H353" s="113"/>
      <c r="I353" s="113"/>
      <c r="J353" s="113"/>
      <c r="L353" s="113"/>
      <c r="M353" s="113"/>
      <c r="N353" s="113"/>
      <c r="P353" s="113"/>
      <c r="Q353" s="113"/>
      <c r="R353" s="113"/>
      <c r="T353" s="113"/>
      <c r="U353" s="113"/>
      <c r="V353" s="113"/>
    </row>
    <row r="354" customFormat="false" ht="15" hidden="false" customHeight="true" outlineLevel="0" collapsed="false">
      <c r="H354" s="113"/>
      <c r="I354" s="113"/>
      <c r="J354" s="113"/>
      <c r="L354" s="113"/>
      <c r="M354" s="113"/>
      <c r="N354" s="113"/>
      <c r="P354" s="113"/>
      <c r="Q354" s="113"/>
      <c r="R354" s="113"/>
      <c r="T354" s="113"/>
      <c r="U354" s="113"/>
      <c r="V354" s="113"/>
    </row>
    <row r="355" customFormat="false" ht="15" hidden="false" customHeight="true" outlineLevel="0" collapsed="false">
      <c r="H355" s="113"/>
      <c r="I355" s="113"/>
      <c r="J355" s="113"/>
      <c r="L355" s="113"/>
      <c r="M355" s="113"/>
      <c r="N355" s="113"/>
      <c r="P355" s="113"/>
      <c r="Q355" s="113"/>
      <c r="R355" s="113"/>
      <c r="T355" s="113"/>
      <c r="U355" s="113"/>
      <c r="V355" s="113"/>
    </row>
    <row r="356" customFormat="false" ht="15" hidden="false" customHeight="true" outlineLevel="0" collapsed="false">
      <c r="H356" s="113"/>
      <c r="I356" s="113"/>
      <c r="J356" s="113"/>
      <c r="L356" s="113"/>
      <c r="M356" s="113"/>
      <c r="N356" s="113"/>
      <c r="P356" s="113"/>
      <c r="Q356" s="113"/>
      <c r="R356" s="113"/>
      <c r="T356" s="113"/>
      <c r="U356" s="113"/>
      <c r="V356" s="113"/>
    </row>
    <row r="357" customFormat="false" ht="15" hidden="false" customHeight="true" outlineLevel="0" collapsed="false">
      <c r="H357" s="113"/>
      <c r="I357" s="113"/>
      <c r="J357" s="113"/>
      <c r="L357" s="113"/>
      <c r="M357" s="113"/>
      <c r="N357" s="113"/>
      <c r="P357" s="113"/>
      <c r="Q357" s="113"/>
      <c r="R357" s="113"/>
      <c r="T357" s="113"/>
      <c r="U357" s="113"/>
      <c r="V357" s="113"/>
    </row>
    <row r="358" customFormat="false" ht="15" hidden="false" customHeight="true" outlineLevel="0" collapsed="false">
      <c r="H358" s="113"/>
      <c r="I358" s="113"/>
      <c r="J358" s="113"/>
      <c r="L358" s="113"/>
      <c r="M358" s="113"/>
      <c r="N358" s="113"/>
      <c r="P358" s="113"/>
      <c r="Q358" s="113"/>
      <c r="R358" s="113"/>
      <c r="T358" s="113"/>
      <c r="U358" s="113"/>
      <c r="V358" s="113"/>
    </row>
    <row r="359" customFormat="false" ht="15" hidden="false" customHeight="true" outlineLevel="0" collapsed="false">
      <c r="H359" s="113"/>
      <c r="I359" s="113"/>
      <c r="J359" s="113"/>
      <c r="L359" s="113"/>
      <c r="M359" s="113"/>
      <c r="N359" s="113"/>
      <c r="P359" s="113"/>
      <c r="Q359" s="113"/>
      <c r="R359" s="113"/>
      <c r="T359" s="113"/>
      <c r="U359" s="113"/>
      <c r="V359" s="113"/>
    </row>
    <row r="360" customFormat="false" ht="15" hidden="false" customHeight="true" outlineLevel="0" collapsed="false">
      <c r="H360" s="113"/>
      <c r="I360" s="113"/>
      <c r="J360" s="113"/>
      <c r="L360" s="113"/>
      <c r="M360" s="113"/>
      <c r="N360" s="113"/>
      <c r="P360" s="113"/>
      <c r="Q360" s="113"/>
      <c r="R360" s="113"/>
      <c r="T360" s="113"/>
      <c r="U360" s="113"/>
      <c r="V360" s="113"/>
    </row>
    <row r="361" customFormat="false" ht="15" hidden="false" customHeight="true" outlineLevel="0" collapsed="false">
      <c r="H361" s="113"/>
      <c r="I361" s="113"/>
      <c r="J361" s="113"/>
      <c r="L361" s="113"/>
      <c r="M361" s="113"/>
      <c r="N361" s="113"/>
      <c r="P361" s="113"/>
      <c r="Q361" s="113"/>
      <c r="R361" s="113"/>
      <c r="T361" s="113"/>
      <c r="U361" s="113"/>
      <c r="V361" s="113"/>
    </row>
    <row r="362" customFormat="false" ht="15" hidden="false" customHeight="true" outlineLevel="0" collapsed="false">
      <c r="H362" s="113"/>
      <c r="I362" s="113"/>
      <c r="J362" s="113"/>
      <c r="L362" s="113"/>
      <c r="M362" s="113"/>
      <c r="N362" s="113"/>
      <c r="P362" s="113"/>
      <c r="Q362" s="113"/>
      <c r="R362" s="113"/>
      <c r="T362" s="113"/>
      <c r="U362" s="113"/>
      <c r="V362" s="113"/>
    </row>
    <row r="363" customFormat="false" ht="15" hidden="false" customHeight="true" outlineLevel="0" collapsed="false">
      <c r="H363" s="113"/>
      <c r="I363" s="113"/>
      <c r="J363" s="113"/>
      <c r="L363" s="113"/>
      <c r="M363" s="113"/>
      <c r="N363" s="113"/>
      <c r="P363" s="113"/>
      <c r="Q363" s="113"/>
      <c r="R363" s="113"/>
      <c r="T363" s="113"/>
      <c r="U363" s="113"/>
      <c r="V363" s="113"/>
    </row>
    <row r="364" customFormat="false" ht="15" hidden="false" customHeight="true" outlineLevel="0" collapsed="false">
      <c r="H364" s="113"/>
      <c r="I364" s="113"/>
      <c r="J364" s="113"/>
      <c r="L364" s="113"/>
      <c r="M364" s="113"/>
      <c r="N364" s="113"/>
      <c r="P364" s="113"/>
      <c r="Q364" s="113"/>
      <c r="R364" s="113"/>
      <c r="T364" s="113"/>
      <c r="U364" s="113"/>
      <c r="V364" s="113"/>
    </row>
    <row r="365" customFormat="false" ht="15" hidden="false" customHeight="true" outlineLevel="0" collapsed="false">
      <c r="H365" s="113"/>
      <c r="I365" s="113"/>
      <c r="J365" s="113"/>
      <c r="L365" s="113"/>
      <c r="M365" s="113"/>
      <c r="N365" s="113"/>
      <c r="P365" s="113"/>
      <c r="Q365" s="113"/>
      <c r="R365" s="113"/>
      <c r="T365" s="113"/>
      <c r="U365" s="113"/>
      <c r="V365" s="113"/>
    </row>
    <row r="366" customFormat="false" ht="15" hidden="false" customHeight="true" outlineLevel="0" collapsed="false">
      <c r="H366" s="113"/>
      <c r="I366" s="113"/>
      <c r="J366" s="113"/>
      <c r="L366" s="113"/>
      <c r="M366" s="113"/>
      <c r="N366" s="113"/>
      <c r="P366" s="113"/>
      <c r="Q366" s="113"/>
      <c r="R366" s="113"/>
      <c r="T366" s="113"/>
      <c r="U366" s="113"/>
      <c r="V366" s="113"/>
    </row>
    <row r="367" customFormat="false" ht="15" hidden="false" customHeight="true" outlineLevel="0" collapsed="false">
      <c r="H367" s="113"/>
      <c r="I367" s="113"/>
      <c r="J367" s="113"/>
      <c r="L367" s="113"/>
      <c r="M367" s="113"/>
      <c r="N367" s="113"/>
      <c r="P367" s="113"/>
      <c r="Q367" s="113"/>
      <c r="R367" s="113"/>
      <c r="T367" s="113"/>
      <c r="U367" s="113"/>
      <c r="V367" s="113"/>
    </row>
    <row r="368" customFormat="false" ht="15" hidden="false" customHeight="true" outlineLevel="0" collapsed="false">
      <c r="H368" s="113"/>
      <c r="I368" s="113"/>
      <c r="J368" s="113"/>
      <c r="L368" s="113"/>
      <c r="M368" s="113"/>
      <c r="N368" s="113"/>
      <c r="P368" s="113"/>
      <c r="Q368" s="113"/>
      <c r="R368" s="113"/>
      <c r="T368" s="113"/>
      <c r="U368" s="113"/>
      <c r="V368" s="113"/>
    </row>
    <row r="369" customFormat="false" ht="15" hidden="false" customHeight="true" outlineLevel="0" collapsed="false">
      <c r="H369" s="113"/>
      <c r="I369" s="113"/>
      <c r="J369" s="113"/>
      <c r="L369" s="113"/>
      <c r="M369" s="113"/>
      <c r="N369" s="113"/>
      <c r="P369" s="113"/>
      <c r="Q369" s="113"/>
      <c r="R369" s="113"/>
      <c r="T369" s="113"/>
      <c r="U369" s="113"/>
      <c r="V369" s="113"/>
    </row>
    <row r="370" customFormat="false" ht="15" hidden="false" customHeight="true" outlineLevel="0" collapsed="false">
      <c r="H370" s="113"/>
      <c r="I370" s="113"/>
      <c r="J370" s="113"/>
      <c r="L370" s="113"/>
      <c r="M370" s="113"/>
      <c r="N370" s="113"/>
      <c r="P370" s="113"/>
      <c r="Q370" s="113"/>
      <c r="R370" s="113"/>
      <c r="T370" s="113"/>
      <c r="U370" s="113"/>
      <c r="V370" s="113"/>
    </row>
    <row r="371" customFormat="false" ht="15" hidden="false" customHeight="true" outlineLevel="0" collapsed="false">
      <c r="H371" s="113"/>
      <c r="I371" s="113"/>
      <c r="J371" s="113"/>
      <c r="L371" s="113"/>
      <c r="M371" s="113"/>
      <c r="N371" s="113"/>
      <c r="P371" s="113"/>
      <c r="Q371" s="113"/>
      <c r="R371" s="113"/>
      <c r="T371" s="113"/>
      <c r="U371" s="113"/>
      <c r="V371" s="113"/>
    </row>
    <row r="372" customFormat="false" ht="15" hidden="false" customHeight="true" outlineLevel="0" collapsed="false">
      <c r="H372" s="113"/>
      <c r="I372" s="113"/>
      <c r="J372" s="113"/>
      <c r="L372" s="113"/>
      <c r="M372" s="113"/>
      <c r="N372" s="113"/>
      <c r="P372" s="113"/>
      <c r="Q372" s="113"/>
      <c r="R372" s="113"/>
      <c r="T372" s="113"/>
      <c r="U372" s="113"/>
      <c r="V372" s="113"/>
    </row>
    <row r="373" customFormat="false" ht="15" hidden="false" customHeight="true" outlineLevel="0" collapsed="false">
      <c r="H373" s="113"/>
      <c r="I373" s="113"/>
      <c r="J373" s="113"/>
      <c r="L373" s="113"/>
      <c r="M373" s="113"/>
      <c r="N373" s="113"/>
      <c r="P373" s="113"/>
      <c r="Q373" s="113"/>
      <c r="R373" s="113"/>
      <c r="T373" s="113"/>
      <c r="U373" s="113"/>
      <c r="V373" s="113"/>
    </row>
    <row r="374" customFormat="false" ht="15" hidden="false" customHeight="true" outlineLevel="0" collapsed="false">
      <c r="H374" s="113"/>
      <c r="I374" s="113"/>
      <c r="J374" s="113"/>
      <c r="L374" s="113"/>
      <c r="M374" s="113"/>
      <c r="N374" s="113"/>
      <c r="P374" s="113"/>
      <c r="Q374" s="113"/>
      <c r="R374" s="113"/>
      <c r="T374" s="113"/>
      <c r="U374" s="113"/>
      <c r="V374" s="113"/>
    </row>
    <row r="375" customFormat="false" ht="15" hidden="false" customHeight="true" outlineLevel="0" collapsed="false">
      <c r="H375" s="113"/>
      <c r="I375" s="113"/>
      <c r="J375" s="113"/>
      <c r="L375" s="113"/>
      <c r="M375" s="113"/>
      <c r="N375" s="113"/>
      <c r="P375" s="113"/>
      <c r="Q375" s="113"/>
      <c r="R375" s="113"/>
      <c r="T375" s="113"/>
      <c r="U375" s="113"/>
      <c r="V375" s="113"/>
    </row>
    <row r="376" customFormat="false" ht="15" hidden="false" customHeight="true" outlineLevel="0" collapsed="false">
      <c r="H376" s="113"/>
      <c r="I376" s="113"/>
      <c r="J376" s="113"/>
      <c r="L376" s="113"/>
      <c r="M376" s="113"/>
      <c r="N376" s="113"/>
      <c r="P376" s="113"/>
      <c r="Q376" s="113"/>
      <c r="R376" s="113"/>
      <c r="T376" s="113"/>
      <c r="U376" s="113"/>
      <c r="V376" s="113"/>
    </row>
    <row r="377" customFormat="false" ht="15" hidden="false" customHeight="true" outlineLevel="0" collapsed="false">
      <c r="H377" s="113"/>
      <c r="I377" s="113"/>
      <c r="J377" s="113"/>
      <c r="L377" s="113"/>
      <c r="M377" s="113"/>
      <c r="N377" s="113"/>
      <c r="P377" s="113"/>
      <c r="Q377" s="113"/>
      <c r="R377" s="113"/>
      <c r="T377" s="113"/>
      <c r="U377" s="113"/>
      <c r="V377" s="113"/>
    </row>
    <row r="378" customFormat="false" ht="15" hidden="false" customHeight="true" outlineLevel="0" collapsed="false">
      <c r="H378" s="113"/>
      <c r="I378" s="113"/>
      <c r="J378" s="113"/>
      <c r="L378" s="113"/>
      <c r="M378" s="113"/>
      <c r="N378" s="113"/>
      <c r="P378" s="113"/>
      <c r="Q378" s="113"/>
      <c r="R378" s="113"/>
      <c r="T378" s="113"/>
      <c r="U378" s="113"/>
      <c r="V378" s="113"/>
    </row>
    <row r="379" customFormat="false" ht="15" hidden="false" customHeight="true" outlineLevel="0" collapsed="false">
      <c r="H379" s="113"/>
      <c r="I379" s="113"/>
      <c r="J379" s="113"/>
      <c r="L379" s="113"/>
      <c r="M379" s="113"/>
      <c r="N379" s="113"/>
      <c r="P379" s="113"/>
      <c r="Q379" s="113"/>
      <c r="R379" s="113"/>
      <c r="T379" s="113"/>
      <c r="U379" s="113"/>
      <c r="V379" s="113"/>
    </row>
    <row r="380" customFormat="false" ht="15" hidden="false" customHeight="true" outlineLevel="0" collapsed="false">
      <c r="H380" s="113"/>
      <c r="I380" s="113"/>
      <c r="J380" s="113"/>
      <c r="L380" s="113"/>
      <c r="M380" s="113"/>
      <c r="N380" s="113"/>
      <c r="P380" s="113"/>
      <c r="Q380" s="113"/>
      <c r="R380" s="113"/>
      <c r="T380" s="113"/>
      <c r="U380" s="113"/>
      <c r="V380" s="113"/>
    </row>
    <row r="381" customFormat="false" ht="15" hidden="false" customHeight="true" outlineLevel="0" collapsed="false">
      <c r="H381" s="113"/>
      <c r="I381" s="113"/>
      <c r="J381" s="113"/>
      <c r="L381" s="113"/>
      <c r="M381" s="113"/>
      <c r="N381" s="113"/>
      <c r="P381" s="113"/>
      <c r="Q381" s="113"/>
      <c r="R381" s="113"/>
      <c r="T381" s="113"/>
      <c r="U381" s="113"/>
      <c r="V381" s="113"/>
    </row>
    <row r="382" customFormat="false" ht="15" hidden="false" customHeight="true" outlineLevel="0" collapsed="false">
      <c r="H382" s="113"/>
      <c r="I382" s="113"/>
      <c r="J382" s="113"/>
      <c r="L382" s="113"/>
      <c r="M382" s="113"/>
      <c r="N382" s="113"/>
      <c r="P382" s="113"/>
      <c r="Q382" s="113"/>
      <c r="R382" s="113"/>
      <c r="T382" s="113"/>
      <c r="U382" s="113"/>
      <c r="V382" s="113"/>
    </row>
    <row r="383" customFormat="false" ht="15" hidden="false" customHeight="true" outlineLevel="0" collapsed="false">
      <c r="H383" s="113"/>
      <c r="I383" s="113"/>
      <c r="J383" s="113"/>
      <c r="L383" s="113"/>
      <c r="M383" s="113"/>
      <c r="N383" s="113"/>
      <c r="P383" s="113"/>
      <c r="Q383" s="113"/>
      <c r="R383" s="113"/>
      <c r="T383" s="113"/>
      <c r="U383" s="113"/>
      <c r="V383" s="113"/>
    </row>
    <row r="384" customFormat="false" ht="15" hidden="false" customHeight="true" outlineLevel="0" collapsed="false">
      <c r="H384" s="113"/>
      <c r="I384" s="113"/>
      <c r="J384" s="113"/>
      <c r="L384" s="113"/>
      <c r="M384" s="113"/>
      <c r="N384" s="113"/>
      <c r="P384" s="113"/>
      <c r="Q384" s="113"/>
      <c r="R384" s="113"/>
      <c r="T384" s="113"/>
      <c r="U384" s="113"/>
      <c r="V384" s="113"/>
    </row>
    <row r="385" customFormat="false" ht="15" hidden="false" customHeight="true" outlineLevel="0" collapsed="false">
      <c r="H385" s="113"/>
      <c r="I385" s="113"/>
      <c r="J385" s="113"/>
      <c r="L385" s="113"/>
      <c r="M385" s="113"/>
      <c r="N385" s="113"/>
      <c r="P385" s="113"/>
      <c r="Q385" s="113"/>
      <c r="R385" s="113"/>
      <c r="T385" s="113"/>
      <c r="U385" s="113"/>
      <c r="V385" s="113"/>
    </row>
    <row r="386" customFormat="false" ht="15" hidden="false" customHeight="true" outlineLevel="0" collapsed="false">
      <c r="H386" s="113"/>
      <c r="I386" s="113"/>
      <c r="J386" s="113"/>
      <c r="L386" s="113"/>
      <c r="M386" s="113"/>
      <c r="N386" s="113"/>
      <c r="P386" s="113"/>
      <c r="Q386" s="113"/>
      <c r="R386" s="113"/>
      <c r="T386" s="113"/>
      <c r="U386" s="113"/>
      <c r="V386" s="113"/>
    </row>
    <row r="387" customFormat="false" ht="15" hidden="false" customHeight="true" outlineLevel="0" collapsed="false">
      <c r="H387" s="113"/>
      <c r="I387" s="113"/>
      <c r="J387" s="113"/>
      <c r="L387" s="113"/>
      <c r="M387" s="113"/>
      <c r="N387" s="113"/>
      <c r="P387" s="113"/>
      <c r="Q387" s="113"/>
      <c r="R387" s="113"/>
      <c r="T387" s="113"/>
      <c r="U387" s="113"/>
      <c r="V387" s="113"/>
    </row>
    <row r="388" customFormat="false" ht="15" hidden="false" customHeight="true" outlineLevel="0" collapsed="false">
      <c r="H388" s="113"/>
      <c r="I388" s="113"/>
      <c r="J388" s="113"/>
      <c r="L388" s="113"/>
      <c r="M388" s="113"/>
      <c r="N388" s="113"/>
      <c r="P388" s="113"/>
      <c r="Q388" s="113"/>
      <c r="R388" s="113"/>
      <c r="T388" s="113"/>
      <c r="U388" s="113"/>
      <c r="V388" s="113"/>
    </row>
    <row r="389" customFormat="false" ht="15" hidden="false" customHeight="true" outlineLevel="0" collapsed="false">
      <c r="H389" s="113"/>
      <c r="I389" s="113"/>
      <c r="J389" s="113"/>
      <c r="L389" s="113"/>
      <c r="M389" s="113"/>
      <c r="N389" s="113"/>
      <c r="P389" s="113"/>
      <c r="Q389" s="113"/>
      <c r="R389" s="113"/>
      <c r="T389" s="113"/>
      <c r="U389" s="113"/>
      <c r="V389" s="113"/>
    </row>
    <row r="390" customFormat="false" ht="15" hidden="false" customHeight="true" outlineLevel="0" collapsed="false">
      <c r="H390" s="113"/>
      <c r="I390" s="113"/>
      <c r="J390" s="113"/>
      <c r="L390" s="113"/>
      <c r="M390" s="113"/>
      <c r="N390" s="113"/>
      <c r="P390" s="113"/>
      <c r="Q390" s="113"/>
      <c r="R390" s="113"/>
      <c r="T390" s="113"/>
      <c r="U390" s="113"/>
      <c r="V390" s="113"/>
    </row>
    <row r="391" customFormat="false" ht="15" hidden="false" customHeight="true" outlineLevel="0" collapsed="false">
      <c r="H391" s="113"/>
      <c r="I391" s="113"/>
      <c r="J391" s="113"/>
      <c r="L391" s="113"/>
      <c r="M391" s="113"/>
      <c r="N391" s="113"/>
      <c r="P391" s="113"/>
      <c r="Q391" s="113"/>
      <c r="R391" s="113"/>
      <c r="T391" s="113"/>
      <c r="U391" s="113"/>
      <c r="V391" s="113"/>
    </row>
    <row r="392" customFormat="false" ht="15" hidden="false" customHeight="true" outlineLevel="0" collapsed="false">
      <c r="H392" s="113"/>
      <c r="I392" s="113"/>
      <c r="J392" s="113"/>
      <c r="L392" s="113"/>
      <c r="M392" s="113"/>
      <c r="N392" s="113"/>
      <c r="P392" s="113"/>
      <c r="Q392" s="113"/>
      <c r="R392" s="113"/>
      <c r="T392" s="113"/>
      <c r="U392" s="113"/>
      <c r="V392" s="113"/>
    </row>
    <row r="393" customFormat="false" ht="15" hidden="false" customHeight="true" outlineLevel="0" collapsed="false">
      <c r="H393" s="113"/>
      <c r="I393" s="113"/>
      <c r="J393" s="113"/>
      <c r="L393" s="113"/>
      <c r="M393" s="113"/>
      <c r="N393" s="113"/>
      <c r="P393" s="113"/>
      <c r="Q393" s="113"/>
      <c r="R393" s="113"/>
      <c r="T393" s="113"/>
      <c r="U393" s="113"/>
      <c r="V393" s="113"/>
    </row>
    <row r="394" customFormat="false" ht="15" hidden="false" customHeight="true" outlineLevel="0" collapsed="false">
      <c r="H394" s="113"/>
      <c r="I394" s="113"/>
      <c r="J394" s="113"/>
      <c r="L394" s="113"/>
      <c r="M394" s="113"/>
      <c r="N394" s="113"/>
      <c r="P394" s="113"/>
      <c r="Q394" s="113"/>
      <c r="R394" s="113"/>
      <c r="T394" s="113"/>
      <c r="U394" s="113"/>
      <c r="V394" s="113"/>
    </row>
    <row r="395" customFormat="false" ht="15" hidden="false" customHeight="true" outlineLevel="0" collapsed="false">
      <c r="H395" s="113"/>
      <c r="I395" s="113"/>
      <c r="J395" s="113"/>
      <c r="L395" s="113"/>
      <c r="M395" s="113"/>
      <c r="N395" s="113"/>
      <c r="P395" s="113"/>
      <c r="Q395" s="113"/>
      <c r="R395" s="113"/>
      <c r="T395" s="113"/>
      <c r="U395" s="113"/>
      <c r="V395" s="113"/>
    </row>
    <row r="396" customFormat="false" ht="15" hidden="false" customHeight="true" outlineLevel="0" collapsed="false">
      <c r="H396" s="113"/>
      <c r="I396" s="113"/>
      <c r="J396" s="113"/>
      <c r="L396" s="113"/>
      <c r="M396" s="113"/>
      <c r="N396" s="113"/>
      <c r="P396" s="113"/>
      <c r="Q396" s="113"/>
      <c r="R396" s="113"/>
      <c r="T396" s="113"/>
      <c r="U396" s="113"/>
      <c r="V396" s="113"/>
    </row>
    <row r="397" customFormat="false" ht="15" hidden="false" customHeight="true" outlineLevel="0" collapsed="false">
      <c r="H397" s="113"/>
      <c r="I397" s="113"/>
      <c r="J397" s="113"/>
      <c r="L397" s="113"/>
      <c r="M397" s="113"/>
      <c r="N397" s="113"/>
      <c r="P397" s="113"/>
      <c r="Q397" s="113"/>
      <c r="R397" s="113"/>
      <c r="T397" s="113"/>
      <c r="U397" s="113"/>
      <c r="V397" s="113"/>
    </row>
    <row r="398" customFormat="false" ht="15" hidden="false" customHeight="true" outlineLevel="0" collapsed="false">
      <c r="H398" s="113"/>
      <c r="I398" s="113"/>
      <c r="J398" s="113"/>
      <c r="L398" s="113"/>
      <c r="M398" s="113"/>
      <c r="N398" s="113"/>
      <c r="P398" s="113"/>
      <c r="Q398" s="113"/>
      <c r="R398" s="113"/>
      <c r="T398" s="113"/>
      <c r="U398" s="113"/>
      <c r="V398" s="113"/>
    </row>
    <row r="399" customFormat="false" ht="15" hidden="false" customHeight="true" outlineLevel="0" collapsed="false">
      <c r="H399" s="113"/>
      <c r="I399" s="113"/>
      <c r="J399" s="113"/>
      <c r="L399" s="113"/>
      <c r="M399" s="113"/>
      <c r="N399" s="113"/>
      <c r="P399" s="113"/>
      <c r="Q399" s="113"/>
      <c r="R399" s="113"/>
      <c r="T399" s="113"/>
      <c r="U399" s="113"/>
      <c r="V399" s="113"/>
    </row>
    <row r="400" customFormat="false" ht="15" hidden="false" customHeight="true" outlineLevel="0" collapsed="false">
      <c r="H400" s="113"/>
      <c r="I400" s="113"/>
      <c r="J400" s="113"/>
      <c r="L400" s="113"/>
      <c r="M400" s="113"/>
      <c r="N400" s="113"/>
      <c r="P400" s="113"/>
      <c r="Q400" s="113"/>
      <c r="R400" s="113"/>
      <c r="T400" s="113"/>
      <c r="U400" s="113"/>
      <c r="V400" s="113"/>
    </row>
    <row r="401" customFormat="false" ht="15" hidden="false" customHeight="true" outlineLevel="0" collapsed="false">
      <c r="H401" s="113"/>
      <c r="I401" s="113"/>
      <c r="J401" s="113"/>
      <c r="L401" s="113"/>
      <c r="M401" s="113"/>
      <c r="N401" s="113"/>
      <c r="P401" s="113"/>
      <c r="Q401" s="113"/>
      <c r="R401" s="113"/>
      <c r="T401" s="113"/>
      <c r="U401" s="113"/>
      <c r="V401" s="113"/>
    </row>
    <row r="402" customFormat="false" ht="15" hidden="false" customHeight="true" outlineLevel="0" collapsed="false">
      <c r="H402" s="113"/>
      <c r="I402" s="113"/>
      <c r="J402" s="113"/>
      <c r="L402" s="113"/>
      <c r="M402" s="113"/>
      <c r="N402" s="113"/>
      <c r="P402" s="113"/>
      <c r="Q402" s="113"/>
      <c r="R402" s="113"/>
      <c r="T402" s="113"/>
      <c r="U402" s="113"/>
      <c r="V402" s="113"/>
    </row>
    <row r="403" customFormat="false" ht="15" hidden="false" customHeight="true" outlineLevel="0" collapsed="false">
      <c r="H403" s="113"/>
      <c r="I403" s="113"/>
      <c r="J403" s="113"/>
      <c r="L403" s="113"/>
      <c r="M403" s="113"/>
      <c r="N403" s="113"/>
      <c r="P403" s="113"/>
      <c r="Q403" s="113"/>
      <c r="R403" s="113"/>
      <c r="T403" s="113"/>
      <c r="U403" s="113"/>
      <c r="V403" s="113"/>
    </row>
    <row r="404" customFormat="false" ht="15" hidden="false" customHeight="true" outlineLevel="0" collapsed="false">
      <c r="H404" s="113"/>
      <c r="I404" s="113"/>
      <c r="J404" s="113"/>
      <c r="L404" s="113"/>
      <c r="M404" s="113"/>
      <c r="N404" s="113"/>
      <c r="P404" s="113"/>
      <c r="Q404" s="113"/>
      <c r="R404" s="113"/>
      <c r="T404" s="113"/>
      <c r="U404" s="113"/>
      <c r="V404" s="113"/>
    </row>
    <row r="405" customFormat="false" ht="15" hidden="false" customHeight="true" outlineLevel="0" collapsed="false">
      <c r="H405" s="113"/>
      <c r="I405" s="113"/>
      <c r="J405" s="113"/>
      <c r="L405" s="113"/>
      <c r="M405" s="113"/>
      <c r="N405" s="113"/>
      <c r="P405" s="113"/>
      <c r="Q405" s="113"/>
      <c r="R405" s="113"/>
      <c r="T405" s="113"/>
      <c r="U405" s="113"/>
      <c r="V405" s="113"/>
    </row>
    <row r="406" customFormat="false" ht="15" hidden="false" customHeight="true" outlineLevel="0" collapsed="false">
      <c r="H406" s="113"/>
      <c r="I406" s="113"/>
      <c r="J406" s="113"/>
      <c r="L406" s="113"/>
      <c r="M406" s="113"/>
      <c r="N406" s="113"/>
      <c r="P406" s="113"/>
      <c r="Q406" s="113"/>
      <c r="R406" s="113"/>
      <c r="T406" s="113"/>
      <c r="U406" s="113"/>
      <c r="V406" s="113"/>
    </row>
    <row r="407" customFormat="false" ht="15" hidden="false" customHeight="true" outlineLevel="0" collapsed="false">
      <c r="H407" s="113"/>
      <c r="I407" s="113"/>
      <c r="J407" s="113"/>
      <c r="L407" s="113"/>
      <c r="M407" s="113"/>
      <c r="N407" s="113"/>
      <c r="P407" s="113"/>
      <c r="Q407" s="113"/>
      <c r="R407" s="113"/>
      <c r="T407" s="113"/>
      <c r="U407" s="113"/>
      <c r="V407" s="113"/>
    </row>
    <row r="408" customFormat="false" ht="15" hidden="false" customHeight="true" outlineLevel="0" collapsed="false">
      <c r="H408" s="113"/>
      <c r="I408" s="113"/>
      <c r="J408" s="113"/>
      <c r="L408" s="113"/>
      <c r="M408" s="113"/>
      <c r="N408" s="113"/>
      <c r="P408" s="113"/>
      <c r="Q408" s="113"/>
      <c r="R408" s="113"/>
      <c r="T408" s="113"/>
      <c r="U408" s="113"/>
      <c r="V408" s="113"/>
    </row>
    <row r="409" customFormat="false" ht="15" hidden="false" customHeight="true" outlineLevel="0" collapsed="false">
      <c r="H409" s="113"/>
      <c r="I409" s="113"/>
      <c r="J409" s="113"/>
      <c r="L409" s="113"/>
      <c r="M409" s="113"/>
      <c r="N409" s="113"/>
      <c r="P409" s="113"/>
      <c r="Q409" s="113"/>
      <c r="R409" s="113"/>
      <c r="T409" s="113"/>
      <c r="U409" s="113"/>
      <c r="V409" s="113"/>
    </row>
    <row r="410" customFormat="false" ht="15" hidden="false" customHeight="true" outlineLevel="0" collapsed="false">
      <c r="H410" s="113"/>
      <c r="I410" s="113"/>
      <c r="J410" s="113"/>
      <c r="L410" s="113"/>
      <c r="M410" s="113"/>
      <c r="N410" s="113"/>
      <c r="P410" s="113"/>
      <c r="Q410" s="113"/>
      <c r="R410" s="113"/>
      <c r="T410" s="113"/>
      <c r="U410" s="113"/>
      <c r="V410" s="113"/>
    </row>
    <row r="411" customFormat="false" ht="15" hidden="false" customHeight="true" outlineLevel="0" collapsed="false">
      <c r="H411" s="113"/>
      <c r="I411" s="113"/>
      <c r="J411" s="113"/>
      <c r="L411" s="113"/>
      <c r="M411" s="113"/>
      <c r="N411" s="113"/>
      <c r="P411" s="113"/>
      <c r="Q411" s="113"/>
      <c r="R411" s="113"/>
      <c r="T411" s="113"/>
      <c r="U411" s="113"/>
      <c r="V411" s="113"/>
    </row>
    <row r="412" customFormat="false" ht="15" hidden="false" customHeight="true" outlineLevel="0" collapsed="false">
      <c r="H412" s="113"/>
      <c r="I412" s="113"/>
      <c r="J412" s="113"/>
      <c r="L412" s="113"/>
      <c r="M412" s="113"/>
      <c r="N412" s="113"/>
      <c r="P412" s="113"/>
      <c r="Q412" s="113"/>
      <c r="R412" s="113"/>
      <c r="T412" s="113"/>
      <c r="U412" s="113"/>
      <c r="V412" s="113"/>
    </row>
    <row r="413" customFormat="false" ht="15" hidden="false" customHeight="true" outlineLevel="0" collapsed="false">
      <c r="H413" s="113"/>
      <c r="I413" s="113"/>
      <c r="J413" s="113"/>
      <c r="L413" s="113"/>
      <c r="M413" s="113"/>
      <c r="N413" s="113"/>
      <c r="P413" s="113"/>
      <c r="Q413" s="113"/>
      <c r="R413" s="113"/>
      <c r="T413" s="113"/>
      <c r="U413" s="113"/>
      <c r="V413" s="113"/>
    </row>
    <row r="414" customFormat="false" ht="15" hidden="false" customHeight="true" outlineLevel="0" collapsed="false">
      <c r="H414" s="113"/>
      <c r="I414" s="113"/>
      <c r="J414" s="113"/>
      <c r="L414" s="113"/>
      <c r="M414" s="113"/>
      <c r="N414" s="113"/>
      <c r="P414" s="113"/>
      <c r="Q414" s="113"/>
      <c r="R414" s="113"/>
      <c r="T414" s="113"/>
      <c r="U414" s="113"/>
      <c r="V414" s="113"/>
    </row>
    <row r="415" customFormat="false" ht="15" hidden="false" customHeight="true" outlineLevel="0" collapsed="false">
      <c r="H415" s="113"/>
      <c r="I415" s="113"/>
      <c r="J415" s="113"/>
      <c r="L415" s="113"/>
      <c r="M415" s="113"/>
      <c r="N415" s="113"/>
      <c r="P415" s="113"/>
      <c r="Q415" s="113"/>
      <c r="R415" s="113"/>
      <c r="T415" s="113"/>
      <c r="U415" s="113"/>
      <c r="V415" s="113"/>
    </row>
    <row r="416" customFormat="false" ht="15" hidden="false" customHeight="true" outlineLevel="0" collapsed="false">
      <c r="H416" s="113"/>
      <c r="I416" s="113"/>
      <c r="J416" s="113"/>
      <c r="L416" s="113"/>
      <c r="M416" s="113"/>
      <c r="N416" s="113"/>
      <c r="P416" s="113"/>
      <c r="Q416" s="113"/>
      <c r="R416" s="113"/>
      <c r="T416" s="113"/>
      <c r="U416" s="113"/>
      <c r="V416" s="113"/>
    </row>
    <row r="417" customFormat="false" ht="15" hidden="false" customHeight="true" outlineLevel="0" collapsed="false">
      <c r="H417" s="113"/>
      <c r="I417" s="113"/>
      <c r="J417" s="113"/>
      <c r="L417" s="113"/>
      <c r="M417" s="113"/>
      <c r="N417" s="113"/>
      <c r="P417" s="113"/>
      <c r="Q417" s="113"/>
      <c r="R417" s="113"/>
      <c r="T417" s="113"/>
      <c r="U417" s="113"/>
      <c r="V417" s="113"/>
    </row>
    <row r="418" customFormat="false" ht="15" hidden="false" customHeight="true" outlineLevel="0" collapsed="false">
      <c r="H418" s="113"/>
      <c r="I418" s="113"/>
      <c r="J418" s="113"/>
      <c r="L418" s="113"/>
      <c r="M418" s="113"/>
      <c r="N418" s="113"/>
      <c r="P418" s="113"/>
      <c r="Q418" s="113"/>
      <c r="R418" s="113"/>
      <c r="T418" s="113"/>
      <c r="U418" s="113"/>
      <c r="V418" s="113"/>
    </row>
    <row r="419" customFormat="false" ht="15" hidden="false" customHeight="true" outlineLevel="0" collapsed="false">
      <c r="H419" s="113"/>
      <c r="I419" s="113"/>
      <c r="J419" s="113"/>
      <c r="L419" s="113"/>
      <c r="M419" s="113"/>
      <c r="N419" s="113"/>
      <c r="P419" s="113"/>
      <c r="Q419" s="113"/>
      <c r="R419" s="113"/>
      <c r="T419" s="113"/>
      <c r="U419" s="113"/>
      <c r="V419" s="113"/>
    </row>
    <row r="420" customFormat="false" ht="15" hidden="false" customHeight="true" outlineLevel="0" collapsed="false">
      <c r="H420" s="113"/>
      <c r="I420" s="113"/>
      <c r="J420" s="113"/>
      <c r="L420" s="113"/>
      <c r="M420" s="113"/>
      <c r="N420" s="113"/>
      <c r="P420" s="113"/>
      <c r="Q420" s="113"/>
      <c r="R420" s="113"/>
      <c r="T420" s="113"/>
      <c r="U420" s="113"/>
      <c r="V420" s="113"/>
    </row>
    <row r="421" customFormat="false" ht="15" hidden="false" customHeight="true" outlineLevel="0" collapsed="false">
      <c r="H421" s="113"/>
      <c r="I421" s="113"/>
      <c r="J421" s="113"/>
      <c r="L421" s="113"/>
      <c r="M421" s="113"/>
      <c r="N421" s="113"/>
      <c r="P421" s="113"/>
      <c r="Q421" s="113"/>
      <c r="R421" s="113"/>
      <c r="T421" s="113"/>
      <c r="U421" s="113"/>
      <c r="V421" s="113"/>
    </row>
    <row r="422" customFormat="false" ht="15" hidden="false" customHeight="true" outlineLevel="0" collapsed="false">
      <c r="H422" s="113"/>
      <c r="I422" s="113"/>
      <c r="J422" s="113"/>
      <c r="L422" s="113"/>
      <c r="M422" s="113"/>
      <c r="N422" s="113"/>
      <c r="P422" s="113"/>
      <c r="Q422" s="113"/>
      <c r="R422" s="113"/>
      <c r="T422" s="113"/>
      <c r="U422" s="113"/>
      <c r="V422" s="113"/>
    </row>
    <row r="423" customFormat="false" ht="15" hidden="false" customHeight="true" outlineLevel="0" collapsed="false">
      <c r="H423" s="113"/>
      <c r="I423" s="113"/>
      <c r="J423" s="113"/>
      <c r="L423" s="113"/>
      <c r="M423" s="113"/>
      <c r="N423" s="113"/>
      <c r="P423" s="113"/>
      <c r="Q423" s="113"/>
      <c r="R423" s="113"/>
      <c r="T423" s="113"/>
      <c r="U423" s="113"/>
      <c r="V423" s="113"/>
    </row>
    <row r="424" customFormat="false" ht="15" hidden="false" customHeight="true" outlineLevel="0" collapsed="false">
      <c r="H424" s="113"/>
      <c r="I424" s="113"/>
      <c r="J424" s="113"/>
      <c r="L424" s="113"/>
      <c r="M424" s="113"/>
      <c r="N424" s="113"/>
      <c r="P424" s="113"/>
      <c r="Q424" s="113"/>
      <c r="R424" s="113"/>
      <c r="T424" s="113"/>
      <c r="U424" s="113"/>
      <c r="V424" s="113"/>
    </row>
    <row r="425" customFormat="false" ht="15" hidden="false" customHeight="true" outlineLevel="0" collapsed="false">
      <c r="H425" s="113"/>
      <c r="I425" s="113"/>
      <c r="J425" s="113"/>
      <c r="L425" s="113"/>
      <c r="M425" s="113"/>
      <c r="N425" s="113"/>
      <c r="P425" s="113"/>
      <c r="Q425" s="113"/>
      <c r="R425" s="113"/>
      <c r="T425" s="113"/>
      <c r="U425" s="113"/>
      <c r="V425" s="113"/>
    </row>
    <row r="426" customFormat="false" ht="15" hidden="false" customHeight="true" outlineLevel="0" collapsed="false">
      <c r="H426" s="113"/>
      <c r="I426" s="113"/>
      <c r="J426" s="113"/>
      <c r="L426" s="113"/>
      <c r="M426" s="113"/>
      <c r="N426" s="113"/>
      <c r="P426" s="113"/>
      <c r="Q426" s="113"/>
      <c r="R426" s="113"/>
      <c r="T426" s="113"/>
      <c r="U426" s="113"/>
      <c r="V426" s="113"/>
    </row>
    <row r="427" customFormat="false" ht="15" hidden="false" customHeight="true" outlineLevel="0" collapsed="false">
      <c r="H427" s="113"/>
      <c r="I427" s="113"/>
      <c r="J427" s="113"/>
      <c r="L427" s="113"/>
      <c r="M427" s="113"/>
      <c r="N427" s="113"/>
      <c r="P427" s="113"/>
      <c r="Q427" s="113"/>
      <c r="R427" s="113"/>
      <c r="T427" s="113"/>
      <c r="U427" s="113"/>
      <c r="V427" s="113"/>
    </row>
    <row r="428" customFormat="false" ht="15" hidden="false" customHeight="true" outlineLevel="0" collapsed="false">
      <c r="H428" s="113"/>
      <c r="I428" s="113"/>
      <c r="J428" s="113"/>
      <c r="L428" s="113"/>
      <c r="M428" s="113"/>
      <c r="N428" s="113"/>
      <c r="P428" s="113"/>
      <c r="Q428" s="113"/>
      <c r="R428" s="113"/>
      <c r="T428" s="113"/>
      <c r="U428" s="113"/>
      <c r="V428" s="113"/>
    </row>
    <row r="429" customFormat="false" ht="15" hidden="false" customHeight="true" outlineLevel="0" collapsed="false">
      <c r="H429" s="113"/>
      <c r="I429" s="113"/>
      <c r="J429" s="113"/>
      <c r="L429" s="113"/>
      <c r="M429" s="113"/>
      <c r="N429" s="113"/>
      <c r="P429" s="113"/>
      <c r="Q429" s="113"/>
      <c r="R429" s="113"/>
      <c r="T429" s="113"/>
      <c r="U429" s="113"/>
      <c r="V429" s="113"/>
    </row>
    <row r="430" customFormat="false" ht="15" hidden="false" customHeight="true" outlineLevel="0" collapsed="false">
      <c r="H430" s="113"/>
      <c r="I430" s="113"/>
      <c r="J430" s="113"/>
      <c r="L430" s="113"/>
      <c r="M430" s="113"/>
      <c r="N430" s="113"/>
      <c r="P430" s="113"/>
      <c r="Q430" s="113"/>
      <c r="R430" s="113"/>
      <c r="T430" s="113"/>
      <c r="U430" s="113"/>
      <c r="V430" s="113"/>
    </row>
    <row r="431" customFormat="false" ht="15" hidden="false" customHeight="true" outlineLevel="0" collapsed="false">
      <c r="H431" s="113"/>
      <c r="I431" s="113"/>
      <c r="J431" s="113"/>
      <c r="L431" s="113"/>
      <c r="M431" s="113"/>
      <c r="N431" s="113"/>
      <c r="P431" s="113"/>
      <c r="Q431" s="113"/>
      <c r="R431" s="113"/>
      <c r="T431" s="113"/>
      <c r="U431" s="113"/>
      <c r="V431" s="113"/>
    </row>
    <row r="432" customFormat="false" ht="15" hidden="false" customHeight="true" outlineLevel="0" collapsed="false">
      <c r="H432" s="113"/>
      <c r="I432" s="113"/>
      <c r="J432" s="113"/>
      <c r="L432" s="113"/>
      <c r="M432" s="113"/>
      <c r="N432" s="113"/>
      <c r="P432" s="113"/>
      <c r="Q432" s="113"/>
      <c r="R432" s="113"/>
      <c r="T432" s="113"/>
      <c r="U432" s="113"/>
      <c r="V432" s="113"/>
    </row>
    <row r="433" customFormat="false" ht="15" hidden="false" customHeight="true" outlineLevel="0" collapsed="false">
      <c r="H433" s="113"/>
      <c r="I433" s="113"/>
      <c r="J433" s="113"/>
      <c r="L433" s="113"/>
      <c r="M433" s="113"/>
      <c r="N433" s="113"/>
      <c r="P433" s="113"/>
      <c r="Q433" s="113"/>
      <c r="R433" s="113"/>
      <c r="T433" s="113"/>
      <c r="U433" s="113"/>
      <c r="V433" s="113"/>
    </row>
    <row r="434" customFormat="false" ht="15" hidden="false" customHeight="true" outlineLevel="0" collapsed="false">
      <c r="H434" s="113"/>
      <c r="I434" s="113"/>
      <c r="J434" s="113"/>
      <c r="L434" s="113"/>
      <c r="M434" s="113"/>
      <c r="N434" s="113"/>
      <c r="P434" s="113"/>
      <c r="Q434" s="113"/>
      <c r="R434" s="113"/>
      <c r="T434" s="113"/>
      <c r="U434" s="113"/>
      <c r="V434" s="113"/>
    </row>
    <row r="435" customFormat="false" ht="15" hidden="false" customHeight="true" outlineLevel="0" collapsed="false">
      <c r="H435" s="113"/>
      <c r="I435" s="113"/>
      <c r="J435" s="113"/>
      <c r="L435" s="113"/>
      <c r="M435" s="113"/>
      <c r="N435" s="113"/>
      <c r="P435" s="113"/>
      <c r="Q435" s="113"/>
      <c r="R435" s="113"/>
      <c r="T435" s="113"/>
      <c r="U435" s="113"/>
      <c r="V435" s="113"/>
    </row>
    <row r="436" customFormat="false" ht="15" hidden="false" customHeight="true" outlineLevel="0" collapsed="false">
      <c r="H436" s="113"/>
      <c r="I436" s="113"/>
      <c r="J436" s="113"/>
      <c r="L436" s="113"/>
      <c r="M436" s="113"/>
      <c r="N436" s="113"/>
      <c r="P436" s="113"/>
      <c r="Q436" s="113"/>
      <c r="R436" s="113"/>
      <c r="T436" s="113"/>
      <c r="U436" s="113"/>
      <c r="V436" s="113"/>
    </row>
    <row r="437" customFormat="false" ht="15" hidden="false" customHeight="true" outlineLevel="0" collapsed="false">
      <c r="H437" s="113"/>
      <c r="I437" s="113"/>
      <c r="J437" s="113"/>
      <c r="L437" s="113"/>
      <c r="M437" s="113"/>
      <c r="N437" s="113"/>
      <c r="P437" s="113"/>
      <c r="Q437" s="113"/>
      <c r="R437" s="113"/>
      <c r="T437" s="113"/>
      <c r="U437" s="113"/>
      <c r="V437" s="113"/>
    </row>
    <row r="438" customFormat="false" ht="15" hidden="false" customHeight="true" outlineLevel="0" collapsed="false">
      <c r="H438" s="113"/>
      <c r="I438" s="113"/>
      <c r="J438" s="113"/>
      <c r="L438" s="113"/>
      <c r="M438" s="113"/>
      <c r="N438" s="113"/>
      <c r="P438" s="113"/>
      <c r="Q438" s="113"/>
      <c r="R438" s="113"/>
      <c r="T438" s="113"/>
      <c r="U438" s="113"/>
      <c r="V438" s="113"/>
    </row>
    <row r="439" customFormat="false" ht="15" hidden="false" customHeight="true" outlineLevel="0" collapsed="false">
      <c r="H439" s="113"/>
      <c r="I439" s="113"/>
      <c r="J439" s="113"/>
      <c r="L439" s="113"/>
      <c r="M439" s="113"/>
      <c r="N439" s="113"/>
      <c r="P439" s="113"/>
      <c r="Q439" s="113"/>
      <c r="R439" s="113"/>
      <c r="T439" s="113"/>
      <c r="U439" s="113"/>
      <c r="V439" s="113"/>
    </row>
    <row r="440" customFormat="false" ht="15" hidden="false" customHeight="true" outlineLevel="0" collapsed="false">
      <c r="H440" s="113"/>
      <c r="I440" s="113"/>
      <c r="J440" s="113"/>
      <c r="L440" s="113"/>
      <c r="M440" s="113"/>
      <c r="N440" s="113"/>
      <c r="P440" s="113"/>
      <c r="Q440" s="113"/>
      <c r="R440" s="113"/>
      <c r="T440" s="113"/>
      <c r="U440" s="113"/>
      <c r="V440" s="113"/>
    </row>
    <row r="441" customFormat="false" ht="15" hidden="false" customHeight="true" outlineLevel="0" collapsed="false">
      <c r="H441" s="113"/>
      <c r="I441" s="113"/>
      <c r="J441" s="113"/>
      <c r="L441" s="113"/>
      <c r="M441" s="113"/>
      <c r="N441" s="113"/>
      <c r="P441" s="113"/>
      <c r="Q441" s="113"/>
      <c r="R441" s="113"/>
      <c r="T441" s="113"/>
      <c r="U441" s="113"/>
      <c r="V441" s="113"/>
    </row>
    <row r="442" customFormat="false" ht="15" hidden="false" customHeight="true" outlineLevel="0" collapsed="false">
      <c r="H442" s="113"/>
      <c r="I442" s="113"/>
      <c r="J442" s="113"/>
      <c r="L442" s="113"/>
      <c r="M442" s="113"/>
      <c r="N442" s="113"/>
      <c r="P442" s="113"/>
      <c r="Q442" s="113"/>
      <c r="R442" s="113"/>
      <c r="T442" s="113"/>
      <c r="U442" s="113"/>
      <c r="V442" s="113"/>
    </row>
    <row r="443" customFormat="false" ht="15" hidden="false" customHeight="true" outlineLevel="0" collapsed="false">
      <c r="H443" s="113"/>
      <c r="I443" s="113"/>
      <c r="J443" s="113"/>
      <c r="L443" s="113"/>
      <c r="M443" s="113"/>
      <c r="N443" s="113"/>
      <c r="P443" s="113"/>
      <c r="Q443" s="113"/>
      <c r="R443" s="113"/>
      <c r="T443" s="113"/>
      <c r="U443" s="113"/>
      <c r="V443" s="113"/>
    </row>
    <row r="444" customFormat="false" ht="15" hidden="false" customHeight="true" outlineLevel="0" collapsed="false">
      <c r="H444" s="113"/>
      <c r="I444" s="113"/>
      <c r="J444" s="113"/>
      <c r="L444" s="113"/>
      <c r="M444" s="113"/>
      <c r="N444" s="113"/>
      <c r="P444" s="113"/>
      <c r="Q444" s="113"/>
      <c r="R444" s="113"/>
      <c r="T444" s="113"/>
      <c r="U444" s="113"/>
      <c r="V444" s="113"/>
    </row>
    <row r="445" customFormat="false" ht="15" hidden="false" customHeight="true" outlineLevel="0" collapsed="false">
      <c r="H445" s="113"/>
      <c r="I445" s="113"/>
      <c r="J445" s="113"/>
      <c r="L445" s="113"/>
      <c r="M445" s="113"/>
      <c r="N445" s="113"/>
      <c r="P445" s="113"/>
      <c r="Q445" s="113"/>
      <c r="R445" s="113"/>
      <c r="T445" s="113"/>
      <c r="U445" s="113"/>
      <c r="V445" s="113"/>
    </row>
    <row r="446" customFormat="false" ht="15" hidden="false" customHeight="true" outlineLevel="0" collapsed="false">
      <c r="H446" s="113"/>
      <c r="I446" s="113"/>
      <c r="J446" s="113"/>
      <c r="L446" s="113"/>
      <c r="M446" s="113"/>
      <c r="N446" s="113"/>
      <c r="P446" s="113"/>
      <c r="Q446" s="113"/>
      <c r="R446" s="113"/>
      <c r="T446" s="113"/>
      <c r="U446" s="113"/>
      <c r="V446" s="113"/>
    </row>
    <row r="447" customFormat="false" ht="15" hidden="false" customHeight="true" outlineLevel="0" collapsed="false">
      <c r="H447" s="113"/>
      <c r="I447" s="113"/>
      <c r="J447" s="113"/>
      <c r="L447" s="113"/>
      <c r="M447" s="113"/>
      <c r="N447" s="113"/>
      <c r="P447" s="113"/>
      <c r="Q447" s="113"/>
      <c r="R447" s="113"/>
      <c r="T447" s="113"/>
      <c r="U447" s="113"/>
      <c r="V447" s="113"/>
    </row>
    <row r="448" customFormat="false" ht="15" hidden="false" customHeight="true" outlineLevel="0" collapsed="false">
      <c r="H448" s="113"/>
      <c r="I448" s="113"/>
      <c r="J448" s="113"/>
      <c r="L448" s="113"/>
      <c r="M448" s="113"/>
      <c r="N448" s="113"/>
      <c r="P448" s="113"/>
      <c r="Q448" s="113"/>
      <c r="R448" s="113"/>
      <c r="T448" s="113"/>
      <c r="U448" s="113"/>
      <c r="V448" s="113"/>
    </row>
    <row r="449" customFormat="false" ht="15" hidden="false" customHeight="true" outlineLevel="0" collapsed="false">
      <c r="H449" s="113"/>
      <c r="I449" s="113"/>
      <c r="J449" s="113"/>
      <c r="L449" s="113"/>
      <c r="M449" s="113"/>
      <c r="N449" s="113"/>
      <c r="P449" s="113"/>
      <c r="Q449" s="113"/>
      <c r="R449" s="113"/>
      <c r="T449" s="113"/>
      <c r="U449" s="113"/>
      <c r="V449" s="113"/>
    </row>
    <row r="450" customFormat="false" ht="15" hidden="false" customHeight="true" outlineLevel="0" collapsed="false">
      <c r="H450" s="113"/>
      <c r="I450" s="113"/>
      <c r="J450" s="113"/>
      <c r="L450" s="113"/>
      <c r="M450" s="113"/>
      <c r="N450" s="113"/>
      <c r="P450" s="113"/>
      <c r="Q450" s="113"/>
      <c r="R450" s="113"/>
      <c r="T450" s="113"/>
      <c r="U450" s="113"/>
      <c r="V450" s="113"/>
    </row>
    <row r="451" customFormat="false" ht="15" hidden="false" customHeight="true" outlineLevel="0" collapsed="false">
      <c r="H451" s="113"/>
      <c r="I451" s="113"/>
      <c r="J451" s="113"/>
      <c r="L451" s="113"/>
      <c r="M451" s="113"/>
      <c r="N451" s="113"/>
      <c r="P451" s="113"/>
      <c r="Q451" s="113"/>
      <c r="R451" s="113"/>
      <c r="T451" s="113"/>
      <c r="U451" s="113"/>
      <c r="V451" s="113"/>
    </row>
    <row r="452" customFormat="false" ht="15" hidden="false" customHeight="true" outlineLevel="0" collapsed="false">
      <c r="H452" s="113"/>
      <c r="I452" s="113"/>
      <c r="J452" s="113"/>
      <c r="L452" s="113"/>
      <c r="M452" s="113"/>
      <c r="N452" s="113"/>
      <c r="P452" s="113"/>
      <c r="Q452" s="113"/>
      <c r="R452" s="113"/>
      <c r="T452" s="113"/>
      <c r="U452" s="113"/>
      <c r="V452" s="113"/>
    </row>
    <row r="453" customFormat="false" ht="15" hidden="false" customHeight="true" outlineLevel="0" collapsed="false">
      <c r="H453" s="113"/>
      <c r="I453" s="113"/>
      <c r="J453" s="113"/>
      <c r="L453" s="113"/>
      <c r="M453" s="113"/>
      <c r="N453" s="113"/>
      <c r="P453" s="113"/>
      <c r="Q453" s="113"/>
      <c r="R453" s="113"/>
      <c r="T453" s="113"/>
      <c r="U453" s="113"/>
      <c r="V453" s="113"/>
    </row>
    <row r="454" customFormat="false" ht="15" hidden="false" customHeight="true" outlineLevel="0" collapsed="false">
      <c r="H454" s="113"/>
      <c r="I454" s="113"/>
      <c r="J454" s="113"/>
      <c r="L454" s="113"/>
      <c r="M454" s="113"/>
      <c r="N454" s="113"/>
      <c r="P454" s="113"/>
      <c r="Q454" s="113"/>
      <c r="R454" s="113"/>
      <c r="T454" s="113"/>
      <c r="U454" s="113"/>
      <c r="V454" s="113"/>
    </row>
    <row r="455" customFormat="false" ht="15" hidden="false" customHeight="true" outlineLevel="0" collapsed="false">
      <c r="H455" s="113"/>
      <c r="I455" s="113"/>
      <c r="J455" s="113"/>
      <c r="L455" s="113"/>
      <c r="M455" s="113"/>
      <c r="N455" s="113"/>
      <c r="P455" s="113"/>
      <c r="Q455" s="113"/>
      <c r="R455" s="113"/>
      <c r="T455" s="113"/>
      <c r="U455" s="113"/>
      <c r="V455" s="113"/>
    </row>
    <row r="456" customFormat="false" ht="15" hidden="false" customHeight="true" outlineLevel="0" collapsed="false">
      <c r="H456" s="113"/>
      <c r="I456" s="113"/>
      <c r="J456" s="113"/>
      <c r="L456" s="113"/>
      <c r="M456" s="113"/>
      <c r="N456" s="113"/>
      <c r="P456" s="113"/>
      <c r="Q456" s="113"/>
      <c r="R456" s="113"/>
      <c r="T456" s="113"/>
      <c r="U456" s="113"/>
      <c r="V456" s="113"/>
    </row>
    <row r="457" customFormat="false" ht="15" hidden="false" customHeight="true" outlineLevel="0" collapsed="false">
      <c r="H457" s="113"/>
      <c r="I457" s="113"/>
      <c r="J457" s="113"/>
      <c r="L457" s="113"/>
      <c r="M457" s="113"/>
      <c r="N457" s="113"/>
      <c r="P457" s="113"/>
      <c r="Q457" s="113"/>
      <c r="R457" s="113"/>
      <c r="T457" s="113"/>
      <c r="U457" s="113"/>
      <c r="V457" s="113"/>
    </row>
    <row r="458" customFormat="false" ht="15" hidden="false" customHeight="true" outlineLevel="0" collapsed="false">
      <c r="H458" s="113"/>
      <c r="I458" s="113"/>
      <c r="J458" s="113"/>
      <c r="L458" s="113"/>
      <c r="M458" s="113"/>
      <c r="N458" s="113"/>
      <c r="P458" s="113"/>
      <c r="Q458" s="113"/>
      <c r="R458" s="113"/>
      <c r="T458" s="113"/>
      <c r="U458" s="113"/>
      <c r="V458" s="113"/>
    </row>
    <row r="459" customFormat="false" ht="15" hidden="false" customHeight="true" outlineLevel="0" collapsed="false">
      <c r="H459" s="113"/>
      <c r="I459" s="113"/>
      <c r="J459" s="113"/>
      <c r="L459" s="113"/>
      <c r="M459" s="113"/>
      <c r="N459" s="113"/>
      <c r="P459" s="113"/>
      <c r="Q459" s="113"/>
      <c r="R459" s="113"/>
      <c r="T459" s="113"/>
      <c r="U459" s="113"/>
      <c r="V459" s="113"/>
    </row>
    <row r="460" customFormat="false" ht="15" hidden="false" customHeight="true" outlineLevel="0" collapsed="false">
      <c r="H460" s="113"/>
      <c r="I460" s="113"/>
      <c r="J460" s="113"/>
      <c r="L460" s="113"/>
      <c r="M460" s="113"/>
      <c r="N460" s="113"/>
      <c r="P460" s="113"/>
      <c r="Q460" s="113"/>
      <c r="R460" s="113"/>
      <c r="T460" s="113"/>
      <c r="U460" s="113"/>
      <c r="V460" s="113"/>
    </row>
    <row r="461" customFormat="false" ht="15" hidden="false" customHeight="true" outlineLevel="0" collapsed="false">
      <c r="H461" s="113"/>
      <c r="I461" s="113"/>
      <c r="J461" s="113"/>
      <c r="L461" s="113"/>
      <c r="M461" s="113"/>
      <c r="N461" s="113"/>
      <c r="P461" s="113"/>
      <c r="Q461" s="113"/>
      <c r="R461" s="113"/>
      <c r="T461" s="113"/>
      <c r="U461" s="113"/>
      <c r="V461" s="113"/>
    </row>
    <row r="462" customFormat="false" ht="15" hidden="false" customHeight="true" outlineLevel="0" collapsed="false">
      <c r="H462" s="113"/>
      <c r="I462" s="113"/>
      <c r="J462" s="113"/>
      <c r="L462" s="113"/>
      <c r="M462" s="113"/>
      <c r="N462" s="113"/>
      <c r="P462" s="113"/>
      <c r="Q462" s="113"/>
      <c r="R462" s="113"/>
      <c r="T462" s="113"/>
      <c r="U462" s="113"/>
      <c r="V462" s="113"/>
    </row>
    <row r="463" customFormat="false" ht="15" hidden="false" customHeight="true" outlineLevel="0" collapsed="false">
      <c r="H463" s="113"/>
      <c r="I463" s="113"/>
      <c r="J463" s="113"/>
      <c r="L463" s="113"/>
      <c r="M463" s="113"/>
      <c r="N463" s="113"/>
      <c r="P463" s="113"/>
      <c r="Q463" s="113"/>
      <c r="R463" s="113"/>
      <c r="T463" s="113"/>
      <c r="U463" s="113"/>
      <c r="V463" s="113"/>
    </row>
    <row r="464" customFormat="false" ht="15" hidden="false" customHeight="true" outlineLevel="0" collapsed="false">
      <c r="H464" s="113"/>
      <c r="I464" s="113"/>
      <c r="J464" s="113"/>
      <c r="L464" s="113"/>
      <c r="M464" s="113"/>
      <c r="N464" s="113"/>
      <c r="P464" s="113"/>
      <c r="Q464" s="113"/>
      <c r="R464" s="113"/>
      <c r="T464" s="113"/>
      <c r="U464" s="113"/>
      <c r="V464" s="113"/>
    </row>
    <row r="465" customFormat="false" ht="15" hidden="false" customHeight="true" outlineLevel="0" collapsed="false">
      <c r="H465" s="113"/>
      <c r="I465" s="113"/>
      <c r="J465" s="113"/>
      <c r="L465" s="113"/>
      <c r="M465" s="113"/>
      <c r="N465" s="113"/>
      <c r="P465" s="113"/>
      <c r="Q465" s="113"/>
      <c r="R465" s="113"/>
      <c r="T465" s="113"/>
      <c r="U465" s="113"/>
      <c r="V465" s="113"/>
    </row>
    <row r="466" customFormat="false" ht="15" hidden="false" customHeight="true" outlineLevel="0" collapsed="false">
      <c r="H466" s="113"/>
      <c r="I466" s="113"/>
      <c r="J466" s="113"/>
      <c r="L466" s="113"/>
      <c r="M466" s="113"/>
      <c r="N466" s="113"/>
      <c r="P466" s="113"/>
      <c r="Q466" s="113"/>
      <c r="R466" s="113"/>
      <c r="T466" s="113"/>
      <c r="U466" s="113"/>
      <c r="V466" s="113"/>
    </row>
    <row r="467" customFormat="false" ht="15" hidden="false" customHeight="true" outlineLevel="0" collapsed="false">
      <c r="H467" s="113"/>
      <c r="I467" s="113"/>
      <c r="J467" s="113"/>
      <c r="L467" s="113"/>
      <c r="M467" s="113"/>
      <c r="N467" s="113"/>
      <c r="P467" s="113"/>
      <c r="Q467" s="113"/>
      <c r="R467" s="113"/>
      <c r="T467" s="113"/>
      <c r="U467" s="113"/>
      <c r="V467" s="113"/>
    </row>
    <row r="468" customFormat="false" ht="15" hidden="false" customHeight="true" outlineLevel="0" collapsed="false">
      <c r="H468" s="113"/>
      <c r="I468" s="113"/>
      <c r="J468" s="113"/>
      <c r="L468" s="113"/>
      <c r="M468" s="113"/>
      <c r="N468" s="113"/>
      <c r="P468" s="113"/>
      <c r="Q468" s="113"/>
      <c r="R468" s="113"/>
      <c r="T468" s="113"/>
      <c r="U468" s="113"/>
      <c r="V468" s="113"/>
    </row>
    <row r="469" customFormat="false" ht="15" hidden="false" customHeight="true" outlineLevel="0" collapsed="false">
      <c r="H469" s="113"/>
      <c r="I469" s="113"/>
      <c r="J469" s="113"/>
      <c r="L469" s="113"/>
      <c r="M469" s="113"/>
      <c r="N469" s="113"/>
      <c r="P469" s="113"/>
      <c r="Q469" s="113"/>
      <c r="R469" s="113"/>
      <c r="T469" s="113"/>
      <c r="U469" s="113"/>
      <c r="V469" s="113"/>
    </row>
    <row r="470" customFormat="false" ht="15" hidden="false" customHeight="true" outlineLevel="0" collapsed="false">
      <c r="H470" s="113"/>
      <c r="I470" s="113"/>
      <c r="J470" s="113"/>
      <c r="L470" s="113"/>
      <c r="M470" s="113"/>
      <c r="N470" s="113"/>
      <c r="P470" s="113"/>
      <c r="Q470" s="113"/>
      <c r="R470" s="113"/>
      <c r="T470" s="113"/>
      <c r="U470" s="113"/>
      <c r="V470" s="113"/>
    </row>
    <row r="471" customFormat="false" ht="15" hidden="false" customHeight="true" outlineLevel="0" collapsed="false">
      <c r="H471" s="113"/>
      <c r="I471" s="113"/>
      <c r="J471" s="113"/>
      <c r="L471" s="113"/>
      <c r="M471" s="113"/>
      <c r="N471" s="113"/>
      <c r="P471" s="113"/>
      <c r="Q471" s="113"/>
      <c r="R471" s="113"/>
      <c r="T471" s="113"/>
      <c r="U471" s="113"/>
      <c r="V471" s="113"/>
    </row>
    <row r="472" customFormat="false" ht="15" hidden="false" customHeight="true" outlineLevel="0" collapsed="false">
      <c r="H472" s="113"/>
      <c r="I472" s="113"/>
      <c r="J472" s="113"/>
      <c r="L472" s="113"/>
      <c r="M472" s="113"/>
      <c r="N472" s="113"/>
      <c r="P472" s="113"/>
      <c r="Q472" s="113"/>
      <c r="R472" s="113"/>
      <c r="T472" s="113"/>
      <c r="U472" s="113"/>
      <c r="V472" s="113"/>
    </row>
    <row r="473" customFormat="false" ht="15" hidden="false" customHeight="true" outlineLevel="0" collapsed="false">
      <c r="H473" s="113"/>
      <c r="I473" s="113"/>
      <c r="J473" s="113"/>
      <c r="L473" s="113"/>
      <c r="M473" s="113"/>
      <c r="N473" s="113"/>
      <c r="P473" s="113"/>
      <c r="Q473" s="113"/>
      <c r="R473" s="113"/>
      <c r="T473" s="113"/>
      <c r="U473" s="113"/>
      <c r="V473" s="113"/>
    </row>
    <row r="474" customFormat="false" ht="15" hidden="false" customHeight="true" outlineLevel="0" collapsed="false">
      <c r="H474" s="113"/>
      <c r="I474" s="113"/>
      <c r="J474" s="113"/>
      <c r="L474" s="113"/>
      <c r="M474" s="113"/>
      <c r="N474" s="113"/>
      <c r="P474" s="113"/>
      <c r="Q474" s="113"/>
      <c r="R474" s="113"/>
      <c r="T474" s="113"/>
      <c r="U474" s="113"/>
      <c r="V474" s="113"/>
    </row>
    <row r="475" customFormat="false" ht="15" hidden="false" customHeight="true" outlineLevel="0" collapsed="false">
      <c r="H475" s="113"/>
      <c r="I475" s="113"/>
      <c r="J475" s="113"/>
      <c r="L475" s="113"/>
      <c r="M475" s="113"/>
      <c r="N475" s="113"/>
      <c r="P475" s="113"/>
      <c r="Q475" s="113"/>
      <c r="R475" s="113"/>
      <c r="T475" s="113"/>
      <c r="U475" s="113"/>
      <c r="V475" s="113"/>
    </row>
    <row r="476" customFormat="false" ht="15" hidden="false" customHeight="true" outlineLevel="0" collapsed="false">
      <c r="H476" s="113"/>
      <c r="I476" s="113"/>
      <c r="J476" s="113"/>
      <c r="L476" s="113"/>
      <c r="M476" s="113"/>
      <c r="N476" s="113"/>
      <c r="P476" s="113"/>
      <c r="Q476" s="113"/>
      <c r="R476" s="113"/>
      <c r="T476" s="113"/>
      <c r="U476" s="113"/>
      <c r="V476" s="113"/>
    </row>
    <row r="477" customFormat="false" ht="15" hidden="false" customHeight="true" outlineLevel="0" collapsed="false">
      <c r="H477" s="113"/>
      <c r="I477" s="113"/>
      <c r="J477" s="113"/>
      <c r="L477" s="113"/>
      <c r="M477" s="113"/>
      <c r="N477" s="113"/>
      <c r="P477" s="113"/>
      <c r="Q477" s="113"/>
      <c r="R477" s="113"/>
      <c r="T477" s="113"/>
      <c r="U477" s="113"/>
      <c r="V477" s="113"/>
    </row>
    <row r="478" customFormat="false" ht="15" hidden="false" customHeight="true" outlineLevel="0" collapsed="false">
      <c r="H478" s="113"/>
      <c r="I478" s="113"/>
      <c r="J478" s="113"/>
      <c r="L478" s="113"/>
      <c r="M478" s="113"/>
      <c r="N478" s="113"/>
      <c r="P478" s="113"/>
      <c r="Q478" s="113"/>
      <c r="R478" s="113"/>
      <c r="T478" s="113"/>
      <c r="U478" s="113"/>
      <c r="V478" s="113"/>
    </row>
    <row r="479" customFormat="false" ht="15" hidden="false" customHeight="true" outlineLevel="0" collapsed="false">
      <c r="H479" s="113"/>
      <c r="I479" s="113"/>
      <c r="J479" s="113"/>
      <c r="L479" s="113"/>
      <c r="M479" s="113"/>
      <c r="N479" s="113"/>
      <c r="P479" s="113"/>
      <c r="Q479" s="113"/>
      <c r="R479" s="113"/>
      <c r="T479" s="113"/>
      <c r="U479" s="113"/>
      <c r="V479" s="113"/>
    </row>
    <row r="480" customFormat="false" ht="15" hidden="false" customHeight="true" outlineLevel="0" collapsed="false">
      <c r="H480" s="113"/>
      <c r="I480" s="113"/>
      <c r="J480" s="113"/>
      <c r="L480" s="113"/>
      <c r="M480" s="113"/>
      <c r="N480" s="113"/>
      <c r="P480" s="113"/>
      <c r="Q480" s="113"/>
      <c r="R480" s="113"/>
      <c r="T480" s="113"/>
      <c r="U480" s="113"/>
      <c r="V480" s="113"/>
    </row>
    <row r="481" customFormat="false" ht="15" hidden="false" customHeight="true" outlineLevel="0" collapsed="false">
      <c r="H481" s="113"/>
      <c r="I481" s="113"/>
      <c r="J481" s="113"/>
      <c r="L481" s="113"/>
      <c r="M481" s="113"/>
      <c r="N481" s="113"/>
      <c r="P481" s="113"/>
      <c r="Q481" s="113"/>
      <c r="R481" s="113"/>
      <c r="T481" s="113"/>
      <c r="U481" s="113"/>
      <c r="V481" s="113"/>
    </row>
    <row r="482" customFormat="false" ht="15" hidden="false" customHeight="true" outlineLevel="0" collapsed="false">
      <c r="H482" s="113"/>
      <c r="I482" s="113"/>
      <c r="J482" s="113"/>
      <c r="L482" s="113"/>
      <c r="M482" s="113"/>
      <c r="N482" s="113"/>
      <c r="P482" s="113"/>
      <c r="Q482" s="113"/>
      <c r="R482" s="113"/>
      <c r="T482" s="113"/>
      <c r="U482" s="113"/>
      <c r="V482" s="113"/>
    </row>
    <row r="483" customFormat="false" ht="15" hidden="false" customHeight="true" outlineLevel="0" collapsed="false">
      <c r="H483" s="113"/>
      <c r="I483" s="113"/>
      <c r="J483" s="113"/>
      <c r="L483" s="113"/>
      <c r="M483" s="113"/>
      <c r="N483" s="113"/>
      <c r="P483" s="113"/>
      <c r="Q483" s="113"/>
      <c r="R483" s="113"/>
      <c r="T483" s="113"/>
      <c r="U483" s="113"/>
      <c r="V483" s="113"/>
    </row>
    <row r="484" customFormat="false" ht="15" hidden="false" customHeight="true" outlineLevel="0" collapsed="false">
      <c r="H484" s="113"/>
      <c r="I484" s="113"/>
      <c r="J484" s="113"/>
      <c r="L484" s="113"/>
      <c r="M484" s="113"/>
      <c r="N484" s="113"/>
      <c r="P484" s="113"/>
      <c r="Q484" s="113"/>
      <c r="R484" s="113"/>
      <c r="T484" s="113"/>
      <c r="U484" s="113"/>
      <c r="V484" s="113"/>
    </row>
    <row r="485" customFormat="false" ht="15" hidden="false" customHeight="true" outlineLevel="0" collapsed="false">
      <c r="H485" s="113"/>
      <c r="I485" s="113"/>
      <c r="J485" s="113"/>
      <c r="L485" s="113"/>
      <c r="M485" s="113"/>
      <c r="N485" s="113"/>
      <c r="P485" s="113"/>
      <c r="Q485" s="113"/>
      <c r="R485" s="113"/>
      <c r="T485" s="113"/>
      <c r="U485" s="113"/>
      <c r="V485" s="113"/>
    </row>
    <row r="486" customFormat="false" ht="15" hidden="false" customHeight="true" outlineLevel="0" collapsed="false">
      <c r="H486" s="113"/>
      <c r="I486" s="113"/>
      <c r="J486" s="113"/>
      <c r="L486" s="113"/>
      <c r="M486" s="113"/>
      <c r="N486" s="113"/>
      <c r="P486" s="113"/>
      <c r="Q486" s="113"/>
      <c r="R486" s="113"/>
      <c r="T486" s="113"/>
      <c r="U486" s="113"/>
      <c r="V486" s="113"/>
    </row>
    <row r="487" customFormat="false" ht="15" hidden="false" customHeight="true" outlineLevel="0" collapsed="false">
      <c r="H487" s="113"/>
      <c r="I487" s="113"/>
      <c r="J487" s="113"/>
      <c r="L487" s="113"/>
      <c r="M487" s="113"/>
      <c r="N487" s="113"/>
      <c r="P487" s="113"/>
      <c r="Q487" s="113"/>
      <c r="R487" s="113"/>
      <c r="T487" s="113"/>
      <c r="U487" s="113"/>
      <c r="V487" s="113"/>
    </row>
    <row r="488" customFormat="false" ht="15" hidden="false" customHeight="true" outlineLevel="0" collapsed="false">
      <c r="H488" s="113"/>
      <c r="I488" s="113"/>
      <c r="J488" s="113"/>
      <c r="L488" s="113"/>
      <c r="M488" s="113"/>
      <c r="N488" s="113"/>
      <c r="P488" s="113"/>
      <c r="Q488" s="113"/>
      <c r="R488" s="113"/>
      <c r="T488" s="113"/>
      <c r="U488" s="113"/>
      <c r="V488" s="113"/>
    </row>
    <row r="489" customFormat="false" ht="15" hidden="false" customHeight="true" outlineLevel="0" collapsed="false">
      <c r="H489" s="113"/>
      <c r="I489" s="113"/>
      <c r="J489" s="113"/>
      <c r="L489" s="113"/>
      <c r="M489" s="113"/>
      <c r="N489" s="113"/>
      <c r="P489" s="113"/>
      <c r="Q489" s="113"/>
      <c r="R489" s="113"/>
      <c r="T489" s="113"/>
      <c r="U489" s="113"/>
      <c r="V489" s="113"/>
    </row>
    <row r="490" customFormat="false" ht="15" hidden="false" customHeight="true" outlineLevel="0" collapsed="false">
      <c r="H490" s="113"/>
      <c r="I490" s="113"/>
      <c r="J490" s="113"/>
      <c r="L490" s="113"/>
      <c r="M490" s="113"/>
      <c r="N490" s="113"/>
      <c r="P490" s="113"/>
      <c r="Q490" s="113"/>
      <c r="R490" s="113"/>
      <c r="T490" s="113"/>
      <c r="U490" s="113"/>
      <c r="V490" s="113"/>
    </row>
    <row r="491" customFormat="false" ht="15" hidden="false" customHeight="true" outlineLevel="0" collapsed="false">
      <c r="H491" s="113"/>
      <c r="I491" s="113"/>
      <c r="J491" s="113"/>
      <c r="L491" s="113"/>
      <c r="M491" s="113"/>
      <c r="N491" s="113"/>
      <c r="P491" s="113"/>
      <c r="Q491" s="113"/>
      <c r="R491" s="113"/>
      <c r="T491" s="113"/>
      <c r="U491" s="113"/>
      <c r="V491" s="113"/>
    </row>
    <row r="492" customFormat="false" ht="15" hidden="false" customHeight="true" outlineLevel="0" collapsed="false">
      <c r="H492" s="113"/>
      <c r="I492" s="113"/>
      <c r="J492" s="113"/>
      <c r="L492" s="113"/>
      <c r="M492" s="113"/>
      <c r="N492" s="113"/>
      <c r="P492" s="113"/>
      <c r="Q492" s="113"/>
      <c r="R492" s="113"/>
      <c r="T492" s="113"/>
      <c r="U492" s="113"/>
      <c r="V492" s="113"/>
    </row>
    <row r="493" customFormat="false" ht="15" hidden="false" customHeight="true" outlineLevel="0" collapsed="false">
      <c r="H493" s="113"/>
      <c r="I493" s="113"/>
      <c r="J493" s="113"/>
      <c r="L493" s="113"/>
      <c r="M493" s="113"/>
      <c r="N493" s="113"/>
      <c r="P493" s="113"/>
      <c r="Q493" s="113"/>
      <c r="R493" s="113"/>
      <c r="T493" s="113"/>
      <c r="U493" s="113"/>
      <c r="V493" s="113"/>
    </row>
    <row r="494" customFormat="false" ht="15" hidden="false" customHeight="true" outlineLevel="0" collapsed="false">
      <c r="H494" s="113"/>
      <c r="I494" s="113"/>
      <c r="J494" s="113"/>
      <c r="L494" s="113"/>
      <c r="M494" s="113"/>
      <c r="N494" s="113"/>
      <c r="P494" s="113"/>
      <c r="Q494" s="113"/>
      <c r="R494" s="113"/>
      <c r="T494" s="113"/>
      <c r="U494" s="113"/>
      <c r="V494" s="113"/>
    </row>
    <row r="495" customFormat="false" ht="15" hidden="false" customHeight="true" outlineLevel="0" collapsed="false">
      <c r="H495" s="113"/>
      <c r="I495" s="113"/>
      <c r="J495" s="113"/>
      <c r="L495" s="113"/>
      <c r="M495" s="113"/>
      <c r="N495" s="113"/>
      <c r="P495" s="113"/>
      <c r="Q495" s="113"/>
      <c r="R495" s="113"/>
      <c r="T495" s="113"/>
      <c r="U495" s="113"/>
      <c r="V495" s="113"/>
    </row>
    <row r="496" customFormat="false" ht="15" hidden="false" customHeight="true" outlineLevel="0" collapsed="false">
      <c r="H496" s="113"/>
      <c r="I496" s="113"/>
      <c r="J496" s="113"/>
      <c r="L496" s="113"/>
      <c r="M496" s="113"/>
      <c r="N496" s="113"/>
      <c r="P496" s="113"/>
      <c r="Q496" s="113"/>
      <c r="R496" s="113"/>
      <c r="T496" s="113"/>
      <c r="U496" s="113"/>
      <c r="V496" s="113"/>
    </row>
    <row r="497" customFormat="false" ht="15" hidden="false" customHeight="true" outlineLevel="0" collapsed="false">
      <c r="H497" s="113"/>
      <c r="I497" s="113"/>
      <c r="J497" s="113"/>
      <c r="L497" s="113"/>
      <c r="M497" s="113"/>
      <c r="N497" s="113"/>
      <c r="P497" s="113"/>
      <c r="Q497" s="113"/>
      <c r="R497" s="113"/>
      <c r="T497" s="113"/>
      <c r="U497" s="113"/>
      <c r="V497" s="113"/>
    </row>
    <row r="498" customFormat="false" ht="15" hidden="false" customHeight="true" outlineLevel="0" collapsed="false">
      <c r="H498" s="113"/>
      <c r="I498" s="113"/>
      <c r="J498" s="113"/>
      <c r="L498" s="113"/>
      <c r="M498" s="113"/>
      <c r="N498" s="113"/>
      <c r="P498" s="113"/>
      <c r="Q498" s="113"/>
      <c r="R498" s="113"/>
      <c r="T498" s="113"/>
      <c r="U498" s="113"/>
      <c r="V498" s="113"/>
    </row>
    <row r="499" customFormat="false" ht="15" hidden="false" customHeight="true" outlineLevel="0" collapsed="false">
      <c r="H499" s="113"/>
      <c r="I499" s="113"/>
      <c r="J499" s="113"/>
      <c r="L499" s="113"/>
      <c r="M499" s="113"/>
      <c r="N499" s="113"/>
      <c r="P499" s="113"/>
      <c r="Q499" s="113"/>
      <c r="R499" s="113"/>
      <c r="T499" s="113"/>
      <c r="U499" s="113"/>
      <c r="V499" s="113"/>
    </row>
    <row r="500" customFormat="false" ht="15" hidden="false" customHeight="true" outlineLevel="0" collapsed="false">
      <c r="H500" s="113"/>
      <c r="I500" s="113"/>
      <c r="J500" s="113"/>
      <c r="L500" s="113"/>
      <c r="M500" s="113"/>
      <c r="N500" s="113"/>
      <c r="P500" s="113"/>
      <c r="Q500" s="113"/>
      <c r="R500" s="113"/>
      <c r="T500" s="113"/>
      <c r="U500" s="113"/>
      <c r="V500" s="113"/>
    </row>
    <row r="501" customFormat="false" ht="15" hidden="false" customHeight="true" outlineLevel="0" collapsed="false">
      <c r="H501" s="113"/>
      <c r="I501" s="113"/>
      <c r="J501" s="113"/>
      <c r="L501" s="113"/>
      <c r="M501" s="113"/>
      <c r="N501" s="113"/>
      <c r="P501" s="113"/>
      <c r="Q501" s="113"/>
      <c r="R501" s="113"/>
      <c r="T501" s="113"/>
      <c r="U501" s="113"/>
      <c r="V501" s="113"/>
    </row>
    <row r="502" customFormat="false" ht="15" hidden="false" customHeight="true" outlineLevel="0" collapsed="false">
      <c r="H502" s="113"/>
      <c r="I502" s="113"/>
      <c r="J502" s="113"/>
      <c r="L502" s="113"/>
      <c r="M502" s="113"/>
      <c r="N502" s="113"/>
      <c r="P502" s="113"/>
      <c r="Q502" s="113"/>
      <c r="R502" s="113"/>
      <c r="T502" s="113"/>
      <c r="U502" s="113"/>
      <c r="V502" s="113"/>
    </row>
    <row r="503" customFormat="false" ht="15" hidden="false" customHeight="true" outlineLevel="0" collapsed="false">
      <c r="H503" s="113"/>
      <c r="I503" s="113"/>
      <c r="J503" s="113"/>
      <c r="L503" s="113"/>
      <c r="M503" s="113"/>
      <c r="N503" s="113"/>
      <c r="P503" s="113"/>
      <c r="Q503" s="113"/>
      <c r="R503" s="113"/>
      <c r="T503" s="113"/>
      <c r="U503" s="113"/>
      <c r="V503" s="113"/>
    </row>
    <row r="504" customFormat="false" ht="15" hidden="false" customHeight="true" outlineLevel="0" collapsed="false">
      <c r="H504" s="113"/>
      <c r="I504" s="113"/>
      <c r="J504" s="113"/>
      <c r="L504" s="113"/>
      <c r="M504" s="113"/>
      <c r="N504" s="113"/>
      <c r="P504" s="113"/>
      <c r="Q504" s="113"/>
      <c r="R504" s="113"/>
      <c r="T504" s="113"/>
      <c r="U504" s="113"/>
      <c r="V504" s="113"/>
    </row>
    <row r="505" customFormat="false" ht="15" hidden="false" customHeight="true" outlineLevel="0" collapsed="false">
      <c r="H505" s="113"/>
      <c r="I505" s="113"/>
      <c r="J505" s="113"/>
      <c r="L505" s="113"/>
      <c r="M505" s="113"/>
      <c r="N505" s="113"/>
      <c r="P505" s="113"/>
      <c r="Q505" s="113"/>
      <c r="R505" s="113"/>
      <c r="T505" s="113"/>
      <c r="U505" s="113"/>
      <c r="V505" s="113"/>
    </row>
    <row r="506" customFormat="false" ht="15" hidden="false" customHeight="true" outlineLevel="0" collapsed="false">
      <c r="H506" s="113"/>
      <c r="I506" s="113"/>
      <c r="J506" s="113"/>
      <c r="L506" s="113"/>
      <c r="M506" s="113"/>
      <c r="N506" s="113"/>
      <c r="P506" s="113"/>
      <c r="Q506" s="113"/>
      <c r="R506" s="113"/>
      <c r="T506" s="113"/>
      <c r="U506" s="113"/>
      <c r="V506" s="113"/>
    </row>
    <row r="507" customFormat="false" ht="15" hidden="false" customHeight="true" outlineLevel="0" collapsed="false">
      <c r="H507" s="113"/>
      <c r="I507" s="113"/>
      <c r="J507" s="113"/>
      <c r="L507" s="113"/>
      <c r="M507" s="113"/>
      <c r="N507" s="113"/>
      <c r="P507" s="113"/>
      <c r="Q507" s="113"/>
      <c r="R507" s="113"/>
      <c r="T507" s="113"/>
      <c r="U507" s="113"/>
      <c r="V507" s="113"/>
    </row>
    <row r="508" customFormat="false" ht="15" hidden="false" customHeight="true" outlineLevel="0" collapsed="false">
      <c r="H508" s="113"/>
      <c r="I508" s="113"/>
      <c r="J508" s="113"/>
      <c r="L508" s="113"/>
      <c r="M508" s="113"/>
      <c r="N508" s="113"/>
      <c r="P508" s="113"/>
      <c r="Q508" s="113"/>
      <c r="R508" s="113"/>
      <c r="T508" s="113"/>
      <c r="U508" s="113"/>
      <c r="V508" s="113"/>
    </row>
    <row r="509" customFormat="false" ht="15" hidden="false" customHeight="true" outlineLevel="0" collapsed="false">
      <c r="H509" s="113"/>
      <c r="I509" s="113"/>
      <c r="J509" s="113"/>
      <c r="L509" s="113"/>
      <c r="M509" s="113"/>
      <c r="N509" s="113"/>
      <c r="P509" s="113"/>
      <c r="Q509" s="113"/>
      <c r="R509" s="113"/>
      <c r="T509" s="113"/>
      <c r="U509" s="113"/>
      <c r="V509" s="113"/>
    </row>
    <row r="510" customFormat="false" ht="15" hidden="false" customHeight="true" outlineLevel="0" collapsed="false">
      <c r="H510" s="113"/>
      <c r="I510" s="113"/>
      <c r="J510" s="113"/>
      <c r="L510" s="113"/>
      <c r="M510" s="113"/>
      <c r="N510" s="113"/>
      <c r="P510" s="113"/>
      <c r="Q510" s="113"/>
      <c r="R510" s="113"/>
      <c r="T510" s="113"/>
      <c r="U510" s="113"/>
      <c r="V510" s="113"/>
    </row>
    <row r="511" customFormat="false" ht="15" hidden="false" customHeight="true" outlineLevel="0" collapsed="false">
      <c r="H511" s="113"/>
      <c r="I511" s="113"/>
      <c r="J511" s="113"/>
      <c r="L511" s="113"/>
      <c r="M511" s="113"/>
      <c r="N511" s="113"/>
      <c r="P511" s="113"/>
      <c r="Q511" s="113"/>
      <c r="R511" s="113"/>
      <c r="T511" s="113"/>
      <c r="U511" s="113"/>
      <c r="V511" s="113"/>
    </row>
    <row r="512" customFormat="false" ht="15" hidden="false" customHeight="true" outlineLevel="0" collapsed="false">
      <c r="H512" s="113"/>
      <c r="I512" s="113"/>
      <c r="J512" s="113"/>
      <c r="L512" s="113"/>
      <c r="M512" s="113"/>
      <c r="N512" s="113"/>
      <c r="P512" s="113"/>
      <c r="Q512" s="113"/>
      <c r="R512" s="113"/>
      <c r="T512" s="113"/>
      <c r="U512" s="113"/>
      <c r="V512" s="113"/>
    </row>
    <row r="513" customFormat="false" ht="15" hidden="false" customHeight="true" outlineLevel="0" collapsed="false">
      <c r="H513" s="113"/>
      <c r="I513" s="113"/>
      <c r="J513" s="113"/>
      <c r="L513" s="113"/>
      <c r="M513" s="113"/>
      <c r="N513" s="113"/>
      <c r="P513" s="113"/>
      <c r="Q513" s="113"/>
      <c r="R513" s="113"/>
      <c r="T513" s="113"/>
      <c r="U513" s="113"/>
      <c r="V513" s="113"/>
    </row>
    <row r="514" customFormat="false" ht="15" hidden="false" customHeight="true" outlineLevel="0" collapsed="false">
      <c r="H514" s="113"/>
      <c r="I514" s="113"/>
      <c r="J514" s="113"/>
      <c r="L514" s="113"/>
      <c r="M514" s="113"/>
      <c r="N514" s="113"/>
      <c r="P514" s="113"/>
      <c r="Q514" s="113"/>
      <c r="R514" s="113"/>
      <c r="T514" s="113"/>
      <c r="U514" s="113"/>
      <c r="V514" s="113"/>
    </row>
    <row r="515" customFormat="false" ht="15" hidden="false" customHeight="true" outlineLevel="0" collapsed="false">
      <c r="H515" s="113"/>
      <c r="I515" s="113"/>
      <c r="J515" s="113"/>
      <c r="L515" s="113"/>
      <c r="M515" s="113"/>
      <c r="N515" s="113"/>
      <c r="P515" s="113"/>
      <c r="Q515" s="113"/>
      <c r="R515" s="113"/>
      <c r="T515" s="113"/>
      <c r="U515" s="113"/>
      <c r="V515" s="113"/>
    </row>
    <row r="516" customFormat="false" ht="15" hidden="false" customHeight="true" outlineLevel="0" collapsed="false">
      <c r="H516" s="113"/>
      <c r="I516" s="113"/>
      <c r="J516" s="113"/>
      <c r="L516" s="113"/>
      <c r="M516" s="113"/>
      <c r="N516" s="113"/>
      <c r="P516" s="113"/>
      <c r="Q516" s="113"/>
      <c r="R516" s="113"/>
      <c r="T516" s="113"/>
      <c r="U516" s="113"/>
      <c r="V516" s="113"/>
    </row>
    <row r="517" customFormat="false" ht="15" hidden="false" customHeight="true" outlineLevel="0" collapsed="false">
      <c r="H517" s="113"/>
      <c r="I517" s="113"/>
      <c r="J517" s="113"/>
      <c r="L517" s="113"/>
      <c r="M517" s="113"/>
      <c r="N517" s="113"/>
      <c r="P517" s="113"/>
      <c r="Q517" s="113"/>
      <c r="R517" s="113"/>
      <c r="T517" s="113"/>
      <c r="U517" s="113"/>
      <c r="V517" s="113"/>
    </row>
    <row r="518" customFormat="false" ht="15" hidden="false" customHeight="true" outlineLevel="0" collapsed="false">
      <c r="H518" s="113"/>
      <c r="I518" s="113"/>
      <c r="J518" s="113"/>
      <c r="L518" s="113"/>
      <c r="M518" s="113"/>
      <c r="N518" s="113"/>
      <c r="P518" s="113"/>
      <c r="Q518" s="113"/>
      <c r="R518" s="113"/>
      <c r="T518" s="113"/>
      <c r="U518" s="113"/>
      <c r="V518" s="113"/>
    </row>
    <row r="519" customFormat="false" ht="15" hidden="false" customHeight="true" outlineLevel="0" collapsed="false">
      <c r="H519" s="113"/>
      <c r="I519" s="113"/>
      <c r="J519" s="113"/>
      <c r="L519" s="113"/>
      <c r="M519" s="113"/>
      <c r="N519" s="113"/>
      <c r="P519" s="113"/>
      <c r="Q519" s="113"/>
      <c r="R519" s="113"/>
      <c r="T519" s="113"/>
      <c r="U519" s="113"/>
      <c r="V519" s="113"/>
    </row>
    <row r="520" customFormat="false" ht="15" hidden="false" customHeight="true" outlineLevel="0" collapsed="false">
      <c r="H520" s="113"/>
      <c r="I520" s="113"/>
      <c r="J520" s="113"/>
      <c r="L520" s="113"/>
      <c r="M520" s="113"/>
      <c r="N520" s="113"/>
      <c r="P520" s="113"/>
      <c r="Q520" s="113"/>
      <c r="R520" s="113"/>
      <c r="T520" s="113"/>
      <c r="U520" s="113"/>
      <c r="V520" s="113"/>
    </row>
    <row r="521" customFormat="false" ht="15" hidden="false" customHeight="true" outlineLevel="0" collapsed="false">
      <c r="H521" s="113"/>
      <c r="I521" s="113"/>
      <c r="J521" s="113"/>
      <c r="L521" s="113"/>
      <c r="M521" s="113"/>
      <c r="N521" s="113"/>
      <c r="P521" s="113"/>
      <c r="Q521" s="113"/>
      <c r="R521" s="113"/>
      <c r="T521" s="113"/>
      <c r="U521" s="113"/>
      <c r="V521" s="113"/>
    </row>
    <row r="522" customFormat="false" ht="15" hidden="false" customHeight="true" outlineLevel="0" collapsed="false">
      <c r="H522" s="113"/>
      <c r="I522" s="113"/>
      <c r="J522" s="113"/>
      <c r="L522" s="113"/>
      <c r="M522" s="113"/>
      <c r="N522" s="113"/>
      <c r="P522" s="113"/>
      <c r="Q522" s="113"/>
      <c r="R522" s="113"/>
      <c r="T522" s="113"/>
      <c r="U522" s="113"/>
      <c r="V522" s="113"/>
    </row>
    <row r="523" customFormat="false" ht="15" hidden="false" customHeight="true" outlineLevel="0" collapsed="false">
      <c r="H523" s="113"/>
      <c r="I523" s="113"/>
      <c r="J523" s="113"/>
      <c r="L523" s="113"/>
      <c r="M523" s="113"/>
      <c r="N523" s="113"/>
      <c r="P523" s="113"/>
      <c r="Q523" s="113"/>
      <c r="R523" s="113"/>
      <c r="T523" s="113"/>
      <c r="U523" s="113"/>
      <c r="V523" s="113"/>
    </row>
    <row r="524" customFormat="false" ht="15" hidden="false" customHeight="true" outlineLevel="0" collapsed="false">
      <c r="H524" s="113"/>
      <c r="I524" s="113"/>
      <c r="J524" s="113"/>
      <c r="L524" s="113"/>
      <c r="M524" s="113"/>
      <c r="N524" s="113"/>
      <c r="P524" s="113"/>
      <c r="Q524" s="113"/>
      <c r="R524" s="113"/>
      <c r="T524" s="113"/>
      <c r="U524" s="113"/>
      <c r="V524" s="113"/>
    </row>
    <row r="525" customFormat="false" ht="15" hidden="false" customHeight="true" outlineLevel="0" collapsed="false">
      <c r="H525" s="113"/>
      <c r="I525" s="113"/>
      <c r="J525" s="113"/>
      <c r="L525" s="113"/>
      <c r="M525" s="113"/>
      <c r="N525" s="113"/>
      <c r="P525" s="113"/>
      <c r="Q525" s="113"/>
      <c r="R525" s="113"/>
      <c r="T525" s="113"/>
      <c r="U525" s="113"/>
      <c r="V525" s="113"/>
    </row>
    <row r="526" customFormat="false" ht="15" hidden="false" customHeight="true" outlineLevel="0" collapsed="false">
      <c r="H526" s="113"/>
      <c r="I526" s="113"/>
      <c r="J526" s="113"/>
      <c r="L526" s="113"/>
      <c r="M526" s="113"/>
      <c r="N526" s="113"/>
      <c r="P526" s="113"/>
      <c r="Q526" s="113"/>
      <c r="R526" s="113"/>
      <c r="T526" s="113"/>
      <c r="U526" s="113"/>
      <c r="V526" s="113"/>
    </row>
    <row r="527" customFormat="false" ht="15" hidden="false" customHeight="true" outlineLevel="0" collapsed="false">
      <c r="H527" s="113"/>
      <c r="I527" s="113"/>
      <c r="J527" s="113"/>
      <c r="L527" s="113"/>
      <c r="M527" s="113"/>
      <c r="N527" s="113"/>
      <c r="P527" s="113"/>
      <c r="Q527" s="113"/>
      <c r="R527" s="113"/>
      <c r="T527" s="113"/>
      <c r="U527" s="113"/>
      <c r="V527" s="113"/>
    </row>
    <row r="528" customFormat="false" ht="15" hidden="false" customHeight="true" outlineLevel="0" collapsed="false">
      <c r="H528" s="113"/>
      <c r="I528" s="113"/>
      <c r="J528" s="113"/>
      <c r="L528" s="113"/>
      <c r="M528" s="113"/>
      <c r="N528" s="113"/>
      <c r="P528" s="113"/>
      <c r="Q528" s="113"/>
      <c r="R528" s="113"/>
      <c r="T528" s="113"/>
      <c r="U528" s="113"/>
      <c r="V528" s="113"/>
    </row>
    <row r="529" customFormat="false" ht="15" hidden="false" customHeight="true" outlineLevel="0" collapsed="false">
      <c r="H529" s="113"/>
      <c r="I529" s="113"/>
      <c r="J529" s="113"/>
      <c r="L529" s="113"/>
      <c r="M529" s="113"/>
      <c r="N529" s="113"/>
      <c r="P529" s="113"/>
      <c r="Q529" s="113"/>
      <c r="R529" s="113"/>
      <c r="T529" s="113"/>
      <c r="U529" s="113"/>
      <c r="V529" s="113"/>
    </row>
    <row r="530" customFormat="false" ht="15" hidden="false" customHeight="true" outlineLevel="0" collapsed="false">
      <c r="H530" s="113"/>
      <c r="I530" s="113"/>
      <c r="J530" s="113"/>
      <c r="L530" s="113"/>
      <c r="M530" s="113"/>
      <c r="N530" s="113"/>
      <c r="P530" s="113"/>
      <c r="Q530" s="113"/>
      <c r="R530" s="113"/>
      <c r="T530" s="113"/>
      <c r="U530" s="113"/>
      <c r="V530" s="113"/>
    </row>
    <row r="531" customFormat="false" ht="15" hidden="false" customHeight="true" outlineLevel="0" collapsed="false">
      <c r="H531" s="113"/>
      <c r="I531" s="113"/>
      <c r="J531" s="113"/>
      <c r="L531" s="113"/>
      <c r="M531" s="113"/>
      <c r="N531" s="113"/>
      <c r="P531" s="113"/>
      <c r="Q531" s="113"/>
      <c r="R531" s="113"/>
      <c r="T531" s="113"/>
      <c r="U531" s="113"/>
      <c r="V531" s="113"/>
    </row>
    <row r="532" customFormat="false" ht="15" hidden="false" customHeight="true" outlineLevel="0" collapsed="false">
      <c r="H532" s="113"/>
      <c r="I532" s="113"/>
      <c r="J532" s="113"/>
      <c r="L532" s="113"/>
      <c r="M532" s="113"/>
      <c r="N532" s="113"/>
      <c r="P532" s="113"/>
      <c r="Q532" s="113"/>
      <c r="R532" s="113"/>
      <c r="T532" s="113"/>
      <c r="U532" s="113"/>
      <c r="V532" s="113"/>
    </row>
    <row r="533" customFormat="false" ht="15" hidden="false" customHeight="true" outlineLevel="0" collapsed="false">
      <c r="H533" s="113"/>
      <c r="I533" s="113"/>
      <c r="J533" s="113"/>
      <c r="L533" s="113"/>
      <c r="M533" s="113"/>
      <c r="N533" s="113"/>
      <c r="P533" s="113"/>
      <c r="Q533" s="113"/>
      <c r="R533" s="113"/>
      <c r="T533" s="113"/>
      <c r="U533" s="113"/>
      <c r="V533" s="113"/>
    </row>
    <row r="534" customFormat="false" ht="15" hidden="false" customHeight="true" outlineLevel="0" collapsed="false">
      <c r="H534" s="113"/>
      <c r="I534" s="113"/>
      <c r="J534" s="113"/>
      <c r="L534" s="113"/>
      <c r="M534" s="113"/>
      <c r="N534" s="113"/>
      <c r="P534" s="113"/>
      <c r="Q534" s="113"/>
      <c r="R534" s="113"/>
      <c r="T534" s="113"/>
      <c r="U534" s="113"/>
      <c r="V534" s="113"/>
    </row>
    <row r="535" customFormat="false" ht="15" hidden="false" customHeight="true" outlineLevel="0" collapsed="false">
      <c r="H535" s="113"/>
      <c r="I535" s="113"/>
      <c r="J535" s="113"/>
      <c r="L535" s="113"/>
      <c r="M535" s="113"/>
      <c r="N535" s="113"/>
      <c r="P535" s="113"/>
      <c r="Q535" s="113"/>
      <c r="R535" s="113"/>
      <c r="T535" s="113"/>
      <c r="U535" s="113"/>
      <c r="V535" s="113"/>
    </row>
    <row r="536" customFormat="false" ht="15" hidden="false" customHeight="true" outlineLevel="0" collapsed="false">
      <c r="H536" s="113"/>
      <c r="I536" s="113"/>
      <c r="J536" s="113"/>
      <c r="L536" s="113"/>
      <c r="M536" s="113"/>
      <c r="N536" s="113"/>
      <c r="P536" s="113"/>
      <c r="Q536" s="113"/>
      <c r="R536" s="113"/>
      <c r="T536" s="113"/>
      <c r="U536" s="113"/>
      <c r="V536" s="113"/>
    </row>
    <row r="537" customFormat="false" ht="15" hidden="false" customHeight="true" outlineLevel="0" collapsed="false">
      <c r="H537" s="113"/>
      <c r="I537" s="113"/>
      <c r="J537" s="113"/>
      <c r="L537" s="113"/>
      <c r="M537" s="113"/>
      <c r="N537" s="113"/>
      <c r="P537" s="113"/>
      <c r="Q537" s="113"/>
      <c r="R537" s="113"/>
      <c r="T537" s="113"/>
      <c r="U537" s="113"/>
      <c r="V537" s="113"/>
    </row>
    <row r="538" customFormat="false" ht="15" hidden="false" customHeight="true" outlineLevel="0" collapsed="false">
      <c r="H538" s="113"/>
      <c r="I538" s="113"/>
      <c r="J538" s="113"/>
      <c r="L538" s="113"/>
      <c r="M538" s="113"/>
      <c r="N538" s="113"/>
      <c r="P538" s="113"/>
      <c r="Q538" s="113"/>
      <c r="R538" s="113"/>
      <c r="T538" s="113"/>
      <c r="U538" s="113"/>
      <c r="V538" s="113"/>
    </row>
    <row r="539" customFormat="false" ht="15" hidden="false" customHeight="true" outlineLevel="0" collapsed="false">
      <c r="H539" s="113"/>
      <c r="I539" s="113"/>
      <c r="J539" s="113"/>
      <c r="L539" s="113"/>
      <c r="M539" s="113"/>
      <c r="N539" s="113"/>
      <c r="P539" s="113"/>
      <c r="Q539" s="113"/>
      <c r="R539" s="113"/>
      <c r="T539" s="113"/>
      <c r="U539" s="113"/>
      <c r="V539" s="113"/>
    </row>
    <row r="540" customFormat="false" ht="15" hidden="false" customHeight="true" outlineLevel="0" collapsed="false">
      <c r="H540" s="113"/>
      <c r="I540" s="113"/>
      <c r="J540" s="113"/>
      <c r="L540" s="113"/>
      <c r="M540" s="113"/>
      <c r="N540" s="113"/>
      <c r="P540" s="113"/>
      <c r="Q540" s="113"/>
      <c r="R540" s="113"/>
      <c r="T540" s="113"/>
      <c r="U540" s="113"/>
      <c r="V540" s="113"/>
    </row>
    <row r="541" customFormat="false" ht="15" hidden="false" customHeight="true" outlineLevel="0" collapsed="false">
      <c r="H541" s="113"/>
      <c r="I541" s="113"/>
      <c r="J541" s="113"/>
      <c r="L541" s="113"/>
      <c r="M541" s="113"/>
      <c r="N541" s="113"/>
      <c r="P541" s="113"/>
      <c r="Q541" s="113"/>
      <c r="R541" s="113"/>
      <c r="T541" s="113"/>
      <c r="U541" s="113"/>
      <c r="V541" s="113"/>
    </row>
    <row r="542" customFormat="false" ht="15" hidden="false" customHeight="true" outlineLevel="0" collapsed="false">
      <c r="H542" s="113"/>
      <c r="I542" s="113"/>
      <c r="J542" s="113"/>
      <c r="L542" s="113"/>
      <c r="M542" s="113"/>
      <c r="N542" s="113"/>
      <c r="P542" s="113"/>
      <c r="Q542" s="113"/>
      <c r="R542" s="113"/>
      <c r="T542" s="113"/>
      <c r="U542" s="113"/>
      <c r="V542" s="113"/>
    </row>
    <row r="543" customFormat="false" ht="15" hidden="false" customHeight="true" outlineLevel="0" collapsed="false">
      <c r="H543" s="113"/>
      <c r="I543" s="113"/>
      <c r="J543" s="113"/>
      <c r="L543" s="113"/>
      <c r="M543" s="113"/>
      <c r="N543" s="113"/>
      <c r="P543" s="113"/>
      <c r="Q543" s="113"/>
      <c r="R543" s="113"/>
      <c r="T543" s="113"/>
      <c r="U543" s="113"/>
      <c r="V543" s="113"/>
    </row>
    <row r="544" customFormat="false" ht="15" hidden="false" customHeight="true" outlineLevel="0" collapsed="false">
      <c r="H544" s="113"/>
      <c r="I544" s="113"/>
      <c r="J544" s="113"/>
      <c r="L544" s="113"/>
      <c r="M544" s="113"/>
      <c r="N544" s="113"/>
      <c r="P544" s="113"/>
      <c r="Q544" s="113"/>
      <c r="R544" s="113"/>
      <c r="T544" s="113"/>
      <c r="U544" s="113"/>
      <c r="V544" s="113"/>
    </row>
    <row r="545" customFormat="false" ht="15" hidden="false" customHeight="true" outlineLevel="0" collapsed="false">
      <c r="H545" s="113"/>
      <c r="I545" s="113"/>
      <c r="J545" s="113"/>
      <c r="L545" s="113"/>
      <c r="M545" s="113"/>
      <c r="N545" s="113"/>
      <c r="P545" s="113"/>
      <c r="Q545" s="113"/>
      <c r="R545" s="113"/>
      <c r="T545" s="113"/>
      <c r="U545" s="113"/>
      <c r="V545" s="113"/>
    </row>
    <row r="546" customFormat="false" ht="15" hidden="false" customHeight="true" outlineLevel="0" collapsed="false">
      <c r="H546" s="113"/>
      <c r="I546" s="113"/>
      <c r="J546" s="113"/>
      <c r="L546" s="113"/>
      <c r="M546" s="113"/>
      <c r="N546" s="113"/>
      <c r="P546" s="113"/>
      <c r="Q546" s="113"/>
      <c r="R546" s="113"/>
      <c r="T546" s="113"/>
      <c r="U546" s="113"/>
      <c r="V546" s="113"/>
    </row>
    <row r="547" customFormat="false" ht="15" hidden="false" customHeight="true" outlineLevel="0" collapsed="false">
      <c r="H547" s="113"/>
      <c r="I547" s="113"/>
      <c r="J547" s="113"/>
      <c r="L547" s="113"/>
      <c r="M547" s="113"/>
      <c r="N547" s="113"/>
      <c r="P547" s="113"/>
      <c r="Q547" s="113"/>
      <c r="R547" s="113"/>
      <c r="T547" s="113"/>
      <c r="U547" s="113"/>
      <c r="V547" s="113"/>
    </row>
    <row r="548" customFormat="false" ht="15" hidden="false" customHeight="true" outlineLevel="0" collapsed="false">
      <c r="H548" s="113"/>
      <c r="I548" s="113"/>
      <c r="J548" s="113"/>
      <c r="L548" s="113"/>
      <c r="M548" s="113"/>
      <c r="N548" s="113"/>
      <c r="P548" s="113"/>
      <c r="Q548" s="113"/>
      <c r="R548" s="113"/>
      <c r="T548" s="113"/>
      <c r="U548" s="113"/>
      <c r="V548" s="113"/>
    </row>
    <row r="549" customFormat="false" ht="15" hidden="false" customHeight="true" outlineLevel="0" collapsed="false">
      <c r="H549" s="113"/>
      <c r="I549" s="113"/>
      <c r="J549" s="113"/>
      <c r="L549" s="113"/>
      <c r="M549" s="113"/>
      <c r="N549" s="113"/>
      <c r="P549" s="113"/>
      <c r="Q549" s="113"/>
      <c r="R549" s="113"/>
      <c r="T549" s="113"/>
      <c r="U549" s="113"/>
      <c r="V549" s="113"/>
    </row>
    <row r="550" customFormat="false" ht="15" hidden="false" customHeight="true" outlineLevel="0" collapsed="false">
      <c r="H550" s="113"/>
      <c r="I550" s="113"/>
      <c r="J550" s="113"/>
      <c r="L550" s="113"/>
      <c r="M550" s="113"/>
      <c r="N550" s="113"/>
      <c r="P550" s="113"/>
      <c r="Q550" s="113"/>
      <c r="R550" s="113"/>
      <c r="T550" s="113"/>
      <c r="U550" s="113"/>
      <c r="V550" s="113"/>
    </row>
    <row r="551" customFormat="false" ht="15" hidden="false" customHeight="true" outlineLevel="0" collapsed="false">
      <c r="H551" s="113"/>
      <c r="I551" s="113"/>
      <c r="J551" s="113"/>
      <c r="L551" s="113"/>
      <c r="M551" s="113"/>
      <c r="N551" s="113"/>
      <c r="P551" s="113"/>
      <c r="Q551" s="113"/>
      <c r="R551" s="113"/>
      <c r="T551" s="113"/>
      <c r="U551" s="113"/>
      <c r="V551" s="113"/>
    </row>
    <row r="552" customFormat="false" ht="15" hidden="false" customHeight="true" outlineLevel="0" collapsed="false">
      <c r="H552" s="113"/>
      <c r="I552" s="113"/>
      <c r="J552" s="113"/>
      <c r="L552" s="113"/>
      <c r="M552" s="113"/>
      <c r="N552" s="113"/>
      <c r="P552" s="113"/>
      <c r="Q552" s="113"/>
      <c r="R552" s="113"/>
      <c r="T552" s="113"/>
      <c r="U552" s="113"/>
      <c r="V552" s="113"/>
    </row>
    <row r="553" customFormat="false" ht="15" hidden="false" customHeight="true" outlineLevel="0" collapsed="false">
      <c r="H553" s="113"/>
      <c r="I553" s="113"/>
      <c r="J553" s="113"/>
      <c r="L553" s="113"/>
      <c r="M553" s="113"/>
      <c r="N553" s="113"/>
      <c r="P553" s="113"/>
      <c r="Q553" s="113"/>
      <c r="R553" s="113"/>
      <c r="T553" s="113"/>
      <c r="U553" s="113"/>
      <c r="V553" s="113"/>
    </row>
    <row r="554" customFormat="false" ht="15" hidden="false" customHeight="true" outlineLevel="0" collapsed="false">
      <c r="H554" s="113"/>
      <c r="I554" s="113"/>
      <c r="J554" s="113"/>
      <c r="L554" s="113"/>
      <c r="M554" s="113"/>
      <c r="N554" s="113"/>
      <c r="P554" s="113"/>
      <c r="Q554" s="113"/>
      <c r="R554" s="113"/>
      <c r="T554" s="113"/>
      <c r="U554" s="113"/>
      <c r="V554" s="113"/>
    </row>
    <row r="555" customFormat="false" ht="15" hidden="false" customHeight="true" outlineLevel="0" collapsed="false">
      <c r="H555" s="113"/>
      <c r="I555" s="113"/>
      <c r="J555" s="113"/>
      <c r="L555" s="113"/>
      <c r="M555" s="113"/>
      <c r="N555" s="113"/>
      <c r="P555" s="113"/>
      <c r="Q555" s="113"/>
      <c r="R555" s="113"/>
      <c r="T555" s="113"/>
      <c r="U555" s="113"/>
      <c r="V555" s="113"/>
    </row>
    <row r="556" customFormat="false" ht="15" hidden="false" customHeight="true" outlineLevel="0" collapsed="false">
      <c r="H556" s="113"/>
      <c r="I556" s="113"/>
      <c r="J556" s="113"/>
      <c r="L556" s="113"/>
      <c r="M556" s="113"/>
      <c r="N556" s="113"/>
      <c r="P556" s="113"/>
      <c r="Q556" s="113"/>
      <c r="R556" s="113"/>
      <c r="T556" s="113"/>
      <c r="U556" s="113"/>
      <c r="V556" s="113"/>
    </row>
    <row r="557" customFormat="false" ht="15" hidden="false" customHeight="true" outlineLevel="0" collapsed="false">
      <c r="H557" s="113"/>
      <c r="I557" s="113"/>
      <c r="J557" s="113"/>
      <c r="L557" s="113"/>
      <c r="M557" s="113"/>
      <c r="N557" s="113"/>
      <c r="P557" s="113"/>
      <c r="Q557" s="113"/>
      <c r="R557" s="113"/>
      <c r="T557" s="113"/>
      <c r="U557" s="113"/>
      <c r="V557" s="113"/>
    </row>
    <row r="558" customFormat="false" ht="15" hidden="false" customHeight="true" outlineLevel="0" collapsed="false">
      <c r="H558" s="113"/>
      <c r="I558" s="113"/>
      <c r="J558" s="113"/>
      <c r="L558" s="113"/>
      <c r="M558" s="113"/>
      <c r="N558" s="113"/>
      <c r="P558" s="113"/>
      <c r="Q558" s="113"/>
      <c r="R558" s="113"/>
      <c r="T558" s="113"/>
      <c r="U558" s="113"/>
      <c r="V558" s="113"/>
    </row>
    <row r="559" customFormat="false" ht="15" hidden="false" customHeight="true" outlineLevel="0" collapsed="false">
      <c r="H559" s="113"/>
      <c r="I559" s="113"/>
      <c r="J559" s="113"/>
      <c r="L559" s="113"/>
      <c r="M559" s="113"/>
      <c r="N559" s="113"/>
      <c r="P559" s="113"/>
      <c r="Q559" s="113"/>
      <c r="R559" s="113"/>
      <c r="T559" s="113"/>
      <c r="U559" s="113"/>
      <c r="V559" s="113"/>
    </row>
    <row r="560" customFormat="false" ht="15" hidden="false" customHeight="true" outlineLevel="0" collapsed="false">
      <c r="H560" s="113"/>
      <c r="I560" s="113"/>
      <c r="J560" s="113"/>
      <c r="L560" s="113"/>
      <c r="M560" s="113"/>
      <c r="N560" s="113"/>
      <c r="P560" s="113"/>
      <c r="Q560" s="113"/>
      <c r="R560" s="113"/>
      <c r="T560" s="113"/>
      <c r="U560" s="113"/>
      <c r="V560" s="113"/>
    </row>
    <row r="561" customFormat="false" ht="15" hidden="false" customHeight="true" outlineLevel="0" collapsed="false">
      <c r="H561" s="113"/>
      <c r="I561" s="113"/>
      <c r="J561" s="113"/>
      <c r="L561" s="113"/>
      <c r="M561" s="113"/>
      <c r="N561" s="113"/>
      <c r="P561" s="113"/>
      <c r="Q561" s="113"/>
      <c r="R561" s="113"/>
      <c r="T561" s="113"/>
      <c r="U561" s="113"/>
      <c r="V561" s="113"/>
    </row>
    <row r="562" customFormat="false" ht="15" hidden="false" customHeight="true" outlineLevel="0" collapsed="false">
      <c r="H562" s="113"/>
      <c r="I562" s="113"/>
      <c r="J562" s="113"/>
      <c r="L562" s="113"/>
      <c r="M562" s="113"/>
      <c r="N562" s="113"/>
      <c r="P562" s="113"/>
      <c r="Q562" s="113"/>
      <c r="R562" s="113"/>
      <c r="T562" s="113"/>
      <c r="U562" s="113"/>
      <c r="V562" s="113"/>
    </row>
    <row r="563" customFormat="false" ht="15" hidden="false" customHeight="true" outlineLevel="0" collapsed="false">
      <c r="H563" s="113"/>
      <c r="I563" s="113"/>
      <c r="J563" s="113"/>
      <c r="L563" s="113"/>
      <c r="M563" s="113"/>
      <c r="N563" s="113"/>
      <c r="P563" s="113"/>
      <c r="Q563" s="113"/>
      <c r="R563" s="113"/>
      <c r="T563" s="113"/>
      <c r="U563" s="113"/>
      <c r="V563" s="113"/>
    </row>
    <row r="564" customFormat="false" ht="15" hidden="false" customHeight="true" outlineLevel="0" collapsed="false">
      <c r="H564" s="113"/>
      <c r="I564" s="113"/>
      <c r="J564" s="113"/>
      <c r="L564" s="113"/>
      <c r="M564" s="113"/>
      <c r="N564" s="113"/>
      <c r="P564" s="113"/>
      <c r="Q564" s="113"/>
      <c r="R564" s="113"/>
      <c r="T564" s="113"/>
      <c r="U564" s="113"/>
      <c r="V564" s="113"/>
    </row>
    <row r="565" customFormat="false" ht="15" hidden="false" customHeight="true" outlineLevel="0" collapsed="false">
      <c r="H565" s="113"/>
      <c r="I565" s="113"/>
      <c r="J565" s="113"/>
      <c r="L565" s="113"/>
      <c r="M565" s="113"/>
      <c r="N565" s="113"/>
      <c r="P565" s="113"/>
      <c r="Q565" s="113"/>
      <c r="R565" s="113"/>
      <c r="T565" s="113"/>
      <c r="U565" s="113"/>
      <c r="V565" s="113"/>
    </row>
    <row r="566" customFormat="false" ht="15" hidden="false" customHeight="true" outlineLevel="0" collapsed="false">
      <c r="H566" s="113"/>
      <c r="I566" s="113"/>
      <c r="J566" s="113"/>
      <c r="L566" s="113"/>
      <c r="M566" s="113"/>
      <c r="N566" s="113"/>
      <c r="P566" s="113"/>
      <c r="Q566" s="113"/>
      <c r="R566" s="113"/>
      <c r="T566" s="113"/>
      <c r="U566" s="113"/>
      <c r="V566" s="113"/>
    </row>
    <row r="567" customFormat="false" ht="15" hidden="false" customHeight="true" outlineLevel="0" collapsed="false">
      <c r="H567" s="113"/>
      <c r="I567" s="113"/>
      <c r="J567" s="113"/>
      <c r="L567" s="113"/>
      <c r="M567" s="113"/>
      <c r="N567" s="113"/>
      <c r="P567" s="113"/>
      <c r="Q567" s="113"/>
      <c r="R567" s="113"/>
      <c r="T567" s="113"/>
      <c r="U567" s="113"/>
      <c r="V567" s="113"/>
    </row>
    <row r="568" customFormat="false" ht="15" hidden="false" customHeight="true" outlineLevel="0" collapsed="false">
      <c r="H568" s="113"/>
      <c r="I568" s="113"/>
      <c r="J568" s="113"/>
      <c r="L568" s="113"/>
      <c r="M568" s="113"/>
      <c r="N568" s="113"/>
      <c r="P568" s="113"/>
      <c r="Q568" s="113"/>
      <c r="R568" s="113"/>
      <c r="T568" s="113"/>
      <c r="U568" s="113"/>
      <c r="V568" s="113"/>
    </row>
    <row r="569" customFormat="false" ht="15" hidden="false" customHeight="true" outlineLevel="0" collapsed="false">
      <c r="H569" s="113"/>
      <c r="I569" s="113"/>
      <c r="J569" s="113"/>
      <c r="L569" s="113"/>
      <c r="M569" s="113"/>
      <c r="N569" s="113"/>
      <c r="P569" s="113"/>
      <c r="Q569" s="113"/>
      <c r="R569" s="113"/>
      <c r="T569" s="113"/>
      <c r="U569" s="113"/>
      <c r="V569" s="113"/>
    </row>
    <row r="570" customFormat="false" ht="15" hidden="false" customHeight="true" outlineLevel="0" collapsed="false">
      <c r="H570" s="113"/>
      <c r="I570" s="113"/>
      <c r="J570" s="113"/>
      <c r="L570" s="113"/>
      <c r="M570" s="113"/>
      <c r="N570" s="113"/>
      <c r="P570" s="113"/>
      <c r="Q570" s="113"/>
      <c r="R570" s="113"/>
      <c r="T570" s="113"/>
      <c r="U570" s="113"/>
      <c r="V570" s="113"/>
    </row>
    <row r="571" customFormat="false" ht="15" hidden="false" customHeight="true" outlineLevel="0" collapsed="false">
      <c r="H571" s="113"/>
      <c r="I571" s="113"/>
      <c r="J571" s="113"/>
      <c r="L571" s="113"/>
      <c r="M571" s="113"/>
      <c r="N571" s="113"/>
      <c r="P571" s="113"/>
      <c r="Q571" s="113"/>
      <c r="R571" s="113"/>
      <c r="T571" s="113"/>
      <c r="U571" s="113"/>
      <c r="V571" s="113"/>
    </row>
    <row r="572" customFormat="false" ht="15" hidden="false" customHeight="true" outlineLevel="0" collapsed="false">
      <c r="H572" s="113"/>
      <c r="I572" s="113"/>
      <c r="J572" s="113"/>
      <c r="L572" s="113"/>
      <c r="M572" s="113"/>
      <c r="N572" s="113"/>
      <c r="P572" s="113"/>
      <c r="Q572" s="113"/>
      <c r="R572" s="113"/>
      <c r="T572" s="113"/>
      <c r="U572" s="113"/>
      <c r="V572" s="113"/>
    </row>
    <row r="573" customFormat="false" ht="15" hidden="false" customHeight="true" outlineLevel="0" collapsed="false">
      <c r="H573" s="113"/>
      <c r="I573" s="113"/>
      <c r="J573" s="113"/>
      <c r="L573" s="113"/>
      <c r="M573" s="113"/>
      <c r="N573" s="113"/>
      <c r="P573" s="113"/>
      <c r="Q573" s="113"/>
      <c r="R573" s="113"/>
      <c r="T573" s="113"/>
      <c r="U573" s="113"/>
      <c r="V573" s="113"/>
    </row>
    <row r="574" customFormat="false" ht="15" hidden="false" customHeight="true" outlineLevel="0" collapsed="false">
      <c r="H574" s="113"/>
      <c r="I574" s="113"/>
      <c r="J574" s="113"/>
      <c r="L574" s="113"/>
      <c r="M574" s="113"/>
      <c r="N574" s="113"/>
      <c r="P574" s="113"/>
      <c r="Q574" s="113"/>
      <c r="R574" s="113"/>
      <c r="T574" s="113"/>
      <c r="U574" s="113"/>
      <c r="V574" s="113"/>
    </row>
    <row r="575" customFormat="false" ht="15" hidden="false" customHeight="true" outlineLevel="0" collapsed="false">
      <c r="H575" s="113"/>
      <c r="I575" s="113"/>
      <c r="J575" s="113"/>
      <c r="L575" s="113"/>
      <c r="M575" s="113"/>
      <c r="N575" s="113"/>
      <c r="P575" s="113"/>
      <c r="Q575" s="113"/>
      <c r="R575" s="113"/>
      <c r="T575" s="113"/>
      <c r="U575" s="113"/>
      <c r="V575" s="113"/>
    </row>
    <row r="576" customFormat="false" ht="15" hidden="false" customHeight="true" outlineLevel="0" collapsed="false">
      <c r="H576" s="113"/>
      <c r="I576" s="113"/>
      <c r="J576" s="113"/>
      <c r="L576" s="113"/>
      <c r="M576" s="113"/>
      <c r="N576" s="113"/>
      <c r="P576" s="113"/>
      <c r="Q576" s="113"/>
      <c r="R576" s="113"/>
      <c r="T576" s="113"/>
      <c r="U576" s="113"/>
      <c r="V576" s="113"/>
    </row>
    <row r="577" customFormat="false" ht="15" hidden="false" customHeight="true" outlineLevel="0" collapsed="false">
      <c r="H577" s="113"/>
      <c r="I577" s="113"/>
      <c r="J577" s="113"/>
      <c r="L577" s="113"/>
      <c r="M577" s="113"/>
      <c r="N577" s="113"/>
      <c r="P577" s="113"/>
      <c r="Q577" s="113"/>
      <c r="R577" s="113"/>
      <c r="T577" s="113"/>
      <c r="U577" s="113"/>
      <c r="V577" s="113"/>
    </row>
    <row r="578" customFormat="false" ht="15" hidden="false" customHeight="true" outlineLevel="0" collapsed="false">
      <c r="H578" s="113"/>
      <c r="I578" s="113"/>
      <c r="J578" s="113"/>
      <c r="L578" s="113"/>
      <c r="M578" s="113"/>
      <c r="N578" s="113"/>
      <c r="P578" s="113"/>
      <c r="Q578" s="113"/>
      <c r="R578" s="113"/>
      <c r="T578" s="113"/>
      <c r="U578" s="113"/>
      <c r="V578" s="113"/>
    </row>
    <row r="579" customFormat="false" ht="15" hidden="false" customHeight="true" outlineLevel="0" collapsed="false">
      <c r="H579" s="113"/>
      <c r="I579" s="113"/>
      <c r="J579" s="113"/>
      <c r="L579" s="113"/>
      <c r="M579" s="113"/>
      <c r="N579" s="113"/>
      <c r="P579" s="113"/>
      <c r="Q579" s="113"/>
      <c r="R579" s="113"/>
      <c r="T579" s="113"/>
      <c r="U579" s="113"/>
      <c r="V579" s="113"/>
    </row>
    <row r="580" customFormat="false" ht="15" hidden="false" customHeight="true" outlineLevel="0" collapsed="false">
      <c r="H580" s="113"/>
      <c r="I580" s="113"/>
      <c r="J580" s="113"/>
      <c r="L580" s="113"/>
      <c r="M580" s="113"/>
      <c r="N580" s="113"/>
      <c r="P580" s="113"/>
      <c r="Q580" s="113"/>
      <c r="R580" s="113"/>
      <c r="T580" s="113"/>
      <c r="U580" s="113"/>
      <c r="V580" s="113"/>
    </row>
    <row r="581" customFormat="false" ht="15" hidden="false" customHeight="true" outlineLevel="0" collapsed="false">
      <c r="H581" s="113"/>
      <c r="I581" s="113"/>
      <c r="J581" s="113"/>
      <c r="L581" s="113"/>
      <c r="M581" s="113"/>
      <c r="N581" s="113"/>
      <c r="P581" s="113"/>
      <c r="Q581" s="113"/>
      <c r="R581" s="113"/>
      <c r="T581" s="113"/>
      <c r="U581" s="113"/>
      <c r="V581" s="113"/>
    </row>
    <row r="582" customFormat="false" ht="15" hidden="false" customHeight="true" outlineLevel="0" collapsed="false">
      <c r="H582" s="113"/>
      <c r="I582" s="113"/>
      <c r="J582" s="113"/>
      <c r="L582" s="113"/>
      <c r="M582" s="113"/>
      <c r="N582" s="113"/>
      <c r="P582" s="113"/>
      <c r="Q582" s="113"/>
      <c r="R582" s="113"/>
      <c r="T582" s="113"/>
      <c r="U582" s="113"/>
      <c r="V582" s="113"/>
    </row>
    <row r="583" customFormat="false" ht="15" hidden="false" customHeight="true" outlineLevel="0" collapsed="false">
      <c r="H583" s="113"/>
      <c r="I583" s="113"/>
      <c r="J583" s="113"/>
      <c r="L583" s="113"/>
      <c r="M583" s="113"/>
      <c r="N583" s="113"/>
      <c r="P583" s="113"/>
      <c r="Q583" s="113"/>
      <c r="R583" s="113"/>
      <c r="T583" s="113"/>
      <c r="U583" s="113"/>
      <c r="V583" s="113"/>
    </row>
    <row r="584" customFormat="false" ht="15" hidden="false" customHeight="true" outlineLevel="0" collapsed="false">
      <c r="H584" s="113"/>
      <c r="I584" s="113"/>
      <c r="J584" s="113"/>
      <c r="L584" s="113"/>
      <c r="M584" s="113"/>
      <c r="N584" s="113"/>
      <c r="P584" s="113"/>
      <c r="Q584" s="113"/>
      <c r="R584" s="113"/>
      <c r="T584" s="113"/>
      <c r="U584" s="113"/>
      <c r="V584" s="113"/>
    </row>
    <row r="585" customFormat="false" ht="15" hidden="false" customHeight="true" outlineLevel="0" collapsed="false">
      <c r="H585" s="113"/>
      <c r="I585" s="113"/>
      <c r="J585" s="113"/>
      <c r="L585" s="113"/>
      <c r="M585" s="113"/>
      <c r="N585" s="113"/>
      <c r="P585" s="113"/>
      <c r="Q585" s="113"/>
      <c r="R585" s="113"/>
      <c r="T585" s="113"/>
      <c r="U585" s="113"/>
      <c r="V585" s="113"/>
    </row>
    <row r="586" customFormat="false" ht="15" hidden="false" customHeight="true" outlineLevel="0" collapsed="false">
      <c r="H586" s="113"/>
      <c r="I586" s="113"/>
      <c r="J586" s="113"/>
      <c r="L586" s="113"/>
      <c r="M586" s="113"/>
      <c r="N586" s="113"/>
      <c r="P586" s="113"/>
      <c r="Q586" s="113"/>
      <c r="R586" s="113"/>
      <c r="T586" s="113"/>
      <c r="U586" s="113"/>
      <c r="V586" s="113"/>
    </row>
    <row r="587" customFormat="false" ht="15" hidden="false" customHeight="true" outlineLevel="0" collapsed="false">
      <c r="H587" s="113"/>
      <c r="I587" s="113"/>
      <c r="J587" s="113"/>
      <c r="L587" s="113"/>
      <c r="M587" s="113"/>
      <c r="N587" s="113"/>
      <c r="P587" s="113"/>
      <c r="Q587" s="113"/>
      <c r="R587" s="113"/>
      <c r="T587" s="113"/>
      <c r="U587" s="113"/>
      <c r="V587" s="113"/>
    </row>
    <row r="588" customFormat="false" ht="15" hidden="false" customHeight="true" outlineLevel="0" collapsed="false">
      <c r="H588" s="113"/>
      <c r="I588" s="113"/>
      <c r="J588" s="113"/>
      <c r="L588" s="113"/>
      <c r="M588" s="113"/>
      <c r="N588" s="113"/>
      <c r="P588" s="113"/>
      <c r="Q588" s="113"/>
      <c r="R588" s="113"/>
      <c r="T588" s="113"/>
      <c r="U588" s="113"/>
      <c r="V588" s="113"/>
    </row>
    <row r="589" customFormat="false" ht="15" hidden="false" customHeight="true" outlineLevel="0" collapsed="false">
      <c r="H589" s="113"/>
      <c r="I589" s="113"/>
      <c r="J589" s="113"/>
      <c r="L589" s="113"/>
      <c r="M589" s="113"/>
      <c r="N589" s="113"/>
      <c r="P589" s="113"/>
      <c r="Q589" s="113"/>
      <c r="R589" s="113"/>
      <c r="T589" s="113"/>
      <c r="U589" s="113"/>
      <c r="V589" s="113"/>
    </row>
    <row r="590" customFormat="false" ht="15" hidden="false" customHeight="true" outlineLevel="0" collapsed="false">
      <c r="H590" s="113"/>
      <c r="I590" s="113"/>
      <c r="J590" s="113"/>
      <c r="L590" s="113"/>
      <c r="M590" s="113"/>
      <c r="N590" s="113"/>
      <c r="P590" s="113"/>
      <c r="Q590" s="113"/>
      <c r="R590" s="113"/>
      <c r="T590" s="113"/>
      <c r="U590" s="113"/>
      <c r="V590" s="113"/>
    </row>
    <row r="591" customFormat="false" ht="15" hidden="false" customHeight="true" outlineLevel="0" collapsed="false">
      <c r="H591" s="113"/>
      <c r="I591" s="113"/>
      <c r="J591" s="113"/>
      <c r="L591" s="113"/>
      <c r="M591" s="113"/>
      <c r="N591" s="113"/>
      <c r="P591" s="113"/>
      <c r="Q591" s="113"/>
      <c r="R591" s="113"/>
      <c r="T591" s="113"/>
      <c r="U591" s="113"/>
      <c r="V591" s="113"/>
    </row>
    <row r="592" customFormat="false" ht="15" hidden="false" customHeight="true" outlineLevel="0" collapsed="false">
      <c r="H592" s="113"/>
      <c r="I592" s="113"/>
      <c r="J592" s="113"/>
      <c r="L592" s="113"/>
      <c r="M592" s="113"/>
      <c r="N592" s="113"/>
      <c r="P592" s="113"/>
      <c r="Q592" s="113"/>
      <c r="R592" s="113"/>
      <c r="T592" s="113"/>
      <c r="U592" s="113"/>
      <c r="V592" s="113"/>
    </row>
    <row r="593" customFormat="false" ht="15" hidden="false" customHeight="true" outlineLevel="0" collapsed="false">
      <c r="H593" s="113"/>
      <c r="I593" s="113"/>
      <c r="J593" s="113"/>
      <c r="L593" s="113"/>
      <c r="M593" s="113"/>
      <c r="N593" s="113"/>
      <c r="P593" s="113"/>
      <c r="Q593" s="113"/>
      <c r="R593" s="113"/>
      <c r="T593" s="113"/>
      <c r="U593" s="113"/>
      <c r="V593" s="113"/>
    </row>
    <row r="594" customFormat="false" ht="15" hidden="false" customHeight="true" outlineLevel="0" collapsed="false">
      <c r="H594" s="113"/>
      <c r="I594" s="113"/>
      <c r="J594" s="113"/>
      <c r="L594" s="113"/>
      <c r="M594" s="113"/>
      <c r="N594" s="113"/>
      <c r="P594" s="113"/>
      <c r="Q594" s="113"/>
      <c r="R594" s="113"/>
      <c r="T594" s="113"/>
      <c r="U594" s="113"/>
      <c r="V594" s="113"/>
    </row>
    <row r="595" customFormat="false" ht="15" hidden="false" customHeight="true" outlineLevel="0" collapsed="false">
      <c r="H595" s="113"/>
      <c r="I595" s="113"/>
      <c r="J595" s="113"/>
      <c r="L595" s="113"/>
      <c r="M595" s="113"/>
      <c r="N595" s="113"/>
      <c r="P595" s="113"/>
      <c r="Q595" s="113"/>
      <c r="R595" s="113"/>
      <c r="T595" s="113"/>
      <c r="U595" s="113"/>
      <c r="V595" s="113"/>
    </row>
    <row r="596" customFormat="false" ht="15" hidden="false" customHeight="true" outlineLevel="0" collapsed="false">
      <c r="H596" s="113"/>
      <c r="I596" s="113"/>
      <c r="J596" s="113"/>
      <c r="L596" s="113"/>
      <c r="M596" s="113"/>
      <c r="N596" s="113"/>
      <c r="P596" s="113"/>
      <c r="Q596" s="113"/>
      <c r="R596" s="113"/>
      <c r="T596" s="113"/>
      <c r="U596" s="113"/>
      <c r="V596" s="113"/>
    </row>
    <row r="597" customFormat="false" ht="15" hidden="false" customHeight="true" outlineLevel="0" collapsed="false">
      <c r="H597" s="113"/>
      <c r="I597" s="113"/>
      <c r="J597" s="113"/>
      <c r="L597" s="113"/>
      <c r="M597" s="113"/>
      <c r="N597" s="113"/>
      <c r="P597" s="113"/>
      <c r="Q597" s="113"/>
      <c r="R597" s="113"/>
      <c r="T597" s="113"/>
      <c r="U597" s="113"/>
      <c r="V597" s="113"/>
    </row>
    <row r="598" customFormat="false" ht="15" hidden="false" customHeight="true" outlineLevel="0" collapsed="false">
      <c r="H598" s="113"/>
      <c r="I598" s="113"/>
      <c r="J598" s="113"/>
      <c r="L598" s="113"/>
      <c r="M598" s="113"/>
      <c r="N598" s="113"/>
      <c r="P598" s="113"/>
      <c r="Q598" s="113"/>
      <c r="R598" s="113"/>
      <c r="T598" s="113"/>
      <c r="U598" s="113"/>
      <c r="V598" s="113"/>
    </row>
    <row r="599" customFormat="false" ht="15" hidden="false" customHeight="true" outlineLevel="0" collapsed="false">
      <c r="H599" s="113"/>
      <c r="I599" s="113"/>
      <c r="J599" s="113"/>
      <c r="L599" s="113"/>
      <c r="M599" s="113"/>
      <c r="N599" s="113"/>
      <c r="P599" s="113"/>
      <c r="Q599" s="113"/>
      <c r="R599" s="113"/>
      <c r="T599" s="113"/>
      <c r="U599" s="113"/>
      <c r="V599" s="113"/>
    </row>
    <row r="600" customFormat="false" ht="15" hidden="false" customHeight="true" outlineLevel="0" collapsed="false">
      <c r="H600" s="113"/>
      <c r="I600" s="113"/>
      <c r="J600" s="113"/>
      <c r="L600" s="113"/>
      <c r="M600" s="113"/>
      <c r="N600" s="113"/>
      <c r="P600" s="113"/>
      <c r="Q600" s="113"/>
      <c r="R600" s="113"/>
      <c r="T600" s="113"/>
      <c r="U600" s="113"/>
      <c r="V600" s="113"/>
    </row>
    <row r="601" customFormat="false" ht="15" hidden="false" customHeight="true" outlineLevel="0" collapsed="false">
      <c r="H601" s="113"/>
      <c r="I601" s="113"/>
      <c r="J601" s="113"/>
      <c r="L601" s="113"/>
      <c r="M601" s="113"/>
      <c r="N601" s="113"/>
      <c r="P601" s="113"/>
      <c r="Q601" s="113"/>
      <c r="R601" s="113"/>
      <c r="T601" s="113"/>
      <c r="U601" s="113"/>
      <c r="V601" s="113"/>
    </row>
    <row r="602" customFormat="false" ht="15" hidden="false" customHeight="true" outlineLevel="0" collapsed="false">
      <c r="H602" s="113"/>
      <c r="I602" s="113"/>
      <c r="J602" s="113"/>
      <c r="L602" s="113"/>
      <c r="M602" s="113"/>
      <c r="N602" s="113"/>
      <c r="P602" s="113"/>
      <c r="Q602" s="113"/>
      <c r="R602" s="113"/>
      <c r="T602" s="113"/>
      <c r="U602" s="113"/>
      <c r="V602" s="113"/>
    </row>
    <row r="603" customFormat="false" ht="15" hidden="false" customHeight="true" outlineLevel="0" collapsed="false">
      <c r="H603" s="113"/>
      <c r="I603" s="113"/>
      <c r="J603" s="113"/>
      <c r="L603" s="113"/>
      <c r="M603" s="113"/>
      <c r="N603" s="113"/>
      <c r="P603" s="113"/>
      <c r="Q603" s="113"/>
      <c r="R603" s="113"/>
      <c r="T603" s="113"/>
      <c r="U603" s="113"/>
      <c r="V603" s="113"/>
    </row>
    <row r="604" customFormat="false" ht="15" hidden="false" customHeight="true" outlineLevel="0" collapsed="false">
      <c r="H604" s="113"/>
      <c r="I604" s="113"/>
      <c r="J604" s="113"/>
      <c r="L604" s="113"/>
      <c r="M604" s="113"/>
      <c r="N604" s="113"/>
      <c r="P604" s="113"/>
      <c r="Q604" s="113"/>
      <c r="R604" s="113"/>
      <c r="T604" s="113"/>
      <c r="U604" s="113"/>
      <c r="V604" s="113"/>
    </row>
    <row r="605" customFormat="false" ht="15" hidden="false" customHeight="true" outlineLevel="0" collapsed="false">
      <c r="H605" s="113"/>
      <c r="I605" s="113"/>
      <c r="J605" s="113"/>
      <c r="L605" s="113"/>
      <c r="M605" s="113"/>
      <c r="N605" s="113"/>
      <c r="P605" s="113"/>
      <c r="Q605" s="113"/>
      <c r="R605" s="113"/>
      <c r="T605" s="113"/>
      <c r="U605" s="113"/>
      <c r="V605" s="113"/>
    </row>
    <row r="606" customFormat="false" ht="15" hidden="false" customHeight="true" outlineLevel="0" collapsed="false">
      <c r="H606" s="113"/>
      <c r="I606" s="113"/>
      <c r="J606" s="113"/>
      <c r="L606" s="113"/>
      <c r="M606" s="113"/>
      <c r="N606" s="113"/>
      <c r="P606" s="113"/>
      <c r="Q606" s="113"/>
      <c r="R606" s="113"/>
      <c r="T606" s="113"/>
      <c r="U606" s="113"/>
      <c r="V606" s="113"/>
    </row>
    <row r="607" customFormat="false" ht="15" hidden="false" customHeight="true" outlineLevel="0" collapsed="false">
      <c r="H607" s="113"/>
      <c r="I607" s="113"/>
      <c r="J607" s="113"/>
      <c r="L607" s="113"/>
      <c r="M607" s="113"/>
      <c r="N607" s="113"/>
      <c r="P607" s="113"/>
      <c r="Q607" s="113"/>
      <c r="R607" s="113"/>
      <c r="T607" s="113"/>
      <c r="U607" s="113"/>
      <c r="V607" s="113"/>
    </row>
    <row r="608" customFormat="false" ht="15" hidden="false" customHeight="true" outlineLevel="0" collapsed="false">
      <c r="H608" s="113"/>
      <c r="I608" s="113"/>
      <c r="J608" s="113"/>
      <c r="L608" s="113"/>
      <c r="M608" s="113"/>
      <c r="N608" s="113"/>
      <c r="P608" s="113"/>
      <c r="Q608" s="113"/>
      <c r="R608" s="113"/>
      <c r="T608" s="113"/>
      <c r="U608" s="113"/>
      <c r="V608" s="113"/>
    </row>
    <row r="609" customFormat="false" ht="15" hidden="false" customHeight="true" outlineLevel="0" collapsed="false">
      <c r="H609" s="113"/>
      <c r="I609" s="113"/>
      <c r="J609" s="113"/>
      <c r="L609" s="113"/>
      <c r="M609" s="113"/>
      <c r="N609" s="113"/>
      <c r="P609" s="113"/>
      <c r="Q609" s="113"/>
      <c r="R609" s="113"/>
      <c r="T609" s="113"/>
      <c r="U609" s="113"/>
      <c r="V609" s="113"/>
    </row>
    <row r="610" customFormat="false" ht="15" hidden="false" customHeight="true" outlineLevel="0" collapsed="false">
      <c r="H610" s="113"/>
      <c r="I610" s="113"/>
      <c r="J610" s="113"/>
      <c r="L610" s="113"/>
      <c r="M610" s="113"/>
      <c r="N610" s="113"/>
      <c r="P610" s="113"/>
      <c r="Q610" s="113"/>
      <c r="R610" s="113"/>
      <c r="T610" s="113"/>
      <c r="U610" s="113"/>
      <c r="V610" s="113"/>
    </row>
    <row r="611" customFormat="false" ht="15" hidden="false" customHeight="true" outlineLevel="0" collapsed="false">
      <c r="H611" s="113"/>
      <c r="I611" s="113"/>
      <c r="J611" s="113"/>
      <c r="L611" s="113"/>
      <c r="M611" s="113"/>
      <c r="N611" s="113"/>
      <c r="P611" s="113"/>
      <c r="Q611" s="113"/>
      <c r="R611" s="113"/>
      <c r="T611" s="113"/>
      <c r="U611" s="113"/>
      <c r="V611" s="113"/>
    </row>
    <row r="612" customFormat="false" ht="15" hidden="false" customHeight="true" outlineLevel="0" collapsed="false">
      <c r="H612" s="113"/>
      <c r="I612" s="113"/>
      <c r="J612" s="113"/>
      <c r="L612" s="113"/>
      <c r="M612" s="113"/>
      <c r="N612" s="113"/>
      <c r="P612" s="113"/>
      <c r="Q612" s="113"/>
      <c r="R612" s="113"/>
      <c r="T612" s="113"/>
      <c r="U612" s="113"/>
      <c r="V612" s="113"/>
    </row>
    <row r="613" customFormat="false" ht="15" hidden="false" customHeight="true" outlineLevel="0" collapsed="false">
      <c r="H613" s="113"/>
      <c r="I613" s="113"/>
      <c r="J613" s="113"/>
      <c r="L613" s="113"/>
      <c r="M613" s="113"/>
      <c r="N613" s="113"/>
      <c r="P613" s="113"/>
      <c r="Q613" s="113"/>
      <c r="R613" s="113"/>
      <c r="T613" s="113"/>
      <c r="U613" s="113"/>
      <c r="V613" s="113"/>
    </row>
    <row r="614" customFormat="false" ht="15" hidden="false" customHeight="true" outlineLevel="0" collapsed="false">
      <c r="H614" s="113"/>
      <c r="I614" s="113"/>
      <c r="J614" s="113"/>
      <c r="L614" s="113"/>
      <c r="M614" s="113"/>
      <c r="N614" s="113"/>
      <c r="P614" s="113"/>
      <c r="Q614" s="113"/>
      <c r="R614" s="113"/>
      <c r="T614" s="113"/>
      <c r="U614" s="113"/>
      <c r="V614" s="113"/>
    </row>
    <row r="615" customFormat="false" ht="15" hidden="false" customHeight="true" outlineLevel="0" collapsed="false">
      <c r="H615" s="113"/>
      <c r="I615" s="113"/>
      <c r="J615" s="113"/>
      <c r="L615" s="113"/>
      <c r="M615" s="113"/>
      <c r="N615" s="113"/>
      <c r="P615" s="113"/>
      <c r="Q615" s="113"/>
      <c r="R615" s="113"/>
      <c r="T615" s="113"/>
      <c r="U615" s="113"/>
      <c r="V615" s="113"/>
    </row>
    <row r="616" customFormat="false" ht="15" hidden="false" customHeight="true" outlineLevel="0" collapsed="false">
      <c r="H616" s="113"/>
      <c r="I616" s="113"/>
      <c r="J616" s="113"/>
      <c r="L616" s="113"/>
      <c r="M616" s="113"/>
      <c r="N616" s="113"/>
      <c r="P616" s="113"/>
      <c r="Q616" s="113"/>
      <c r="R616" s="113"/>
      <c r="T616" s="113"/>
      <c r="U616" s="113"/>
      <c r="V616" s="113"/>
    </row>
    <row r="617" customFormat="false" ht="15" hidden="false" customHeight="true" outlineLevel="0" collapsed="false">
      <c r="H617" s="113"/>
      <c r="I617" s="113"/>
      <c r="J617" s="113"/>
      <c r="L617" s="113"/>
      <c r="M617" s="113"/>
      <c r="N617" s="113"/>
      <c r="P617" s="113"/>
      <c r="Q617" s="113"/>
      <c r="R617" s="113"/>
      <c r="T617" s="113"/>
      <c r="U617" s="113"/>
      <c r="V617" s="113"/>
    </row>
    <row r="618" customFormat="false" ht="15" hidden="false" customHeight="true" outlineLevel="0" collapsed="false">
      <c r="H618" s="113"/>
      <c r="I618" s="113"/>
      <c r="J618" s="113"/>
      <c r="L618" s="113"/>
      <c r="M618" s="113"/>
      <c r="N618" s="113"/>
      <c r="P618" s="113"/>
      <c r="Q618" s="113"/>
      <c r="R618" s="113"/>
      <c r="T618" s="113"/>
      <c r="U618" s="113"/>
      <c r="V618" s="113"/>
    </row>
    <row r="619" customFormat="false" ht="15" hidden="false" customHeight="true" outlineLevel="0" collapsed="false">
      <c r="H619" s="113"/>
      <c r="I619" s="113"/>
      <c r="J619" s="113"/>
      <c r="L619" s="113"/>
      <c r="M619" s="113"/>
      <c r="N619" s="113"/>
      <c r="P619" s="113"/>
      <c r="Q619" s="113"/>
      <c r="R619" s="113"/>
      <c r="T619" s="113"/>
      <c r="U619" s="113"/>
      <c r="V619" s="113"/>
    </row>
    <row r="620" customFormat="false" ht="15" hidden="false" customHeight="true" outlineLevel="0" collapsed="false">
      <c r="H620" s="113"/>
      <c r="I620" s="113"/>
      <c r="J620" s="113"/>
      <c r="L620" s="113"/>
      <c r="M620" s="113"/>
      <c r="N620" s="113"/>
      <c r="P620" s="113"/>
      <c r="Q620" s="113"/>
      <c r="R620" s="113"/>
      <c r="T620" s="113"/>
      <c r="U620" s="113"/>
      <c r="V620" s="113"/>
    </row>
    <row r="621" customFormat="false" ht="15" hidden="false" customHeight="true" outlineLevel="0" collapsed="false">
      <c r="H621" s="113"/>
      <c r="I621" s="113"/>
      <c r="J621" s="113"/>
      <c r="L621" s="113"/>
      <c r="M621" s="113"/>
      <c r="N621" s="113"/>
      <c r="P621" s="113"/>
      <c r="Q621" s="113"/>
      <c r="R621" s="113"/>
      <c r="T621" s="113"/>
      <c r="U621" s="113"/>
      <c r="V621" s="113"/>
    </row>
    <row r="622" customFormat="false" ht="15" hidden="false" customHeight="true" outlineLevel="0" collapsed="false">
      <c r="H622" s="113"/>
      <c r="I622" s="113"/>
      <c r="J622" s="113"/>
      <c r="L622" s="113"/>
      <c r="M622" s="113"/>
      <c r="N622" s="113"/>
      <c r="P622" s="113"/>
      <c r="Q622" s="113"/>
      <c r="R622" s="113"/>
      <c r="T622" s="113"/>
      <c r="U622" s="113"/>
      <c r="V622" s="113"/>
    </row>
    <row r="623" customFormat="false" ht="15" hidden="false" customHeight="true" outlineLevel="0" collapsed="false">
      <c r="H623" s="113"/>
      <c r="I623" s="113"/>
      <c r="J623" s="113"/>
      <c r="L623" s="113"/>
      <c r="M623" s="113"/>
      <c r="N623" s="113"/>
      <c r="P623" s="113"/>
      <c r="Q623" s="113"/>
      <c r="R623" s="113"/>
      <c r="T623" s="113"/>
      <c r="U623" s="113"/>
      <c r="V623" s="113"/>
    </row>
    <row r="624" customFormat="false" ht="15" hidden="false" customHeight="true" outlineLevel="0" collapsed="false">
      <c r="H624" s="113"/>
      <c r="I624" s="113"/>
      <c r="J624" s="113"/>
      <c r="L624" s="113"/>
      <c r="M624" s="113"/>
      <c r="N624" s="113"/>
      <c r="P624" s="113"/>
      <c r="Q624" s="113"/>
      <c r="R624" s="113"/>
      <c r="T624" s="113"/>
      <c r="U624" s="113"/>
      <c r="V624" s="113"/>
    </row>
    <row r="625" customFormat="false" ht="15" hidden="false" customHeight="true" outlineLevel="0" collapsed="false">
      <c r="H625" s="113"/>
      <c r="I625" s="113"/>
      <c r="J625" s="113"/>
      <c r="L625" s="113"/>
      <c r="M625" s="113"/>
      <c r="N625" s="113"/>
      <c r="P625" s="113"/>
      <c r="Q625" s="113"/>
      <c r="R625" s="113"/>
      <c r="T625" s="113"/>
      <c r="U625" s="113"/>
      <c r="V625" s="113"/>
    </row>
    <row r="626" customFormat="false" ht="15" hidden="false" customHeight="true" outlineLevel="0" collapsed="false">
      <c r="H626" s="113"/>
      <c r="I626" s="113"/>
      <c r="J626" s="113"/>
      <c r="L626" s="113"/>
      <c r="M626" s="113"/>
      <c r="N626" s="113"/>
      <c r="P626" s="113"/>
      <c r="Q626" s="113"/>
      <c r="R626" s="113"/>
      <c r="T626" s="113"/>
      <c r="U626" s="113"/>
      <c r="V626" s="113"/>
    </row>
    <row r="627" customFormat="false" ht="15" hidden="false" customHeight="true" outlineLevel="0" collapsed="false">
      <c r="H627" s="113"/>
      <c r="I627" s="113"/>
      <c r="J627" s="113"/>
      <c r="L627" s="113"/>
      <c r="M627" s="113"/>
      <c r="N627" s="113"/>
      <c r="P627" s="113"/>
      <c r="Q627" s="113"/>
      <c r="R627" s="113"/>
      <c r="T627" s="113"/>
      <c r="U627" s="113"/>
      <c r="V627" s="113"/>
    </row>
    <row r="628" customFormat="false" ht="15" hidden="false" customHeight="true" outlineLevel="0" collapsed="false">
      <c r="H628" s="113"/>
      <c r="I628" s="113"/>
      <c r="J628" s="113"/>
      <c r="L628" s="113"/>
      <c r="M628" s="113"/>
      <c r="N628" s="113"/>
      <c r="P628" s="113"/>
      <c r="Q628" s="113"/>
      <c r="R628" s="113"/>
      <c r="T628" s="113"/>
      <c r="U628" s="113"/>
      <c r="V628" s="113"/>
    </row>
    <row r="629" customFormat="false" ht="15" hidden="false" customHeight="true" outlineLevel="0" collapsed="false">
      <c r="H629" s="113"/>
      <c r="I629" s="113"/>
      <c r="J629" s="113"/>
      <c r="L629" s="113"/>
      <c r="M629" s="113"/>
      <c r="N629" s="113"/>
      <c r="P629" s="113"/>
      <c r="Q629" s="113"/>
      <c r="R629" s="113"/>
      <c r="T629" s="113"/>
      <c r="U629" s="113"/>
      <c r="V629" s="113"/>
    </row>
    <row r="630" customFormat="false" ht="15" hidden="false" customHeight="true" outlineLevel="0" collapsed="false">
      <c r="H630" s="113"/>
      <c r="I630" s="113"/>
      <c r="J630" s="113"/>
      <c r="L630" s="113"/>
      <c r="M630" s="113"/>
      <c r="N630" s="113"/>
      <c r="P630" s="113"/>
      <c r="Q630" s="113"/>
      <c r="R630" s="113"/>
      <c r="T630" s="113"/>
      <c r="U630" s="113"/>
      <c r="V630" s="113"/>
    </row>
    <row r="631" customFormat="false" ht="15" hidden="false" customHeight="true" outlineLevel="0" collapsed="false">
      <c r="H631" s="113"/>
      <c r="I631" s="113"/>
      <c r="J631" s="113"/>
      <c r="L631" s="113"/>
      <c r="M631" s="113"/>
      <c r="N631" s="113"/>
      <c r="P631" s="113"/>
      <c r="Q631" s="113"/>
      <c r="R631" s="113"/>
      <c r="T631" s="113"/>
      <c r="U631" s="113"/>
      <c r="V631" s="113"/>
    </row>
    <row r="632" customFormat="false" ht="15" hidden="false" customHeight="true" outlineLevel="0" collapsed="false">
      <c r="H632" s="113"/>
      <c r="I632" s="113"/>
      <c r="J632" s="113"/>
      <c r="L632" s="113"/>
      <c r="M632" s="113"/>
      <c r="N632" s="113"/>
      <c r="P632" s="113"/>
      <c r="Q632" s="113"/>
      <c r="R632" s="113"/>
      <c r="T632" s="113"/>
      <c r="U632" s="113"/>
      <c r="V632" s="113"/>
    </row>
    <row r="633" customFormat="false" ht="15" hidden="false" customHeight="true" outlineLevel="0" collapsed="false">
      <c r="H633" s="113"/>
      <c r="I633" s="113"/>
      <c r="J633" s="113"/>
      <c r="L633" s="113"/>
      <c r="M633" s="113"/>
      <c r="N633" s="113"/>
      <c r="P633" s="113"/>
      <c r="Q633" s="113"/>
      <c r="R633" s="113"/>
      <c r="T633" s="113"/>
      <c r="U633" s="113"/>
      <c r="V633" s="113"/>
    </row>
    <row r="634" customFormat="false" ht="15" hidden="false" customHeight="true" outlineLevel="0" collapsed="false">
      <c r="H634" s="113"/>
      <c r="I634" s="113"/>
      <c r="J634" s="113"/>
      <c r="L634" s="113"/>
      <c r="M634" s="113"/>
      <c r="N634" s="113"/>
      <c r="P634" s="113"/>
      <c r="Q634" s="113"/>
      <c r="R634" s="113"/>
      <c r="T634" s="113"/>
      <c r="U634" s="113"/>
      <c r="V634" s="113"/>
    </row>
    <row r="635" customFormat="false" ht="15" hidden="false" customHeight="true" outlineLevel="0" collapsed="false">
      <c r="H635" s="113"/>
      <c r="I635" s="113"/>
      <c r="J635" s="113"/>
      <c r="L635" s="113"/>
      <c r="M635" s="113"/>
      <c r="N635" s="113"/>
      <c r="P635" s="113"/>
      <c r="Q635" s="113"/>
      <c r="R635" s="113"/>
      <c r="T635" s="113"/>
      <c r="U635" s="113"/>
      <c r="V635" s="113"/>
    </row>
    <row r="636" customFormat="false" ht="15" hidden="false" customHeight="true" outlineLevel="0" collapsed="false">
      <c r="H636" s="113"/>
      <c r="I636" s="113"/>
      <c r="J636" s="113"/>
      <c r="L636" s="113"/>
      <c r="M636" s="113"/>
      <c r="N636" s="113"/>
      <c r="P636" s="113"/>
      <c r="Q636" s="113"/>
      <c r="R636" s="113"/>
      <c r="T636" s="113"/>
      <c r="U636" s="113"/>
      <c r="V636" s="113"/>
    </row>
    <row r="637" customFormat="false" ht="15" hidden="false" customHeight="true" outlineLevel="0" collapsed="false">
      <c r="H637" s="113"/>
      <c r="I637" s="113"/>
      <c r="J637" s="113"/>
      <c r="L637" s="113"/>
      <c r="M637" s="113"/>
      <c r="N637" s="113"/>
      <c r="P637" s="113"/>
      <c r="Q637" s="113"/>
      <c r="R637" s="113"/>
      <c r="T637" s="113"/>
      <c r="U637" s="113"/>
      <c r="V637" s="113"/>
    </row>
    <row r="638" customFormat="false" ht="15" hidden="false" customHeight="true" outlineLevel="0" collapsed="false">
      <c r="H638" s="113"/>
      <c r="I638" s="113"/>
      <c r="J638" s="113"/>
      <c r="L638" s="113"/>
      <c r="M638" s="113"/>
      <c r="N638" s="113"/>
      <c r="P638" s="113"/>
      <c r="Q638" s="113"/>
      <c r="R638" s="113"/>
      <c r="T638" s="113"/>
      <c r="U638" s="113"/>
      <c r="V638" s="113"/>
    </row>
    <row r="639" customFormat="false" ht="15" hidden="false" customHeight="true" outlineLevel="0" collapsed="false">
      <c r="H639" s="113"/>
      <c r="I639" s="113"/>
      <c r="J639" s="113"/>
      <c r="L639" s="113"/>
      <c r="M639" s="113"/>
      <c r="N639" s="113"/>
      <c r="P639" s="113"/>
      <c r="Q639" s="113"/>
      <c r="R639" s="113"/>
      <c r="T639" s="113"/>
      <c r="U639" s="113"/>
      <c r="V639" s="113"/>
    </row>
    <row r="640" customFormat="false" ht="15" hidden="false" customHeight="true" outlineLevel="0" collapsed="false">
      <c r="H640" s="113"/>
      <c r="I640" s="113"/>
      <c r="J640" s="113"/>
      <c r="L640" s="113"/>
      <c r="M640" s="113"/>
      <c r="N640" s="113"/>
      <c r="P640" s="113"/>
      <c r="Q640" s="113"/>
      <c r="R640" s="113"/>
      <c r="T640" s="113"/>
      <c r="U640" s="113"/>
      <c r="V640" s="113"/>
    </row>
    <row r="641" customFormat="false" ht="15" hidden="false" customHeight="true" outlineLevel="0" collapsed="false">
      <c r="H641" s="113"/>
      <c r="I641" s="113"/>
      <c r="J641" s="113"/>
      <c r="L641" s="113"/>
      <c r="M641" s="113"/>
      <c r="N641" s="113"/>
      <c r="P641" s="113"/>
      <c r="Q641" s="113"/>
      <c r="R641" s="113"/>
      <c r="T641" s="113"/>
      <c r="U641" s="113"/>
      <c r="V641" s="113"/>
    </row>
    <row r="642" customFormat="false" ht="15" hidden="false" customHeight="true" outlineLevel="0" collapsed="false">
      <c r="H642" s="113"/>
      <c r="I642" s="113"/>
      <c r="J642" s="113"/>
      <c r="L642" s="113"/>
      <c r="M642" s="113"/>
      <c r="N642" s="113"/>
      <c r="P642" s="113"/>
      <c r="Q642" s="113"/>
      <c r="R642" s="113"/>
      <c r="T642" s="113"/>
      <c r="U642" s="113"/>
      <c r="V642" s="113"/>
    </row>
    <row r="643" customFormat="false" ht="15" hidden="false" customHeight="true" outlineLevel="0" collapsed="false">
      <c r="H643" s="113"/>
      <c r="I643" s="113"/>
      <c r="J643" s="113"/>
      <c r="L643" s="113"/>
      <c r="M643" s="113"/>
      <c r="N643" s="113"/>
      <c r="P643" s="113"/>
      <c r="Q643" s="113"/>
      <c r="R643" s="113"/>
      <c r="T643" s="113"/>
      <c r="U643" s="113"/>
      <c r="V643" s="113"/>
    </row>
    <row r="644" customFormat="false" ht="15" hidden="false" customHeight="true" outlineLevel="0" collapsed="false">
      <c r="H644" s="113"/>
      <c r="I644" s="113"/>
      <c r="J644" s="113"/>
      <c r="L644" s="113"/>
      <c r="M644" s="113"/>
      <c r="N644" s="113"/>
      <c r="P644" s="113"/>
      <c r="Q644" s="113"/>
      <c r="R644" s="113"/>
      <c r="T644" s="113"/>
      <c r="U644" s="113"/>
      <c r="V644" s="113"/>
    </row>
    <row r="645" customFormat="false" ht="15" hidden="false" customHeight="true" outlineLevel="0" collapsed="false">
      <c r="H645" s="113"/>
      <c r="I645" s="113"/>
      <c r="J645" s="113"/>
      <c r="L645" s="113"/>
      <c r="M645" s="113"/>
      <c r="N645" s="113"/>
      <c r="P645" s="113"/>
      <c r="Q645" s="113"/>
      <c r="R645" s="113"/>
      <c r="T645" s="113"/>
      <c r="U645" s="113"/>
      <c r="V645" s="113"/>
    </row>
    <row r="646" customFormat="false" ht="15" hidden="false" customHeight="true" outlineLevel="0" collapsed="false">
      <c r="H646" s="113"/>
      <c r="I646" s="113"/>
      <c r="J646" s="113"/>
      <c r="L646" s="113"/>
      <c r="M646" s="113"/>
      <c r="N646" s="113"/>
      <c r="P646" s="113"/>
      <c r="Q646" s="113"/>
      <c r="R646" s="113"/>
      <c r="T646" s="113"/>
      <c r="U646" s="113"/>
      <c r="V646" s="113"/>
    </row>
    <row r="647" customFormat="false" ht="15" hidden="false" customHeight="true" outlineLevel="0" collapsed="false">
      <c r="H647" s="113"/>
      <c r="I647" s="113"/>
      <c r="J647" s="113"/>
      <c r="L647" s="113"/>
      <c r="M647" s="113"/>
      <c r="N647" s="113"/>
      <c r="P647" s="113"/>
      <c r="Q647" s="113"/>
      <c r="R647" s="113"/>
      <c r="T647" s="113"/>
      <c r="U647" s="113"/>
      <c r="V647" s="113"/>
    </row>
    <row r="648" customFormat="false" ht="15" hidden="false" customHeight="true" outlineLevel="0" collapsed="false">
      <c r="H648" s="113"/>
      <c r="I648" s="113"/>
      <c r="J648" s="113"/>
      <c r="L648" s="113"/>
      <c r="M648" s="113"/>
      <c r="N648" s="113"/>
      <c r="P648" s="113"/>
      <c r="Q648" s="113"/>
      <c r="R648" s="113"/>
      <c r="T648" s="113"/>
      <c r="U648" s="113"/>
      <c r="V648" s="113"/>
    </row>
    <row r="649" customFormat="false" ht="15" hidden="false" customHeight="true" outlineLevel="0" collapsed="false">
      <c r="H649" s="113"/>
      <c r="I649" s="113"/>
      <c r="J649" s="113"/>
      <c r="L649" s="113"/>
      <c r="M649" s="113"/>
      <c r="N649" s="113"/>
      <c r="P649" s="113"/>
      <c r="Q649" s="113"/>
      <c r="R649" s="113"/>
      <c r="T649" s="113"/>
      <c r="U649" s="113"/>
      <c r="V649" s="113"/>
    </row>
    <row r="650" customFormat="false" ht="15" hidden="false" customHeight="true" outlineLevel="0" collapsed="false">
      <c r="H650" s="113"/>
      <c r="I650" s="113"/>
      <c r="J650" s="113"/>
      <c r="L650" s="113"/>
      <c r="M650" s="113"/>
      <c r="N650" s="113"/>
      <c r="P650" s="113"/>
      <c r="Q650" s="113"/>
      <c r="R650" s="113"/>
      <c r="T650" s="113"/>
      <c r="U650" s="113"/>
      <c r="V650" s="113"/>
    </row>
    <row r="651" customFormat="false" ht="15" hidden="false" customHeight="true" outlineLevel="0" collapsed="false">
      <c r="H651" s="113"/>
      <c r="I651" s="113"/>
      <c r="J651" s="113"/>
      <c r="L651" s="113"/>
      <c r="M651" s="113"/>
      <c r="N651" s="113"/>
      <c r="P651" s="113"/>
      <c r="Q651" s="113"/>
      <c r="R651" s="113"/>
      <c r="T651" s="113"/>
      <c r="U651" s="113"/>
      <c r="V651" s="113"/>
    </row>
    <row r="652" customFormat="false" ht="15" hidden="false" customHeight="true" outlineLevel="0" collapsed="false">
      <c r="H652" s="113"/>
      <c r="I652" s="113"/>
      <c r="J652" s="113"/>
      <c r="L652" s="113"/>
      <c r="M652" s="113"/>
      <c r="N652" s="113"/>
      <c r="P652" s="113"/>
      <c r="Q652" s="113"/>
      <c r="R652" s="113"/>
      <c r="T652" s="113"/>
      <c r="U652" s="113"/>
      <c r="V652" s="113"/>
    </row>
    <row r="653" customFormat="false" ht="15" hidden="false" customHeight="true" outlineLevel="0" collapsed="false">
      <c r="H653" s="113"/>
      <c r="I653" s="113"/>
      <c r="J653" s="113"/>
      <c r="L653" s="113"/>
      <c r="M653" s="113"/>
      <c r="N653" s="113"/>
      <c r="P653" s="113"/>
      <c r="Q653" s="113"/>
      <c r="R653" s="113"/>
      <c r="T653" s="113"/>
      <c r="U653" s="113"/>
      <c r="V653" s="113"/>
    </row>
    <row r="654" customFormat="false" ht="15" hidden="false" customHeight="true" outlineLevel="0" collapsed="false">
      <c r="H654" s="113"/>
      <c r="I654" s="113"/>
      <c r="J654" s="113"/>
      <c r="L654" s="113"/>
      <c r="M654" s="113"/>
      <c r="N654" s="113"/>
      <c r="P654" s="113"/>
      <c r="Q654" s="113"/>
      <c r="R654" s="113"/>
      <c r="T654" s="113"/>
      <c r="U654" s="113"/>
      <c r="V654" s="113"/>
    </row>
    <row r="655" customFormat="false" ht="15" hidden="false" customHeight="true" outlineLevel="0" collapsed="false">
      <c r="H655" s="113"/>
      <c r="I655" s="113"/>
      <c r="J655" s="113"/>
      <c r="L655" s="113"/>
      <c r="M655" s="113"/>
      <c r="N655" s="113"/>
      <c r="P655" s="113"/>
      <c r="Q655" s="113"/>
      <c r="R655" s="113"/>
      <c r="T655" s="113"/>
      <c r="U655" s="113"/>
      <c r="V655" s="113"/>
    </row>
    <row r="656" customFormat="false" ht="15" hidden="false" customHeight="true" outlineLevel="0" collapsed="false">
      <c r="H656" s="113"/>
      <c r="I656" s="113"/>
      <c r="J656" s="113"/>
      <c r="L656" s="113"/>
      <c r="M656" s="113"/>
      <c r="N656" s="113"/>
      <c r="P656" s="113"/>
      <c r="Q656" s="113"/>
      <c r="R656" s="113"/>
      <c r="T656" s="113"/>
      <c r="U656" s="113"/>
      <c r="V656" s="113"/>
    </row>
    <row r="657" customFormat="false" ht="15" hidden="false" customHeight="true" outlineLevel="0" collapsed="false">
      <c r="H657" s="113"/>
      <c r="I657" s="113"/>
      <c r="J657" s="113"/>
      <c r="L657" s="113"/>
      <c r="M657" s="113"/>
      <c r="N657" s="113"/>
      <c r="P657" s="113"/>
      <c r="Q657" s="113"/>
      <c r="R657" s="113"/>
      <c r="T657" s="113"/>
      <c r="U657" s="113"/>
      <c r="V657" s="113"/>
    </row>
    <row r="658" customFormat="false" ht="15" hidden="false" customHeight="true" outlineLevel="0" collapsed="false">
      <c r="H658" s="113"/>
      <c r="I658" s="113"/>
      <c r="J658" s="113"/>
      <c r="L658" s="113"/>
      <c r="M658" s="113"/>
      <c r="N658" s="113"/>
      <c r="P658" s="113"/>
      <c r="Q658" s="113"/>
      <c r="R658" s="113"/>
      <c r="T658" s="113"/>
      <c r="U658" s="113"/>
      <c r="V658" s="113"/>
    </row>
    <row r="659" customFormat="false" ht="15" hidden="false" customHeight="true" outlineLevel="0" collapsed="false">
      <c r="H659" s="113"/>
      <c r="I659" s="113"/>
      <c r="J659" s="113"/>
      <c r="L659" s="113"/>
      <c r="M659" s="113"/>
      <c r="N659" s="113"/>
      <c r="P659" s="113"/>
      <c r="Q659" s="113"/>
      <c r="R659" s="113"/>
      <c r="T659" s="113"/>
      <c r="U659" s="113"/>
      <c r="V659" s="113"/>
    </row>
    <row r="660" customFormat="false" ht="15" hidden="false" customHeight="true" outlineLevel="0" collapsed="false">
      <c r="H660" s="113"/>
      <c r="I660" s="113"/>
      <c r="J660" s="113"/>
      <c r="L660" s="113"/>
      <c r="M660" s="113"/>
      <c r="N660" s="113"/>
      <c r="P660" s="113"/>
      <c r="Q660" s="113"/>
      <c r="R660" s="113"/>
      <c r="T660" s="113"/>
      <c r="U660" s="113"/>
      <c r="V660" s="113"/>
    </row>
    <row r="661" customFormat="false" ht="15" hidden="false" customHeight="true" outlineLevel="0" collapsed="false"/>
    <row r="662" customFormat="false" ht="15" hidden="false" customHeight="true" outlineLevel="0" collapsed="false"/>
    <row r="663" customFormat="false" ht="15" hidden="false" customHeight="true" outlineLevel="0" collapsed="false"/>
    <row r="664" customFormat="false" ht="15" hidden="false" customHeight="true" outlineLevel="0" collapsed="false"/>
    <row r="665" customFormat="false" ht="15" hidden="false" customHeight="true" outlineLevel="0" collapsed="false"/>
    <row r="666" customFormat="false" ht="15" hidden="false" customHeight="true" outlineLevel="0" collapsed="false"/>
    <row r="667" customFormat="false" ht="15" hidden="false" customHeight="true" outlineLevel="0" collapsed="false"/>
    <row r="668" customFormat="false" ht="15" hidden="false" customHeight="true" outlineLevel="0" collapsed="false"/>
    <row r="669" customFormat="false" ht="15" hidden="false" customHeight="true" outlineLevel="0" collapsed="false"/>
    <row r="670" customFormat="false" ht="15" hidden="false" customHeight="true" outlineLevel="0" collapsed="false"/>
    <row r="671" customFormat="false" ht="15" hidden="false" customHeight="true" outlineLevel="0" collapsed="false"/>
    <row r="672" customFormat="false" ht="15" hidden="false" customHeight="true" outlineLevel="0" collapsed="false"/>
    <row r="673" customFormat="false" ht="15" hidden="false" customHeight="true" outlineLevel="0" collapsed="false"/>
    <row r="674" customFormat="false" ht="15" hidden="false" customHeight="true" outlineLevel="0" collapsed="false"/>
    <row r="675" customFormat="false" ht="15" hidden="false" customHeight="true" outlineLevel="0" collapsed="false"/>
    <row r="676" customFormat="false" ht="15" hidden="false" customHeight="true" outlineLevel="0" collapsed="false"/>
    <row r="677" customFormat="false" ht="15" hidden="false" customHeight="true" outlineLevel="0" collapsed="false"/>
    <row r="678" customFormat="false" ht="15" hidden="false" customHeight="true" outlineLevel="0" collapsed="false"/>
    <row r="679" customFormat="false" ht="15" hidden="false" customHeight="true" outlineLevel="0" collapsed="false"/>
    <row r="680" customFormat="false" ht="15" hidden="false" customHeight="true" outlineLevel="0" collapsed="false"/>
    <row r="681" customFormat="false" ht="15" hidden="false" customHeight="true" outlineLevel="0" collapsed="false"/>
    <row r="682" customFormat="false" ht="15" hidden="false" customHeight="true" outlineLevel="0" collapsed="false"/>
    <row r="683" customFormat="false" ht="15" hidden="false" customHeight="true" outlineLevel="0" collapsed="false"/>
    <row r="684" customFormat="false" ht="15" hidden="false" customHeight="true" outlineLevel="0" collapsed="false"/>
    <row r="685" customFormat="false" ht="15" hidden="false" customHeight="true" outlineLevel="0" collapsed="false"/>
    <row r="686" customFormat="false" ht="15" hidden="false" customHeight="true" outlineLevel="0" collapsed="false"/>
    <row r="687" customFormat="false" ht="15" hidden="false" customHeight="true" outlineLevel="0" collapsed="false"/>
    <row r="688" customFormat="false" ht="15" hidden="false" customHeight="true" outlineLevel="0" collapsed="false"/>
    <row r="689" customFormat="false" ht="15" hidden="false" customHeight="true" outlineLevel="0" collapsed="false"/>
    <row r="690" customFormat="false" ht="15" hidden="false" customHeight="true" outlineLevel="0" collapsed="false"/>
    <row r="691" customFormat="false" ht="15" hidden="false" customHeight="true" outlineLevel="0" collapsed="false"/>
    <row r="692" customFormat="false" ht="15" hidden="false" customHeight="true" outlineLevel="0" collapsed="false"/>
    <row r="693" customFormat="false" ht="15" hidden="false" customHeight="true" outlineLevel="0" collapsed="false"/>
    <row r="694" customFormat="false" ht="15" hidden="false" customHeight="true" outlineLevel="0" collapsed="false"/>
    <row r="695" customFormat="false" ht="15" hidden="false" customHeight="true" outlineLevel="0" collapsed="false"/>
    <row r="696" customFormat="false" ht="15" hidden="false" customHeight="true" outlineLevel="0" collapsed="false"/>
  </sheetData>
  <mergeCells count="62">
    <mergeCell ref="A7:Y7"/>
    <mergeCell ref="B9:I9"/>
    <mergeCell ref="K9:R9"/>
    <mergeCell ref="B10:C10"/>
    <mergeCell ref="D10:E10"/>
    <mergeCell ref="F10:G10"/>
    <mergeCell ref="H10:I10"/>
    <mergeCell ref="K10:L10"/>
    <mergeCell ref="M10:N10"/>
    <mergeCell ref="O10:P10"/>
    <mergeCell ref="Q10:R10"/>
    <mergeCell ref="B11:C11"/>
    <mergeCell ref="D11:E11"/>
    <mergeCell ref="F11:G11"/>
    <mergeCell ref="H11:I11"/>
    <mergeCell ref="K11:L11"/>
    <mergeCell ref="M11:N11"/>
    <mergeCell ref="O11:P11"/>
    <mergeCell ref="Q11:R11"/>
    <mergeCell ref="B12:C13"/>
    <mergeCell ref="D12:E13"/>
    <mergeCell ref="F12:G13"/>
    <mergeCell ref="H12:I13"/>
    <mergeCell ref="K12:L13"/>
    <mergeCell ref="M12:N13"/>
    <mergeCell ref="O12:P13"/>
    <mergeCell ref="Q12:R13"/>
    <mergeCell ref="B14:C14"/>
    <mergeCell ref="D14:E14"/>
    <mergeCell ref="F14:G14"/>
    <mergeCell ref="H14:I14"/>
    <mergeCell ref="K14:L14"/>
    <mergeCell ref="M14:N14"/>
    <mergeCell ref="O14:P14"/>
    <mergeCell ref="Q14:R14"/>
    <mergeCell ref="B16:R16"/>
    <mergeCell ref="B17:D17"/>
    <mergeCell ref="E17:G17"/>
    <mergeCell ref="I17:K17"/>
    <mergeCell ref="M17:O17"/>
    <mergeCell ref="Q17:S17"/>
    <mergeCell ref="B18:D18"/>
    <mergeCell ref="E18:G18"/>
    <mergeCell ref="I18:K18"/>
    <mergeCell ref="M18:O18"/>
    <mergeCell ref="Q18:S18"/>
    <mergeCell ref="B19:D20"/>
    <mergeCell ref="E19:G20"/>
    <mergeCell ref="I19:K20"/>
    <mergeCell ref="M19:O20"/>
    <mergeCell ref="Q19:S20"/>
    <mergeCell ref="B21:D21"/>
    <mergeCell ref="E21:G21"/>
    <mergeCell ref="I21:K21"/>
    <mergeCell ref="M21:O21"/>
    <mergeCell ref="Q21:S21"/>
    <mergeCell ref="B22:D22"/>
    <mergeCell ref="E22:G22"/>
    <mergeCell ref="I22:K22"/>
    <mergeCell ref="M22:O22"/>
    <mergeCell ref="Q22:S22"/>
    <mergeCell ref="B23:S23"/>
  </mergeCells>
  <conditionalFormatting sqref="L49:M49">
    <cfRule type="expression" priority="2" aboveAverage="0" equalAverage="0" bottom="0" percent="0" rank="0" text="" dxfId="0">
      <formula>AND(ISNUMBER(L49),ISNUMBER($G49),OR(AND($D49="P",L49&gt;=$G49),AND($D49="N",L49&lt;=$G49)))</formula>
    </cfRule>
    <cfRule type="expression" priority="3" aboveAverage="0" equalAverage="0" bottom="0" percent="0" rank="0" text="" dxfId="1">
      <formula>AND(ISNUMBER(L49),ISNUMBER($G49),OR(AND($D49="P",L49&lt;$G49),AND($D49="N",L49&gt;$G49)))</formula>
    </cfRule>
  </conditionalFormatting>
  <conditionalFormatting sqref="X36:X102">
    <cfRule type="expression" priority="4" aboveAverage="0" equalAverage="0" bottom="0" percent="0" rank="0" text="" dxfId="0">
      <formula>$Y36="✓ On Target"</formula>
    </cfRule>
    <cfRule type="expression" priority="5" aboveAverage="0" equalAverage="0" bottom="0" percent="0" rank="0" text="" dxfId="1">
      <formula>$Y36="✗ Off Target"</formula>
    </cfRule>
    <cfRule type="expression" priority="6" aboveAverage="0" equalAverage="0" bottom="0" percent="0" rank="0" text="" dxfId="2">
      <formula>$Y36="— No Data"</formula>
    </cfRule>
    <cfRule type="expression" priority="7" aboveAverage="0" equalAverage="0" bottom="0" percent="0" rank="0" text="" dxfId="3">
      <formula>$Y36="⊘ Non Target"</formula>
    </cfRule>
  </conditionalFormatting>
  <conditionalFormatting sqref="Y36:Y102">
    <cfRule type="expression" priority="8" aboveAverage="0" equalAverage="0" bottom="0" percent="0" rank="0" text="" dxfId="0">
      <formula>Y36="✓ On Target"</formula>
    </cfRule>
    <cfRule type="expression" priority="9" aboveAverage="0" equalAverage="0" bottom="0" percent="0" rank="0" text="" dxfId="1">
      <formula>Y36="✗ Off Target"</formula>
    </cfRule>
    <cfRule type="expression" priority="10" aboveAverage="0" equalAverage="0" bottom="0" percent="0" rank="0" text="" dxfId="2">
      <formula>Y36="— No Data"</formula>
    </cfRule>
    <cfRule type="expression" priority="11" aboveAverage="0" equalAverage="0" bottom="0" percent="0" rank="0" text="" dxfId="3">
      <formula>Y36="⊘ Non Target"</formula>
    </cfRule>
  </conditionalFormatting>
  <conditionalFormatting sqref="H36:W48 H49:K49 H50:W102 N49:W49">
    <cfRule type="expression" priority="12" aboveAverage="0" equalAverage="0" bottom="0" percent="0" rank="0" text="" dxfId="0">
      <formula>AND(ISNUMBER(H36),ISNUMBER($G36),OR(AND($D36="P",H36&gt;=$G36),AND($D36="N",H36&lt;=$G36)))</formula>
    </cfRule>
    <cfRule type="expression" priority="13" aboveAverage="0" equalAverage="0" bottom="0" percent="0" rank="0" text="" dxfId="1">
      <formula>AND(ISNUMBER(H36),ISNUMBER($G36),OR(AND($D36="P",H36&lt;$G36),AND($D36="N",H36&gt;$G36)))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02"/>
  <sheetViews>
    <sheetView showFormulas="false" showGridLines="fals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J59" activeCellId="0" sqref="J5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8"/>
    <col collapsed="false" customWidth="true" hidden="false" outlineLevel="0" max="3" min="3" style="1" width="13"/>
    <col collapsed="false" customWidth="true" hidden="true" outlineLevel="0" max="4" min="4" style="1" width="3"/>
    <col collapsed="false" customWidth="true" hidden="false" outlineLevel="0" max="5" min="5" style="1" width="9"/>
    <col collapsed="false" customWidth="true" hidden="false" outlineLevel="0" max="7" min="6" style="1" width="10"/>
    <col collapsed="false" customWidth="true" hidden="false" outlineLevel="0" max="10" min="8" style="1" width="7"/>
    <col collapsed="false" customWidth="true" hidden="false" outlineLevel="0" max="11" min="11" style="1" width="8"/>
    <col collapsed="false" customWidth="true" hidden="false" outlineLevel="0" max="14" min="12" style="1" width="7"/>
    <col collapsed="false" customWidth="true" hidden="false" outlineLevel="0" max="15" min="15" style="1" width="8"/>
    <col collapsed="false" customWidth="true" hidden="false" outlineLevel="0" max="18" min="16" style="1" width="7"/>
    <col collapsed="false" customWidth="true" hidden="false" outlineLevel="0" max="19" min="19" style="1" width="8"/>
    <col collapsed="false" customWidth="true" hidden="false" outlineLevel="0" max="22" min="20" style="1" width="7"/>
    <col collapsed="false" customWidth="true" hidden="false" outlineLevel="0" max="23" min="23" style="1" width="8"/>
    <col collapsed="false" customWidth="true" hidden="false" outlineLevel="0" max="24" min="24" style="1" width="10"/>
    <col collapsed="false" customWidth="true" hidden="false" outlineLevel="0" max="25" min="25" style="1" width="14"/>
    <col collapsed="false" customWidth="true" hidden="false" outlineLevel="0" max="26" min="26" style="1" width="16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30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30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30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2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21.75" hidden="false" customHeight="true" outlineLevel="0" collapsed="false">
      <c r="A7" s="3" t="s">
        <v>533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9" customFormat="false" ht="24" hidden="false" customHeight="true" outlineLevel="0" collapsed="false">
      <c r="B9" s="159" t="s">
        <v>486</v>
      </c>
      <c r="C9" s="159"/>
      <c r="D9" s="159"/>
      <c r="E9" s="159"/>
      <c r="F9" s="159"/>
      <c r="G9" s="159"/>
      <c r="H9" s="159"/>
      <c r="I9" s="159"/>
      <c r="K9" s="159" t="s">
        <v>487</v>
      </c>
      <c r="L9" s="159"/>
      <c r="M9" s="159"/>
      <c r="N9" s="159"/>
      <c r="O9" s="159"/>
      <c r="P9" s="159"/>
      <c r="Q9" s="159"/>
      <c r="R9" s="159"/>
    </row>
    <row r="10" customFormat="false" ht="6" hidden="false" customHeight="true" outlineLevel="0" collapsed="false">
      <c r="B10" s="4"/>
      <c r="C10" s="4"/>
      <c r="D10" s="5"/>
      <c r="E10" s="5"/>
      <c r="F10" s="6"/>
      <c r="G10" s="6"/>
      <c r="H10" s="7"/>
      <c r="I10" s="7"/>
      <c r="K10" s="4"/>
      <c r="L10" s="4"/>
      <c r="M10" s="5"/>
      <c r="N10" s="5"/>
      <c r="O10" s="6"/>
      <c r="P10" s="6"/>
      <c r="Q10" s="7"/>
      <c r="R10" s="7"/>
    </row>
    <row r="11" customFormat="false" ht="19.5" hidden="false" customHeight="true" outlineLevel="0" collapsed="false">
      <c r="B11" s="9" t="s">
        <v>488</v>
      </c>
      <c r="C11" s="9"/>
      <c r="D11" s="9" t="s">
        <v>489</v>
      </c>
      <c r="E11" s="9"/>
      <c r="F11" s="9" t="s">
        <v>490</v>
      </c>
      <c r="G11" s="9"/>
      <c r="H11" s="9" t="s">
        <v>248</v>
      </c>
      <c r="I11" s="9"/>
      <c r="K11" s="9" t="s">
        <v>488</v>
      </c>
      <c r="L11" s="9"/>
      <c r="M11" s="9" t="s">
        <v>489</v>
      </c>
      <c r="N11" s="9"/>
      <c r="O11" s="9" t="s">
        <v>490</v>
      </c>
      <c r="P11" s="9"/>
      <c r="Q11" s="9" t="s">
        <v>248</v>
      </c>
      <c r="R11" s="9"/>
    </row>
    <row r="12" customFormat="false" ht="24" hidden="false" customHeight="true" outlineLevel="0" collapsed="false">
      <c r="B12" s="160" t="n">
        <v>25</v>
      </c>
      <c r="C12" s="160"/>
      <c r="D12" s="161" t="n">
        <v>17</v>
      </c>
      <c r="E12" s="161"/>
      <c r="F12" s="162" t="n">
        <v>1</v>
      </c>
      <c r="G12" s="162"/>
      <c r="H12" s="163" t="n">
        <v>2</v>
      </c>
      <c r="I12" s="163"/>
      <c r="K12" s="160" t="n">
        <v>45</v>
      </c>
      <c r="L12" s="160"/>
      <c r="M12" s="161" t="n">
        <v>28</v>
      </c>
      <c r="N12" s="161"/>
      <c r="O12" s="162" t="n">
        <v>4</v>
      </c>
      <c r="P12" s="162"/>
      <c r="Q12" s="163" t="n">
        <v>9</v>
      </c>
      <c r="R12" s="163"/>
    </row>
    <row r="13" customFormat="false" ht="24" hidden="false" customHeight="true" outlineLevel="0" collapsed="false">
      <c r="B13" s="160"/>
      <c r="C13" s="160"/>
      <c r="D13" s="161"/>
      <c r="E13" s="161"/>
      <c r="F13" s="162"/>
      <c r="G13" s="162"/>
      <c r="H13" s="163"/>
      <c r="I13" s="163"/>
      <c r="K13" s="160"/>
      <c r="L13" s="160"/>
      <c r="M13" s="161"/>
      <c r="N13" s="161"/>
      <c r="O13" s="162"/>
      <c r="P13" s="162"/>
      <c r="Q13" s="163"/>
      <c r="R13" s="163"/>
    </row>
    <row r="14" customFormat="false" ht="3.75" hidden="false" customHeight="true" outlineLevel="0" collapsed="false">
      <c r="B14" s="18"/>
      <c r="C14" s="18"/>
      <c r="D14" s="18"/>
      <c r="E14" s="18"/>
      <c r="F14" s="18"/>
      <c r="G14" s="18"/>
      <c r="H14" s="18"/>
      <c r="I14" s="18"/>
      <c r="K14" s="18"/>
      <c r="L14" s="18"/>
      <c r="M14" s="18"/>
      <c r="N14" s="18"/>
      <c r="O14" s="18"/>
      <c r="P14" s="18"/>
      <c r="Q14" s="18"/>
      <c r="R14" s="18"/>
    </row>
    <row r="16" customFormat="false" ht="25.5" hidden="false" customHeight="true" outlineLevel="0" collapsed="false">
      <c r="B16" s="164" t="s">
        <v>534</v>
      </c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</row>
    <row r="17" customFormat="false" ht="6" hidden="false" customHeight="true" outlineLevel="0" collapsed="false">
      <c r="B17" s="165"/>
      <c r="C17" s="165"/>
      <c r="D17" s="165"/>
      <c r="E17" s="5"/>
      <c r="F17" s="5"/>
      <c r="G17" s="5"/>
      <c r="I17" s="6"/>
      <c r="J17" s="6"/>
      <c r="K17" s="6"/>
      <c r="M17" s="7"/>
      <c r="N17" s="7"/>
      <c r="O17" s="7"/>
      <c r="Q17" s="8"/>
      <c r="R17" s="8"/>
      <c r="S17" s="8"/>
    </row>
    <row r="18" customFormat="false" ht="21.75" hidden="false" customHeight="true" outlineLevel="0" collapsed="false">
      <c r="B18" s="9" t="s">
        <v>492</v>
      </c>
      <c r="C18" s="9"/>
      <c r="D18" s="9"/>
      <c r="E18" s="9" t="s">
        <v>489</v>
      </c>
      <c r="F18" s="9"/>
      <c r="G18" s="9"/>
      <c r="I18" s="9" t="s">
        <v>490</v>
      </c>
      <c r="J18" s="9"/>
      <c r="K18" s="9"/>
      <c r="M18" s="9" t="s">
        <v>248</v>
      </c>
      <c r="N18" s="9"/>
      <c r="O18" s="9"/>
      <c r="Q18" s="166" t="s">
        <v>5</v>
      </c>
      <c r="R18" s="166"/>
      <c r="S18" s="166"/>
    </row>
    <row r="19" customFormat="false" ht="27.75" hidden="false" customHeight="true" outlineLevel="0" collapsed="false">
      <c r="B19" s="167" t="n">
        <v>71</v>
      </c>
      <c r="C19" s="167"/>
      <c r="D19" s="167"/>
      <c r="E19" s="168" t="n">
        <v>45</v>
      </c>
      <c r="F19" s="168"/>
      <c r="G19" s="168"/>
      <c r="I19" s="169" t="n">
        <v>5</v>
      </c>
      <c r="J19" s="169"/>
      <c r="K19" s="169"/>
      <c r="M19" s="170" t="n">
        <v>12</v>
      </c>
      <c r="N19" s="170"/>
      <c r="O19" s="170"/>
      <c r="Q19" s="171" t="n">
        <v>28</v>
      </c>
      <c r="R19" s="171"/>
      <c r="S19" s="171"/>
    </row>
    <row r="20" customFormat="false" ht="27.75" hidden="false" customHeight="true" outlineLevel="0" collapsed="false">
      <c r="B20" s="167"/>
      <c r="C20" s="167"/>
      <c r="D20" s="167"/>
      <c r="E20" s="168"/>
      <c r="F20" s="168"/>
      <c r="G20" s="168"/>
      <c r="I20" s="169"/>
      <c r="J20" s="169"/>
      <c r="K20" s="169"/>
      <c r="M20" s="170"/>
      <c r="N20" s="170"/>
      <c r="O20" s="170"/>
      <c r="Q20" s="171"/>
      <c r="R20" s="171"/>
      <c r="S20" s="171"/>
    </row>
    <row r="21" customFormat="false" ht="21.75" hidden="false" customHeight="true" outlineLevel="0" collapsed="false">
      <c r="B21" s="15" t="s">
        <v>493</v>
      </c>
      <c r="C21" s="15"/>
      <c r="D21" s="15"/>
      <c r="E21" s="15" t="s">
        <v>535</v>
      </c>
      <c r="F21" s="15"/>
      <c r="G21" s="15"/>
      <c r="I21" s="15" t="s">
        <v>536</v>
      </c>
      <c r="J21" s="15"/>
      <c r="K21" s="15"/>
      <c r="M21" s="15" t="s">
        <v>537</v>
      </c>
      <c r="N21" s="15"/>
      <c r="O21" s="15"/>
      <c r="Q21" s="172" t="s">
        <v>538</v>
      </c>
      <c r="R21" s="172"/>
      <c r="S21" s="172"/>
    </row>
    <row r="22" customFormat="false" ht="3.75" hidden="false" customHeight="true" outlineLevel="0" collapsed="false">
      <c r="B22" s="18"/>
      <c r="C22" s="18"/>
      <c r="D22" s="18"/>
      <c r="E22" s="18"/>
      <c r="F22" s="18"/>
      <c r="G22" s="18"/>
      <c r="I22" s="18"/>
      <c r="J22" s="18"/>
      <c r="K22" s="18"/>
      <c r="M22" s="18"/>
      <c r="N22" s="18"/>
      <c r="O22" s="18"/>
      <c r="Q22" s="18"/>
      <c r="R22" s="18"/>
      <c r="S22" s="18"/>
    </row>
    <row r="23" customFormat="false" ht="24" hidden="false" customHeight="true" outlineLevel="0" collapsed="false">
      <c r="B23" s="47" t="s">
        <v>539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</row>
    <row r="24" customFormat="false" ht="24" hidden="false" customHeight="true" outlineLevel="0" collapsed="false">
      <c r="B24" s="48" t="s">
        <v>23</v>
      </c>
      <c r="C24" s="48" t="s">
        <v>29</v>
      </c>
      <c r="D24" s="48" t="s">
        <v>65</v>
      </c>
      <c r="E24" s="48" t="s">
        <v>66</v>
      </c>
      <c r="F24" s="48" t="s">
        <v>67</v>
      </c>
      <c r="G24" s="48" t="s">
        <v>30</v>
      </c>
    </row>
    <row r="25" customFormat="false" ht="21.75" hidden="false" customHeight="true" outlineLevel="0" collapsed="false">
      <c r="B25" s="55" t="s">
        <v>35</v>
      </c>
      <c r="C25" s="65" t="n">
        <v>17</v>
      </c>
      <c r="D25" s="57" t="n">
        <v>9</v>
      </c>
      <c r="E25" s="58" t="n">
        <v>1</v>
      </c>
      <c r="F25" s="59" t="n">
        <v>2</v>
      </c>
      <c r="G25" s="60" t="n">
        <v>0.9</v>
      </c>
    </row>
    <row r="26" customFormat="false" ht="21.75" hidden="false" customHeight="true" outlineLevel="0" collapsed="false">
      <c r="B26" s="49" t="s">
        <v>34</v>
      </c>
      <c r="C26" s="66" t="n">
        <v>25</v>
      </c>
      <c r="D26" s="51" t="n">
        <v>19</v>
      </c>
      <c r="E26" s="52" t="n">
        <v>3</v>
      </c>
      <c r="F26" s="53" t="n">
        <v>2</v>
      </c>
      <c r="G26" s="54" t="n">
        <v>0.863636363636364</v>
      </c>
    </row>
    <row r="27" customFormat="false" ht="21.75" hidden="false" customHeight="true" outlineLevel="0" collapsed="false">
      <c r="B27" s="55" t="s">
        <v>36</v>
      </c>
      <c r="C27" s="65" t="n">
        <v>24</v>
      </c>
      <c r="D27" s="57" t="n">
        <v>16</v>
      </c>
      <c r="E27" s="58" t="n">
        <v>0</v>
      </c>
      <c r="F27" s="59" t="n">
        <v>7</v>
      </c>
      <c r="G27" s="60" t="n">
        <v>1</v>
      </c>
    </row>
    <row r="28" customFormat="false" ht="21.75" hidden="false" customHeight="true" outlineLevel="0" collapsed="false">
      <c r="B28" s="49" t="s">
        <v>39</v>
      </c>
      <c r="C28" s="66" t="n">
        <v>0</v>
      </c>
      <c r="D28" s="51" t="n">
        <v>0</v>
      </c>
      <c r="E28" s="52" t="n">
        <v>0</v>
      </c>
      <c r="F28" s="53" t="n">
        <v>0</v>
      </c>
      <c r="G28" s="54" t="s">
        <v>32</v>
      </c>
    </row>
    <row r="29" customFormat="false" ht="21.75" hidden="false" customHeight="true" outlineLevel="0" collapsed="false">
      <c r="B29" s="55" t="s">
        <v>37</v>
      </c>
      <c r="C29" s="65" t="n">
        <v>4</v>
      </c>
      <c r="D29" s="57" t="n">
        <v>1</v>
      </c>
      <c r="E29" s="58" t="n">
        <v>1</v>
      </c>
      <c r="F29" s="59" t="n">
        <v>1</v>
      </c>
      <c r="G29" s="60" t="n">
        <v>0.5</v>
      </c>
    </row>
    <row r="30" customFormat="false" ht="25.5" hidden="false" customHeight="true" outlineLevel="0" collapsed="false">
      <c r="B30" s="61" t="s">
        <v>45</v>
      </c>
      <c r="C30" s="63" t="n">
        <v>71</v>
      </c>
      <c r="D30" s="63" t="n">
        <v>45</v>
      </c>
      <c r="E30" s="63" t="n">
        <v>5</v>
      </c>
      <c r="F30" s="63" t="n">
        <v>12</v>
      </c>
      <c r="G30" s="64" t="n">
        <v>0.9</v>
      </c>
    </row>
    <row r="31" customFormat="false" ht="15.75" hidden="false" customHeight="true" outlineLevel="0" collapsed="false"/>
    <row r="32" customFormat="false" ht="15.75" hidden="false" customHeight="true" outlineLevel="0" collapsed="false"/>
    <row r="35" customFormat="false" ht="25.5" hidden="false" customHeight="true" outlineLevel="0" collapsed="false">
      <c r="A35" s="67" t="s">
        <v>69</v>
      </c>
      <c r="B35" s="67" t="s">
        <v>70</v>
      </c>
      <c r="C35" s="67" t="s">
        <v>71</v>
      </c>
      <c r="D35" s="67" t="s">
        <v>72</v>
      </c>
      <c r="E35" s="67" t="s">
        <v>499</v>
      </c>
      <c r="F35" s="67" t="s">
        <v>500</v>
      </c>
      <c r="G35" s="67" t="s">
        <v>74</v>
      </c>
      <c r="H35" s="67" t="s">
        <v>75</v>
      </c>
      <c r="I35" s="67" t="s">
        <v>76</v>
      </c>
      <c r="J35" s="67" t="s">
        <v>77</v>
      </c>
      <c r="K35" s="173" t="s">
        <v>78</v>
      </c>
      <c r="L35" s="67" t="s">
        <v>79</v>
      </c>
      <c r="M35" s="67" t="s">
        <v>80</v>
      </c>
      <c r="N35" s="67" t="s">
        <v>81</v>
      </c>
      <c r="O35" s="173" t="s">
        <v>82</v>
      </c>
      <c r="P35" s="67" t="s">
        <v>83</v>
      </c>
      <c r="Q35" s="67" t="s">
        <v>84</v>
      </c>
      <c r="R35" s="67" t="s">
        <v>85</v>
      </c>
      <c r="S35" s="173" t="s">
        <v>86</v>
      </c>
      <c r="T35" s="67" t="s">
        <v>87</v>
      </c>
      <c r="U35" s="67" t="s">
        <v>88</v>
      </c>
      <c r="V35" s="67" t="s">
        <v>89</v>
      </c>
      <c r="W35" s="173" t="s">
        <v>90</v>
      </c>
      <c r="X35" s="67" t="s">
        <v>91</v>
      </c>
      <c r="Y35" s="67" t="s">
        <v>92</v>
      </c>
      <c r="Z35" s="68" t="s">
        <v>93</v>
      </c>
    </row>
    <row r="36" customFormat="false" ht="25.5" hidden="false" customHeight="true" outlineLevel="0" collapsed="false">
      <c r="A36" s="69" t="s">
        <v>111</v>
      </c>
      <c r="B36" s="70" t="s">
        <v>112</v>
      </c>
      <c r="C36" s="71" t="s">
        <v>35</v>
      </c>
      <c r="D36" s="71" t="s">
        <v>97</v>
      </c>
      <c r="E36" s="69" t="s">
        <v>501</v>
      </c>
      <c r="F36" s="87" t="n">
        <v>0.017</v>
      </c>
      <c r="G36" s="88" t="n">
        <v>0.0145</v>
      </c>
      <c r="H36" s="89" t="n">
        <v>0.0147783251231527</v>
      </c>
      <c r="I36" s="89" t="n">
        <v>0</v>
      </c>
      <c r="J36" s="89" t="n">
        <v>0</v>
      </c>
      <c r="K36" s="174" t="n">
        <f aca="false">IF(COUNT(H36:J36)=0,"",AVERAGE(H36:J36))</f>
        <v>0.00492610837438423</v>
      </c>
      <c r="L36" s="90" t="n">
        <v>0</v>
      </c>
      <c r="M36" s="90" t="n">
        <v>0.00483091787439614</v>
      </c>
      <c r="N36" s="90" t="n">
        <v>0.00598802395209581</v>
      </c>
      <c r="O36" s="174" t="n">
        <f aca="false">IF(COUNT(L36:N36)=0,"",AVERAGE(L36:N36))</f>
        <v>0.00360631394216398</v>
      </c>
      <c r="P36" s="90" t="n">
        <v>0.00420168067226891</v>
      </c>
      <c r="Q36" s="90"/>
      <c r="R36" s="90"/>
      <c r="S36" s="174" t="n">
        <f aca="false">IF(COUNT(P36:R36)=0,"",AVERAGE(P36:R36))</f>
        <v>0.00420168067226891</v>
      </c>
      <c r="T36" s="90"/>
      <c r="U36" s="90"/>
      <c r="V36" s="90"/>
      <c r="W36" s="174" t="str">
        <f aca="false">IF(COUNT(T36:V36)=0,"",AVERAGE(T36:V36))</f>
        <v/>
      </c>
      <c r="X36" s="92" t="n">
        <v>0.00246305418719212</v>
      </c>
      <c r="Y36" s="114" t="s">
        <v>104</v>
      </c>
      <c r="Z36" s="78" t="s">
        <v>100</v>
      </c>
    </row>
    <row r="37" customFormat="false" ht="25.5" hidden="false" customHeight="true" outlineLevel="0" collapsed="false">
      <c r="A37" s="69" t="s">
        <v>116</v>
      </c>
      <c r="B37" s="70" t="s">
        <v>117</v>
      </c>
      <c r="C37" s="71" t="s">
        <v>35</v>
      </c>
      <c r="D37" s="71" t="s">
        <v>97</v>
      </c>
      <c r="E37" s="69" t="s">
        <v>501</v>
      </c>
      <c r="F37" s="94" t="n">
        <v>0.0054</v>
      </c>
      <c r="G37" s="88" t="n">
        <v>0.0046</v>
      </c>
      <c r="H37" s="89" t="n">
        <v>0</v>
      </c>
      <c r="I37" s="89" t="n">
        <v>0</v>
      </c>
      <c r="J37" s="89" t="n">
        <v>0</v>
      </c>
      <c r="K37" s="174" t="n">
        <f aca="false">IF(COUNT(H37:J37)=0,"",AVERAGE(H37:J37))</f>
        <v>0</v>
      </c>
      <c r="L37" s="90" t="n">
        <v>0</v>
      </c>
      <c r="M37" s="90" t="n">
        <v>0</v>
      </c>
      <c r="N37" s="90" t="n">
        <v>0</v>
      </c>
      <c r="O37" s="175" t="n">
        <f aca="false">IF(COUNT(L37:N37)=0,"",AVERAGE(L37:N37))</f>
        <v>0</v>
      </c>
      <c r="P37" s="124" t="n">
        <v>0</v>
      </c>
      <c r="Q37" s="124"/>
      <c r="R37" s="124"/>
      <c r="S37" s="175" t="n">
        <f aca="false">IF(COUNT(P37:R37)=0,"",AVERAGE(P37:R37))</f>
        <v>0</v>
      </c>
      <c r="T37" s="124"/>
      <c r="U37" s="124"/>
      <c r="V37" s="124"/>
      <c r="W37" s="175" t="str">
        <f aca="false">IF(COUNT(T37:V37)=0,"",AVERAGE(T37:V37))</f>
        <v/>
      </c>
      <c r="X37" s="125" t="n">
        <v>0</v>
      </c>
      <c r="Y37" s="114" t="s">
        <v>104</v>
      </c>
      <c r="Z37" s="78" t="s">
        <v>100</v>
      </c>
    </row>
    <row r="38" customFormat="false" ht="25.5" hidden="false" customHeight="true" outlineLevel="0" collapsed="false">
      <c r="A38" s="69" t="s">
        <v>118</v>
      </c>
      <c r="B38" s="70" t="s">
        <v>119</v>
      </c>
      <c r="C38" s="71" t="s">
        <v>35</v>
      </c>
      <c r="D38" s="71" t="s">
        <v>97</v>
      </c>
      <c r="E38" s="69" t="s">
        <v>501</v>
      </c>
      <c r="F38" s="87" t="s">
        <v>32</v>
      </c>
      <c r="G38" s="91" t="s">
        <v>32</v>
      </c>
      <c r="H38" s="89" t="n">
        <v>0.0303255537386651</v>
      </c>
      <c r="I38" s="89" t="n">
        <v>0.0228483319315952</v>
      </c>
      <c r="J38" s="89" t="n">
        <v>0.0318881558278354</v>
      </c>
      <c r="K38" s="174" t="n">
        <f aca="false">IF(COUNT(H38:J38)=0,"",AVERAGE(H38:J38))</f>
        <v>0.0283540138326986</v>
      </c>
      <c r="L38" s="90" t="n">
        <v>0.0275650842266463</v>
      </c>
      <c r="M38" s="90" t="n">
        <v>0.0261112838047871</v>
      </c>
      <c r="N38" s="90" t="n">
        <v>0.0295306185887473</v>
      </c>
      <c r="O38" s="174" t="n">
        <f aca="false">IF(COUNT(L38:N38)=0,"",AVERAGE(L38:N38))</f>
        <v>0.0277356622067269</v>
      </c>
      <c r="P38" s="90" t="n">
        <v>0.0303186022610483</v>
      </c>
      <c r="Q38" s="90"/>
      <c r="R38" s="90"/>
      <c r="S38" s="174" t="n">
        <f aca="false">IF(COUNT(P38:R38)=0,"",AVERAGE(P38:R38))</f>
        <v>0.0303186022610483</v>
      </c>
      <c r="T38" s="90"/>
      <c r="U38" s="90"/>
      <c r="V38" s="90"/>
      <c r="W38" s="174" t="str">
        <f aca="false">IF(COUNT(T38:V38)=0,"",AVERAGE(T38:V38))</f>
        <v/>
      </c>
      <c r="X38" s="92" t="n">
        <v>0.0279595490296724</v>
      </c>
      <c r="Y38" s="114" t="s">
        <v>120</v>
      </c>
      <c r="Z38" s="78" t="s">
        <v>100</v>
      </c>
    </row>
    <row r="39" customFormat="false" ht="25.5" hidden="false" customHeight="true" outlineLevel="0" collapsed="false">
      <c r="A39" s="69" t="s">
        <v>127</v>
      </c>
      <c r="B39" s="70" t="s">
        <v>128</v>
      </c>
      <c r="C39" s="71" t="s">
        <v>35</v>
      </c>
      <c r="D39" s="71" t="s">
        <v>110</v>
      </c>
      <c r="E39" s="69" t="s">
        <v>501</v>
      </c>
      <c r="F39" s="102" t="s">
        <v>32</v>
      </c>
      <c r="G39" s="75" t="s">
        <v>32</v>
      </c>
      <c r="H39" s="81" t="n">
        <v>0.00335672871528837</v>
      </c>
      <c r="I39" s="81" t="n">
        <v>0.00784034212401996</v>
      </c>
      <c r="J39" s="81" t="n">
        <v>0.00858034321372855</v>
      </c>
      <c r="K39" s="176" t="n">
        <f aca="false">IF(COUNT(H39:J39)=0,"",AVERAGE(H39:J39))</f>
        <v>0.00659247135101229</v>
      </c>
      <c r="L39" s="103" t="n">
        <v>0.00592672413793103</v>
      </c>
      <c r="M39" s="103" t="n">
        <v>0.00794797687861272</v>
      </c>
      <c r="N39" s="103" t="n">
        <v>0.00794797687861272</v>
      </c>
      <c r="O39" s="176" t="n">
        <f aca="false">IF(COUNT(L39:N39)=0,"",AVERAGE(L39:N39))</f>
        <v>0.00727422596505216</v>
      </c>
      <c r="P39" s="103" t="n">
        <v>0.00443906376109766</v>
      </c>
      <c r="Q39" s="103"/>
      <c r="R39" s="103"/>
      <c r="S39" s="176" t="n">
        <f aca="false">IF(COUNT(P39:R39)=0,"",AVERAGE(P39:R39))</f>
        <v>0.00443906376109766</v>
      </c>
      <c r="T39" s="103"/>
      <c r="U39" s="103"/>
      <c r="V39" s="103"/>
      <c r="W39" s="176" t="str">
        <f aca="false">IF(COUNT(T39:V39)=0,"",AVERAGE(T39:V39))</f>
        <v/>
      </c>
      <c r="X39" s="104" t="n">
        <v>0.00625959774447166</v>
      </c>
      <c r="Y39" s="114" t="s">
        <v>120</v>
      </c>
      <c r="Z39" s="78" t="s">
        <v>100</v>
      </c>
    </row>
    <row r="40" customFormat="false" ht="25.5" hidden="false" customHeight="true" outlineLevel="0" collapsed="false">
      <c r="A40" s="69" t="s">
        <v>129</v>
      </c>
      <c r="B40" s="70" t="s">
        <v>130</v>
      </c>
      <c r="C40" s="71" t="s">
        <v>35</v>
      </c>
      <c r="D40" s="71" t="s">
        <v>110</v>
      </c>
      <c r="E40" s="69" t="s">
        <v>501</v>
      </c>
      <c r="F40" s="102" t="s">
        <v>32</v>
      </c>
      <c r="G40" s="75" t="s">
        <v>32</v>
      </c>
      <c r="H40" s="81" t="n">
        <v>0.003606983119319</v>
      </c>
      <c r="I40" s="81" t="n">
        <v>0.00342606550637248</v>
      </c>
      <c r="J40" s="81" t="n">
        <v>0.00380575430050236</v>
      </c>
      <c r="K40" s="176" t="n">
        <f aca="false">IF(COUNT(H40:J40)=0,"",AVERAGE(H40:J40))</f>
        <v>0.00361293430873128</v>
      </c>
      <c r="L40" s="103" t="n">
        <v>0.00338707492209728</v>
      </c>
      <c r="M40" s="103" t="n">
        <v>0.00378673129354741</v>
      </c>
      <c r="N40" s="103" t="n">
        <v>0.00378673129354741</v>
      </c>
      <c r="O40" s="176" t="n">
        <f aca="false">IF(COUNT(L40:N40)=0,"",AVERAGE(L40:N40))</f>
        <v>0.00365351250306403</v>
      </c>
      <c r="P40" s="103" t="n">
        <v>0.0027431421446384</v>
      </c>
      <c r="Q40" s="103"/>
      <c r="R40" s="103"/>
      <c r="S40" s="176" t="n">
        <f aca="false">IF(COUNT(P40:R40)=0,"",AVERAGE(P40:R40))</f>
        <v>0.0027431421446384</v>
      </c>
      <c r="T40" s="103"/>
      <c r="U40" s="103"/>
      <c r="V40" s="103"/>
      <c r="W40" s="176" t="str">
        <f aca="false">IF(COUNT(T40:V40)=0,"",AVERAGE(T40:V40))</f>
        <v/>
      </c>
      <c r="X40" s="104" t="n">
        <v>0.00350000461541428</v>
      </c>
      <c r="Y40" s="114" t="s">
        <v>120</v>
      </c>
      <c r="Z40" s="78" t="s">
        <v>100</v>
      </c>
    </row>
    <row r="41" customFormat="false" ht="25.5" hidden="false" customHeight="true" outlineLevel="0" collapsed="false">
      <c r="A41" s="69" t="s">
        <v>139</v>
      </c>
      <c r="B41" s="70" t="s">
        <v>140</v>
      </c>
      <c r="C41" s="71" t="s">
        <v>35</v>
      </c>
      <c r="D41" s="71" t="s">
        <v>97</v>
      </c>
      <c r="E41" s="69" t="s">
        <v>501</v>
      </c>
      <c r="F41" s="87" t="n">
        <v>0.646</v>
      </c>
      <c r="G41" s="88" t="s">
        <v>141</v>
      </c>
      <c r="H41" s="89" t="n">
        <v>0.302304147465438</v>
      </c>
      <c r="I41" s="89" t="n">
        <v>0.35969387755102</v>
      </c>
      <c r="J41" s="89" t="n">
        <v>0.375</v>
      </c>
      <c r="K41" s="174" t="n">
        <f aca="false">IF(COUNT(H41:J41)=0,"",AVERAGE(H41:J41))</f>
        <v>0.345666008338819</v>
      </c>
      <c r="L41" s="90" t="n">
        <v>0.49375</v>
      </c>
      <c r="M41" s="90" t="n">
        <v>0.554939516129032</v>
      </c>
      <c r="N41" s="90" t="n">
        <v>0.390625</v>
      </c>
      <c r="O41" s="174" t="n">
        <f aca="false">IF(COUNT(L41:N41)=0,"",AVERAGE(L41:N41))</f>
        <v>0.479771505376344</v>
      </c>
      <c r="P41" s="90" t="n">
        <v>0.457661290322581</v>
      </c>
      <c r="Q41" s="90"/>
      <c r="R41" s="90"/>
      <c r="S41" s="174" t="n">
        <f aca="false">IF(COUNT(P41:R41)=0,"",AVERAGE(P41:R41))</f>
        <v>0.457661290322581</v>
      </c>
      <c r="T41" s="90"/>
      <c r="U41" s="90"/>
      <c r="V41" s="90"/>
      <c r="W41" s="174" t="str">
        <f aca="false">IF(COUNT(T41:V41)=0,"",AVERAGE(T41:V41))</f>
        <v/>
      </c>
      <c r="X41" s="92" t="n">
        <v>0.41970800416941</v>
      </c>
      <c r="Y41" s="114" t="s">
        <v>104</v>
      </c>
      <c r="Z41" s="78" t="s">
        <v>100</v>
      </c>
    </row>
    <row r="42" customFormat="false" ht="25.5" hidden="false" customHeight="true" outlineLevel="0" collapsed="false">
      <c r="A42" s="69" t="s">
        <v>142</v>
      </c>
      <c r="B42" s="70" t="s">
        <v>143</v>
      </c>
      <c r="C42" s="71" t="s">
        <v>35</v>
      </c>
      <c r="D42" s="71" t="s">
        <v>97</v>
      </c>
      <c r="E42" s="69" t="s">
        <v>501</v>
      </c>
      <c r="F42" s="96" t="n">
        <v>3.9</v>
      </c>
      <c r="G42" s="97" t="n">
        <v>3.77</v>
      </c>
      <c r="H42" s="120" t="n">
        <v>3.24861878453039</v>
      </c>
      <c r="I42" s="120" t="n">
        <v>4.22535211267606</v>
      </c>
      <c r="J42" s="120" t="n">
        <v>3.80232558139535</v>
      </c>
      <c r="K42" s="180" t="n">
        <f aca="false">IF(COUNT(H42:J42)=0,"",AVERAGE(H42:J42))</f>
        <v>3.75876549286727</v>
      </c>
      <c r="L42" s="98" t="n">
        <v>4.8030303030303</v>
      </c>
      <c r="M42" s="98" t="n">
        <v>5.95121951219512</v>
      </c>
      <c r="N42" s="98" t="n">
        <v>3.31578947368421</v>
      </c>
      <c r="O42" s="180" t="n">
        <f aca="false">IF(COUNT(L42:N42)=0,"",AVERAGE(L42:N42))</f>
        <v>4.69001309630321</v>
      </c>
      <c r="P42" s="98" t="n">
        <v>3.40948275862069</v>
      </c>
      <c r="Q42" s="98"/>
      <c r="R42" s="98"/>
      <c r="S42" s="180" t="n">
        <f aca="false">IF(COUNT(P42:R42)=0,"",AVERAGE(P42:R42))</f>
        <v>3.40948275862069</v>
      </c>
      <c r="T42" s="98"/>
      <c r="U42" s="98"/>
      <c r="V42" s="98"/>
      <c r="W42" s="180" t="str">
        <f aca="false">IF(COUNT(T42:V42)=0,"",AVERAGE(T42:V42))</f>
        <v/>
      </c>
      <c r="X42" s="100" t="n">
        <v>4.28089789794878</v>
      </c>
      <c r="Y42" s="114" t="s">
        <v>104</v>
      </c>
      <c r="Z42" s="78" t="s">
        <v>100</v>
      </c>
    </row>
    <row r="43" customFormat="false" ht="25.5" hidden="false" customHeight="true" outlineLevel="0" collapsed="false">
      <c r="A43" s="69" t="s">
        <v>152</v>
      </c>
      <c r="B43" s="70" t="s">
        <v>153</v>
      </c>
      <c r="C43" s="71" t="s">
        <v>34</v>
      </c>
      <c r="D43" s="71" t="s">
        <v>97</v>
      </c>
      <c r="E43" s="69" t="s">
        <v>501</v>
      </c>
      <c r="F43" s="87" t="n">
        <v>0.253</v>
      </c>
      <c r="G43" s="88" t="n">
        <v>0.2</v>
      </c>
      <c r="H43" s="89" t="n">
        <v>0.217391304347826</v>
      </c>
      <c r="I43" s="89" t="n">
        <v>0.125</v>
      </c>
      <c r="J43" s="89" t="n">
        <v>0.297297297297297</v>
      </c>
      <c r="K43" s="174" t="n">
        <f aca="false">IF(COUNT(H43:J43)=0,"",AVERAGE(H43:J43))</f>
        <v>0.213229533881708</v>
      </c>
      <c r="L43" s="90" t="n">
        <v>0.333333333333333</v>
      </c>
      <c r="M43" s="90" t="n">
        <v>0.25531914893617</v>
      </c>
      <c r="N43" s="90" t="n">
        <v>0.363636363636364</v>
      </c>
      <c r="O43" s="174" t="n">
        <f aca="false">IF(COUNT(L43:N43)=0,"",AVERAGE(L43:N43))</f>
        <v>0.317429615301956</v>
      </c>
      <c r="P43" s="90" t="n">
        <v>0.318181818181818</v>
      </c>
      <c r="Q43" s="90"/>
      <c r="R43" s="90"/>
      <c r="S43" s="174" t="n">
        <f aca="false">IF(COUNT(P43:R43)=0,"",AVERAGE(P43:R43))</f>
        <v>0.318181818181818</v>
      </c>
      <c r="T43" s="90"/>
      <c r="U43" s="90"/>
      <c r="V43" s="90"/>
      <c r="W43" s="174" t="str">
        <f aca="false">IF(COUNT(T43:V43)=0,"",AVERAGE(T43:V43))</f>
        <v/>
      </c>
      <c r="X43" s="92" t="n">
        <v>0.27328143360752</v>
      </c>
      <c r="Y43" s="114" t="s">
        <v>113</v>
      </c>
      <c r="Z43" s="78" t="s">
        <v>100</v>
      </c>
    </row>
    <row r="44" customFormat="false" ht="25.5" hidden="false" customHeight="true" outlineLevel="0" collapsed="false">
      <c r="A44" s="69" t="s">
        <v>154</v>
      </c>
      <c r="B44" s="70" t="s">
        <v>155</v>
      </c>
      <c r="C44" s="71" t="s">
        <v>34</v>
      </c>
      <c r="D44" s="71" t="s">
        <v>97</v>
      </c>
      <c r="E44" s="69" t="s">
        <v>501</v>
      </c>
      <c r="F44" s="102" t="n">
        <v>0.18</v>
      </c>
      <c r="G44" s="82" t="n">
        <v>0</v>
      </c>
      <c r="H44" s="103"/>
      <c r="I44" s="103"/>
      <c r="J44" s="81" t="n">
        <v>0</v>
      </c>
      <c r="K44" s="176" t="n">
        <f aca="false">IF(COUNT(H44:J44)=0,"",SUM(H44:J44))</f>
        <v>0</v>
      </c>
      <c r="L44" s="74" t="n">
        <v>0</v>
      </c>
      <c r="M44" s="103" t="n">
        <v>0</v>
      </c>
      <c r="N44" s="103" t="n">
        <v>0</v>
      </c>
      <c r="O44" s="176" t="n">
        <f aca="false">IF(COUNT(L44:N44)=0,"",SUM(L44:N44))</f>
        <v>0</v>
      </c>
      <c r="P44" s="103" t="n">
        <v>0</v>
      </c>
      <c r="Q44" s="103"/>
      <c r="R44" s="103"/>
      <c r="S44" s="176" t="n">
        <v>0</v>
      </c>
      <c r="T44" s="103"/>
      <c r="U44" s="103"/>
      <c r="V44" s="103"/>
      <c r="W44" s="176" t="n">
        <v>0</v>
      </c>
      <c r="X44" s="104" t="n">
        <v>0</v>
      </c>
      <c r="Y44" s="114" t="s">
        <v>104</v>
      </c>
      <c r="Z44" s="78" t="s">
        <v>100</v>
      </c>
    </row>
    <row r="45" customFormat="false" ht="25.5" hidden="false" customHeight="true" outlineLevel="0" collapsed="false">
      <c r="A45" s="69" t="s">
        <v>156</v>
      </c>
      <c r="B45" s="70" t="s">
        <v>157</v>
      </c>
      <c r="C45" s="71" t="s">
        <v>34</v>
      </c>
      <c r="D45" s="71" t="s">
        <v>110</v>
      </c>
      <c r="E45" s="69" t="s">
        <v>501</v>
      </c>
      <c r="F45" s="87" t="n">
        <v>0.974</v>
      </c>
      <c r="G45" s="88" t="n">
        <v>0.98</v>
      </c>
      <c r="H45" s="89" t="n">
        <v>1</v>
      </c>
      <c r="I45" s="89" t="n">
        <v>1</v>
      </c>
      <c r="J45" s="89" t="n">
        <v>1</v>
      </c>
      <c r="K45" s="174" t="n">
        <f aca="false">IF(COUNT(H45:J45)=0,"",AVERAGE(H45:J45))</f>
        <v>1</v>
      </c>
      <c r="L45" s="90" t="n">
        <v>1</v>
      </c>
      <c r="M45" s="90" t="n">
        <v>1</v>
      </c>
      <c r="N45" s="90" t="n">
        <v>1</v>
      </c>
      <c r="O45" s="174" t="n">
        <f aca="false">IF(COUNT(L45:N45)=0,"",AVERAGE(L45:N45))</f>
        <v>1</v>
      </c>
      <c r="P45" s="90" t="n">
        <v>1</v>
      </c>
      <c r="Q45" s="90"/>
      <c r="R45" s="90"/>
      <c r="S45" s="174" t="n">
        <f aca="false">IF(COUNT(P45:R45)=0,"",AVERAGE(P45:R45))</f>
        <v>1</v>
      </c>
      <c r="T45" s="90"/>
      <c r="U45" s="90"/>
      <c r="V45" s="90"/>
      <c r="W45" s="174" t="str">
        <f aca="false">IF(COUNT(T45:V45)=0,"",AVERAGE(T45:V45))</f>
        <v/>
      </c>
      <c r="X45" s="92" t="n">
        <v>1</v>
      </c>
      <c r="Y45" s="114" t="s">
        <v>104</v>
      </c>
      <c r="Z45" s="78" t="s">
        <v>100</v>
      </c>
    </row>
    <row r="46" customFormat="false" ht="25.5" hidden="false" customHeight="true" outlineLevel="0" collapsed="false">
      <c r="A46" s="69" t="s">
        <v>160</v>
      </c>
      <c r="B46" s="70" t="s">
        <v>161</v>
      </c>
      <c r="C46" s="71" t="s">
        <v>34</v>
      </c>
      <c r="D46" s="71" t="s">
        <v>110</v>
      </c>
      <c r="E46" s="69" t="s">
        <v>501</v>
      </c>
      <c r="F46" s="87" t="n">
        <v>1</v>
      </c>
      <c r="G46" s="88" t="n">
        <v>1</v>
      </c>
      <c r="H46" s="89" t="n">
        <v>1</v>
      </c>
      <c r="I46" s="89" t="n">
        <v>1</v>
      </c>
      <c r="J46" s="89" t="n">
        <v>1</v>
      </c>
      <c r="K46" s="174" t="n">
        <f aca="false">IF(COUNT(H46:J46)=0,"",AVERAGE(H46:J46))</f>
        <v>1</v>
      </c>
      <c r="L46" s="90" t="n">
        <v>1</v>
      </c>
      <c r="M46" s="90" t="n">
        <v>1</v>
      </c>
      <c r="N46" s="90" t="n">
        <v>1</v>
      </c>
      <c r="O46" s="174" t="n">
        <f aca="false">IF(COUNT(L46:N46)=0,"",AVERAGE(L46:N46))</f>
        <v>1</v>
      </c>
      <c r="P46" s="90" t="n">
        <v>1</v>
      </c>
      <c r="Q46" s="90"/>
      <c r="R46" s="90"/>
      <c r="S46" s="174" t="n">
        <f aca="false">IF(COUNT(P46:R46)=0,"",AVERAGE(P46:R46))</f>
        <v>1</v>
      </c>
      <c r="T46" s="90"/>
      <c r="U46" s="90"/>
      <c r="V46" s="90"/>
      <c r="W46" s="174" t="str">
        <f aca="false">IF(COUNT(T46:V46)=0,"",AVERAGE(T46:V46))</f>
        <v/>
      </c>
      <c r="X46" s="92" t="n">
        <v>1</v>
      </c>
      <c r="Y46" s="114" t="s">
        <v>104</v>
      </c>
      <c r="Z46" s="78" t="s">
        <v>100</v>
      </c>
    </row>
    <row r="47" customFormat="false" ht="25.5" hidden="false" customHeight="true" outlineLevel="0" collapsed="false">
      <c r="A47" s="69" t="s">
        <v>162</v>
      </c>
      <c r="B47" s="70" t="s">
        <v>163</v>
      </c>
      <c r="C47" s="71" t="s">
        <v>34</v>
      </c>
      <c r="D47" s="71" t="s">
        <v>97</v>
      </c>
      <c r="E47" s="69" t="s">
        <v>501</v>
      </c>
      <c r="F47" s="87" t="n">
        <v>0.01</v>
      </c>
      <c r="G47" s="88" t="n">
        <v>0.012</v>
      </c>
      <c r="H47" s="89" t="n">
        <v>0.00437462716245775</v>
      </c>
      <c r="I47" s="89" t="n">
        <v>0.00484351713859911</v>
      </c>
      <c r="J47" s="89" t="n">
        <v>0.00570416994492526</v>
      </c>
      <c r="K47" s="174" t="n">
        <f aca="false">IF(COUNT(H47:J47)=0,"",AVERAGE(H47:J47))</f>
        <v>0.00497410474866071</v>
      </c>
      <c r="L47" s="90" t="n">
        <v>0.00694574807584006</v>
      </c>
      <c r="M47" s="90" t="n">
        <v>0.00673267326732673</v>
      </c>
      <c r="N47" s="90" t="n">
        <v>0.000477099236641221</v>
      </c>
      <c r="O47" s="174" t="n">
        <f aca="false">IF(COUNT(L47:N47)=0,"",AVERAGE(L47:N47))</f>
        <v>0.004718506859936</v>
      </c>
      <c r="P47" s="90" t="n">
        <v>0.000387446726075165</v>
      </c>
      <c r="Q47" s="90"/>
      <c r="R47" s="90"/>
      <c r="S47" s="174" t="n">
        <f aca="false">IF(COUNT(P47:R47)=0,"",AVERAGE(P47:R47))</f>
        <v>0.000387446726075165</v>
      </c>
      <c r="T47" s="90"/>
      <c r="U47" s="90"/>
      <c r="V47" s="90"/>
      <c r="W47" s="174" t="str">
        <f aca="false">IF(COUNT(T47:V47)=0,"",AVERAGE(T47:V47))</f>
        <v/>
      </c>
      <c r="X47" s="92" t="n">
        <v>0.00595992641225038</v>
      </c>
      <c r="Y47" s="114" t="s">
        <v>104</v>
      </c>
      <c r="Z47" s="78" t="s">
        <v>100</v>
      </c>
    </row>
    <row r="48" customFormat="false" ht="25.5" hidden="false" customHeight="true" outlineLevel="0" collapsed="false">
      <c r="A48" s="69" t="s">
        <v>164</v>
      </c>
      <c r="B48" s="70" t="s">
        <v>165</v>
      </c>
      <c r="C48" s="71" t="s">
        <v>166</v>
      </c>
      <c r="D48" s="71" t="s">
        <v>110</v>
      </c>
      <c r="E48" s="69" t="s">
        <v>501</v>
      </c>
      <c r="F48" s="87" t="n">
        <v>0.788</v>
      </c>
      <c r="G48" s="88" t="n">
        <v>0.9</v>
      </c>
      <c r="H48" s="89" t="n">
        <v>0.9118</v>
      </c>
      <c r="I48" s="90" t="n">
        <v>0.936170212765958</v>
      </c>
      <c r="J48" s="90" t="n">
        <v>0.8696</v>
      </c>
      <c r="K48" s="174" t="n">
        <f aca="false">IF(COUNT(H48:J48)=0,"",AVERAGE(H48:J48))</f>
        <v>0.905856737588653</v>
      </c>
      <c r="L48" s="90" t="n">
        <v>0.8889</v>
      </c>
      <c r="M48" s="90" t="n">
        <v>0.8817</v>
      </c>
      <c r="N48" s="90" t="n">
        <v>0.9268</v>
      </c>
      <c r="O48" s="174" t="n">
        <f aca="false">IF(COUNT(L48:N48)=0,"",AVERAGE(L48:N48))</f>
        <v>0.899133333333333</v>
      </c>
      <c r="P48" s="90" t="n">
        <v>0.984</v>
      </c>
      <c r="Q48" s="90"/>
      <c r="R48" s="90"/>
      <c r="S48" s="174" t="n">
        <f aca="false">IF(COUNT(P48:R48)=0,"",AVERAGE(P48:R48))</f>
        <v>0.984</v>
      </c>
      <c r="T48" s="90"/>
      <c r="U48" s="90"/>
      <c r="V48" s="90"/>
      <c r="W48" s="174" t="str">
        <f aca="false">IF(COUNT(T48:V48)=0,"",AVERAGE(T48:V48))</f>
        <v/>
      </c>
      <c r="X48" s="92" t="n">
        <v>0.9118</v>
      </c>
      <c r="Y48" s="114" t="s">
        <v>104</v>
      </c>
      <c r="Z48" s="78" t="s">
        <v>105</v>
      </c>
    </row>
    <row r="49" customFormat="false" ht="25.5" hidden="false" customHeight="true" outlineLevel="0" collapsed="false">
      <c r="A49" s="69" t="s">
        <v>167</v>
      </c>
      <c r="B49" s="70" t="s">
        <v>168</v>
      </c>
      <c r="C49" s="71" t="s">
        <v>166</v>
      </c>
      <c r="D49" s="71" t="s">
        <v>110</v>
      </c>
      <c r="E49" s="69" t="s">
        <v>501</v>
      </c>
      <c r="F49" s="87" t="n">
        <v>0.988</v>
      </c>
      <c r="G49" s="88" t="n">
        <v>0.99</v>
      </c>
      <c r="H49" s="89" t="n">
        <v>1</v>
      </c>
      <c r="I49" s="89" t="n">
        <v>1</v>
      </c>
      <c r="J49" s="89" t="n">
        <v>1</v>
      </c>
      <c r="K49" s="174" t="n">
        <f aca="false">IF(COUNT(H49:J49)=0,"",AVERAGE(H49:J49))</f>
        <v>1</v>
      </c>
      <c r="L49" s="174" t="n">
        <f aca="false">IF(COUNT(I49:K49)=0,"",AVERAGE(I49:K49))</f>
        <v>1</v>
      </c>
      <c r="M49" s="174" t="n">
        <f aca="false">IF(COUNT(J49:L49)=0,"",AVERAGE(J49:L49))</f>
        <v>1</v>
      </c>
      <c r="N49" s="90"/>
      <c r="O49" s="174" t="n">
        <f aca="false">IF(COUNT(L49:N49)=0,"",AVERAGE(L49:N49))</f>
        <v>1</v>
      </c>
      <c r="P49" s="90"/>
      <c r="Q49" s="90"/>
      <c r="R49" s="90"/>
      <c r="S49" s="174" t="str">
        <f aca="false">IF(COUNT(P49:R49)=0,"",AVERAGE(P49:R49))</f>
        <v/>
      </c>
      <c r="T49" s="90"/>
      <c r="U49" s="90"/>
      <c r="V49" s="90"/>
      <c r="W49" s="174" t="str">
        <f aca="false">IF(COUNT(T49:V49)=0,"",AVERAGE(T49:V49))</f>
        <v/>
      </c>
      <c r="X49" s="92" t="n">
        <v>1</v>
      </c>
      <c r="Y49" s="114" t="s">
        <v>104</v>
      </c>
      <c r="Z49" s="78" t="s">
        <v>100</v>
      </c>
    </row>
    <row r="50" customFormat="false" ht="25.5" hidden="false" customHeight="true" outlineLevel="0" collapsed="false">
      <c r="A50" s="69" t="s">
        <v>169</v>
      </c>
      <c r="B50" s="70" t="s">
        <v>170</v>
      </c>
      <c r="C50" s="71" t="s">
        <v>166</v>
      </c>
      <c r="D50" s="71" t="s">
        <v>110</v>
      </c>
      <c r="E50" s="69" t="s">
        <v>501</v>
      </c>
      <c r="F50" s="87" t="n">
        <v>0.92</v>
      </c>
      <c r="G50" s="88" t="n">
        <v>0.93</v>
      </c>
      <c r="H50" s="89" t="n">
        <v>0.974348777092861</v>
      </c>
      <c r="I50" s="89" t="n">
        <v>0.990312965722802</v>
      </c>
      <c r="J50" s="89" t="n">
        <v>0.987608182533438</v>
      </c>
      <c r="K50" s="174" t="n">
        <f aca="false">IF(COUNT(H50:J50)=0,"",AVERAGE(H50:J50))</f>
        <v>0.984089975116367</v>
      </c>
      <c r="L50" s="90" t="n">
        <v>0.994180589449972</v>
      </c>
      <c r="M50" s="90" t="n">
        <v>0.9875</v>
      </c>
      <c r="N50" s="90" t="n">
        <v>0.988992379339543</v>
      </c>
      <c r="O50" s="174" t="n">
        <f aca="false">IF(COUNT(L50:N50)=0,"",AVERAGE(L50:N50))</f>
        <v>0.990224322929838</v>
      </c>
      <c r="P50" s="90" t="n">
        <v>0.9907</v>
      </c>
      <c r="Q50" s="90"/>
      <c r="R50" s="90"/>
      <c r="S50" s="174" t="n">
        <f aca="false">IF(COUNT(P50:R50)=0,"",AVERAGE(P50:R50))</f>
        <v>0.9907</v>
      </c>
      <c r="T50" s="90"/>
      <c r="U50" s="90"/>
      <c r="V50" s="90"/>
      <c r="W50" s="174" t="str">
        <f aca="false">IF(COUNT(T50:V50)=0,"",AVERAGE(T50:V50))</f>
        <v/>
      </c>
      <c r="X50" s="92" t="n">
        <v>0.989209666858569</v>
      </c>
      <c r="Y50" s="114" t="s">
        <v>104</v>
      </c>
      <c r="Z50" s="78" t="s">
        <v>100</v>
      </c>
    </row>
    <row r="51" customFormat="false" ht="25.5" hidden="false" customHeight="true" outlineLevel="0" collapsed="false">
      <c r="A51" s="69" t="s">
        <v>171</v>
      </c>
      <c r="B51" s="70" t="s">
        <v>172</v>
      </c>
      <c r="C51" s="71" t="s">
        <v>166</v>
      </c>
      <c r="D51" s="71" t="s">
        <v>97</v>
      </c>
      <c r="E51" s="69" t="s">
        <v>501</v>
      </c>
      <c r="F51" s="72" t="n">
        <v>0.55</v>
      </c>
      <c r="G51" s="73" t="s">
        <v>32</v>
      </c>
      <c r="H51" s="106" t="n">
        <v>0</v>
      </c>
      <c r="I51" s="106" t="n">
        <v>0</v>
      </c>
      <c r="J51" s="106" t="n">
        <v>0</v>
      </c>
      <c r="K51" s="182" t="n">
        <f aca="false">IF(COUNT(H51:J51)=0,"",SUM(H51:J51))</f>
        <v>0</v>
      </c>
      <c r="L51" s="74" t="n">
        <v>0</v>
      </c>
      <c r="M51" s="74" t="n">
        <v>0</v>
      </c>
      <c r="N51" s="74" t="n">
        <v>0</v>
      </c>
      <c r="O51" s="182" t="n">
        <f aca="false">IF(COUNT(L51:N51)=0,"",SUM(L51:N51))</f>
        <v>0</v>
      </c>
      <c r="P51" s="74" t="n">
        <v>0</v>
      </c>
      <c r="Q51" s="74"/>
      <c r="R51" s="74"/>
      <c r="S51" s="182" t="n">
        <v>0</v>
      </c>
      <c r="T51" s="74"/>
      <c r="U51" s="74"/>
      <c r="V51" s="74"/>
      <c r="W51" s="182" t="n">
        <v>0</v>
      </c>
      <c r="X51" s="76" t="n">
        <v>0</v>
      </c>
      <c r="Y51" s="114" t="s">
        <v>120</v>
      </c>
      <c r="Z51" s="78" t="s">
        <v>100</v>
      </c>
    </row>
    <row r="52" customFormat="false" ht="25.5" hidden="false" customHeight="true" outlineLevel="0" collapsed="false">
      <c r="A52" s="69" t="s">
        <v>178</v>
      </c>
      <c r="B52" s="70" t="s">
        <v>179</v>
      </c>
      <c r="C52" s="71" t="s">
        <v>166</v>
      </c>
      <c r="D52" s="71" t="s">
        <v>97</v>
      </c>
      <c r="E52" s="69" t="s">
        <v>501</v>
      </c>
      <c r="F52" s="87" t="n">
        <v>0.019</v>
      </c>
      <c r="G52" s="88" t="n">
        <v>0.0162</v>
      </c>
      <c r="H52" s="89" t="n">
        <v>0.01</v>
      </c>
      <c r="I52" s="89" t="n">
        <v>0.000931445603576751</v>
      </c>
      <c r="J52" s="89" t="n">
        <v>0.0003933910306845</v>
      </c>
      <c r="K52" s="174" t="n">
        <f aca="false">IF(COUNT(H52:J52)=0,"",AVERAGE(H52:J52))</f>
        <v>0.00377494554475375</v>
      </c>
      <c r="L52" s="90" t="n">
        <v>0.0011263375258119</v>
      </c>
      <c r="M52" s="90" t="n">
        <v>0.0006</v>
      </c>
      <c r="N52" s="90" t="n">
        <v>0.00402201524132091</v>
      </c>
      <c r="O52" s="174" t="n">
        <f aca="false">IF(COUNT(L52:N52)=0,"",AVERAGE(L52:N52))</f>
        <v>0.00191611758904427</v>
      </c>
      <c r="P52" s="90" t="n">
        <v>0.0014</v>
      </c>
      <c r="Q52" s="90"/>
      <c r="R52" s="90"/>
      <c r="S52" s="174" t="n">
        <f aca="false">IF(COUNT(P52:R52)=0,"",AVERAGE(P52:R52))</f>
        <v>0.0014</v>
      </c>
      <c r="T52" s="90"/>
      <c r="U52" s="90"/>
      <c r="V52" s="90"/>
      <c r="W52" s="174" t="str">
        <f aca="false">IF(COUNT(T52:V52)=0,"",AVERAGE(T52:V52))</f>
        <v/>
      </c>
      <c r="X52" s="92" t="n">
        <v>0.00245064153528283</v>
      </c>
      <c r="Y52" s="114" t="s">
        <v>104</v>
      </c>
      <c r="Z52" s="78" t="s">
        <v>100</v>
      </c>
    </row>
    <row r="53" customFormat="false" ht="25.5" hidden="false" customHeight="true" outlineLevel="0" collapsed="false">
      <c r="A53" s="69" t="s">
        <v>182</v>
      </c>
      <c r="B53" s="70" t="s">
        <v>183</v>
      </c>
      <c r="C53" s="71" t="s">
        <v>166</v>
      </c>
      <c r="D53" s="71" t="s">
        <v>97</v>
      </c>
      <c r="E53" s="69" t="s">
        <v>501</v>
      </c>
      <c r="F53" s="87" t="n">
        <v>0.072</v>
      </c>
      <c r="G53" s="88" t="n">
        <v>0.0612</v>
      </c>
      <c r="H53" s="89" t="n">
        <v>0.111111111111111</v>
      </c>
      <c r="I53" s="89" t="n">
        <v>0</v>
      </c>
      <c r="J53" s="89" t="n">
        <v>0</v>
      </c>
      <c r="K53" s="174" t="n">
        <f aca="false">IF(COUNT(H53:J53)=0,"",AVERAGE(H53:J53))</f>
        <v>0.037037037037037</v>
      </c>
      <c r="L53" s="90" t="n">
        <v>0</v>
      </c>
      <c r="M53" s="90" t="n">
        <v>0.111111111111111</v>
      </c>
      <c r="N53" s="90"/>
      <c r="O53" s="174" t="n">
        <f aca="false">IF(COUNT(L53:N53)=0,"",AVERAGE(L53:N53))</f>
        <v>0.0555555555555555</v>
      </c>
      <c r="P53" s="90" t="n">
        <v>0</v>
      </c>
      <c r="Q53" s="90"/>
      <c r="R53" s="90"/>
      <c r="S53" s="174" t="n">
        <f aca="false">IF(COUNT(P53:R53)=0,"",AVERAGE(P53:R53))</f>
        <v>0</v>
      </c>
      <c r="T53" s="90"/>
      <c r="U53" s="90"/>
      <c r="V53" s="90"/>
      <c r="W53" s="174" t="str">
        <f aca="false">IF(COUNT(T53:V53)=0,"",AVERAGE(T53:V53))</f>
        <v/>
      </c>
      <c r="X53" s="92" t="n">
        <v>0.0185185185185185</v>
      </c>
      <c r="Y53" s="114" t="s">
        <v>104</v>
      </c>
      <c r="Z53" s="78" t="s">
        <v>100</v>
      </c>
    </row>
    <row r="54" customFormat="false" ht="25.5" hidden="false" customHeight="true" outlineLevel="0" collapsed="false">
      <c r="A54" s="69" t="s">
        <v>186</v>
      </c>
      <c r="B54" s="70" t="s">
        <v>187</v>
      </c>
      <c r="C54" s="71" t="s">
        <v>166</v>
      </c>
      <c r="D54" s="71" t="s">
        <v>97</v>
      </c>
      <c r="E54" s="69" t="s">
        <v>501</v>
      </c>
      <c r="F54" s="102" t="n">
        <v>0.027</v>
      </c>
      <c r="G54" s="82" t="n">
        <v>0.0135</v>
      </c>
      <c r="H54" s="81" t="n">
        <v>0.0165745856353591</v>
      </c>
      <c r="I54" s="81" t="n">
        <v>0.00689655172413793</v>
      </c>
      <c r="J54" s="81" t="n">
        <v>0.00574712643678161</v>
      </c>
      <c r="K54" s="176" t="n">
        <f aca="false">IF(COUNT(H54:J54)=0,"",AVERAGE(H54:J54))</f>
        <v>0.00973942126542621</v>
      </c>
      <c r="L54" s="103" t="n">
        <v>0.0164835164835165</v>
      </c>
      <c r="M54" s="103" t="n">
        <v>0.0163934426229508</v>
      </c>
      <c r="N54" s="103" t="n">
        <v>0.0111111111111111</v>
      </c>
      <c r="O54" s="176" t="n">
        <f aca="false">IF(COUNT(L54:N54)=0,"",AVERAGE(L54:N54))</f>
        <v>0.0146626900725261</v>
      </c>
      <c r="P54" s="103" t="n">
        <v>0</v>
      </c>
      <c r="Q54" s="103"/>
      <c r="R54" s="103"/>
      <c r="S54" s="176" t="n">
        <f aca="false">IF(COUNT(P54:R54)=0,"",AVERAGE(P54:R54))</f>
        <v>0</v>
      </c>
      <c r="T54" s="103"/>
      <c r="U54" s="103"/>
      <c r="V54" s="103"/>
      <c r="W54" s="176" t="str">
        <f aca="false">IF(COUNT(T54:V54)=0,"",AVERAGE(T54:V54))</f>
        <v/>
      </c>
      <c r="X54" s="104" t="n">
        <v>0.0131114688744714</v>
      </c>
      <c r="Y54" s="114" t="s">
        <v>104</v>
      </c>
      <c r="Z54" s="78" t="s">
        <v>100</v>
      </c>
    </row>
    <row r="55" customFormat="false" ht="25.5" hidden="false" customHeight="true" outlineLevel="0" collapsed="false">
      <c r="A55" s="69" t="s">
        <v>191</v>
      </c>
      <c r="B55" s="70" t="s">
        <v>192</v>
      </c>
      <c r="C55" s="71" t="s">
        <v>166</v>
      </c>
      <c r="D55" s="71" t="s">
        <v>110</v>
      </c>
      <c r="E55" s="69" t="s">
        <v>501</v>
      </c>
      <c r="F55" s="87" t="n">
        <v>0.8863</v>
      </c>
      <c r="G55" s="88" t="n">
        <v>0.8938</v>
      </c>
      <c r="H55" s="89" t="n">
        <v>1</v>
      </c>
      <c r="I55" s="89" t="n">
        <v>1</v>
      </c>
      <c r="J55" s="89" t="n">
        <v>1</v>
      </c>
      <c r="K55" s="174" t="n">
        <f aca="false">IF(COUNT(H55:J55)=0,"",AVERAGE(H55:J55))</f>
        <v>1</v>
      </c>
      <c r="L55" s="90" t="n">
        <v>0.997</v>
      </c>
      <c r="M55" s="90" t="n">
        <v>0.988</v>
      </c>
      <c r="N55" s="90" t="n">
        <v>0.9669</v>
      </c>
      <c r="O55" s="174" t="n">
        <f aca="false">IF(COUNT(L55:N55)=0,"",AVERAGE(L55:N55))</f>
        <v>0.983966666666667</v>
      </c>
      <c r="P55" s="90" t="n">
        <v>1</v>
      </c>
      <c r="Q55" s="90"/>
      <c r="R55" s="90"/>
      <c r="S55" s="174" t="n">
        <f aca="false">IF(COUNT(P55:R55)=0,"",AVERAGE(P55:R55))</f>
        <v>1</v>
      </c>
      <c r="T55" s="90"/>
      <c r="U55" s="90"/>
      <c r="V55" s="90"/>
      <c r="W55" s="174" t="str">
        <f aca="false">IF(COUNT(T55:V55)=0,"",AVERAGE(T55:V55))</f>
        <v/>
      </c>
      <c r="X55" s="92" t="n">
        <v>0.997</v>
      </c>
      <c r="Y55" s="114" t="s">
        <v>104</v>
      </c>
      <c r="Z55" s="78" t="s">
        <v>100</v>
      </c>
    </row>
    <row r="56" customFormat="false" ht="25.5" hidden="false" customHeight="true" outlineLevel="0" collapsed="false">
      <c r="A56" s="69" t="s">
        <v>193</v>
      </c>
      <c r="B56" s="70" t="s">
        <v>194</v>
      </c>
      <c r="C56" s="71" t="s">
        <v>166</v>
      </c>
      <c r="D56" s="71" t="s">
        <v>110</v>
      </c>
      <c r="E56" s="69" t="s">
        <v>501</v>
      </c>
      <c r="F56" s="87" t="n">
        <v>0.9024</v>
      </c>
      <c r="G56" s="88" t="n">
        <v>0.8658</v>
      </c>
      <c r="H56" s="90"/>
      <c r="I56" s="90"/>
      <c r="J56" s="90"/>
      <c r="K56" s="174" t="str">
        <f aca="false">IF(COUNT(H56:J56)=0,"",AVERAGE(H56:J56))</f>
        <v/>
      </c>
      <c r="L56" s="90"/>
      <c r="M56" s="90"/>
      <c r="N56" s="90" t="s">
        <v>195</v>
      </c>
      <c r="O56" s="174" t="str">
        <f aca="false">IF(COUNT(L56:N56)=0,"",AVERAGE(L56:N56))</f>
        <v/>
      </c>
      <c r="P56" s="90"/>
      <c r="Q56" s="90"/>
      <c r="R56" s="90"/>
      <c r="S56" s="174" t="str">
        <f aca="false">IF(COUNT(P56:R56)=0,"",AVERAGE(P56:R56))</f>
        <v/>
      </c>
      <c r="T56" s="90"/>
      <c r="U56" s="90"/>
      <c r="V56" s="90"/>
      <c r="W56" s="174" t="str">
        <f aca="false">IF(COUNT(T56:V56)=0,"",AVERAGE(T56:V56))</f>
        <v/>
      </c>
      <c r="X56" s="92"/>
      <c r="Y56" s="114" t="s">
        <v>99</v>
      </c>
      <c r="Z56" s="78" t="s">
        <v>100</v>
      </c>
    </row>
    <row r="57" customFormat="false" ht="25.5" hidden="false" customHeight="true" outlineLevel="0" collapsed="false">
      <c r="A57" s="69" t="s">
        <v>196</v>
      </c>
      <c r="B57" s="70" t="s">
        <v>197</v>
      </c>
      <c r="C57" s="71" t="s">
        <v>166</v>
      </c>
      <c r="D57" s="71" t="s">
        <v>110</v>
      </c>
      <c r="E57" s="69" t="s">
        <v>501</v>
      </c>
      <c r="F57" s="87" t="n">
        <v>0.782</v>
      </c>
      <c r="G57" s="88" t="n">
        <v>0.807</v>
      </c>
      <c r="H57" s="89" t="n">
        <v>1</v>
      </c>
      <c r="I57" s="89" t="n">
        <v>1</v>
      </c>
      <c r="J57" s="89" t="n">
        <v>1</v>
      </c>
      <c r="K57" s="174" t="n">
        <f aca="false">IF(COUNT(H57:J57)=0,"",AVERAGE(H57:J57))</f>
        <v>1</v>
      </c>
      <c r="L57" s="90" t="n">
        <v>0.9187</v>
      </c>
      <c r="M57" s="90" t="n">
        <v>0.9944</v>
      </c>
      <c r="N57" s="90" t="n">
        <v>1</v>
      </c>
      <c r="O57" s="174" t="n">
        <f aca="false">IF(COUNT(L57:N57)=0,"",AVERAGE(L57:N57))</f>
        <v>0.971033333333333</v>
      </c>
      <c r="P57" s="90" t="n">
        <v>1</v>
      </c>
      <c r="Q57" s="90"/>
      <c r="R57" s="90"/>
      <c r="S57" s="174" t="n">
        <f aca="false">IF(COUNT(P57:R57)=0,"",AVERAGE(P57:R57))</f>
        <v>1</v>
      </c>
      <c r="T57" s="90"/>
      <c r="U57" s="90"/>
      <c r="V57" s="90"/>
      <c r="W57" s="174" t="str">
        <f aca="false">IF(COUNT(T57:V57)=0,"",AVERAGE(T57:V57))</f>
        <v/>
      </c>
      <c r="X57" s="92" t="n">
        <v>0.9187</v>
      </c>
      <c r="Y57" s="114" t="s">
        <v>104</v>
      </c>
      <c r="Z57" s="78" t="s">
        <v>100</v>
      </c>
    </row>
    <row r="58" customFormat="false" ht="25.5" hidden="false" customHeight="true" outlineLevel="0" collapsed="false">
      <c r="A58" s="69" t="s">
        <v>198</v>
      </c>
      <c r="B58" s="70" t="s">
        <v>199</v>
      </c>
      <c r="C58" s="71" t="s">
        <v>166</v>
      </c>
      <c r="D58" s="71" t="s">
        <v>110</v>
      </c>
      <c r="E58" s="69" t="s">
        <v>501</v>
      </c>
      <c r="F58" s="87" t="n">
        <v>0.821</v>
      </c>
      <c r="G58" s="88" t="n">
        <v>0.848</v>
      </c>
      <c r="H58" s="89" t="n">
        <v>1</v>
      </c>
      <c r="I58" s="89" t="n">
        <v>0.9545</v>
      </c>
      <c r="J58" s="90" t="n">
        <v>1</v>
      </c>
      <c r="K58" s="174" t="n">
        <f aca="false">IF(COUNT(H58:J58)=0,"",AVERAGE(H58:J58))</f>
        <v>0.984833333333333</v>
      </c>
      <c r="L58" s="90" t="n">
        <v>1</v>
      </c>
      <c r="M58" s="90" t="n">
        <v>1</v>
      </c>
      <c r="N58" s="90" t="n">
        <v>0.9231</v>
      </c>
      <c r="O58" s="174" t="n">
        <f aca="false">IF(COUNT(L58:N58)=0,"",AVERAGE(L58:N58))</f>
        <v>0.974366666666667</v>
      </c>
      <c r="P58" s="90" t="n">
        <v>1</v>
      </c>
      <c r="Q58" s="90"/>
      <c r="R58" s="90"/>
      <c r="S58" s="174" t="n">
        <f aca="false">IF(COUNT(P58:R58)=0,"",AVERAGE(P58:R58))</f>
        <v>1</v>
      </c>
      <c r="T58" s="90"/>
      <c r="U58" s="90"/>
      <c r="V58" s="90"/>
      <c r="W58" s="174" t="str">
        <f aca="false">IF(COUNT(T58:V58)=0,"",AVERAGE(T58:V58))</f>
        <v/>
      </c>
      <c r="X58" s="92" t="n">
        <v>1</v>
      </c>
      <c r="Y58" s="114" t="s">
        <v>104</v>
      </c>
      <c r="Z58" s="78" t="s">
        <v>190</v>
      </c>
    </row>
    <row r="59" customFormat="false" ht="25.5" hidden="false" customHeight="true" outlineLevel="0" collapsed="false">
      <c r="A59" s="69" t="s">
        <v>211</v>
      </c>
      <c r="B59" s="70" t="s">
        <v>212</v>
      </c>
      <c r="C59" s="71" t="s">
        <v>213</v>
      </c>
      <c r="D59" s="71" t="s">
        <v>110</v>
      </c>
      <c r="E59" s="69" t="s">
        <v>501</v>
      </c>
      <c r="F59" s="87" t="s">
        <v>32</v>
      </c>
      <c r="G59" s="91" t="n">
        <v>1</v>
      </c>
      <c r="H59" s="89" t="n">
        <v>0</v>
      </c>
      <c r="I59" s="89" t="n">
        <v>0</v>
      </c>
      <c r="J59" s="89" t="n">
        <v>1</v>
      </c>
      <c r="K59" s="174" t="n">
        <f aca="false">IF(COUNT(H59:J59)=0,"",LOOKUP(2,1/(H59:J59&lt;&gt;""),H59:J59))</f>
        <v>1</v>
      </c>
      <c r="L59" s="90" t="n">
        <v>1</v>
      </c>
      <c r="M59" s="90" t="n">
        <v>1</v>
      </c>
      <c r="N59" s="90" t="n">
        <v>1</v>
      </c>
      <c r="O59" s="174" t="n">
        <f aca="false">IF(COUNT(L59:N59)=0,"",LOOKUP(2,1/(L59:N59&lt;&gt;""),L59:N59))</f>
        <v>1</v>
      </c>
      <c r="P59" s="90" t="n">
        <v>1</v>
      </c>
      <c r="Q59" s="90"/>
      <c r="R59" s="90"/>
      <c r="S59" s="174" t="n">
        <f aca="false">IF(COUNT(P59:R59)=0,"",LOOKUP(2,1/(P59:R59&lt;&gt;""),P59:R59))</f>
        <v>1</v>
      </c>
      <c r="T59" s="90"/>
      <c r="U59" s="90"/>
      <c r="V59" s="90"/>
      <c r="W59" s="174" t="str">
        <f aca="false">IF(COUNT(T59:V59)=0,"",LOOKUP(2,1/(T59:V59&lt;&gt;""),T59:V59))</f>
        <v/>
      </c>
      <c r="X59" s="92" t="n">
        <v>0.611111111111111</v>
      </c>
      <c r="Y59" s="114" t="s">
        <v>120</v>
      </c>
      <c r="Z59" s="78" t="s">
        <v>214</v>
      </c>
    </row>
    <row r="60" customFormat="false" ht="25.5" hidden="false" customHeight="true" outlineLevel="0" collapsed="false">
      <c r="A60" s="69" t="s">
        <v>255</v>
      </c>
      <c r="B60" s="70" t="s">
        <v>256</v>
      </c>
      <c r="C60" s="71" t="s">
        <v>35</v>
      </c>
      <c r="D60" s="71" t="s">
        <v>110</v>
      </c>
      <c r="E60" s="183" t="s">
        <v>502</v>
      </c>
      <c r="F60" s="87" t="n">
        <v>0.33</v>
      </c>
      <c r="G60" s="88" t="n">
        <v>0.2</v>
      </c>
      <c r="H60" s="184"/>
      <c r="I60" s="184"/>
      <c r="J60" s="184"/>
      <c r="K60" s="185" t="n">
        <v>1.32163828537874</v>
      </c>
      <c r="L60" s="184"/>
      <c r="M60" s="184"/>
      <c r="N60" s="184"/>
      <c r="O60" s="186" t="n">
        <v>1.29</v>
      </c>
      <c r="P60" s="184"/>
      <c r="Q60" s="184"/>
      <c r="R60" s="184"/>
      <c r="S60" s="186"/>
      <c r="T60" s="184"/>
      <c r="U60" s="184"/>
      <c r="V60" s="184"/>
      <c r="W60" s="186"/>
      <c r="X60" s="92" t="n">
        <v>1.32163828537874</v>
      </c>
      <c r="Y60" s="114" t="s">
        <v>104</v>
      </c>
      <c r="Z60" s="78" t="s">
        <v>257</v>
      </c>
    </row>
    <row r="61" customFormat="false" ht="25.5" hidden="false" customHeight="true" outlineLevel="0" collapsed="false">
      <c r="A61" s="69" t="s">
        <v>258</v>
      </c>
      <c r="B61" s="70" t="s">
        <v>259</v>
      </c>
      <c r="C61" s="71" t="s">
        <v>35</v>
      </c>
      <c r="D61" s="71" t="s">
        <v>97</v>
      </c>
      <c r="E61" s="183" t="s">
        <v>502</v>
      </c>
      <c r="F61" s="115" t="n">
        <v>20.7</v>
      </c>
      <c r="G61" s="116" t="n">
        <v>21</v>
      </c>
      <c r="H61" s="184"/>
      <c r="I61" s="184"/>
      <c r="J61" s="184"/>
      <c r="K61" s="187" t="n">
        <v>10</v>
      </c>
      <c r="L61" s="184"/>
      <c r="M61" s="184"/>
      <c r="N61" s="184"/>
      <c r="O61" s="187" t="s">
        <v>173</v>
      </c>
      <c r="P61" s="184"/>
      <c r="Q61" s="184"/>
      <c r="R61" s="184"/>
      <c r="S61" s="187"/>
      <c r="T61" s="184"/>
      <c r="U61" s="184"/>
      <c r="V61" s="184"/>
      <c r="W61" s="187"/>
      <c r="X61" s="118" t="n">
        <v>10</v>
      </c>
      <c r="Y61" s="114" t="s">
        <v>104</v>
      </c>
      <c r="Z61" s="78" t="s">
        <v>257</v>
      </c>
    </row>
    <row r="62" customFormat="false" ht="25.5" hidden="false" customHeight="true" outlineLevel="0" collapsed="false">
      <c r="A62" s="69" t="s">
        <v>262</v>
      </c>
      <c r="B62" s="70" t="s">
        <v>263</v>
      </c>
      <c r="C62" s="71" t="s">
        <v>35</v>
      </c>
      <c r="D62" s="71" t="s">
        <v>110</v>
      </c>
      <c r="E62" s="183" t="s">
        <v>502</v>
      </c>
      <c r="F62" s="87" t="s">
        <v>32</v>
      </c>
      <c r="G62" s="91" t="s">
        <v>32</v>
      </c>
      <c r="H62" s="184"/>
      <c r="I62" s="184"/>
      <c r="J62" s="184"/>
      <c r="K62" s="185" t="n">
        <v>1</v>
      </c>
      <c r="L62" s="184"/>
      <c r="M62" s="184"/>
      <c r="N62" s="184"/>
      <c r="O62" s="186"/>
      <c r="P62" s="184"/>
      <c r="Q62" s="184"/>
      <c r="R62" s="184"/>
      <c r="S62" s="186"/>
      <c r="T62" s="184"/>
      <c r="U62" s="184"/>
      <c r="V62" s="184"/>
      <c r="W62" s="186"/>
      <c r="X62" s="92" t="n">
        <v>1</v>
      </c>
      <c r="Y62" s="114" t="s">
        <v>120</v>
      </c>
      <c r="Z62" s="78" t="s">
        <v>264</v>
      </c>
    </row>
    <row r="63" customFormat="false" ht="25.5" hidden="false" customHeight="true" outlineLevel="0" collapsed="false">
      <c r="A63" s="69" t="s">
        <v>265</v>
      </c>
      <c r="B63" s="70" t="s">
        <v>266</v>
      </c>
      <c r="C63" s="71" t="s">
        <v>35</v>
      </c>
      <c r="D63" s="71" t="s">
        <v>97</v>
      </c>
      <c r="E63" s="183" t="s">
        <v>502</v>
      </c>
      <c r="F63" s="87" t="n">
        <v>0.52</v>
      </c>
      <c r="G63" s="88" t="n">
        <v>0.84</v>
      </c>
      <c r="H63" s="184"/>
      <c r="I63" s="184"/>
      <c r="J63" s="184"/>
      <c r="K63" s="185" t="n">
        <v>0.0111111111111111</v>
      </c>
      <c r="L63" s="184"/>
      <c r="M63" s="184"/>
      <c r="N63" s="184"/>
      <c r="O63" s="186"/>
      <c r="P63" s="184"/>
      <c r="Q63" s="184"/>
      <c r="R63" s="184"/>
      <c r="S63" s="186"/>
      <c r="T63" s="184"/>
      <c r="U63" s="184"/>
      <c r="V63" s="184"/>
      <c r="W63" s="186"/>
      <c r="X63" s="92" t="n">
        <v>0.0111111111111111</v>
      </c>
      <c r="Y63" s="114" t="s">
        <v>104</v>
      </c>
      <c r="Z63" s="78" t="s">
        <v>257</v>
      </c>
    </row>
    <row r="64" customFormat="false" ht="25.5" hidden="false" customHeight="true" outlineLevel="0" collapsed="false">
      <c r="A64" s="69" t="s">
        <v>270</v>
      </c>
      <c r="B64" s="70" t="s">
        <v>271</v>
      </c>
      <c r="C64" s="71" t="s">
        <v>35</v>
      </c>
      <c r="D64" s="71" t="s">
        <v>97</v>
      </c>
      <c r="E64" s="183" t="s">
        <v>502</v>
      </c>
      <c r="F64" s="96" t="n">
        <v>4.7</v>
      </c>
      <c r="G64" s="119" t="n">
        <v>9.8</v>
      </c>
      <c r="H64" s="188"/>
      <c r="I64" s="188"/>
      <c r="J64" s="188"/>
      <c r="K64" s="189" t="n">
        <v>3.7</v>
      </c>
      <c r="L64" s="188"/>
      <c r="M64" s="188"/>
      <c r="N64" s="188"/>
      <c r="O64" s="190"/>
      <c r="P64" s="188"/>
      <c r="Q64" s="188"/>
      <c r="R64" s="188"/>
      <c r="S64" s="190"/>
      <c r="T64" s="188"/>
      <c r="U64" s="188"/>
      <c r="V64" s="188"/>
      <c r="W64" s="190"/>
      <c r="X64" s="100" t="n">
        <v>3.7</v>
      </c>
      <c r="Y64" s="114" t="s">
        <v>104</v>
      </c>
      <c r="Z64" s="78" t="s">
        <v>257</v>
      </c>
    </row>
    <row r="65" customFormat="false" ht="25.5" hidden="false" customHeight="true" outlineLevel="0" collapsed="false">
      <c r="A65" s="69" t="s">
        <v>272</v>
      </c>
      <c r="B65" s="70" t="s">
        <v>273</v>
      </c>
      <c r="C65" s="71" t="s">
        <v>35</v>
      </c>
      <c r="D65" s="71" t="s">
        <v>97</v>
      </c>
      <c r="E65" s="183" t="s">
        <v>502</v>
      </c>
      <c r="F65" s="87" t="n">
        <v>0.025</v>
      </c>
      <c r="G65" s="88" t="n">
        <v>0.04</v>
      </c>
      <c r="H65" s="184"/>
      <c r="I65" s="184"/>
      <c r="J65" s="184"/>
      <c r="K65" s="185" t="n">
        <v>0.006</v>
      </c>
      <c r="L65" s="184"/>
      <c r="M65" s="184"/>
      <c r="N65" s="184"/>
      <c r="O65" s="186"/>
      <c r="P65" s="184"/>
      <c r="Q65" s="184"/>
      <c r="R65" s="184"/>
      <c r="S65" s="186"/>
      <c r="T65" s="184"/>
      <c r="U65" s="184"/>
      <c r="V65" s="184"/>
      <c r="W65" s="186"/>
      <c r="X65" s="92" t="n">
        <v>0.006</v>
      </c>
      <c r="Y65" s="114" t="s">
        <v>104</v>
      </c>
      <c r="Z65" s="78" t="s">
        <v>257</v>
      </c>
    </row>
    <row r="66" customFormat="false" ht="25.5" hidden="false" customHeight="true" outlineLevel="0" collapsed="false">
      <c r="A66" s="69" t="s">
        <v>274</v>
      </c>
      <c r="B66" s="70" t="s">
        <v>275</v>
      </c>
      <c r="C66" s="71" t="s">
        <v>35</v>
      </c>
      <c r="D66" s="71" t="s">
        <v>110</v>
      </c>
      <c r="E66" s="183" t="s">
        <v>502</v>
      </c>
      <c r="F66" s="102" t="n">
        <v>0.3</v>
      </c>
      <c r="G66" s="82" t="n">
        <v>0.9</v>
      </c>
      <c r="H66" s="191"/>
      <c r="I66" s="191"/>
      <c r="J66" s="191"/>
      <c r="K66" s="192" t="n">
        <v>0.4</v>
      </c>
      <c r="L66" s="191"/>
      <c r="M66" s="191"/>
      <c r="N66" s="191"/>
      <c r="O66" s="193" t="s">
        <v>540</v>
      </c>
      <c r="P66" s="191"/>
      <c r="Q66" s="191"/>
      <c r="R66" s="191"/>
      <c r="S66" s="193"/>
      <c r="T66" s="191"/>
      <c r="U66" s="191"/>
      <c r="V66" s="191"/>
      <c r="W66" s="193"/>
      <c r="X66" s="104" t="n">
        <v>0.4</v>
      </c>
      <c r="Y66" s="114" t="s">
        <v>113</v>
      </c>
      <c r="Z66" s="78" t="s">
        <v>257</v>
      </c>
    </row>
    <row r="67" customFormat="false" ht="25.5" hidden="false" customHeight="true" outlineLevel="0" collapsed="false">
      <c r="A67" s="69" t="s">
        <v>277</v>
      </c>
      <c r="B67" s="70" t="s">
        <v>278</v>
      </c>
      <c r="C67" s="71" t="s">
        <v>35</v>
      </c>
      <c r="D67" s="71" t="s">
        <v>110</v>
      </c>
      <c r="E67" s="183" t="s">
        <v>502</v>
      </c>
      <c r="F67" s="87" t="n">
        <v>0.5879</v>
      </c>
      <c r="G67" s="91" t="s">
        <v>32</v>
      </c>
      <c r="H67" s="184"/>
      <c r="I67" s="184"/>
      <c r="J67" s="184"/>
      <c r="K67" s="185" t="n">
        <v>0.6648</v>
      </c>
      <c r="L67" s="184"/>
      <c r="M67" s="184"/>
      <c r="N67" s="184"/>
      <c r="O67" s="186" t="n">
        <v>1</v>
      </c>
      <c r="P67" s="184"/>
      <c r="Q67" s="184"/>
      <c r="R67" s="184"/>
      <c r="S67" s="186"/>
      <c r="T67" s="184"/>
      <c r="U67" s="184"/>
      <c r="V67" s="184"/>
      <c r="W67" s="186"/>
      <c r="X67" s="92" t="n">
        <v>0.6648</v>
      </c>
      <c r="Y67" s="114" t="s">
        <v>120</v>
      </c>
      <c r="Z67" s="78" t="s">
        <v>190</v>
      </c>
    </row>
    <row r="68" customFormat="false" ht="25.5" hidden="false" customHeight="true" outlineLevel="0" collapsed="false">
      <c r="A68" s="69" t="s">
        <v>283</v>
      </c>
      <c r="B68" s="70" t="s">
        <v>284</v>
      </c>
      <c r="C68" s="71" t="s">
        <v>34</v>
      </c>
      <c r="D68" s="71" t="s">
        <v>110</v>
      </c>
      <c r="E68" s="183" t="s">
        <v>502</v>
      </c>
      <c r="F68" s="87" t="n">
        <v>0.767</v>
      </c>
      <c r="G68" s="88" t="n">
        <v>0.5</v>
      </c>
      <c r="H68" s="184"/>
      <c r="I68" s="184"/>
      <c r="J68" s="184"/>
      <c r="K68" s="186" t="n">
        <v>0.979222797927461</v>
      </c>
      <c r="L68" s="184"/>
      <c r="M68" s="184"/>
      <c r="N68" s="184"/>
      <c r="O68" s="186"/>
      <c r="P68" s="184"/>
      <c r="Q68" s="184"/>
      <c r="R68" s="184"/>
      <c r="S68" s="186"/>
      <c r="T68" s="184"/>
      <c r="U68" s="184"/>
      <c r="V68" s="184"/>
      <c r="W68" s="186"/>
      <c r="X68" s="92" t="n">
        <v>0.979222797927461</v>
      </c>
      <c r="Y68" s="114" t="s">
        <v>104</v>
      </c>
      <c r="Z68" s="78" t="s">
        <v>257</v>
      </c>
    </row>
    <row r="69" customFormat="false" ht="25.5" hidden="false" customHeight="true" outlineLevel="0" collapsed="false">
      <c r="A69" s="69" t="s">
        <v>285</v>
      </c>
      <c r="B69" s="70" t="s">
        <v>286</v>
      </c>
      <c r="C69" s="71" t="s">
        <v>34</v>
      </c>
      <c r="D69" s="71" t="s">
        <v>110</v>
      </c>
      <c r="E69" s="183" t="s">
        <v>502</v>
      </c>
      <c r="F69" s="87" t="n">
        <v>0.776</v>
      </c>
      <c r="G69" s="88" t="n">
        <v>0.5</v>
      </c>
      <c r="H69" s="184"/>
      <c r="I69" s="184"/>
      <c r="J69" s="184"/>
      <c r="K69" s="186" t="n">
        <v>0.983056994818653</v>
      </c>
      <c r="L69" s="184"/>
      <c r="M69" s="184"/>
      <c r="N69" s="184"/>
      <c r="O69" s="186"/>
      <c r="P69" s="184"/>
      <c r="Q69" s="184"/>
      <c r="R69" s="184"/>
      <c r="S69" s="186"/>
      <c r="T69" s="184"/>
      <c r="U69" s="184"/>
      <c r="V69" s="184"/>
      <c r="W69" s="186"/>
      <c r="X69" s="92" t="n">
        <v>0.983056994818653</v>
      </c>
      <c r="Y69" s="114" t="s">
        <v>104</v>
      </c>
      <c r="Z69" s="78" t="s">
        <v>257</v>
      </c>
    </row>
    <row r="70" customFormat="false" ht="25.5" hidden="false" customHeight="true" outlineLevel="0" collapsed="false">
      <c r="A70" s="69" t="s">
        <v>287</v>
      </c>
      <c r="B70" s="70" t="s">
        <v>288</v>
      </c>
      <c r="C70" s="71" t="s">
        <v>34</v>
      </c>
      <c r="D70" s="71" t="s">
        <v>110</v>
      </c>
      <c r="E70" s="183" t="s">
        <v>502</v>
      </c>
      <c r="F70" s="87" t="n">
        <v>0.454</v>
      </c>
      <c r="G70" s="88" t="n">
        <v>0.3</v>
      </c>
      <c r="H70" s="184"/>
      <c r="I70" s="184"/>
      <c r="J70" s="184"/>
      <c r="K70" s="186" t="n">
        <v>0.839603046388184</v>
      </c>
      <c r="L70" s="184"/>
      <c r="M70" s="184"/>
      <c r="N70" s="184"/>
      <c r="O70" s="186"/>
      <c r="P70" s="184"/>
      <c r="Q70" s="184"/>
      <c r="R70" s="184"/>
      <c r="S70" s="186"/>
      <c r="T70" s="184"/>
      <c r="U70" s="184"/>
      <c r="V70" s="184"/>
      <c r="W70" s="186"/>
      <c r="X70" s="92" t="n">
        <v>0.839603046388184</v>
      </c>
      <c r="Y70" s="114" t="s">
        <v>104</v>
      </c>
      <c r="Z70" s="78" t="s">
        <v>257</v>
      </c>
    </row>
    <row r="71" customFormat="false" ht="25.5" hidden="false" customHeight="true" outlineLevel="0" collapsed="false">
      <c r="A71" s="69" t="s">
        <v>289</v>
      </c>
      <c r="B71" s="70" t="s">
        <v>290</v>
      </c>
      <c r="C71" s="71" t="s">
        <v>34</v>
      </c>
      <c r="D71" s="71" t="s">
        <v>110</v>
      </c>
      <c r="E71" s="183" t="s">
        <v>502</v>
      </c>
      <c r="F71" s="87" t="n">
        <v>0.637</v>
      </c>
      <c r="G71" s="88" t="n">
        <v>0.5</v>
      </c>
      <c r="H71" s="184"/>
      <c r="I71" s="184"/>
      <c r="J71" s="184"/>
      <c r="K71" s="186" t="n">
        <v>1.04201101928375</v>
      </c>
      <c r="L71" s="184"/>
      <c r="M71" s="184"/>
      <c r="N71" s="184"/>
      <c r="O71" s="186"/>
      <c r="P71" s="184"/>
      <c r="Q71" s="184"/>
      <c r="R71" s="184"/>
      <c r="S71" s="186"/>
      <c r="T71" s="184"/>
      <c r="U71" s="184"/>
      <c r="V71" s="184"/>
      <c r="W71" s="186"/>
      <c r="X71" s="92" t="n">
        <v>1.04201101928375</v>
      </c>
      <c r="Y71" s="114" t="s">
        <v>104</v>
      </c>
      <c r="Z71" s="78" t="s">
        <v>257</v>
      </c>
    </row>
    <row r="72" customFormat="false" ht="25.5" hidden="false" customHeight="true" outlineLevel="0" collapsed="false">
      <c r="A72" s="69" t="s">
        <v>291</v>
      </c>
      <c r="B72" s="70" t="s">
        <v>292</v>
      </c>
      <c r="C72" s="71" t="s">
        <v>34</v>
      </c>
      <c r="D72" s="71" t="s">
        <v>110</v>
      </c>
      <c r="E72" s="183" t="s">
        <v>502</v>
      </c>
      <c r="F72" s="87" t="n">
        <v>0.92</v>
      </c>
      <c r="G72" s="88" t="n">
        <v>0.3</v>
      </c>
      <c r="H72" s="184"/>
      <c r="I72" s="184"/>
      <c r="J72" s="184"/>
      <c r="K72" s="186" t="n">
        <v>1.35135135135135</v>
      </c>
      <c r="L72" s="184"/>
      <c r="M72" s="184"/>
      <c r="N72" s="184"/>
      <c r="O72" s="186"/>
      <c r="P72" s="184"/>
      <c r="Q72" s="184"/>
      <c r="R72" s="184"/>
      <c r="S72" s="186"/>
      <c r="T72" s="184"/>
      <c r="U72" s="184"/>
      <c r="V72" s="184"/>
      <c r="W72" s="186"/>
      <c r="X72" s="92" t="n">
        <v>1.35135135135135</v>
      </c>
      <c r="Y72" s="114" t="s">
        <v>104</v>
      </c>
      <c r="Z72" s="78" t="s">
        <v>257</v>
      </c>
    </row>
    <row r="73" customFormat="false" ht="25.5" hidden="false" customHeight="true" outlineLevel="0" collapsed="false">
      <c r="A73" s="69" t="s">
        <v>293</v>
      </c>
      <c r="B73" s="70" t="s">
        <v>294</v>
      </c>
      <c r="C73" s="71" t="s">
        <v>34</v>
      </c>
      <c r="D73" s="71" t="s">
        <v>110</v>
      </c>
      <c r="E73" s="183" t="s">
        <v>502</v>
      </c>
      <c r="F73" s="87" t="n">
        <v>0.88</v>
      </c>
      <c r="G73" s="88" t="n">
        <v>0.3</v>
      </c>
      <c r="H73" s="184"/>
      <c r="I73" s="184"/>
      <c r="J73" s="184"/>
      <c r="K73" s="186" t="n">
        <v>1.03454545454545</v>
      </c>
      <c r="L73" s="184"/>
      <c r="M73" s="184"/>
      <c r="N73" s="184"/>
      <c r="O73" s="186"/>
      <c r="P73" s="184"/>
      <c r="Q73" s="184"/>
      <c r="R73" s="184"/>
      <c r="S73" s="186"/>
      <c r="T73" s="184"/>
      <c r="U73" s="184"/>
      <c r="V73" s="184"/>
      <c r="W73" s="186"/>
      <c r="X73" s="92" t="n">
        <v>1.03454545454545</v>
      </c>
      <c r="Y73" s="114" t="s">
        <v>104</v>
      </c>
      <c r="Z73" s="78" t="s">
        <v>257</v>
      </c>
    </row>
    <row r="74" customFormat="false" ht="25.5" hidden="false" customHeight="true" outlineLevel="0" collapsed="false">
      <c r="A74" s="69" t="s">
        <v>295</v>
      </c>
      <c r="B74" s="70" t="s">
        <v>296</v>
      </c>
      <c r="C74" s="71" t="s">
        <v>34</v>
      </c>
      <c r="D74" s="71" t="s">
        <v>110</v>
      </c>
      <c r="E74" s="183" t="s">
        <v>502</v>
      </c>
      <c r="F74" s="87" t="n">
        <v>0.841</v>
      </c>
      <c r="G74" s="88" t="n">
        <v>0.3</v>
      </c>
      <c r="H74" s="184"/>
      <c r="I74" s="184"/>
      <c r="J74" s="184"/>
      <c r="K74" s="186" t="n">
        <v>0.914</v>
      </c>
      <c r="L74" s="184"/>
      <c r="M74" s="184"/>
      <c r="N74" s="184"/>
      <c r="O74" s="186"/>
      <c r="P74" s="184"/>
      <c r="Q74" s="184"/>
      <c r="R74" s="184"/>
      <c r="S74" s="186"/>
      <c r="T74" s="184"/>
      <c r="U74" s="184"/>
      <c r="V74" s="184"/>
      <c r="W74" s="186"/>
      <c r="X74" s="92" t="n">
        <v>0.914</v>
      </c>
      <c r="Y74" s="114" t="s">
        <v>104</v>
      </c>
      <c r="Z74" s="78" t="s">
        <v>257</v>
      </c>
    </row>
    <row r="75" customFormat="false" ht="25.5" hidden="false" customHeight="true" outlineLevel="0" collapsed="false">
      <c r="A75" s="69" t="s">
        <v>297</v>
      </c>
      <c r="B75" s="70" t="s">
        <v>298</v>
      </c>
      <c r="C75" s="71" t="s">
        <v>34</v>
      </c>
      <c r="D75" s="71" t="s">
        <v>110</v>
      </c>
      <c r="E75" s="183" t="s">
        <v>502</v>
      </c>
      <c r="F75" s="87" t="n">
        <v>1</v>
      </c>
      <c r="G75" s="88" t="n">
        <v>0.9</v>
      </c>
      <c r="H75" s="184"/>
      <c r="I75" s="184"/>
      <c r="J75" s="184"/>
      <c r="K75" s="186" t="n">
        <v>0.880819366852886</v>
      </c>
      <c r="L75" s="184"/>
      <c r="M75" s="184"/>
      <c r="N75" s="184"/>
      <c r="O75" s="186"/>
      <c r="P75" s="184"/>
      <c r="Q75" s="184"/>
      <c r="R75" s="184"/>
      <c r="S75" s="186"/>
      <c r="T75" s="184"/>
      <c r="U75" s="184"/>
      <c r="V75" s="184"/>
      <c r="W75" s="186"/>
      <c r="X75" s="92" t="n">
        <v>0.880819366852886</v>
      </c>
      <c r="Y75" s="114" t="s">
        <v>113</v>
      </c>
      <c r="Z75" s="78" t="s">
        <v>257</v>
      </c>
    </row>
    <row r="76" customFormat="false" ht="25.5" hidden="false" customHeight="true" outlineLevel="0" collapsed="false">
      <c r="A76" s="69" t="s">
        <v>299</v>
      </c>
      <c r="B76" s="70" t="s">
        <v>300</v>
      </c>
      <c r="C76" s="71" t="s">
        <v>34</v>
      </c>
      <c r="D76" s="71" t="s">
        <v>110</v>
      </c>
      <c r="E76" s="183" t="s">
        <v>502</v>
      </c>
      <c r="F76" s="87" t="n">
        <v>0.938</v>
      </c>
      <c r="G76" s="88" t="n">
        <v>0.9</v>
      </c>
      <c r="H76" s="184"/>
      <c r="I76" s="184"/>
      <c r="J76" s="184"/>
      <c r="K76" s="186" t="n">
        <v>0.956937799043062</v>
      </c>
      <c r="L76" s="184"/>
      <c r="M76" s="184"/>
      <c r="N76" s="184"/>
      <c r="O76" s="186"/>
      <c r="P76" s="184"/>
      <c r="Q76" s="184"/>
      <c r="R76" s="184"/>
      <c r="S76" s="186"/>
      <c r="T76" s="184"/>
      <c r="U76" s="184"/>
      <c r="V76" s="184"/>
      <c r="W76" s="186"/>
      <c r="X76" s="92" t="n">
        <v>0.956937799043062</v>
      </c>
      <c r="Y76" s="114" t="s">
        <v>104</v>
      </c>
      <c r="Z76" s="78" t="s">
        <v>257</v>
      </c>
    </row>
    <row r="77" customFormat="false" ht="25.5" hidden="false" customHeight="true" outlineLevel="0" collapsed="false">
      <c r="A77" s="69" t="s">
        <v>301</v>
      </c>
      <c r="B77" s="70" t="s">
        <v>302</v>
      </c>
      <c r="C77" s="71" t="s">
        <v>34</v>
      </c>
      <c r="D77" s="71" t="s">
        <v>110</v>
      </c>
      <c r="E77" s="183" t="s">
        <v>502</v>
      </c>
      <c r="F77" s="87" t="n">
        <v>0.995</v>
      </c>
      <c r="G77" s="91" t="n">
        <v>0.6</v>
      </c>
      <c r="H77" s="184"/>
      <c r="I77" s="184"/>
      <c r="J77" s="184"/>
      <c r="K77" s="185" t="n">
        <v>0.9944</v>
      </c>
      <c r="L77" s="184"/>
      <c r="M77" s="184"/>
      <c r="N77" s="184"/>
      <c r="O77" s="186" t="n">
        <v>1</v>
      </c>
      <c r="P77" s="184"/>
      <c r="Q77" s="184"/>
      <c r="R77" s="184"/>
      <c r="S77" s="186"/>
      <c r="T77" s="184"/>
      <c r="U77" s="184"/>
      <c r="V77" s="184"/>
      <c r="W77" s="186" t="n">
        <v>1.16565</v>
      </c>
      <c r="X77" s="92" t="n">
        <v>0.9944</v>
      </c>
      <c r="Y77" s="114" t="s">
        <v>104</v>
      </c>
      <c r="Z77" s="78" t="s">
        <v>257</v>
      </c>
    </row>
    <row r="78" customFormat="false" ht="25.5" hidden="false" customHeight="true" outlineLevel="0" collapsed="false">
      <c r="A78" s="69" t="s">
        <v>305</v>
      </c>
      <c r="B78" s="70" t="s">
        <v>306</v>
      </c>
      <c r="C78" s="71" t="s">
        <v>34</v>
      </c>
      <c r="D78" s="71" t="s">
        <v>97</v>
      </c>
      <c r="E78" s="183" t="s">
        <v>502</v>
      </c>
      <c r="F78" s="87" t="s">
        <v>32</v>
      </c>
      <c r="G78" s="91" t="s">
        <v>32</v>
      </c>
      <c r="H78" s="184"/>
      <c r="I78" s="184"/>
      <c r="J78" s="184"/>
      <c r="K78" s="185" t="n">
        <v>0.25</v>
      </c>
      <c r="L78" s="184"/>
      <c r="M78" s="184"/>
      <c r="N78" s="184"/>
      <c r="O78" s="186" t="n">
        <v>301</v>
      </c>
      <c r="P78" s="184"/>
      <c r="Q78" s="184"/>
      <c r="R78" s="184"/>
      <c r="S78" s="186"/>
      <c r="T78" s="184"/>
      <c r="U78" s="184"/>
      <c r="V78" s="184"/>
      <c r="W78" s="186"/>
      <c r="X78" s="92" t="n">
        <v>0.25</v>
      </c>
      <c r="Y78" s="114" t="s">
        <v>120</v>
      </c>
      <c r="Z78" s="78" t="s">
        <v>307</v>
      </c>
    </row>
    <row r="79" customFormat="false" ht="25.5" hidden="false" customHeight="true" outlineLevel="0" collapsed="false">
      <c r="A79" s="69" t="s">
        <v>308</v>
      </c>
      <c r="B79" s="70" t="s">
        <v>309</v>
      </c>
      <c r="C79" s="71" t="s">
        <v>34</v>
      </c>
      <c r="D79" s="71" t="s">
        <v>97</v>
      </c>
      <c r="E79" s="183" t="s">
        <v>502</v>
      </c>
      <c r="F79" s="102" t="n">
        <v>0</v>
      </c>
      <c r="G79" s="121" t="n">
        <v>15</v>
      </c>
      <c r="H79" s="191"/>
      <c r="I79" s="191"/>
      <c r="J79" s="191"/>
      <c r="K79" s="192" t="n">
        <v>0</v>
      </c>
      <c r="L79" s="191"/>
      <c r="M79" s="191"/>
      <c r="N79" s="191"/>
      <c r="O79" s="193" t="n">
        <v>0</v>
      </c>
      <c r="P79" s="191"/>
      <c r="Q79" s="191"/>
      <c r="R79" s="191"/>
      <c r="S79" s="193"/>
      <c r="T79" s="191"/>
      <c r="U79" s="191"/>
      <c r="V79" s="191"/>
      <c r="W79" s="193"/>
      <c r="X79" s="104" t="n">
        <v>0</v>
      </c>
      <c r="Y79" s="114" t="s">
        <v>104</v>
      </c>
      <c r="Z79" s="78" t="s">
        <v>257</v>
      </c>
    </row>
    <row r="80" customFormat="false" ht="25.5" hidden="false" customHeight="true" outlineLevel="0" collapsed="false">
      <c r="A80" s="69" t="s">
        <v>311</v>
      </c>
      <c r="B80" s="70" t="s">
        <v>312</v>
      </c>
      <c r="C80" s="71" t="s">
        <v>34</v>
      </c>
      <c r="D80" s="71" t="s">
        <v>97</v>
      </c>
      <c r="E80" s="183" t="s">
        <v>502</v>
      </c>
      <c r="F80" s="102" t="n">
        <v>0.4</v>
      </c>
      <c r="G80" s="75" t="n">
        <v>0.7</v>
      </c>
      <c r="H80" s="191"/>
      <c r="I80" s="191"/>
      <c r="J80" s="191"/>
      <c r="K80" s="192" t="n">
        <v>0</v>
      </c>
      <c r="L80" s="191"/>
      <c r="M80" s="191"/>
      <c r="N80" s="191"/>
      <c r="O80" s="193" t="n">
        <v>0</v>
      </c>
      <c r="P80" s="191"/>
      <c r="Q80" s="191"/>
      <c r="R80" s="191"/>
      <c r="S80" s="193"/>
      <c r="T80" s="191"/>
      <c r="U80" s="191"/>
      <c r="V80" s="191"/>
      <c r="W80" s="193"/>
      <c r="X80" s="104" t="n">
        <v>0</v>
      </c>
      <c r="Y80" s="114" t="s">
        <v>104</v>
      </c>
      <c r="Z80" s="78" t="s">
        <v>257</v>
      </c>
    </row>
    <row r="81" customFormat="false" ht="25.5" hidden="false" customHeight="true" outlineLevel="0" collapsed="false">
      <c r="A81" s="69" t="s">
        <v>313</v>
      </c>
      <c r="B81" s="70" t="s">
        <v>314</v>
      </c>
      <c r="C81" s="71" t="s">
        <v>34</v>
      </c>
      <c r="D81" s="71" t="s">
        <v>97</v>
      </c>
      <c r="E81" s="183" t="s">
        <v>502</v>
      </c>
      <c r="F81" s="102" t="n">
        <v>0.13</v>
      </c>
      <c r="G81" s="122" t="n">
        <v>11</v>
      </c>
      <c r="H81" s="191"/>
      <c r="I81" s="191"/>
      <c r="J81" s="191"/>
      <c r="K81" s="192" t="n">
        <v>0</v>
      </c>
      <c r="L81" s="191"/>
      <c r="M81" s="191"/>
      <c r="N81" s="191"/>
      <c r="O81" s="193" t="n">
        <v>0</v>
      </c>
      <c r="P81" s="191"/>
      <c r="Q81" s="191"/>
      <c r="R81" s="191"/>
      <c r="S81" s="193"/>
      <c r="T81" s="191"/>
      <c r="U81" s="191"/>
      <c r="V81" s="191"/>
      <c r="W81" s="193"/>
      <c r="X81" s="104" t="n">
        <v>0</v>
      </c>
      <c r="Y81" s="114" t="s">
        <v>104</v>
      </c>
      <c r="Z81" s="78" t="s">
        <v>257</v>
      </c>
    </row>
    <row r="82" customFormat="false" ht="25.5" hidden="false" customHeight="true" outlineLevel="0" collapsed="false">
      <c r="A82" s="69" t="s">
        <v>315</v>
      </c>
      <c r="B82" s="70" t="s">
        <v>316</v>
      </c>
      <c r="C82" s="71" t="s">
        <v>34</v>
      </c>
      <c r="D82" s="71" t="s">
        <v>97</v>
      </c>
      <c r="E82" s="183" t="s">
        <v>502</v>
      </c>
      <c r="F82" s="102" t="n">
        <v>0.47</v>
      </c>
      <c r="G82" s="82" t="n">
        <v>0.4</v>
      </c>
      <c r="H82" s="191"/>
      <c r="I82" s="191"/>
      <c r="J82" s="191"/>
      <c r="K82" s="192" t="n">
        <v>0</v>
      </c>
      <c r="L82" s="191"/>
      <c r="M82" s="191"/>
      <c r="N82" s="191"/>
      <c r="O82" s="193" t="n">
        <v>0</v>
      </c>
      <c r="P82" s="191"/>
      <c r="Q82" s="191"/>
      <c r="R82" s="191"/>
      <c r="S82" s="193"/>
      <c r="T82" s="191"/>
      <c r="U82" s="191"/>
      <c r="V82" s="191"/>
      <c r="W82" s="193"/>
      <c r="X82" s="104" t="n">
        <v>0</v>
      </c>
      <c r="Y82" s="114" t="s">
        <v>104</v>
      </c>
      <c r="Z82" s="78" t="s">
        <v>100</v>
      </c>
    </row>
    <row r="83" customFormat="false" ht="25.5" hidden="false" customHeight="true" outlineLevel="0" collapsed="false">
      <c r="A83" s="69" t="s">
        <v>323</v>
      </c>
      <c r="B83" s="70" t="s">
        <v>324</v>
      </c>
      <c r="C83" s="71" t="s">
        <v>34</v>
      </c>
      <c r="D83" s="71" t="s">
        <v>97</v>
      </c>
      <c r="E83" s="183" t="s">
        <v>502</v>
      </c>
      <c r="F83" s="102" t="n">
        <v>0.9</v>
      </c>
      <c r="G83" s="122" t="n">
        <v>1.5</v>
      </c>
      <c r="H83" s="191"/>
      <c r="I83" s="191"/>
      <c r="J83" s="191"/>
      <c r="K83" s="193"/>
      <c r="L83" s="191"/>
      <c r="M83" s="191"/>
      <c r="N83" s="191"/>
      <c r="O83" s="193" t="n">
        <v>0</v>
      </c>
      <c r="P83" s="191"/>
      <c r="Q83" s="191"/>
      <c r="R83" s="191"/>
      <c r="S83" s="193"/>
      <c r="T83" s="191"/>
      <c r="U83" s="191"/>
      <c r="V83" s="191"/>
      <c r="W83" s="193"/>
      <c r="X83" s="104"/>
      <c r="Y83" s="114" t="s">
        <v>99</v>
      </c>
      <c r="Z83" s="78" t="s">
        <v>257</v>
      </c>
    </row>
    <row r="84" customFormat="false" ht="25.5" hidden="false" customHeight="true" outlineLevel="0" collapsed="false">
      <c r="A84" s="69" t="s">
        <v>325</v>
      </c>
      <c r="B84" s="70" t="s">
        <v>326</v>
      </c>
      <c r="C84" s="71" t="s">
        <v>34</v>
      </c>
      <c r="D84" s="71" t="s">
        <v>110</v>
      </c>
      <c r="E84" s="183" t="s">
        <v>502</v>
      </c>
      <c r="F84" s="102" t="n">
        <v>0.9</v>
      </c>
      <c r="G84" s="82" t="n">
        <v>3</v>
      </c>
      <c r="H84" s="191"/>
      <c r="I84" s="191"/>
      <c r="J84" s="191"/>
      <c r="K84" s="192" t="n">
        <v>0.3</v>
      </c>
      <c r="L84" s="191"/>
      <c r="M84" s="191"/>
      <c r="N84" s="191"/>
      <c r="O84" s="193" t="n">
        <v>0.41</v>
      </c>
      <c r="P84" s="191"/>
      <c r="Q84" s="191"/>
      <c r="R84" s="191"/>
      <c r="S84" s="193"/>
      <c r="T84" s="191"/>
      <c r="U84" s="191"/>
      <c r="V84" s="191"/>
      <c r="W84" s="193"/>
      <c r="X84" s="104" t="n">
        <v>0.3</v>
      </c>
      <c r="Y84" s="114" t="s">
        <v>113</v>
      </c>
      <c r="Z84" s="78" t="s">
        <v>257</v>
      </c>
    </row>
    <row r="85" customFormat="false" ht="25.5" hidden="false" customHeight="true" outlineLevel="0" collapsed="false">
      <c r="A85" s="69" t="s">
        <v>327</v>
      </c>
      <c r="B85" s="70" t="s">
        <v>328</v>
      </c>
      <c r="C85" s="71" t="s">
        <v>34</v>
      </c>
      <c r="D85" s="71" t="s">
        <v>110</v>
      </c>
      <c r="E85" s="183" t="s">
        <v>502</v>
      </c>
      <c r="F85" s="87" t="n">
        <v>0.777</v>
      </c>
      <c r="G85" s="88" t="n">
        <v>0.7</v>
      </c>
      <c r="H85" s="184"/>
      <c r="I85" s="184"/>
      <c r="J85" s="184"/>
      <c r="K85" s="185" t="n">
        <v>0.721</v>
      </c>
      <c r="L85" s="184"/>
      <c r="M85" s="184"/>
      <c r="N85" s="184"/>
      <c r="O85" s="186" t="n">
        <v>0.75</v>
      </c>
      <c r="P85" s="184"/>
      <c r="Q85" s="184"/>
      <c r="R85" s="184"/>
      <c r="S85" s="186"/>
      <c r="T85" s="184"/>
      <c r="U85" s="184"/>
      <c r="V85" s="184"/>
      <c r="W85" s="186"/>
      <c r="X85" s="92" t="n">
        <v>0.721</v>
      </c>
      <c r="Y85" s="114" t="s">
        <v>104</v>
      </c>
      <c r="Z85" s="78" t="s">
        <v>257</v>
      </c>
    </row>
    <row r="86" customFormat="false" ht="25.5" hidden="false" customHeight="true" outlineLevel="0" collapsed="false">
      <c r="A86" s="69" t="s">
        <v>329</v>
      </c>
      <c r="B86" s="70" t="s">
        <v>330</v>
      </c>
      <c r="C86" s="71" t="s">
        <v>34</v>
      </c>
      <c r="D86" s="71" t="s">
        <v>97</v>
      </c>
      <c r="E86" s="183" t="s">
        <v>502</v>
      </c>
      <c r="F86" s="102" t="n">
        <v>28.6</v>
      </c>
      <c r="G86" s="122" t="n">
        <v>14.3</v>
      </c>
      <c r="H86" s="191"/>
      <c r="I86" s="191"/>
      <c r="J86" s="191"/>
      <c r="K86" s="193"/>
      <c r="L86" s="191"/>
      <c r="M86" s="191"/>
      <c r="N86" s="191"/>
      <c r="O86" s="193" t="n">
        <v>0</v>
      </c>
      <c r="P86" s="191"/>
      <c r="Q86" s="191"/>
      <c r="R86" s="191"/>
      <c r="S86" s="193"/>
      <c r="T86" s="191"/>
      <c r="U86" s="191"/>
      <c r="V86" s="191"/>
      <c r="W86" s="193"/>
      <c r="X86" s="104"/>
      <c r="Y86" s="114" t="s">
        <v>99</v>
      </c>
      <c r="Z86" s="78" t="s">
        <v>257</v>
      </c>
    </row>
    <row r="87" customFormat="false" ht="25.5" hidden="false" customHeight="true" outlineLevel="0" collapsed="false">
      <c r="A87" s="69" t="s">
        <v>333</v>
      </c>
      <c r="B87" s="70" t="s">
        <v>334</v>
      </c>
      <c r="C87" s="71" t="s">
        <v>166</v>
      </c>
      <c r="D87" s="71" t="s">
        <v>110</v>
      </c>
      <c r="E87" s="183" t="s">
        <v>502</v>
      </c>
      <c r="F87" s="87" t="n">
        <v>0.624</v>
      </c>
      <c r="G87" s="91" t="n">
        <v>0.6</v>
      </c>
      <c r="H87" s="184"/>
      <c r="I87" s="184"/>
      <c r="J87" s="184"/>
      <c r="K87" s="186"/>
      <c r="L87" s="184"/>
      <c r="M87" s="184"/>
      <c r="N87" s="184"/>
      <c r="O87" s="186"/>
      <c r="P87" s="184"/>
      <c r="Q87" s="184"/>
      <c r="R87" s="184"/>
      <c r="S87" s="186"/>
      <c r="T87" s="184"/>
      <c r="U87" s="184"/>
      <c r="V87" s="184"/>
      <c r="W87" s="186"/>
      <c r="X87" s="92"/>
      <c r="Y87" s="114" t="s">
        <v>99</v>
      </c>
      <c r="Z87" s="78" t="s">
        <v>257</v>
      </c>
    </row>
    <row r="88" customFormat="false" ht="25.5" hidden="false" customHeight="true" outlineLevel="0" collapsed="false">
      <c r="A88" s="69" t="s">
        <v>335</v>
      </c>
      <c r="B88" s="70" t="s">
        <v>336</v>
      </c>
      <c r="C88" s="71" t="s">
        <v>166</v>
      </c>
      <c r="D88" s="71" t="s">
        <v>110</v>
      </c>
      <c r="E88" s="183" t="s">
        <v>502</v>
      </c>
      <c r="F88" s="87" t="n">
        <v>0.76</v>
      </c>
      <c r="G88" s="91" t="n">
        <v>0.7</v>
      </c>
      <c r="H88" s="184"/>
      <c r="I88" s="184"/>
      <c r="J88" s="184"/>
      <c r="K88" s="186"/>
      <c r="L88" s="184"/>
      <c r="M88" s="184"/>
      <c r="N88" s="184"/>
      <c r="O88" s="186"/>
      <c r="P88" s="184"/>
      <c r="Q88" s="184"/>
      <c r="R88" s="184"/>
      <c r="S88" s="186"/>
      <c r="T88" s="184"/>
      <c r="U88" s="184"/>
      <c r="V88" s="184"/>
      <c r="W88" s="186"/>
      <c r="X88" s="92"/>
      <c r="Y88" s="114" t="s">
        <v>99</v>
      </c>
      <c r="Z88" s="78" t="s">
        <v>257</v>
      </c>
    </row>
    <row r="89" customFormat="false" ht="25.5" hidden="false" customHeight="true" outlineLevel="0" collapsed="false">
      <c r="A89" s="69" t="s">
        <v>337</v>
      </c>
      <c r="B89" s="70" t="s">
        <v>338</v>
      </c>
      <c r="C89" s="71" t="s">
        <v>166</v>
      </c>
      <c r="D89" s="71" t="s">
        <v>110</v>
      </c>
      <c r="E89" s="183" t="s">
        <v>502</v>
      </c>
      <c r="F89" s="87" t="n">
        <v>0.821</v>
      </c>
      <c r="G89" s="91" t="n">
        <v>0.7</v>
      </c>
      <c r="H89" s="184"/>
      <c r="I89" s="184"/>
      <c r="J89" s="184"/>
      <c r="K89" s="186"/>
      <c r="L89" s="184"/>
      <c r="M89" s="184"/>
      <c r="N89" s="184"/>
      <c r="O89" s="186"/>
      <c r="P89" s="184"/>
      <c r="Q89" s="184"/>
      <c r="R89" s="184"/>
      <c r="S89" s="186"/>
      <c r="T89" s="184"/>
      <c r="U89" s="184"/>
      <c r="V89" s="184"/>
      <c r="W89" s="186"/>
      <c r="X89" s="92"/>
      <c r="Y89" s="114" t="s">
        <v>99</v>
      </c>
      <c r="Z89" s="78" t="s">
        <v>257</v>
      </c>
    </row>
    <row r="90" customFormat="false" ht="25.5" hidden="false" customHeight="true" outlineLevel="0" collapsed="false">
      <c r="A90" s="69" t="s">
        <v>339</v>
      </c>
      <c r="B90" s="70" t="s">
        <v>340</v>
      </c>
      <c r="C90" s="71" t="s">
        <v>166</v>
      </c>
      <c r="D90" s="71" t="s">
        <v>110</v>
      </c>
      <c r="E90" s="183" t="s">
        <v>502</v>
      </c>
      <c r="F90" s="87" t="n">
        <v>0.91</v>
      </c>
      <c r="G90" s="88" t="n">
        <v>0.92</v>
      </c>
      <c r="H90" s="184"/>
      <c r="I90" s="184"/>
      <c r="J90" s="184"/>
      <c r="K90" s="185" t="n">
        <v>1</v>
      </c>
      <c r="L90" s="184"/>
      <c r="M90" s="184"/>
      <c r="N90" s="184"/>
      <c r="O90" s="186" t="n">
        <v>1</v>
      </c>
      <c r="P90" s="184"/>
      <c r="Q90" s="184"/>
      <c r="R90" s="184"/>
      <c r="S90" s="186"/>
      <c r="T90" s="184"/>
      <c r="U90" s="184"/>
      <c r="V90" s="184"/>
      <c r="W90" s="186"/>
      <c r="X90" s="92" t="n">
        <v>1</v>
      </c>
      <c r="Y90" s="114" t="s">
        <v>104</v>
      </c>
      <c r="Z90" s="78" t="s">
        <v>341</v>
      </c>
    </row>
    <row r="91" customFormat="false" ht="25.5" hidden="false" customHeight="true" outlineLevel="0" collapsed="false">
      <c r="A91" s="69" t="s">
        <v>342</v>
      </c>
      <c r="B91" s="70" t="s">
        <v>343</v>
      </c>
      <c r="C91" s="71" t="s">
        <v>166</v>
      </c>
      <c r="D91" s="71" t="s">
        <v>110</v>
      </c>
      <c r="E91" s="183" t="s">
        <v>502</v>
      </c>
      <c r="F91" s="87" t="n">
        <v>0.78</v>
      </c>
      <c r="G91" s="91" t="n">
        <v>0.85</v>
      </c>
      <c r="H91" s="184"/>
      <c r="I91" s="184"/>
      <c r="J91" s="184"/>
      <c r="K91" s="185" t="n">
        <v>1</v>
      </c>
      <c r="L91" s="184"/>
      <c r="M91" s="184"/>
      <c r="N91" s="184"/>
      <c r="O91" s="186" t="n">
        <v>1</v>
      </c>
      <c r="P91" s="184"/>
      <c r="Q91" s="184"/>
      <c r="R91" s="184"/>
      <c r="S91" s="186"/>
      <c r="T91" s="184"/>
      <c r="U91" s="184"/>
      <c r="V91" s="184"/>
      <c r="W91" s="186"/>
      <c r="X91" s="92" t="n">
        <v>1</v>
      </c>
      <c r="Y91" s="114" t="s">
        <v>104</v>
      </c>
      <c r="Z91" s="78" t="s">
        <v>344</v>
      </c>
    </row>
    <row r="92" customFormat="false" ht="25.5" hidden="false" customHeight="true" outlineLevel="0" collapsed="false">
      <c r="A92" s="69" t="s">
        <v>345</v>
      </c>
      <c r="B92" s="70" t="s">
        <v>346</v>
      </c>
      <c r="C92" s="71" t="s">
        <v>166</v>
      </c>
      <c r="D92" s="71" t="s">
        <v>110</v>
      </c>
      <c r="E92" s="183" t="s">
        <v>502</v>
      </c>
      <c r="F92" s="87" t="n">
        <v>0.786</v>
      </c>
      <c r="G92" s="88" t="n">
        <v>0.8</v>
      </c>
      <c r="H92" s="184"/>
      <c r="I92" s="184"/>
      <c r="J92" s="184"/>
      <c r="K92" s="185" t="n">
        <v>1</v>
      </c>
      <c r="L92" s="184"/>
      <c r="M92" s="184"/>
      <c r="N92" s="184"/>
      <c r="O92" s="186" t="n">
        <v>1</v>
      </c>
      <c r="P92" s="184"/>
      <c r="Q92" s="184"/>
      <c r="R92" s="184"/>
      <c r="S92" s="186"/>
      <c r="T92" s="184"/>
      <c r="U92" s="184"/>
      <c r="V92" s="184"/>
      <c r="W92" s="186"/>
      <c r="X92" s="92" t="n">
        <v>1</v>
      </c>
      <c r="Y92" s="114" t="s">
        <v>104</v>
      </c>
      <c r="Z92" s="78" t="s">
        <v>257</v>
      </c>
    </row>
    <row r="93" customFormat="false" ht="25.5" hidden="false" customHeight="true" outlineLevel="0" collapsed="false">
      <c r="A93" s="69" t="s">
        <v>347</v>
      </c>
      <c r="B93" s="70" t="s">
        <v>348</v>
      </c>
      <c r="C93" s="71" t="s">
        <v>166</v>
      </c>
      <c r="D93" s="71" t="s">
        <v>110</v>
      </c>
      <c r="E93" s="183" t="s">
        <v>502</v>
      </c>
      <c r="F93" s="87" t="n">
        <v>0.98</v>
      </c>
      <c r="G93" s="88" t="n">
        <v>0.6</v>
      </c>
      <c r="H93" s="184"/>
      <c r="I93" s="184"/>
      <c r="J93" s="184"/>
      <c r="K93" s="185" t="n">
        <v>1</v>
      </c>
      <c r="L93" s="184"/>
      <c r="M93" s="184"/>
      <c r="N93" s="184"/>
      <c r="O93" s="186"/>
      <c r="P93" s="184"/>
      <c r="Q93" s="184"/>
      <c r="R93" s="184"/>
      <c r="S93" s="186"/>
      <c r="T93" s="184"/>
      <c r="U93" s="184"/>
      <c r="V93" s="184"/>
      <c r="W93" s="186"/>
      <c r="X93" s="92" t="n">
        <v>1</v>
      </c>
      <c r="Y93" s="114" t="s">
        <v>104</v>
      </c>
      <c r="Z93" s="78" t="s">
        <v>257</v>
      </c>
    </row>
    <row r="94" customFormat="false" ht="25.5" hidden="false" customHeight="true" outlineLevel="0" collapsed="false">
      <c r="A94" s="69" t="s">
        <v>349</v>
      </c>
      <c r="B94" s="70" t="s">
        <v>350</v>
      </c>
      <c r="C94" s="71" t="s">
        <v>166</v>
      </c>
      <c r="D94" s="71" t="s">
        <v>97</v>
      </c>
      <c r="E94" s="183" t="s">
        <v>502</v>
      </c>
      <c r="F94" s="94" t="n">
        <v>13.3</v>
      </c>
      <c r="G94" s="109" t="n">
        <v>25</v>
      </c>
      <c r="H94" s="194"/>
      <c r="I94" s="194"/>
      <c r="J94" s="194"/>
      <c r="K94" s="195" t="n">
        <v>9.3</v>
      </c>
      <c r="L94" s="194"/>
      <c r="M94" s="194"/>
      <c r="N94" s="194"/>
      <c r="O94" s="196"/>
      <c r="P94" s="194"/>
      <c r="Q94" s="194"/>
      <c r="R94" s="194"/>
      <c r="S94" s="196"/>
      <c r="T94" s="194"/>
      <c r="U94" s="194"/>
      <c r="V94" s="194"/>
      <c r="W94" s="196" t="n">
        <v>22</v>
      </c>
      <c r="X94" s="125" t="n">
        <v>9.3</v>
      </c>
      <c r="Y94" s="114" t="s">
        <v>104</v>
      </c>
      <c r="Z94" s="78" t="s">
        <v>257</v>
      </c>
    </row>
    <row r="95" customFormat="false" ht="25.5" hidden="false" customHeight="true" outlineLevel="0" collapsed="false">
      <c r="A95" s="69" t="s">
        <v>351</v>
      </c>
      <c r="B95" s="70" t="s">
        <v>352</v>
      </c>
      <c r="C95" s="71" t="s">
        <v>166</v>
      </c>
      <c r="D95" s="71" t="s">
        <v>97</v>
      </c>
      <c r="E95" s="183" t="s">
        <v>502</v>
      </c>
      <c r="F95" s="102" t="n">
        <v>31.9</v>
      </c>
      <c r="G95" s="122" t="n">
        <v>15.95</v>
      </c>
      <c r="H95" s="191"/>
      <c r="I95" s="191"/>
      <c r="J95" s="191"/>
      <c r="K95" s="192"/>
      <c r="L95" s="191"/>
      <c r="M95" s="191"/>
      <c r="N95" s="191"/>
      <c r="O95" s="193" t="n">
        <v>0</v>
      </c>
      <c r="P95" s="191"/>
      <c r="Q95" s="191"/>
      <c r="R95" s="191"/>
      <c r="S95" s="193"/>
      <c r="T95" s="191"/>
      <c r="U95" s="191"/>
      <c r="V95" s="191"/>
      <c r="W95" s="193"/>
      <c r="X95" s="104"/>
      <c r="Y95" s="114" t="s">
        <v>99</v>
      </c>
      <c r="Z95" s="78" t="s">
        <v>257</v>
      </c>
    </row>
    <row r="96" customFormat="false" ht="25.5" hidden="false" customHeight="true" outlineLevel="0" collapsed="false">
      <c r="A96" s="69" t="s">
        <v>353</v>
      </c>
      <c r="B96" s="70" t="s">
        <v>354</v>
      </c>
      <c r="C96" s="71" t="s">
        <v>166</v>
      </c>
      <c r="D96" s="71" t="s">
        <v>97</v>
      </c>
      <c r="E96" s="183" t="s">
        <v>502</v>
      </c>
      <c r="F96" s="102" t="n">
        <v>56.1</v>
      </c>
      <c r="G96" s="122" t="n">
        <v>28.05</v>
      </c>
      <c r="H96" s="191"/>
      <c r="I96" s="191"/>
      <c r="J96" s="191"/>
      <c r="K96" s="193"/>
      <c r="L96" s="191"/>
      <c r="M96" s="191"/>
      <c r="N96" s="191"/>
      <c r="O96" s="193" t="n">
        <v>8</v>
      </c>
      <c r="P96" s="191"/>
      <c r="Q96" s="191"/>
      <c r="R96" s="191"/>
      <c r="S96" s="193"/>
      <c r="T96" s="191"/>
      <c r="U96" s="191"/>
      <c r="V96" s="191"/>
      <c r="W96" s="193"/>
      <c r="X96" s="104"/>
      <c r="Y96" s="114" t="s">
        <v>99</v>
      </c>
      <c r="Z96" s="78" t="s">
        <v>257</v>
      </c>
    </row>
    <row r="97" customFormat="false" ht="25.5" hidden="false" customHeight="true" outlineLevel="0" collapsed="false">
      <c r="A97" s="69" t="s">
        <v>355</v>
      </c>
      <c r="B97" s="70" t="s">
        <v>356</v>
      </c>
      <c r="C97" s="71" t="s">
        <v>166</v>
      </c>
      <c r="D97" s="71" t="s">
        <v>97</v>
      </c>
      <c r="E97" s="183" t="s">
        <v>502</v>
      </c>
      <c r="F97" s="102" t="n">
        <v>39.8</v>
      </c>
      <c r="G97" s="122" t="n">
        <v>75</v>
      </c>
      <c r="H97" s="191"/>
      <c r="I97" s="191"/>
      <c r="J97" s="191"/>
      <c r="K97" s="192"/>
      <c r="L97" s="191"/>
      <c r="M97" s="191"/>
      <c r="N97" s="191"/>
      <c r="O97" s="193" t="n">
        <v>0</v>
      </c>
      <c r="P97" s="191"/>
      <c r="Q97" s="191"/>
      <c r="R97" s="191"/>
      <c r="S97" s="193"/>
      <c r="T97" s="191"/>
      <c r="U97" s="191"/>
      <c r="V97" s="191"/>
      <c r="W97" s="193"/>
      <c r="X97" s="104"/>
      <c r="Y97" s="114" t="s">
        <v>99</v>
      </c>
      <c r="Z97" s="78" t="s">
        <v>257</v>
      </c>
    </row>
    <row r="98" customFormat="false" ht="25.5" hidden="false" customHeight="true" outlineLevel="0" collapsed="false">
      <c r="A98" s="69" t="s">
        <v>357</v>
      </c>
      <c r="B98" s="70" t="s">
        <v>358</v>
      </c>
      <c r="C98" s="71" t="s">
        <v>166</v>
      </c>
      <c r="D98" s="71" t="s">
        <v>97</v>
      </c>
      <c r="E98" s="183" t="s">
        <v>502</v>
      </c>
      <c r="F98" s="102" t="n">
        <v>15.7</v>
      </c>
      <c r="G98" s="122" t="n">
        <v>7.85</v>
      </c>
      <c r="H98" s="191"/>
      <c r="I98" s="191"/>
      <c r="J98" s="191"/>
      <c r="K98" s="192" t="n">
        <v>0</v>
      </c>
      <c r="L98" s="191"/>
      <c r="M98" s="191"/>
      <c r="N98" s="191"/>
      <c r="O98" s="193" t="n">
        <v>0</v>
      </c>
      <c r="P98" s="191"/>
      <c r="Q98" s="191"/>
      <c r="R98" s="191"/>
      <c r="S98" s="193"/>
      <c r="T98" s="191"/>
      <c r="U98" s="191"/>
      <c r="V98" s="191"/>
      <c r="W98" s="193"/>
      <c r="X98" s="104" t="n">
        <v>0</v>
      </c>
      <c r="Y98" s="114" t="s">
        <v>104</v>
      </c>
      <c r="Z98" s="78" t="s">
        <v>100</v>
      </c>
    </row>
    <row r="99" customFormat="false" ht="25.5" hidden="false" customHeight="true" outlineLevel="0" collapsed="false">
      <c r="A99" s="69" t="s">
        <v>359</v>
      </c>
      <c r="B99" s="70" t="s">
        <v>360</v>
      </c>
      <c r="C99" s="71" t="s">
        <v>166</v>
      </c>
      <c r="D99" s="71" t="s">
        <v>97</v>
      </c>
      <c r="E99" s="183" t="s">
        <v>502</v>
      </c>
      <c r="F99" s="102" t="n">
        <v>11.7</v>
      </c>
      <c r="G99" s="82" t="n">
        <v>5.85</v>
      </c>
      <c r="H99" s="191"/>
      <c r="I99" s="191"/>
      <c r="J99" s="191"/>
      <c r="K99" s="192" t="n">
        <v>0</v>
      </c>
      <c r="L99" s="191"/>
      <c r="M99" s="191"/>
      <c r="N99" s="191"/>
      <c r="O99" s="193" t="n">
        <v>10.752688172043</v>
      </c>
      <c r="P99" s="191"/>
      <c r="Q99" s="191"/>
      <c r="R99" s="191"/>
      <c r="S99" s="193"/>
      <c r="T99" s="191"/>
      <c r="U99" s="191"/>
      <c r="V99" s="191"/>
      <c r="W99" s="193"/>
      <c r="X99" s="104" t="n">
        <v>0</v>
      </c>
      <c r="Y99" s="114" t="s">
        <v>104</v>
      </c>
      <c r="Z99" s="78" t="s">
        <v>257</v>
      </c>
    </row>
    <row r="100" customFormat="false" ht="25.5" hidden="false" customHeight="true" outlineLevel="0" collapsed="false">
      <c r="A100" s="69" t="s">
        <v>377</v>
      </c>
      <c r="B100" s="70" t="s">
        <v>378</v>
      </c>
      <c r="C100" s="71" t="s">
        <v>236</v>
      </c>
      <c r="D100" s="71" t="s">
        <v>110</v>
      </c>
      <c r="E100" s="183" t="s">
        <v>502</v>
      </c>
      <c r="F100" s="87" t="n">
        <v>0.483</v>
      </c>
      <c r="G100" s="88" t="n">
        <v>0.5606</v>
      </c>
      <c r="H100" s="184"/>
      <c r="I100" s="184"/>
      <c r="J100" s="184"/>
      <c r="K100" s="185" t="n">
        <v>0.54</v>
      </c>
      <c r="L100" s="184"/>
      <c r="M100" s="184"/>
      <c r="N100" s="184"/>
      <c r="O100" s="186" t="n">
        <v>0.566176470588235</v>
      </c>
      <c r="P100" s="184"/>
      <c r="Q100" s="184"/>
      <c r="R100" s="184"/>
      <c r="S100" s="186"/>
      <c r="T100" s="184"/>
      <c r="U100" s="184"/>
      <c r="V100" s="184"/>
      <c r="W100" s="186"/>
      <c r="X100" s="92" t="n">
        <v>0.54</v>
      </c>
      <c r="Y100" s="114" t="s">
        <v>113</v>
      </c>
      <c r="Z100" s="78" t="s">
        <v>190</v>
      </c>
    </row>
    <row r="101" customFormat="false" ht="25.5" hidden="false" customHeight="true" outlineLevel="0" collapsed="false">
      <c r="A101" s="69" t="s">
        <v>379</v>
      </c>
      <c r="B101" s="70" t="s">
        <v>380</v>
      </c>
      <c r="C101" s="71" t="s">
        <v>236</v>
      </c>
      <c r="D101" s="71" t="s">
        <v>97</v>
      </c>
      <c r="E101" s="183" t="s">
        <v>502</v>
      </c>
      <c r="F101" s="87" t="s">
        <v>32</v>
      </c>
      <c r="G101" s="91" t="s">
        <v>32</v>
      </c>
      <c r="H101" s="184"/>
      <c r="I101" s="184"/>
      <c r="J101" s="184"/>
      <c r="K101" s="185" t="n">
        <v>0.0847457627118644</v>
      </c>
      <c r="L101" s="184"/>
      <c r="M101" s="184"/>
      <c r="N101" s="184"/>
      <c r="O101" s="186"/>
      <c r="P101" s="184"/>
      <c r="Q101" s="184"/>
      <c r="R101" s="184"/>
      <c r="S101" s="186"/>
      <c r="T101" s="184"/>
      <c r="U101" s="184"/>
      <c r="V101" s="184"/>
      <c r="W101" s="186"/>
      <c r="X101" s="92" t="n">
        <v>0.0847457627118644</v>
      </c>
      <c r="Y101" s="114" t="s">
        <v>120</v>
      </c>
      <c r="Z101" s="78" t="s">
        <v>105</v>
      </c>
    </row>
    <row r="102" customFormat="false" ht="25.5" hidden="false" customHeight="true" outlineLevel="0" collapsed="false">
      <c r="A102" s="69" t="s">
        <v>382</v>
      </c>
      <c r="B102" s="70" t="s">
        <v>383</v>
      </c>
      <c r="C102" s="71" t="s">
        <v>236</v>
      </c>
      <c r="D102" s="71" t="s">
        <v>97</v>
      </c>
      <c r="E102" s="183" t="s">
        <v>502</v>
      </c>
      <c r="F102" s="87" t="n">
        <v>0.07</v>
      </c>
      <c r="G102" s="88" t="n">
        <v>0.115</v>
      </c>
      <c r="H102" s="184"/>
      <c r="I102" s="184"/>
      <c r="J102" s="184"/>
      <c r="K102" s="185" t="n">
        <v>0.096</v>
      </c>
      <c r="L102" s="184"/>
      <c r="M102" s="184"/>
      <c r="N102" s="184"/>
      <c r="O102" s="186"/>
      <c r="P102" s="184"/>
      <c r="Q102" s="184"/>
      <c r="R102" s="184"/>
      <c r="S102" s="186"/>
      <c r="T102" s="184"/>
      <c r="U102" s="184"/>
      <c r="V102" s="184"/>
      <c r="W102" s="186"/>
      <c r="X102" s="92" t="n">
        <v>0.096</v>
      </c>
      <c r="Y102" s="114" t="s">
        <v>104</v>
      </c>
      <c r="Z102" s="78" t="s">
        <v>257</v>
      </c>
    </row>
    <row r="103" customFormat="false" ht="25.5" hidden="false" customHeight="true" outlineLevel="0" collapsed="false">
      <c r="A103" s="69" t="s">
        <v>464</v>
      </c>
      <c r="B103" s="70" t="s">
        <v>465</v>
      </c>
      <c r="C103" s="71" t="s">
        <v>236</v>
      </c>
      <c r="D103" s="71" t="s">
        <v>110</v>
      </c>
      <c r="E103" s="183" t="s">
        <v>504</v>
      </c>
      <c r="F103" s="87" t="n">
        <v>0.755</v>
      </c>
      <c r="G103" s="91" t="n">
        <v>0.7</v>
      </c>
      <c r="H103" s="184"/>
      <c r="I103" s="184"/>
      <c r="J103" s="184"/>
      <c r="K103" s="186"/>
      <c r="L103" s="184"/>
      <c r="M103" s="184"/>
      <c r="N103" s="184"/>
      <c r="O103" s="186"/>
      <c r="P103" s="184"/>
      <c r="Q103" s="184"/>
      <c r="R103" s="184"/>
      <c r="S103" s="186"/>
      <c r="T103" s="184"/>
      <c r="U103" s="184"/>
      <c r="V103" s="184"/>
      <c r="W103" s="186"/>
      <c r="X103" s="92"/>
      <c r="Y103" s="114" t="s">
        <v>99</v>
      </c>
      <c r="Z103" s="78" t="s">
        <v>257</v>
      </c>
    </row>
    <row r="104" customFormat="false" ht="25.5" hidden="false" customHeight="true" outlineLevel="0" collapsed="false">
      <c r="A104" s="69" t="s">
        <v>397</v>
      </c>
      <c r="B104" s="70" t="s">
        <v>398</v>
      </c>
      <c r="C104" s="71" t="s">
        <v>35</v>
      </c>
      <c r="D104" s="71" t="s">
        <v>97</v>
      </c>
      <c r="E104" s="183" t="s">
        <v>502</v>
      </c>
      <c r="F104" s="115" t="n">
        <v>20.7</v>
      </c>
      <c r="G104" s="116" t="n">
        <v>21</v>
      </c>
      <c r="H104" s="184"/>
      <c r="I104" s="184"/>
      <c r="J104" s="184"/>
      <c r="K104" s="187"/>
      <c r="L104" s="184"/>
      <c r="M104" s="184"/>
      <c r="N104" s="184"/>
      <c r="O104" s="187"/>
      <c r="P104" s="184"/>
      <c r="Q104" s="184"/>
      <c r="R104" s="184"/>
      <c r="S104" s="187"/>
      <c r="T104" s="184"/>
      <c r="U104" s="184"/>
      <c r="V104" s="184"/>
      <c r="W104" s="187"/>
      <c r="X104" s="118"/>
      <c r="Y104" s="114" t="s">
        <v>99</v>
      </c>
      <c r="Z104" s="78" t="s">
        <v>257</v>
      </c>
    </row>
    <row r="105" customFormat="false" ht="25.5" hidden="false" customHeight="true" outlineLevel="0" collapsed="false">
      <c r="A105" s="69" t="s">
        <v>220</v>
      </c>
      <c r="B105" s="70" t="s">
        <v>221</v>
      </c>
      <c r="C105" s="71" t="s">
        <v>35</v>
      </c>
      <c r="D105" s="71" t="s">
        <v>97</v>
      </c>
      <c r="E105" s="183" t="s">
        <v>501</v>
      </c>
      <c r="F105" s="115" t="n">
        <v>6</v>
      </c>
      <c r="G105" s="116" t="n">
        <v>5</v>
      </c>
      <c r="H105" s="184"/>
      <c r="I105" s="184"/>
      <c r="J105" s="184"/>
      <c r="K105" s="187" t="str">
        <f aca="false">IF(COUNT(H106:J106)=0,"",AVERAGE(H106:J106))</f>
        <v/>
      </c>
      <c r="L105" s="184"/>
      <c r="M105" s="184"/>
      <c r="N105" s="184"/>
      <c r="O105" s="187" t="str">
        <f aca="false">IF(COUNT(L106:N106)=0,"",AVERAGE(L106:N106))</f>
        <v/>
      </c>
      <c r="P105" s="184"/>
      <c r="Q105" s="184"/>
      <c r="R105" s="184"/>
      <c r="S105" s="187" t="str">
        <f aca="false">IF(COUNT(P106:R106)=0,"",AVERAGE(P106:R106))</f>
        <v/>
      </c>
      <c r="T105" s="184"/>
      <c r="U105" s="184"/>
      <c r="V105" s="184"/>
      <c r="W105" s="187" t="str">
        <f aca="false">IF(COUNT(T106:V106)=0,"",AVERAGE(T106:V106))</f>
        <v/>
      </c>
      <c r="X105" s="118"/>
      <c r="Y105" s="114" t="s">
        <v>99</v>
      </c>
      <c r="Z105" s="78" t="s">
        <v>100</v>
      </c>
    </row>
    <row r="106" customFormat="false" ht="25.5" hidden="false" customHeight="true" outlineLevel="0" collapsed="false">
      <c r="H106" s="113"/>
      <c r="I106" s="113"/>
      <c r="J106" s="113"/>
      <c r="L106" s="113"/>
      <c r="M106" s="113"/>
      <c r="N106" s="113"/>
      <c r="P106" s="113"/>
      <c r="Q106" s="113"/>
      <c r="R106" s="113"/>
      <c r="T106" s="113"/>
      <c r="U106" s="113"/>
      <c r="V106" s="113"/>
    </row>
    <row r="107" customFormat="false" ht="15" hidden="false" customHeight="true" outlineLevel="0" collapsed="false">
      <c r="H107" s="113"/>
      <c r="I107" s="113"/>
      <c r="J107" s="113"/>
      <c r="L107" s="113"/>
      <c r="M107" s="113"/>
      <c r="N107" s="113"/>
      <c r="P107" s="113"/>
      <c r="Q107" s="113"/>
      <c r="R107" s="113"/>
      <c r="T107" s="113"/>
      <c r="U107" s="113"/>
      <c r="V107" s="113"/>
    </row>
    <row r="108" customFormat="false" ht="15" hidden="false" customHeight="true" outlineLevel="0" collapsed="false">
      <c r="H108" s="113"/>
      <c r="I108" s="113"/>
      <c r="J108" s="113"/>
      <c r="L108" s="113"/>
      <c r="M108" s="113"/>
      <c r="N108" s="113"/>
      <c r="P108" s="113"/>
      <c r="Q108" s="113"/>
      <c r="R108" s="113"/>
      <c r="T108" s="113"/>
      <c r="U108" s="113"/>
      <c r="V108" s="113"/>
    </row>
    <row r="109" customFormat="false" ht="15" hidden="false" customHeight="true" outlineLevel="0" collapsed="false">
      <c r="H109" s="113"/>
      <c r="I109" s="113"/>
      <c r="J109" s="113"/>
      <c r="L109" s="113"/>
      <c r="M109" s="113"/>
      <c r="N109" s="113"/>
      <c r="P109" s="113"/>
      <c r="Q109" s="113"/>
      <c r="R109" s="113"/>
      <c r="T109" s="113"/>
      <c r="U109" s="113"/>
      <c r="V109" s="113"/>
    </row>
    <row r="110" customFormat="false" ht="15" hidden="false" customHeight="true" outlineLevel="0" collapsed="false">
      <c r="H110" s="113"/>
      <c r="I110" s="113"/>
      <c r="J110" s="113"/>
      <c r="L110" s="113"/>
      <c r="M110" s="113"/>
      <c r="N110" s="113"/>
      <c r="P110" s="113"/>
      <c r="Q110" s="113"/>
      <c r="R110" s="113"/>
      <c r="T110" s="113"/>
      <c r="U110" s="113"/>
      <c r="V110" s="113"/>
    </row>
    <row r="111" customFormat="false" ht="15" hidden="false" customHeight="true" outlineLevel="0" collapsed="false">
      <c r="H111" s="113"/>
      <c r="I111" s="113"/>
      <c r="J111" s="113"/>
      <c r="L111" s="113"/>
      <c r="M111" s="113"/>
      <c r="N111" s="113"/>
      <c r="P111" s="113"/>
      <c r="Q111" s="113"/>
      <c r="R111" s="113"/>
      <c r="T111" s="113"/>
      <c r="U111" s="113"/>
      <c r="V111" s="113"/>
    </row>
    <row r="112" customFormat="false" ht="15" hidden="false" customHeight="true" outlineLevel="0" collapsed="false">
      <c r="H112" s="113"/>
      <c r="I112" s="113"/>
      <c r="J112" s="113"/>
      <c r="L112" s="113"/>
      <c r="M112" s="113"/>
      <c r="N112" s="113"/>
      <c r="P112" s="113"/>
      <c r="Q112" s="113"/>
      <c r="R112" s="113"/>
      <c r="T112" s="113"/>
      <c r="U112" s="113"/>
      <c r="V112" s="113"/>
    </row>
    <row r="113" customFormat="false" ht="15" hidden="false" customHeight="true" outlineLevel="0" collapsed="false">
      <c r="H113" s="113"/>
      <c r="I113" s="113"/>
      <c r="J113" s="113"/>
      <c r="L113" s="113"/>
      <c r="M113" s="113"/>
      <c r="N113" s="113"/>
      <c r="P113" s="113"/>
      <c r="Q113" s="113"/>
      <c r="R113" s="113"/>
      <c r="T113" s="113"/>
      <c r="U113" s="113"/>
      <c r="V113" s="113"/>
    </row>
    <row r="114" customFormat="false" ht="15" hidden="false" customHeight="true" outlineLevel="0" collapsed="false">
      <c r="H114" s="113"/>
      <c r="I114" s="113"/>
      <c r="J114" s="113"/>
      <c r="L114" s="113"/>
      <c r="M114" s="113"/>
      <c r="N114" s="113"/>
      <c r="P114" s="113"/>
      <c r="Q114" s="113"/>
      <c r="R114" s="113"/>
      <c r="T114" s="113"/>
      <c r="U114" s="113"/>
      <c r="V114" s="113"/>
    </row>
    <row r="115" customFormat="false" ht="15" hidden="false" customHeight="true" outlineLevel="0" collapsed="false">
      <c r="H115" s="113"/>
      <c r="I115" s="113"/>
      <c r="J115" s="113"/>
      <c r="L115" s="113"/>
      <c r="M115" s="113"/>
      <c r="N115" s="113"/>
      <c r="P115" s="113"/>
      <c r="Q115" s="113"/>
      <c r="R115" s="113"/>
      <c r="T115" s="113"/>
      <c r="U115" s="113"/>
      <c r="V115" s="113"/>
    </row>
    <row r="116" customFormat="false" ht="15" hidden="false" customHeight="true" outlineLevel="0" collapsed="false">
      <c r="H116" s="113"/>
      <c r="I116" s="113"/>
      <c r="J116" s="113"/>
      <c r="L116" s="113"/>
      <c r="M116" s="113"/>
      <c r="N116" s="113"/>
      <c r="P116" s="113"/>
      <c r="Q116" s="113"/>
      <c r="R116" s="113"/>
      <c r="T116" s="113"/>
      <c r="U116" s="113"/>
      <c r="V116" s="113"/>
    </row>
    <row r="117" customFormat="false" ht="15" hidden="false" customHeight="true" outlineLevel="0" collapsed="false">
      <c r="H117" s="113"/>
      <c r="I117" s="113"/>
      <c r="J117" s="113"/>
      <c r="L117" s="113"/>
      <c r="M117" s="113"/>
      <c r="N117" s="113"/>
      <c r="P117" s="113"/>
      <c r="Q117" s="113"/>
      <c r="R117" s="113"/>
      <c r="T117" s="113"/>
      <c r="U117" s="113"/>
      <c r="V117" s="113"/>
    </row>
    <row r="118" customFormat="false" ht="15" hidden="false" customHeight="true" outlineLevel="0" collapsed="false">
      <c r="H118" s="113"/>
      <c r="I118" s="113"/>
      <c r="J118" s="113"/>
      <c r="L118" s="113"/>
      <c r="M118" s="113"/>
      <c r="N118" s="113"/>
      <c r="P118" s="113"/>
      <c r="Q118" s="113"/>
      <c r="R118" s="113"/>
      <c r="T118" s="113"/>
      <c r="U118" s="113"/>
      <c r="V118" s="113"/>
    </row>
    <row r="119" customFormat="false" ht="15" hidden="false" customHeight="true" outlineLevel="0" collapsed="false">
      <c r="H119" s="113"/>
      <c r="I119" s="113"/>
      <c r="J119" s="113"/>
      <c r="L119" s="113"/>
      <c r="M119" s="113"/>
      <c r="N119" s="113"/>
      <c r="P119" s="113"/>
      <c r="Q119" s="113"/>
      <c r="R119" s="113"/>
      <c r="T119" s="113"/>
      <c r="U119" s="113"/>
      <c r="V119" s="113"/>
    </row>
    <row r="120" customFormat="false" ht="15" hidden="false" customHeight="true" outlineLevel="0" collapsed="false">
      <c r="H120" s="113"/>
      <c r="I120" s="113"/>
      <c r="J120" s="113"/>
      <c r="L120" s="113"/>
      <c r="M120" s="113"/>
      <c r="N120" s="113"/>
      <c r="P120" s="113"/>
      <c r="Q120" s="113"/>
      <c r="R120" s="113"/>
      <c r="T120" s="113"/>
      <c r="U120" s="113"/>
      <c r="V120" s="113"/>
    </row>
    <row r="121" customFormat="false" ht="15" hidden="false" customHeight="true" outlineLevel="0" collapsed="false">
      <c r="H121" s="113"/>
      <c r="I121" s="113"/>
      <c r="J121" s="113"/>
      <c r="L121" s="113"/>
      <c r="M121" s="113"/>
      <c r="N121" s="113"/>
      <c r="P121" s="113"/>
      <c r="Q121" s="113"/>
      <c r="R121" s="113"/>
      <c r="T121" s="113"/>
      <c r="U121" s="113"/>
      <c r="V121" s="113"/>
    </row>
    <row r="122" customFormat="false" ht="15" hidden="false" customHeight="true" outlineLevel="0" collapsed="false">
      <c r="H122" s="113"/>
      <c r="I122" s="113"/>
      <c r="J122" s="113"/>
      <c r="L122" s="113"/>
      <c r="M122" s="113"/>
      <c r="N122" s="113"/>
      <c r="P122" s="113"/>
      <c r="Q122" s="113"/>
      <c r="R122" s="113"/>
      <c r="T122" s="113"/>
      <c r="U122" s="113"/>
      <c r="V122" s="113"/>
    </row>
    <row r="123" customFormat="false" ht="15" hidden="false" customHeight="true" outlineLevel="0" collapsed="false">
      <c r="H123" s="113"/>
      <c r="I123" s="113"/>
      <c r="J123" s="113"/>
      <c r="L123" s="113"/>
      <c r="M123" s="113"/>
      <c r="N123" s="113"/>
      <c r="P123" s="113"/>
      <c r="Q123" s="113"/>
      <c r="R123" s="113"/>
      <c r="T123" s="113"/>
      <c r="U123" s="113"/>
      <c r="V123" s="113"/>
    </row>
    <row r="124" customFormat="false" ht="15" hidden="false" customHeight="true" outlineLevel="0" collapsed="false">
      <c r="H124" s="113"/>
      <c r="I124" s="113"/>
      <c r="J124" s="113"/>
      <c r="L124" s="113"/>
      <c r="M124" s="113"/>
      <c r="N124" s="113"/>
      <c r="P124" s="113"/>
      <c r="Q124" s="113"/>
      <c r="R124" s="113"/>
      <c r="T124" s="113"/>
      <c r="U124" s="113"/>
      <c r="V124" s="113"/>
    </row>
    <row r="125" customFormat="false" ht="15" hidden="false" customHeight="true" outlineLevel="0" collapsed="false">
      <c r="H125" s="113"/>
      <c r="I125" s="113"/>
      <c r="J125" s="113"/>
      <c r="L125" s="113"/>
      <c r="M125" s="113"/>
      <c r="N125" s="113"/>
      <c r="P125" s="113"/>
      <c r="Q125" s="113"/>
      <c r="R125" s="113"/>
      <c r="T125" s="113"/>
      <c r="U125" s="113"/>
      <c r="V125" s="113"/>
    </row>
    <row r="126" customFormat="false" ht="15" hidden="false" customHeight="true" outlineLevel="0" collapsed="false">
      <c r="H126" s="113"/>
      <c r="I126" s="113"/>
      <c r="J126" s="113"/>
      <c r="L126" s="113"/>
      <c r="M126" s="113"/>
      <c r="N126" s="113"/>
      <c r="P126" s="113"/>
      <c r="Q126" s="113"/>
      <c r="R126" s="113"/>
      <c r="T126" s="113"/>
      <c r="U126" s="113"/>
      <c r="V126" s="113"/>
    </row>
    <row r="127" customFormat="false" ht="15" hidden="false" customHeight="true" outlineLevel="0" collapsed="false">
      <c r="H127" s="113"/>
      <c r="I127" s="113"/>
      <c r="J127" s="113"/>
      <c r="L127" s="113"/>
      <c r="M127" s="113"/>
      <c r="N127" s="113"/>
      <c r="P127" s="113"/>
      <c r="Q127" s="113"/>
      <c r="R127" s="113"/>
      <c r="T127" s="113"/>
      <c r="U127" s="113"/>
      <c r="V127" s="113"/>
    </row>
    <row r="128" customFormat="false" ht="15" hidden="false" customHeight="true" outlineLevel="0" collapsed="false">
      <c r="H128" s="113"/>
      <c r="I128" s="113"/>
      <c r="J128" s="113"/>
      <c r="L128" s="113"/>
      <c r="M128" s="113"/>
      <c r="N128" s="113"/>
      <c r="P128" s="113"/>
      <c r="Q128" s="113"/>
      <c r="R128" s="113"/>
      <c r="T128" s="113"/>
      <c r="U128" s="113"/>
      <c r="V128" s="113"/>
    </row>
    <row r="129" customFormat="false" ht="15" hidden="false" customHeight="true" outlineLevel="0" collapsed="false">
      <c r="H129" s="113"/>
      <c r="I129" s="113"/>
      <c r="J129" s="113"/>
      <c r="L129" s="113"/>
      <c r="M129" s="113"/>
      <c r="N129" s="113"/>
      <c r="P129" s="113"/>
      <c r="Q129" s="113"/>
      <c r="R129" s="113"/>
      <c r="T129" s="113"/>
      <c r="U129" s="113"/>
      <c r="V129" s="113"/>
    </row>
    <row r="130" customFormat="false" ht="15" hidden="false" customHeight="true" outlineLevel="0" collapsed="false">
      <c r="H130" s="113"/>
      <c r="I130" s="113"/>
      <c r="J130" s="113"/>
      <c r="L130" s="113"/>
      <c r="M130" s="113"/>
      <c r="N130" s="113"/>
      <c r="P130" s="113"/>
      <c r="Q130" s="113"/>
      <c r="R130" s="113"/>
      <c r="T130" s="113"/>
      <c r="U130" s="113"/>
      <c r="V130" s="113"/>
    </row>
    <row r="131" customFormat="false" ht="15" hidden="false" customHeight="true" outlineLevel="0" collapsed="false">
      <c r="H131" s="113"/>
      <c r="I131" s="113"/>
      <c r="J131" s="113"/>
      <c r="L131" s="113"/>
      <c r="M131" s="113"/>
      <c r="N131" s="113"/>
      <c r="P131" s="113"/>
      <c r="Q131" s="113"/>
      <c r="R131" s="113"/>
      <c r="T131" s="113"/>
      <c r="U131" s="113"/>
      <c r="V131" s="113"/>
    </row>
    <row r="132" customFormat="false" ht="15" hidden="false" customHeight="true" outlineLevel="0" collapsed="false">
      <c r="H132" s="113"/>
      <c r="I132" s="113"/>
      <c r="J132" s="113"/>
      <c r="L132" s="113"/>
      <c r="M132" s="113"/>
      <c r="N132" s="113"/>
      <c r="P132" s="113"/>
      <c r="Q132" s="113"/>
      <c r="R132" s="113"/>
      <c r="T132" s="113"/>
      <c r="U132" s="113"/>
      <c r="V132" s="113"/>
    </row>
    <row r="133" customFormat="false" ht="15" hidden="false" customHeight="true" outlineLevel="0" collapsed="false">
      <c r="H133" s="113"/>
      <c r="I133" s="113"/>
      <c r="J133" s="113"/>
      <c r="L133" s="113"/>
      <c r="M133" s="113"/>
      <c r="N133" s="113"/>
      <c r="P133" s="113"/>
      <c r="Q133" s="113"/>
      <c r="R133" s="113"/>
      <c r="T133" s="113"/>
      <c r="U133" s="113"/>
      <c r="V133" s="113"/>
    </row>
    <row r="134" customFormat="false" ht="15" hidden="false" customHeight="true" outlineLevel="0" collapsed="false">
      <c r="H134" s="113"/>
      <c r="I134" s="113"/>
      <c r="J134" s="113"/>
      <c r="L134" s="113"/>
      <c r="M134" s="113"/>
      <c r="N134" s="113"/>
      <c r="P134" s="113"/>
      <c r="Q134" s="113"/>
      <c r="R134" s="113"/>
      <c r="T134" s="113"/>
      <c r="U134" s="113"/>
      <c r="V134" s="113"/>
    </row>
    <row r="135" customFormat="false" ht="15" hidden="false" customHeight="true" outlineLevel="0" collapsed="false">
      <c r="H135" s="113"/>
      <c r="I135" s="113"/>
      <c r="J135" s="113"/>
      <c r="L135" s="113"/>
      <c r="M135" s="113"/>
      <c r="N135" s="113"/>
      <c r="P135" s="113"/>
      <c r="Q135" s="113"/>
      <c r="R135" s="113"/>
      <c r="T135" s="113"/>
      <c r="U135" s="113"/>
      <c r="V135" s="113"/>
    </row>
    <row r="136" customFormat="false" ht="15" hidden="false" customHeight="true" outlineLevel="0" collapsed="false">
      <c r="H136" s="113"/>
      <c r="I136" s="113"/>
      <c r="J136" s="113"/>
      <c r="L136" s="113"/>
      <c r="M136" s="113"/>
      <c r="N136" s="113"/>
      <c r="P136" s="113"/>
      <c r="Q136" s="113"/>
      <c r="R136" s="113"/>
      <c r="T136" s="113"/>
      <c r="U136" s="113"/>
      <c r="V136" s="113"/>
    </row>
    <row r="137" customFormat="false" ht="15" hidden="false" customHeight="true" outlineLevel="0" collapsed="false">
      <c r="H137" s="113"/>
      <c r="I137" s="113"/>
      <c r="J137" s="113"/>
      <c r="L137" s="113"/>
      <c r="M137" s="113"/>
      <c r="N137" s="113"/>
      <c r="P137" s="113"/>
      <c r="Q137" s="113"/>
      <c r="R137" s="113"/>
      <c r="T137" s="113"/>
      <c r="U137" s="113"/>
      <c r="V137" s="113"/>
    </row>
    <row r="138" customFormat="false" ht="15" hidden="false" customHeight="true" outlineLevel="0" collapsed="false">
      <c r="H138" s="113"/>
      <c r="I138" s="113"/>
      <c r="J138" s="113"/>
      <c r="L138" s="113"/>
      <c r="M138" s="113"/>
      <c r="N138" s="113"/>
      <c r="P138" s="113"/>
      <c r="Q138" s="113"/>
      <c r="R138" s="113"/>
      <c r="T138" s="113"/>
      <c r="U138" s="113"/>
      <c r="V138" s="113"/>
    </row>
    <row r="139" customFormat="false" ht="15" hidden="false" customHeight="true" outlineLevel="0" collapsed="false">
      <c r="H139" s="113"/>
      <c r="I139" s="113"/>
      <c r="J139" s="113"/>
      <c r="L139" s="113"/>
      <c r="M139" s="113"/>
      <c r="N139" s="113"/>
      <c r="P139" s="113"/>
      <c r="Q139" s="113"/>
      <c r="R139" s="113"/>
      <c r="T139" s="113"/>
      <c r="U139" s="113"/>
      <c r="V139" s="113"/>
    </row>
    <row r="140" customFormat="false" ht="15" hidden="false" customHeight="true" outlineLevel="0" collapsed="false">
      <c r="H140" s="113"/>
      <c r="I140" s="113"/>
      <c r="J140" s="113"/>
      <c r="L140" s="113"/>
      <c r="M140" s="113"/>
      <c r="N140" s="113"/>
      <c r="P140" s="113"/>
      <c r="Q140" s="113"/>
      <c r="R140" s="113"/>
      <c r="T140" s="113"/>
      <c r="U140" s="113"/>
      <c r="V140" s="113"/>
    </row>
    <row r="141" customFormat="false" ht="15" hidden="false" customHeight="true" outlineLevel="0" collapsed="false">
      <c r="H141" s="113"/>
      <c r="I141" s="113"/>
      <c r="J141" s="113"/>
      <c r="L141" s="113"/>
      <c r="M141" s="113"/>
      <c r="N141" s="113"/>
      <c r="P141" s="113"/>
      <c r="Q141" s="113"/>
      <c r="R141" s="113"/>
      <c r="T141" s="113"/>
      <c r="U141" s="113"/>
      <c r="V141" s="113"/>
    </row>
    <row r="142" customFormat="false" ht="15" hidden="false" customHeight="true" outlineLevel="0" collapsed="false">
      <c r="H142" s="113"/>
      <c r="I142" s="113"/>
      <c r="J142" s="113"/>
      <c r="L142" s="113"/>
      <c r="M142" s="113"/>
      <c r="N142" s="113"/>
      <c r="P142" s="113"/>
      <c r="Q142" s="113"/>
      <c r="R142" s="113"/>
      <c r="T142" s="113"/>
      <c r="U142" s="113"/>
      <c r="V142" s="113"/>
    </row>
    <row r="143" customFormat="false" ht="15" hidden="false" customHeight="true" outlineLevel="0" collapsed="false">
      <c r="H143" s="113"/>
      <c r="I143" s="113"/>
      <c r="J143" s="113"/>
      <c r="L143" s="113"/>
      <c r="M143" s="113"/>
      <c r="N143" s="113"/>
      <c r="P143" s="113"/>
      <c r="Q143" s="113"/>
      <c r="R143" s="113"/>
      <c r="T143" s="113"/>
      <c r="U143" s="113"/>
      <c r="V143" s="113"/>
    </row>
    <row r="144" customFormat="false" ht="15" hidden="false" customHeight="true" outlineLevel="0" collapsed="false">
      <c r="H144" s="113"/>
      <c r="I144" s="113"/>
      <c r="J144" s="113"/>
      <c r="L144" s="113"/>
      <c r="M144" s="113"/>
      <c r="N144" s="113"/>
      <c r="P144" s="113"/>
      <c r="Q144" s="113"/>
      <c r="R144" s="113"/>
      <c r="T144" s="113"/>
      <c r="U144" s="113"/>
      <c r="V144" s="113"/>
    </row>
    <row r="145" customFormat="false" ht="15" hidden="false" customHeight="true" outlineLevel="0" collapsed="false">
      <c r="H145" s="113"/>
      <c r="I145" s="113"/>
      <c r="J145" s="113"/>
      <c r="L145" s="113"/>
      <c r="M145" s="113"/>
      <c r="N145" s="113"/>
      <c r="P145" s="113"/>
      <c r="Q145" s="113"/>
      <c r="R145" s="113"/>
      <c r="T145" s="113"/>
      <c r="U145" s="113"/>
      <c r="V145" s="113"/>
    </row>
    <row r="146" customFormat="false" ht="15" hidden="false" customHeight="true" outlineLevel="0" collapsed="false">
      <c r="H146" s="113"/>
      <c r="I146" s="113"/>
      <c r="J146" s="113"/>
      <c r="L146" s="113"/>
      <c r="M146" s="113"/>
      <c r="N146" s="113"/>
      <c r="P146" s="113"/>
      <c r="Q146" s="113"/>
      <c r="R146" s="113"/>
      <c r="T146" s="113"/>
      <c r="U146" s="113"/>
      <c r="V146" s="113"/>
    </row>
    <row r="147" customFormat="false" ht="15" hidden="false" customHeight="true" outlineLevel="0" collapsed="false">
      <c r="H147" s="113"/>
      <c r="I147" s="113"/>
      <c r="J147" s="113"/>
      <c r="L147" s="113"/>
      <c r="M147" s="113"/>
      <c r="N147" s="113"/>
      <c r="P147" s="113"/>
      <c r="Q147" s="113"/>
      <c r="R147" s="113"/>
      <c r="T147" s="113"/>
      <c r="U147" s="113"/>
      <c r="V147" s="113"/>
    </row>
    <row r="148" customFormat="false" ht="15" hidden="false" customHeight="true" outlineLevel="0" collapsed="false">
      <c r="H148" s="113"/>
      <c r="I148" s="113"/>
      <c r="J148" s="113"/>
      <c r="L148" s="113"/>
      <c r="M148" s="113"/>
      <c r="N148" s="113"/>
      <c r="P148" s="113"/>
      <c r="Q148" s="113"/>
      <c r="R148" s="113"/>
      <c r="T148" s="113"/>
      <c r="U148" s="113"/>
      <c r="V148" s="113"/>
    </row>
    <row r="149" customFormat="false" ht="15" hidden="false" customHeight="true" outlineLevel="0" collapsed="false">
      <c r="H149" s="113"/>
      <c r="I149" s="113"/>
      <c r="J149" s="113"/>
      <c r="L149" s="113"/>
      <c r="M149" s="113"/>
      <c r="N149" s="113"/>
      <c r="P149" s="113"/>
      <c r="Q149" s="113"/>
      <c r="R149" s="113"/>
      <c r="T149" s="113"/>
      <c r="U149" s="113"/>
      <c r="V149" s="113"/>
    </row>
    <row r="150" customFormat="false" ht="15" hidden="false" customHeight="true" outlineLevel="0" collapsed="false">
      <c r="H150" s="113"/>
      <c r="I150" s="113"/>
      <c r="J150" s="113"/>
      <c r="L150" s="113"/>
      <c r="M150" s="113"/>
      <c r="N150" s="113"/>
      <c r="P150" s="113"/>
      <c r="Q150" s="113"/>
      <c r="R150" s="113"/>
      <c r="T150" s="113"/>
      <c r="U150" s="113"/>
      <c r="V150" s="113"/>
    </row>
    <row r="151" customFormat="false" ht="15" hidden="false" customHeight="true" outlineLevel="0" collapsed="false">
      <c r="H151" s="113"/>
      <c r="I151" s="113"/>
      <c r="J151" s="113"/>
      <c r="L151" s="113"/>
      <c r="M151" s="113"/>
      <c r="N151" s="113"/>
      <c r="P151" s="113"/>
      <c r="Q151" s="113"/>
      <c r="R151" s="113"/>
      <c r="T151" s="113"/>
      <c r="U151" s="113"/>
      <c r="V151" s="113"/>
    </row>
    <row r="152" customFormat="false" ht="15" hidden="false" customHeight="true" outlineLevel="0" collapsed="false">
      <c r="H152" s="113"/>
      <c r="I152" s="113"/>
      <c r="J152" s="113"/>
      <c r="L152" s="113"/>
      <c r="M152" s="113"/>
      <c r="N152" s="113"/>
      <c r="P152" s="113"/>
      <c r="Q152" s="113"/>
      <c r="R152" s="113"/>
      <c r="T152" s="113"/>
      <c r="U152" s="113"/>
      <c r="V152" s="113"/>
    </row>
    <row r="153" customFormat="false" ht="15" hidden="false" customHeight="true" outlineLevel="0" collapsed="false">
      <c r="H153" s="113"/>
      <c r="I153" s="113"/>
      <c r="J153" s="113"/>
      <c r="L153" s="113"/>
      <c r="M153" s="113"/>
      <c r="N153" s="113"/>
      <c r="P153" s="113"/>
      <c r="Q153" s="113"/>
      <c r="R153" s="113"/>
      <c r="T153" s="113"/>
      <c r="U153" s="113"/>
      <c r="V153" s="113"/>
    </row>
    <row r="154" customFormat="false" ht="15" hidden="false" customHeight="true" outlineLevel="0" collapsed="false">
      <c r="H154" s="113"/>
      <c r="I154" s="113"/>
      <c r="J154" s="113"/>
      <c r="L154" s="113"/>
      <c r="M154" s="113"/>
      <c r="N154" s="113"/>
      <c r="P154" s="113"/>
      <c r="Q154" s="113"/>
      <c r="R154" s="113"/>
      <c r="T154" s="113"/>
      <c r="U154" s="113"/>
      <c r="V154" s="113"/>
    </row>
    <row r="155" customFormat="false" ht="15" hidden="false" customHeight="true" outlineLevel="0" collapsed="false">
      <c r="H155" s="113"/>
      <c r="I155" s="113"/>
      <c r="J155" s="113"/>
      <c r="L155" s="113"/>
      <c r="M155" s="113"/>
      <c r="N155" s="113"/>
      <c r="P155" s="113"/>
      <c r="Q155" s="113"/>
      <c r="R155" s="113"/>
      <c r="T155" s="113"/>
      <c r="U155" s="113"/>
      <c r="V155" s="113"/>
    </row>
    <row r="156" customFormat="false" ht="15" hidden="false" customHeight="true" outlineLevel="0" collapsed="false">
      <c r="H156" s="113"/>
      <c r="I156" s="113"/>
      <c r="J156" s="113"/>
      <c r="L156" s="113"/>
      <c r="M156" s="113"/>
      <c r="N156" s="113"/>
      <c r="P156" s="113"/>
      <c r="Q156" s="113"/>
      <c r="R156" s="113"/>
      <c r="T156" s="113"/>
      <c r="U156" s="113"/>
      <c r="V156" s="113"/>
    </row>
    <row r="157" customFormat="false" ht="15" hidden="false" customHeight="true" outlineLevel="0" collapsed="false">
      <c r="H157" s="113"/>
      <c r="I157" s="113"/>
      <c r="J157" s="113"/>
      <c r="L157" s="113"/>
      <c r="M157" s="113"/>
      <c r="N157" s="113"/>
      <c r="P157" s="113"/>
      <c r="Q157" s="113"/>
      <c r="R157" s="113"/>
      <c r="T157" s="113"/>
      <c r="U157" s="113"/>
      <c r="V157" s="113"/>
    </row>
    <row r="158" customFormat="false" ht="15" hidden="false" customHeight="true" outlineLevel="0" collapsed="false">
      <c r="H158" s="113"/>
      <c r="I158" s="113"/>
      <c r="J158" s="113"/>
      <c r="L158" s="113"/>
      <c r="M158" s="113"/>
      <c r="N158" s="113"/>
      <c r="P158" s="113"/>
      <c r="Q158" s="113"/>
      <c r="R158" s="113"/>
      <c r="T158" s="113"/>
      <c r="U158" s="113"/>
      <c r="V158" s="113"/>
    </row>
    <row r="159" customFormat="false" ht="15" hidden="false" customHeight="true" outlineLevel="0" collapsed="false">
      <c r="H159" s="113"/>
      <c r="I159" s="113"/>
      <c r="J159" s="113"/>
      <c r="L159" s="113"/>
      <c r="M159" s="113"/>
      <c r="N159" s="113"/>
      <c r="P159" s="113"/>
      <c r="Q159" s="113"/>
      <c r="R159" s="113"/>
      <c r="T159" s="113"/>
      <c r="U159" s="113"/>
      <c r="V159" s="113"/>
    </row>
    <row r="160" customFormat="false" ht="15" hidden="false" customHeight="true" outlineLevel="0" collapsed="false">
      <c r="H160" s="113"/>
      <c r="I160" s="113"/>
      <c r="J160" s="113"/>
      <c r="L160" s="113"/>
      <c r="M160" s="113"/>
      <c r="N160" s="113"/>
      <c r="P160" s="113"/>
      <c r="Q160" s="113"/>
      <c r="R160" s="113"/>
      <c r="T160" s="113"/>
      <c r="U160" s="113"/>
      <c r="V160" s="113"/>
    </row>
    <row r="161" customFormat="false" ht="15" hidden="false" customHeight="true" outlineLevel="0" collapsed="false">
      <c r="H161" s="113"/>
      <c r="I161" s="113"/>
      <c r="J161" s="113"/>
      <c r="L161" s="113"/>
      <c r="M161" s="113"/>
      <c r="N161" s="113"/>
      <c r="P161" s="113"/>
      <c r="Q161" s="113"/>
      <c r="R161" s="113"/>
      <c r="T161" s="113"/>
      <c r="U161" s="113"/>
      <c r="V161" s="113"/>
    </row>
    <row r="162" customFormat="false" ht="15" hidden="false" customHeight="true" outlineLevel="0" collapsed="false">
      <c r="H162" s="113"/>
      <c r="I162" s="113"/>
      <c r="J162" s="113"/>
      <c r="L162" s="113"/>
      <c r="M162" s="113"/>
      <c r="N162" s="113"/>
      <c r="P162" s="113"/>
      <c r="Q162" s="113"/>
      <c r="R162" s="113"/>
      <c r="T162" s="113"/>
      <c r="U162" s="113"/>
      <c r="V162" s="113"/>
    </row>
    <row r="163" customFormat="false" ht="15" hidden="false" customHeight="true" outlineLevel="0" collapsed="false">
      <c r="H163" s="113"/>
      <c r="I163" s="113"/>
      <c r="J163" s="113"/>
      <c r="L163" s="113"/>
      <c r="M163" s="113"/>
      <c r="N163" s="113"/>
      <c r="P163" s="113"/>
      <c r="Q163" s="113"/>
      <c r="R163" s="113"/>
      <c r="T163" s="113"/>
      <c r="U163" s="113"/>
      <c r="V163" s="113"/>
    </row>
    <row r="164" customFormat="false" ht="15" hidden="false" customHeight="true" outlineLevel="0" collapsed="false">
      <c r="H164" s="113"/>
      <c r="I164" s="113"/>
      <c r="J164" s="113"/>
      <c r="L164" s="113"/>
      <c r="M164" s="113"/>
      <c r="N164" s="113"/>
      <c r="P164" s="113"/>
      <c r="Q164" s="113"/>
      <c r="R164" s="113"/>
      <c r="T164" s="113"/>
      <c r="U164" s="113"/>
      <c r="V164" s="113"/>
    </row>
    <row r="165" customFormat="false" ht="15" hidden="false" customHeight="true" outlineLevel="0" collapsed="false">
      <c r="H165" s="113"/>
      <c r="I165" s="113"/>
      <c r="J165" s="113"/>
      <c r="L165" s="113"/>
      <c r="M165" s="113"/>
      <c r="N165" s="113"/>
      <c r="P165" s="113"/>
      <c r="Q165" s="113"/>
      <c r="R165" s="113"/>
      <c r="T165" s="113"/>
      <c r="U165" s="113"/>
      <c r="V165" s="113"/>
    </row>
    <row r="166" customFormat="false" ht="15" hidden="false" customHeight="true" outlineLevel="0" collapsed="false">
      <c r="H166" s="113"/>
      <c r="I166" s="113"/>
      <c r="J166" s="113"/>
      <c r="L166" s="113"/>
      <c r="M166" s="113"/>
      <c r="N166" s="113"/>
      <c r="P166" s="113"/>
      <c r="Q166" s="113"/>
      <c r="R166" s="113"/>
      <c r="T166" s="113"/>
      <c r="U166" s="113"/>
      <c r="V166" s="113"/>
    </row>
    <row r="167" customFormat="false" ht="15" hidden="false" customHeight="true" outlineLevel="0" collapsed="false">
      <c r="H167" s="113"/>
      <c r="I167" s="113"/>
      <c r="J167" s="113"/>
      <c r="L167" s="113"/>
      <c r="M167" s="113"/>
      <c r="N167" s="113"/>
      <c r="P167" s="113"/>
      <c r="Q167" s="113"/>
      <c r="R167" s="113"/>
      <c r="T167" s="113"/>
      <c r="U167" s="113"/>
      <c r="V167" s="113"/>
    </row>
    <row r="168" customFormat="false" ht="15" hidden="false" customHeight="true" outlineLevel="0" collapsed="false">
      <c r="H168" s="113"/>
      <c r="I168" s="113"/>
      <c r="J168" s="113"/>
      <c r="L168" s="113"/>
      <c r="M168" s="113"/>
      <c r="N168" s="113"/>
      <c r="P168" s="113"/>
      <c r="Q168" s="113"/>
      <c r="R168" s="113"/>
      <c r="T168" s="113"/>
      <c r="U168" s="113"/>
      <c r="V168" s="113"/>
    </row>
    <row r="169" customFormat="false" ht="15" hidden="false" customHeight="true" outlineLevel="0" collapsed="false">
      <c r="H169" s="113"/>
      <c r="I169" s="113"/>
      <c r="J169" s="113"/>
      <c r="L169" s="113"/>
      <c r="M169" s="113"/>
      <c r="N169" s="113"/>
      <c r="P169" s="113"/>
      <c r="Q169" s="113"/>
      <c r="R169" s="113"/>
      <c r="T169" s="113"/>
      <c r="U169" s="113"/>
      <c r="V169" s="113"/>
    </row>
    <row r="170" customFormat="false" ht="15" hidden="false" customHeight="true" outlineLevel="0" collapsed="false">
      <c r="H170" s="113"/>
      <c r="I170" s="113"/>
      <c r="J170" s="113"/>
      <c r="L170" s="113"/>
      <c r="M170" s="113"/>
      <c r="N170" s="113"/>
      <c r="P170" s="113"/>
      <c r="Q170" s="113"/>
      <c r="R170" s="113"/>
      <c r="T170" s="113"/>
      <c r="U170" s="113"/>
      <c r="V170" s="113"/>
    </row>
    <row r="171" customFormat="false" ht="15" hidden="false" customHeight="true" outlineLevel="0" collapsed="false">
      <c r="H171" s="113"/>
      <c r="I171" s="113"/>
      <c r="J171" s="113"/>
      <c r="L171" s="113"/>
      <c r="M171" s="113"/>
      <c r="N171" s="113"/>
      <c r="P171" s="113"/>
      <c r="Q171" s="113"/>
      <c r="R171" s="113"/>
      <c r="T171" s="113"/>
      <c r="U171" s="113"/>
      <c r="V171" s="113"/>
    </row>
    <row r="172" customFormat="false" ht="15" hidden="false" customHeight="true" outlineLevel="0" collapsed="false">
      <c r="H172" s="113"/>
      <c r="I172" s="113"/>
      <c r="J172" s="113"/>
      <c r="L172" s="113"/>
      <c r="M172" s="113"/>
      <c r="N172" s="113"/>
      <c r="P172" s="113"/>
      <c r="Q172" s="113"/>
      <c r="R172" s="113"/>
      <c r="T172" s="113"/>
      <c r="U172" s="113"/>
      <c r="V172" s="113"/>
    </row>
    <row r="173" customFormat="false" ht="15" hidden="false" customHeight="true" outlineLevel="0" collapsed="false">
      <c r="H173" s="113"/>
      <c r="I173" s="113"/>
      <c r="J173" s="113"/>
      <c r="L173" s="113"/>
      <c r="M173" s="113"/>
      <c r="N173" s="113"/>
      <c r="P173" s="113"/>
      <c r="Q173" s="113"/>
      <c r="R173" s="113"/>
      <c r="T173" s="113"/>
      <c r="U173" s="113"/>
      <c r="V173" s="113"/>
    </row>
    <row r="174" customFormat="false" ht="15" hidden="false" customHeight="true" outlineLevel="0" collapsed="false">
      <c r="H174" s="113"/>
      <c r="I174" s="113"/>
      <c r="J174" s="113"/>
      <c r="L174" s="113"/>
      <c r="M174" s="113"/>
      <c r="N174" s="113"/>
      <c r="P174" s="113"/>
      <c r="Q174" s="113"/>
      <c r="R174" s="113"/>
      <c r="T174" s="113"/>
      <c r="U174" s="113"/>
      <c r="V174" s="113"/>
    </row>
    <row r="175" customFormat="false" ht="15" hidden="false" customHeight="true" outlineLevel="0" collapsed="false">
      <c r="H175" s="113"/>
      <c r="I175" s="113"/>
      <c r="J175" s="113"/>
      <c r="L175" s="113"/>
      <c r="M175" s="113"/>
      <c r="N175" s="113"/>
      <c r="P175" s="113"/>
      <c r="Q175" s="113"/>
      <c r="R175" s="113"/>
      <c r="T175" s="113"/>
      <c r="U175" s="113"/>
      <c r="V175" s="113"/>
    </row>
    <row r="176" customFormat="false" ht="15" hidden="false" customHeight="true" outlineLevel="0" collapsed="false">
      <c r="H176" s="113"/>
      <c r="I176" s="113"/>
      <c r="J176" s="113"/>
      <c r="L176" s="113"/>
      <c r="M176" s="113"/>
      <c r="N176" s="113"/>
      <c r="P176" s="113"/>
      <c r="Q176" s="113"/>
      <c r="R176" s="113"/>
      <c r="T176" s="113"/>
      <c r="U176" s="113"/>
      <c r="V176" s="113"/>
    </row>
    <row r="177" customFormat="false" ht="15" hidden="false" customHeight="true" outlineLevel="0" collapsed="false">
      <c r="H177" s="113"/>
      <c r="I177" s="113"/>
      <c r="J177" s="113"/>
      <c r="L177" s="113"/>
      <c r="M177" s="113"/>
      <c r="N177" s="113"/>
      <c r="P177" s="113"/>
      <c r="Q177" s="113"/>
      <c r="R177" s="113"/>
      <c r="T177" s="113"/>
      <c r="U177" s="113"/>
      <c r="V177" s="113"/>
    </row>
    <row r="178" customFormat="false" ht="15" hidden="false" customHeight="true" outlineLevel="0" collapsed="false">
      <c r="H178" s="113"/>
      <c r="I178" s="113"/>
      <c r="J178" s="113"/>
      <c r="L178" s="113"/>
      <c r="M178" s="113"/>
      <c r="N178" s="113"/>
      <c r="P178" s="113"/>
      <c r="Q178" s="113"/>
      <c r="R178" s="113"/>
      <c r="T178" s="113"/>
      <c r="U178" s="113"/>
      <c r="V178" s="113"/>
    </row>
    <row r="179" customFormat="false" ht="15" hidden="false" customHeight="true" outlineLevel="0" collapsed="false">
      <c r="H179" s="113"/>
      <c r="I179" s="113"/>
      <c r="J179" s="113"/>
      <c r="L179" s="113"/>
      <c r="M179" s="113"/>
      <c r="N179" s="113"/>
      <c r="P179" s="113"/>
      <c r="Q179" s="113"/>
      <c r="R179" s="113"/>
      <c r="T179" s="113"/>
      <c r="U179" s="113"/>
      <c r="V179" s="113"/>
    </row>
    <row r="180" customFormat="false" ht="15" hidden="false" customHeight="true" outlineLevel="0" collapsed="false">
      <c r="H180" s="113"/>
      <c r="I180" s="113"/>
      <c r="J180" s="113"/>
      <c r="L180" s="113"/>
      <c r="M180" s="113"/>
      <c r="N180" s="113"/>
      <c r="P180" s="113"/>
      <c r="Q180" s="113"/>
      <c r="R180" s="113"/>
      <c r="T180" s="113"/>
      <c r="U180" s="113"/>
      <c r="V180" s="113"/>
    </row>
    <row r="181" customFormat="false" ht="15" hidden="false" customHeight="true" outlineLevel="0" collapsed="false">
      <c r="H181" s="113"/>
      <c r="I181" s="113"/>
      <c r="J181" s="113"/>
      <c r="L181" s="113"/>
      <c r="M181" s="113"/>
      <c r="N181" s="113"/>
      <c r="P181" s="113"/>
      <c r="Q181" s="113"/>
      <c r="R181" s="113"/>
      <c r="T181" s="113"/>
      <c r="U181" s="113"/>
      <c r="V181" s="113"/>
    </row>
    <row r="182" customFormat="false" ht="15" hidden="false" customHeight="true" outlineLevel="0" collapsed="false">
      <c r="H182" s="113"/>
      <c r="I182" s="113"/>
      <c r="J182" s="113"/>
      <c r="L182" s="113"/>
      <c r="M182" s="113"/>
      <c r="N182" s="113"/>
      <c r="P182" s="113"/>
      <c r="Q182" s="113"/>
      <c r="R182" s="113"/>
      <c r="T182" s="113"/>
      <c r="U182" s="113"/>
      <c r="V182" s="113"/>
    </row>
    <row r="183" customFormat="false" ht="15" hidden="false" customHeight="true" outlineLevel="0" collapsed="false">
      <c r="H183" s="113"/>
      <c r="I183" s="113"/>
      <c r="J183" s="113"/>
      <c r="L183" s="113"/>
      <c r="M183" s="113"/>
      <c r="N183" s="113"/>
      <c r="P183" s="113"/>
      <c r="Q183" s="113"/>
      <c r="R183" s="113"/>
      <c r="T183" s="113"/>
      <c r="U183" s="113"/>
      <c r="V183" s="113"/>
    </row>
    <row r="184" customFormat="false" ht="15" hidden="false" customHeight="true" outlineLevel="0" collapsed="false">
      <c r="H184" s="113"/>
      <c r="I184" s="113"/>
      <c r="J184" s="113"/>
      <c r="L184" s="113"/>
      <c r="M184" s="113"/>
      <c r="N184" s="113"/>
      <c r="P184" s="113"/>
      <c r="Q184" s="113"/>
      <c r="R184" s="113"/>
      <c r="T184" s="113"/>
      <c r="U184" s="113"/>
      <c r="V184" s="113"/>
    </row>
    <row r="185" customFormat="false" ht="15" hidden="false" customHeight="true" outlineLevel="0" collapsed="false">
      <c r="H185" s="113"/>
      <c r="I185" s="113"/>
      <c r="J185" s="113"/>
      <c r="L185" s="113"/>
      <c r="M185" s="113"/>
      <c r="N185" s="113"/>
      <c r="P185" s="113"/>
      <c r="Q185" s="113"/>
      <c r="R185" s="113"/>
      <c r="T185" s="113"/>
      <c r="U185" s="113"/>
      <c r="V185" s="113"/>
    </row>
    <row r="186" customFormat="false" ht="15" hidden="false" customHeight="true" outlineLevel="0" collapsed="false">
      <c r="H186" s="113"/>
      <c r="I186" s="113"/>
      <c r="J186" s="113"/>
      <c r="L186" s="113"/>
      <c r="M186" s="113"/>
      <c r="N186" s="113"/>
      <c r="P186" s="113"/>
      <c r="Q186" s="113"/>
      <c r="R186" s="113"/>
      <c r="T186" s="113"/>
      <c r="U186" s="113"/>
      <c r="V186" s="113"/>
    </row>
    <row r="187" customFormat="false" ht="15" hidden="false" customHeight="true" outlineLevel="0" collapsed="false">
      <c r="H187" s="113"/>
      <c r="I187" s="113"/>
      <c r="J187" s="113"/>
      <c r="L187" s="113"/>
      <c r="M187" s="113"/>
      <c r="N187" s="113"/>
      <c r="P187" s="113"/>
      <c r="Q187" s="113"/>
      <c r="R187" s="113"/>
      <c r="T187" s="113"/>
      <c r="U187" s="113"/>
      <c r="V187" s="113"/>
    </row>
    <row r="188" customFormat="false" ht="15" hidden="false" customHeight="true" outlineLevel="0" collapsed="false">
      <c r="H188" s="113"/>
      <c r="I188" s="113"/>
      <c r="J188" s="113"/>
      <c r="L188" s="113"/>
      <c r="M188" s="113"/>
      <c r="N188" s="113"/>
      <c r="P188" s="113"/>
      <c r="Q188" s="113"/>
      <c r="R188" s="113"/>
      <c r="T188" s="113"/>
      <c r="U188" s="113"/>
      <c r="V188" s="113"/>
    </row>
    <row r="189" customFormat="false" ht="15" hidden="false" customHeight="true" outlineLevel="0" collapsed="false">
      <c r="H189" s="113"/>
      <c r="I189" s="113"/>
      <c r="J189" s="113"/>
      <c r="L189" s="113"/>
      <c r="M189" s="113"/>
      <c r="N189" s="113"/>
      <c r="P189" s="113"/>
      <c r="Q189" s="113"/>
      <c r="R189" s="113"/>
      <c r="T189" s="113"/>
      <c r="U189" s="113"/>
      <c r="V189" s="113"/>
    </row>
    <row r="190" customFormat="false" ht="15" hidden="false" customHeight="true" outlineLevel="0" collapsed="false">
      <c r="H190" s="113"/>
      <c r="I190" s="113"/>
      <c r="J190" s="113"/>
      <c r="L190" s="113"/>
      <c r="M190" s="113"/>
      <c r="N190" s="113"/>
      <c r="P190" s="113"/>
      <c r="Q190" s="113"/>
      <c r="R190" s="113"/>
      <c r="T190" s="113"/>
      <c r="U190" s="113"/>
      <c r="V190" s="113"/>
    </row>
    <row r="191" customFormat="false" ht="15" hidden="false" customHeight="true" outlineLevel="0" collapsed="false">
      <c r="H191" s="113"/>
      <c r="I191" s="113"/>
      <c r="J191" s="113"/>
      <c r="L191" s="113"/>
      <c r="M191" s="113"/>
      <c r="N191" s="113"/>
      <c r="P191" s="113"/>
      <c r="Q191" s="113"/>
      <c r="R191" s="113"/>
      <c r="T191" s="113"/>
      <c r="U191" s="113"/>
      <c r="V191" s="113"/>
    </row>
    <row r="192" customFormat="false" ht="15" hidden="false" customHeight="true" outlineLevel="0" collapsed="false">
      <c r="H192" s="113"/>
      <c r="I192" s="113"/>
      <c r="J192" s="113"/>
      <c r="L192" s="113"/>
      <c r="M192" s="113"/>
      <c r="N192" s="113"/>
      <c r="P192" s="113"/>
      <c r="Q192" s="113"/>
      <c r="R192" s="113"/>
      <c r="T192" s="113"/>
      <c r="U192" s="113"/>
      <c r="V192" s="113"/>
    </row>
    <row r="193" customFormat="false" ht="15" hidden="false" customHeight="true" outlineLevel="0" collapsed="false">
      <c r="H193" s="113"/>
      <c r="I193" s="113"/>
      <c r="J193" s="113"/>
      <c r="L193" s="113"/>
      <c r="M193" s="113"/>
      <c r="N193" s="113"/>
      <c r="P193" s="113"/>
      <c r="Q193" s="113"/>
      <c r="R193" s="113"/>
      <c r="T193" s="113"/>
      <c r="U193" s="113"/>
      <c r="V193" s="113"/>
    </row>
    <row r="194" customFormat="false" ht="15" hidden="false" customHeight="true" outlineLevel="0" collapsed="false">
      <c r="H194" s="113"/>
      <c r="I194" s="113"/>
      <c r="J194" s="113"/>
      <c r="L194" s="113"/>
      <c r="M194" s="113"/>
      <c r="N194" s="113"/>
      <c r="P194" s="113"/>
      <c r="Q194" s="113"/>
      <c r="R194" s="113"/>
      <c r="T194" s="113"/>
      <c r="U194" s="113"/>
      <c r="V194" s="113"/>
    </row>
    <row r="195" customFormat="false" ht="15" hidden="false" customHeight="true" outlineLevel="0" collapsed="false">
      <c r="H195" s="113"/>
      <c r="I195" s="113"/>
      <c r="J195" s="113"/>
      <c r="L195" s="113"/>
      <c r="M195" s="113"/>
      <c r="N195" s="113"/>
      <c r="P195" s="113"/>
      <c r="Q195" s="113"/>
      <c r="R195" s="113"/>
      <c r="T195" s="113"/>
      <c r="U195" s="113"/>
      <c r="V195" s="113"/>
    </row>
    <row r="196" customFormat="false" ht="15" hidden="false" customHeight="true" outlineLevel="0" collapsed="false">
      <c r="H196" s="113"/>
      <c r="I196" s="113"/>
      <c r="J196" s="113"/>
      <c r="L196" s="113"/>
      <c r="M196" s="113"/>
      <c r="N196" s="113"/>
      <c r="P196" s="113"/>
      <c r="Q196" s="113"/>
      <c r="R196" s="113"/>
      <c r="T196" s="113"/>
      <c r="U196" s="113"/>
      <c r="V196" s="113"/>
    </row>
    <row r="197" customFormat="false" ht="15" hidden="false" customHeight="true" outlineLevel="0" collapsed="false">
      <c r="H197" s="113"/>
      <c r="I197" s="113"/>
      <c r="J197" s="113"/>
      <c r="L197" s="113"/>
      <c r="M197" s="113"/>
      <c r="N197" s="113"/>
      <c r="P197" s="113"/>
      <c r="Q197" s="113"/>
      <c r="R197" s="113"/>
      <c r="T197" s="113"/>
      <c r="U197" s="113"/>
      <c r="V197" s="113"/>
    </row>
    <row r="198" customFormat="false" ht="15" hidden="false" customHeight="true" outlineLevel="0" collapsed="false">
      <c r="H198" s="113"/>
      <c r="I198" s="113"/>
      <c r="J198" s="113"/>
      <c r="L198" s="113"/>
      <c r="M198" s="113"/>
      <c r="N198" s="113"/>
      <c r="P198" s="113"/>
      <c r="Q198" s="113"/>
      <c r="R198" s="113"/>
      <c r="T198" s="113"/>
      <c r="U198" s="113"/>
      <c r="V198" s="113"/>
    </row>
    <row r="199" customFormat="false" ht="15" hidden="false" customHeight="true" outlineLevel="0" collapsed="false">
      <c r="H199" s="113"/>
      <c r="I199" s="113"/>
      <c r="J199" s="113"/>
      <c r="L199" s="113"/>
      <c r="M199" s="113"/>
      <c r="N199" s="113"/>
      <c r="P199" s="113"/>
      <c r="Q199" s="113"/>
      <c r="R199" s="113"/>
      <c r="T199" s="113"/>
      <c r="U199" s="113"/>
      <c r="V199" s="113"/>
    </row>
    <row r="200" customFormat="false" ht="15" hidden="false" customHeight="true" outlineLevel="0" collapsed="false">
      <c r="H200" s="113"/>
      <c r="I200" s="113"/>
      <c r="J200" s="113"/>
      <c r="L200" s="113"/>
      <c r="M200" s="113"/>
      <c r="N200" s="113"/>
      <c r="P200" s="113"/>
      <c r="Q200" s="113"/>
      <c r="R200" s="113"/>
      <c r="T200" s="113"/>
      <c r="U200" s="113"/>
      <c r="V200" s="113"/>
    </row>
    <row r="201" customFormat="false" ht="15" hidden="false" customHeight="true" outlineLevel="0" collapsed="false">
      <c r="H201" s="113"/>
      <c r="I201" s="113"/>
      <c r="J201" s="113"/>
      <c r="L201" s="113"/>
      <c r="M201" s="113"/>
      <c r="N201" s="113"/>
      <c r="P201" s="113"/>
      <c r="Q201" s="113"/>
      <c r="R201" s="113"/>
      <c r="T201" s="113"/>
      <c r="U201" s="113"/>
      <c r="V201" s="113"/>
    </row>
    <row r="202" customFormat="false" ht="15" hidden="false" customHeight="true" outlineLevel="0" collapsed="false">
      <c r="H202" s="113"/>
      <c r="I202" s="113"/>
      <c r="J202" s="113"/>
      <c r="L202" s="113"/>
      <c r="M202" s="113"/>
      <c r="N202" s="113"/>
      <c r="P202" s="113"/>
      <c r="Q202" s="113"/>
      <c r="R202" s="113"/>
      <c r="T202" s="113"/>
      <c r="U202" s="113"/>
      <c r="V202" s="113"/>
    </row>
    <row r="203" customFormat="false" ht="15" hidden="false" customHeight="true" outlineLevel="0" collapsed="false">
      <c r="H203" s="113"/>
      <c r="I203" s="113"/>
      <c r="J203" s="113"/>
      <c r="L203" s="113"/>
      <c r="M203" s="113"/>
      <c r="N203" s="113"/>
      <c r="P203" s="113"/>
      <c r="Q203" s="113"/>
      <c r="R203" s="113"/>
      <c r="T203" s="113"/>
      <c r="U203" s="113"/>
      <c r="V203" s="113"/>
    </row>
    <row r="204" customFormat="false" ht="15" hidden="false" customHeight="true" outlineLevel="0" collapsed="false">
      <c r="H204" s="113"/>
      <c r="I204" s="113"/>
      <c r="J204" s="113"/>
      <c r="L204" s="113"/>
      <c r="M204" s="113"/>
      <c r="N204" s="113"/>
      <c r="P204" s="113"/>
      <c r="Q204" s="113"/>
      <c r="R204" s="113"/>
      <c r="T204" s="113"/>
      <c r="U204" s="113"/>
      <c r="V204" s="113"/>
    </row>
    <row r="205" customFormat="false" ht="15" hidden="false" customHeight="true" outlineLevel="0" collapsed="false">
      <c r="H205" s="113"/>
      <c r="I205" s="113"/>
      <c r="J205" s="113"/>
      <c r="L205" s="113"/>
      <c r="M205" s="113"/>
      <c r="N205" s="113"/>
      <c r="P205" s="113"/>
      <c r="Q205" s="113"/>
      <c r="R205" s="113"/>
      <c r="T205" s="113"/>
      <c r="U205" s="113"/>
      <c r="V205" s="113"/>
    </row>
    <row r="206" customFormat="false" ht="15" hidden="false" customHeight="true" outlineLevel="0" collapsed="false">
      <c r="H206" s="113"/>
      <c r="I206" s="113"/>
      <c r="J206" s="113"/>
      <c r="L206" s="113"/>
      <c r="M206" s="113"/>
      <c r="N206" s="113"/>
      <c r="P206" s="113"/>
      <c r="Q206" s="113"/>
      <c r="R206" s="113"/>
      <c r="T206" s="113"/>
      <c r="U206" s="113"/>
      <c r="V206" s="113"/>
    </row>
    <row r="207" customFormat="false" ht="15" hidden="false" customHeight="true" outlineLevel="0" collapsed="false">
      <c r="H207" s="113"/>
      <c r="I207" s="113"/>
      <c r="J207" s="113"/>
      <c r="L207" s="113"/>
      <c r="M207" s="113"/>
      <c r="N207" s="113"/>
      <c r="P207" s="113"/>
      <c r="Q207" s="113"/>
      <c r="R207" s="113"/>
      <c r="T207" s="113"/>
      <c r="U207" s="113"/>
      <c r="V207" s="113"/>
    </row>
    <row r="208" customFormat="false" ht="15" hidden="false" customHeight="true" outlineLevel="0" collapsed="false">
      <c r="H208" s="113"/>
      <c r="I208" s="113"/>
      <c r="J208" s="113"/>
      <c r="L208" s="113"/>
      <c r="M208" s="113"/>
      <c r="N208" s="113"/>
      <c r="P208" s="113"/>
      <c r="Q208" s="113"/>
      <c r="R208" s="113"/>
      <c r="T208" s="113"/>
      <c r="U208" s="113"/>
      <c r="V208" s="113"/>
    </row>
    <row r="209" customFormat="false" ht="15" hidden="false" customHeight="true" outlineLevel="0" collapsed="false">
      <c r="H209" s="113"/>
      <c r="I209" s="113"/>
      <c r="J209" s="113"/>
      <c r="L209" s="113"/>
      <c r="M209" s="113"/>
      <c r="N209" s="113"/>
      <c r="P209" s="113"/>
      <c r="Q209" s="113"/>
      <c r="R209" s="113"/>
      <c r="T209" s="113"/>
      <c r="U209" s="113"/>
      <c r="V209" s="113"/>
    </row>
    <row r="210" customFormat="false" ht="15" hidden="false" customHeight="true" outlineLevel="0" collapsed="false">
      <c r="H210" s="113"/>
      <c r="I210" s="113"/>
      <c r="J210" s="113"/>
      <c r="L210" s="113"/>
      <c r="M210" s="113"/>
      <c r="N210" s="113"/>
      <c r="P210" s="113"/>
      <c r="Q210" s="113"/>
      <c r="R210" s="113"/>
      <c r="T210" s="113"/>
      <c r="U210" s="113"/>
      <c r="V210" s="113"/>
    </row>
    <row r="211" customFormat="false" ht="15" hidden="false" customHeight="true" outlineLevel="0" collapsed="false">
      <c r="H211" s="113"/>
      <c r="I211" s="113"/>
      <c r="J211" s="113"/>
      <c r="L211" s="113"/>
      <c r="M211" s="113"/>
      <c r="N211" s="113"/>
      <c r="P211" s="113"/>
      <c r="Q211" s="113"/>
      <c r="R211" s="113"/>
      <c r="T211" s="113"/>
      <c r="U211" s="113"/>
      <c r="V211" s="113"/>
    </row>
    <row r="212" customFormat="false" ht="15" hidden="false" customHeight="true" outlineLevel="0" collapsed="false">
      <c r="H212" s="113"/>
      <c r="I212" s="113"/>
      <c r="J212" s="113"/>
      <c r="L212" s="113"/>
      <c r="M212" s="113"/>
      <c r="N212" s="113"/>
      <c r="P212" s="113"/>
      <c r="Q212" s="113"/>
      <c r="R212" s="113"/>
      <c r="T212" s="113"/>
      <c r="U212" s="113"/>
      <c r="V212" s="113"/>
    </row>
    <row r="213" customFormat="false" ht="15" hidden="false" customHeight="true" outlineLevel="0" collapsed="false">
      <c r="H213" s="113"/>
      <c r="I213" s="113"/>
      <c r="J213" s="113"/>
      <c r="L213" s="113"/>
      <c r="M213" s="113"/>
      <c r="N213" s="113"/>
      <c r="P213" s="113"/>
      <c r="Q213" s="113"/>
      <c r="R213" s="113"/>
      <c r="T213" s="113"/>
      <c r="U213" s="113"/>
      <c r="V213" s="113"/>
    </row>
    <row r="214" customFormat="false" ht="15" hidden="false" customHeight="true" outlineLevel="0" collapsed="false">
      <c r="H214" s="113"/>
      <c r="I214" s="113"/>
      <c r="J214" s="113"/>
      <c r="L214" s="113"/>
      <c r="M214" s="113"/>
      <c r="N214" s="113"/>
      <c r="P214" s="113"/>
      <c r="Q214" s="113"/>
      <c r="R214" s="113"/>
      <c r="T214" s="113"/>
      <c r="U214" s="113"/>
      <c r="V214" s="113"/>
    </row>
    <row r="215" customFormat="false" ht="15" hidden="false" customHeight="true" outlineLevel="0" collapsed="false">
      <c r="H215" s="113"/>
      <c r="I215" s="113"/>
      <c r="J215" s="113"/>
      <c r="L215" s="113"/>
      <c r="M215" s="113"/>
      <c r="N215" s="113"/>
      <c r="P215" s="113"/>
      <c r="Q215" s="113"/>
      <c r="R215" s="113"/>
      <c r="T215" s="113"/>
      <c r="U215" s="113"/>
      <c r="V215" s="113"/>
    </row>
    <row r="216" customFormat="false" ht="15" hidden="false" customHeight="true" outlineLevel="0" collapsed="false">
      <c r="H216" s="113"/>
      <c r="I216" s="113"/>
      <c r="J216" s="113"/>
      <c r="L216" s="113"/>
      <c r="M216" s="113"/>
      <c r="N216" s="113"/>
      <c r="P216" s="113"/>
      <c r="Q216" s="113"/>
      <c r="R216" s="113"/>
      <c r="T216" s="113"/>
      <c r="U216" s="113"/>
      <c r="V216" s="113"/>
    </row>
    <row r="217" customFormat="false" ht="15" hidden="false" customHeight="true" outlineLevel="0" collapsed="false">
      <c r="H217" s="113"/>
      <c r="I217" s="113"/>
      <c r="J217" s="113"/>
      <c r="L217" s="113"/>
      <c r="M217" s="113"/>
      <c r="N217" s="113"/>
      <c r="P217" s="113"/>
      <c r="Q217" s="113"/>
      <c r="R217" s="113"/>
      <c r="T217" s="113"/>
      <c r="U217" s="113"/>
      <c r="V217" s="113"/>
    </row>
    <row r="218" customFormat="false" ht="15" hidden="false" customHeight="true" outlineLevel="0" collapsed="false">
      <c r="H218" s="113"/>
      <c r="I218" s="113"/>
      <c r="J218" s="113"/>
      <c r="L218" s="113"/>
      <c r="M218" s="113"/>
      <c r="N218" s="113"/>
      <c r="P218" s="113"/>
      <c r="Q218" s="113"/>
      <c r="R218" s="113"/>
      <c r="T218" s="113"/>
      <c r="U218" s="113"/>
      <c r="V218" s="113"/>
    </row>
    <row r="219" customFormat="false" ht="15" hidden="false" customHeight="true" outlineLevel="0" collapsed="false">
      <c r="H219" s="113"/>
      <c r="I219" s="113"/>
      <c r="J219" s="113"/>
      <c r="L219" s="113"/>
      <c r="M219" s="113"/>
      <c r="N219" s="113"/>
      <c r="P219" s="113"/>
      <c r="Q219" s="113"/>
      <c r="R219" s="113"/>
      <c r="T219" s="113"/>
      <c r="U219" s="113"/>
      <c r="V219" s="113"/>
    </row>
    <row r="220" customFormat="false" ht="15" hidden="false" customHeight="true" outlineLevel="0" collapsed="false">
      <c r="H220" s="113"/>
      <c r="I220" s="113"/>
      <c r="J220" s="113"/>
      <c r="L220" s="113"/>
      <c r="M220" s="113"/>
      <c r="N220" s="113"/>
      <c r="P220" s="113"/>
      <c r="Q220" s="113"/>
      <c r="R220" s="113"/>
      <c r="T220" s="113"/>
      <c r="U220" s="113"/>
      <c r="V220" s="113"/>
    </row>
    <row r="221" customFormat="false" ht="15" hidden="false" customHeight="true" outlineLevel="0" collapsed="false">
      <c r="H221" s="113"/>
      <c r="I221" s="113"/>
      <c r="J221" s="113"/>
      <c r="L221" s="113"/>
      <c r="M221" s="113"/>
      <c r="N221" s="113"/>
      <c r="P221" s="113"/>
      <c r="Q221" s="113"/>
      <c r="R221" s="113"/>
      <c r="T221" s="113"/>
      <c r="U221" s="113"/>
      <c r="V221" s="113"/>
    </row>
    <row r="222" customFormat="false" ht="15" hidden="false" customHeight="true" outlineLevel="0" collapsed="false">
      <c r="H222" s="113"/>
      <c r="I222" s="113"/>
      <c r="J222" s="113"/>
      <c r="L222" s="113"/>
      <c r="M222" s="113"/>
      <c r="N222" s="113"/>
      <c r="P222" s="113"/>
      <c r="Q222" s="113"/>
      <c r="R222" s="113"/>
      <c r="T222" s="113"/>
      <c r="U222" s="113"/>
      <c r="V222" s="113"/>
    </row>
    <row r="223" customFormat="false" ht="15" hidden="false" customHeight="true" outlineLevel="0" collapsed="false">
      <c r="H223" s="113"/>
      <c r="I223" s="113"/>
      <c r="J223" s="113"/>
      <c r="L223" s="113"/>
      <c r="M223" s="113"/>
      <c r="N223" s="113"/>
      <c r="P223" s="113"/>
      <c r="Q223" s="113"/>
      <c r="R223" s="113"/>
      <c r="T223" s="113"/>
      <c r="U223" s="113"/>
      <c r="V223" s="113"/>
    </row>
    <row r="224" customFormat="false" ht="15" hidden="false" customHeight="true" outlineLevel="0" collapsed="false">
      <c r="H224" s="113"/>
      <c r="I224" s="113"/>
      <c r="J224" s="113"/>
      <c r="L224" s="113"/>
      <c r="M224" s="113"/>
      <c r="N224" s="113"/>
      <c r="P224" s="113"/>
      <c r="Q224" s="113"/>
      <c r="R224" s="113"/>
      <c r="T224" s="113"/>
      <c r="U224" s="113"/>
      <c r="V224" s="113"/>
    </row>
    <row r="225" customFormat="false" ht="15" hidden="false" customHeight="true" outlineLevel="0" collapsed="false">
      <c r="H225" s="113"/>
      <c r="I225" s="113"/>
      <c r="J225" s="113"/>
      <c r="L225" s="113"/>
      <c r="M225" s="113"/>
      <c r="N225" s="113"/>
      <c r="P225" s="113"/>
      <c r="Q225" s="113"/>
      <c r="R225" s="113"/>
      <c r="T225" s="113"/>
      <c r="U225" s="113"/>
      <c r="V225" s="113"/>
    </row>
    <row r="226" customFormat="false" ht="15" hidden="false" customHeight="true" outlineLevel="0" collapsed="false">
      <c r="H226" s="113"/>
      <c r="I226" s="113"/>
      <c r="J226" s="113"/>
      <c r="L226" s="113"/>
      <c r="M226" s="113"/>
      <c r="N226" s="113"/>
      <c r="P226" s="113"/>
      <c r="Q226" s="113"/>
      <c r="R226" s="113"/>
      <c r="T226" s="113"/>
      <c r="U226" s="113"/>
      <c r="V226" s="113"/>
    </row>
    <row r="227" customFormat="false" ht="15" hidden="false" customHeight="true" outlineLevel="0" collapsed="false">
      <c r="H227" s="113"/>
      <c r="I227" s="113"/>
      <c r="J227" s="113"/>
      <c r="L227" s="113"/>
      <c r="M227" s="113"/>
      <c r="N227" s="113"/>
      <c r="P227" s="113"/>
      <c r="Q227" s="113"/>
      <c r="R227" s="113"/>
      <c r="T227" s="113"/>
      <c r="U227" s="113"/>
      <c r="V227" s="113"/>
    </row>
    <row r="228" customFormat="false" ht="15" hidden="false" customHeight="true" outlineLevel="0" collapsed="false">
      <c r="H228" s="113"/>
      <c r="I228" s="113"/>
      <c r="J228" s="113"/>
      <c r="L228" s="113"/>
      <c r="M228" s="113"/>
      <c r="N228" s="113"/>
      <c r="P228" s="113"/>
      <c r="Q228" s="113"/>
      <c r="R228" s="113"/>
      <c r="T228" s="113"/>
      <c r="U228" s="113"/>
      <c r="V228" s="113"/>
    </row>
    <row r="229" customFormat="false" ht="15" hidden="false" customHeight="true" outlineLevel="0" collapsed="false">
      <c r="H229" s="113"/>
      <c r="I229" s="113"/>
      <c r="J229" s="113"/>
      <c r="L229" s="113"/>
      <c r="M229" s="113"/>
      <c r="N229" s="113"/>
      <c r="P229" s="113"/>
      <c r="Q229" s="113"/>
      <c r="R229" s="113"/>
      <c r="T229" s="113"/>
      <c r="U229" s="113"/>
      <c r="V229" s="113"/>
    </row>
    <row r="230" customFormat="false" ht="15" hidden="false" customHeight="true" outlineLevel="0" collapsed="false">
      <c r="H230" s="113"/>
      <c r="I230" s="113"/>
      <c r="J230" s="113"/>
      <c r="L230" s="113"/>
      <c r="M230" s="113"/>
      <c r="N230" s="113"/>
      <c r="P230" s="113"/>
      <c r="Q230" s="113"/>
      <c r="R230" s="113"/>
      <c r="T230" s="113"/>
      <c r="U230" s="113"/>
      <c r="V230" s="113"/>
    </row>
    <row r="231" customFormat="false" ht="15" hidden="false" customHeight="true" outlineLevel="0" collapsed="false">
      <c r="H231" s="113"/>
      <c r="I231" s="113"/>
      <c r="J231" s="113"/>
      <c r="L231" s="113"/>
      <c r="M231" s="113"/>
      <c r="N231" s="113"/>
      <c r="P231" s="113"/>
      <c r="Q231" s="113"/>
      <c r="R231" s="113"/>
      <c r="T231" s="113"/>
      <c r="U231" s="113"/>
      <c r="V231" s="113"/>
    </row>
    <row r="232" customFormat="false" ht="15" hidden="false" customHeight="true" outlineLevel="0" collapsed="false">
      <c r="H232" s="113"/>
      <c r="I232" s="113"/>
      <c r="J232" s="113"/>
      <c r="L232" s="113"/>
      <c r="M232" s="113"/>
      <c r="N232" s="113"/>
      <c r="P232" s="113"/>
      <c r="Q232" s="113"/>
      <c r="R232" s="113"/>
      <c r="T232" s="113"/>
      <c r="U232" s="113"/>
      <c r="V232" s="113"/>
    </row>
    <row r="233" customFormat="false" ht="15" hidden="false" customHeight="true" outlineLevel="0" collapsed="false">
      <c r="H233" s="113"/>
      <c r="I233" s="113"/>
      <c r="J233" s="113"/>
      <c r="L233" s="113"/>
      <c r="M233" s="113"/>
      <c r="N233" s="113"/>
      <c r="P233" s="113"/>
      <c r="Q233" s="113"/>
      <c r="R233" s="113"/>
      <c r="T233" s="113"/>
      <c r="U233" s="113"/>
      <c r="V233" s="113"/>
    </row>
    <row r="234" customFormat="false" ht="15" hidden="false" customHeight="true" outlineLevel="0" collapsed="false">
      <c r="H234" s="113"/>
      <c r="I234" s="113"/>
      <c r="J234" s="113"/>
      <c r="L234" s="113"/>
      <c r="M234" s="113"/>
      <c r="N234" s="113"/>
      <c r="P234" s="113"/>
      <c r="Q234" s="113"/>
      <c r="R234" s="113"/>
      <c r="T234" s="113"/>
      <c r="U234" s="113"/>
      <c r="V234" s="113"/>
    </row>
    <row r="235" customFormat="false" ht="15" hidden="false" customHeight="true" outlineLevel="0" collapsed="false">
      <c r="H235" s="113"/>
      <c r="I235" s="113"/>
      <c r="J235" s="113"/>
      <c r="L235" s="113"/>
      <c r="M235" s="113"/>
      <c r="N235" s="113"/>
      <c r="P235" s="113"/>
      <c r="Q235" s="113"/>
      <c r="R235" s="113"/>
      <c r="T235" s="113"/>
      <c r="U235" s="113"/>
      <c r="V235" s="113"/>
    </row>
    <row r="236" customFormat="false" ht="15" hidden="false" customHeight="true" outlineLevel="0" collapsed="false">
      <c r="H236" s="113"/>
      <c r="I236" s="113"/>
      <c r="J236" s="113"/>
      <c r="L236" s="113"/>
      <c r="M236" s="113"/>
      <c r="N236" s="113"/>
      <c r="P236" s="113"/>
      <c r="Q236" s="113"/>
      <c r="R236" s="113"/>
      <c r="T236" s="113"/>
      <c r="U236" s="113"/>
      <c r="V236" s="113"/>
    </row>
    <row r="237" customFormat="false" ht="15" hidden="false" customHeight="true" outlineLevel="0" collapsed="false">
      <c r="H237" s="113"/>
      <c r="I237" s="113"/>
      <c r="J237" s="113"/>
      <c r="L237" s="113"/>
      <c r="M237" s="113"/>
      <c r="N237" s="113"/>
      <c r="P237" s="113"/>
      <c r="Q237" s="113"/>
      <c r="R237" s="113"/>
      <c r="T237" s="113"/>
      <c r="U237" s="113"/>
      <c r="V237" s="113"/>
    </row>
    <row r="238" customFormat="false" ht="15" hidden="false" customHeight="true" outlineLevel="0" collapsed="false">
      <c r="H238" s="113"/>
      <c r="I238" s="113"/>
      <c r="J238" s="113"/>
      <c r="L238" s="113"/>
      <c r="M238" s="113"/>
      <c r="N238" s="113"/>
      <c r="P238" s="113"/>
      <c r="Q238" s="113"/>
      <c r="R238" s="113"/>
      <c r="T238" s="113"/>
      <c r="U238" s="113"/>
      <c r="V238" s="113"/>
    </row>
    <row r="239" customFormat="false" ht="15" hidden="false" customHeight="true" outlineLevel="0" collapsed="false">
      <c r="H239" s="113"/>
      <c r="I239" s="113"/>
      <c r="J239" s="113"/>
      <c r="L239" s="113"/>
      <c r="M239" s="113"/>
      <c r="N239" s="113"/>
      <c r="P239" s="113"/>
      <c r="Q239" s="113"/>
      <c r="R239" s="113"/>
      <c r="T239" s="113"/>
      <c r="U239" s="113"/>
      <c r="V239" s="113"/>
    </row>
    <row r="240" customFormat="false" ht="15" hidden="false" customHeight="true" outlineLevel="0" collapsed="false">
      <c r="H240" s="113"/>
      <c r="I240" s="113"/>
      <c r="J240" s="113"/>
      <c r="L240" s="113"/>
      <c r="M240" s="113"/>
      <c r="N240" s="113"/>
      <c r="P240" s="113"/>
      <c r="Q240" s="113"/>
      <c r="R240" s="113"/>
      <c r="T240" s="113"/>
      <c r="U240" s="113"/>
      <c r="V240" s="113"/>
    </row>
    <row r="241" customFormat="false" ht="15" hidden="false" customHeight="true" outlineLevel="0" collapsed="false">
      <c r="H241" s="113"/>
      <c r="I241" s="113"/>
      <c r="J241" s="113"/>
      <c r="L241" s="113"/>
      <c r="M241" s="113"/>
      <c r="N241" s="113"/>
      <c r="P241" s="113"/>
      <c r="Q241" s="113"/>
      <c r="R241" s="113"/>
      <c r="T241" s="113"/>
      <c r="U241" s="113"/>
      <c r="V241" s="113"/>
    </row>
    <row r="242" customFormat="false" ht="15" hidden="false" customHeight="true" outlineLevel="0" collapsed="false">
      <c r="H242" s="113"/>
      <c r="I242" s="113"/>
      <c r="J242" s="113"/>
      <c r="L242" s="113"/>
      <c r="M242" s="113"/>
      <c r="N242" s="113"/>
      <c r="P242" s="113"/>
      <c r="Q242" s="113"/>
      <c r="R242" s="113"/>
      <c r="T242" s="113"/>
      <c r="U242" s="113"/>
      <c r="V242" s="113"/>
    </row>
    <row r="243" customFormat="false" ht="15" hidden="false" customHeight="true" outlineLevel="0" collapsed="false">
      <c r="H243" s="113"/>
      <c r="I243" s="113"/>
      <c r="J243" s="113"/>
      <c r="L243" s="113"/>
      <c r="M243" s="113"/>
      <c r="N243" s="113"/>
      <c r="P243" s="113"/>
      <c r="Q243" s="113"/>
      <c r="R243" s="113"/>
      <c r="T243" s="113"/>
      <c r="U243" s="113"/>
      <c r="V243" s="113"/>
    </row>
    <row r="244" customFormat="false" ht="15" hidden="false" customHeight="true" outlineLevel="0" collapsed="false">
      <c r="H244" s="113"/>
      <c r="I244" s="113"/>
      <c r="J244" s="113"/>
      <c r="L244" s="113"/>
      <c r="M244" s="113"/>
      <c r="N244" s="113"/>
      <c r="P244" s="113"/>
      <c r="Q244" s="113"/>
      <c r="R244" s="113"/>
      <c r="T244" s="113"/>
      <c r="U244" s="113"/>
      <c r="V244" s="113"/>
    </row>
    <row r="245" customFormat="false" ht="15" hidden="false" customHeight="true" outlineLevel="0" collapsed="false">
      <c r="H245" s="113"/>
      <c r="I245" s="113"/>
      <c r="J245" s="113"/>
      <c r="L245" s="113"/>
      <c r="M245" s="113"/>
      <c r="N245" s="113"/>
      <c r="P245" s="113"/>
      <c r="Q245" s="113"/>
      <c r="R245" s="113"/>
      <c r="T245" s="113"/>
      <c r="U245" s="113"/>
      <c r="V245" s="113"/>
    </row>
    <row r="246" customFormat="false" ht="15" hidden="false" customHeight="true" outlineLevel="0" collapsed="false">
      <c r="H246" s="113"/>
      <c r="I246" s="113"/>
      <c r="J246" s="113"/>
      <c r="L246" s="113"/>
      <c r="M246" s="113"/>
      <c r="N246" s="113"/>
      <c r="P246" s="113"/>
      <c r="Q246" s="113"/>
      <c r="R246" s="113"/>
      <c r="T246" s="113"/>
      <c r="U246" s="113"/>
      <c r="V246" s="113"/>
    </row>
    <row r="247" customFormat="false" ht="15" hidden="false" customHeight="true" outlineLevel="0" collapsed="false">
      <c r="H247" s="113"/>
      <c r="I247" s="113"/>
      <c r="J247" s="113"/>
      <c r="L247" s="113"/>
      <c r="M247" s="113"/>
      <c r="N247" s="113"/>
      <c r="P247" s="113"/>
      <c r="Q247" s="113"/>
      <c r="R247" s="113"/>
      <c r="T247" s="113"/>
      <c r="U247" s="113"/>
      <c r="V247" s="113"/>
    </row>
    <row r="248" customFormat="false" ht="15" hidden="false" customHeight="true" outlineLevel="0" collapsed="false">
      <c r="H248" s="113"/>
      <c r="I248" s="113"/>
      <c r="J248" s="113"/>
      <c r="L248" s="113"/>
      <c r="M248" s="113"/>
      <c r="N248" s="113"/>
      <c r="P248" s="113"/>
      <c r="Q248" s="113"/>
      <c r="R248" s="113"/>
      <c r="T248" s="113"/>
      <c r="U248" s="113"/>
      <c r="V248" s="113"/>
    </row>
    <row r="249" customFormat="false" ht="15" hidden="false" customHeight="true" outlineLevel="0" collapsed="false">
      <c r="H249" s="113"/>
      <c r="I249" s="113"/>
      <c r="J249" s="113"/>
      <c r="L249" s="113"/>
      <c r="M249" s="113"/>
      <c r="N249" s="113"/>
      <c r="P249" s="113"/>
      <c r="Q249" s="113"/>
      <c r="R249" s="113"/>
      <c r="T249" s="113"/>
      <c r="U249" s="113"/>
      <c r="V249" s="113"/>
    </row>
    <row r="250" customFormat="false" ht="15" hidden="false" customHeight="true" outlineLevel="0" collapsed="false">
      <c r="H250" s="113"/>
      <c r="I250" s="113"/>
      <c r="J250" s="113"/>
      <c r="L250" s="113"/>
      <c r="M250" s="113"/>
      <c r="N250" s="113"/>
      <c r="P250" s="113"/>
      <c r="Q250" s="113"/>
      <c r="R250" s="113"/>
      <c r="T250" s="113"/>
      <c r="U250" s="113"/>
      <c r="V250" s="113"/>
    </row>
    <row r="251" customFormat="false" ht="15" hidden="false" customHeight="true" outlineLevel="0" collapsed="false">
      <c r="H251" s="113"/>
      <c r="I251" s="113"/>
      <c r="J251" s="113"/>
      <c r="L251" s="113"/>
      <c r="M251" s="113"/>
      <c r="N251" s="113"/>
      <c r="P251" s="113"/>
      <c r="Q251" s="113"/>
      <c r="R251" s="113"/>
      <c r="T251" s="113"/>
      <c r="U251" s="113"/>
      <c r="V251" s="113"/>
    </row>
    <row r="252" customFormat="false" ht="15" hidden="false" customHeight="true" outlineLevel="0" collapsed="false">
      <c r="H252" s="113"/>
      <c r="I252" s="113"/>
      <c r="J252" s="113"/>
      <c r="L252" s="113"/>
      <c r="M252" s="113"/>
      <c r="N252" s="113"/>
      <c r="P252" s="113"/>
      <c r="Q252" s="113"/>
      <c r="R252" s="113"/>
      <c r="T252" s="113"/>
      <c r="U252" s="113"/>
      <c r="V252" s="113"/>
    </row>
    <row r="253" customFormat="false" ht="15" hidden="false" customHeight="true" outlineLevel="0" collapsed="false">
      <c r="H253" s="113"/>
      <c r="I253" s="113"/>
      <c r="J253" s="113"/>
      <c r="L253" s="113"/>
      <c r="M253" s="113"/>
      <c r="N253" s="113"/>
      <c r="P253" s="113"/>
      <c r="Q253" s="113"/>
      <c r="R253" s="113"/>
      <c r="T253" s="113"/>
      <c r="U253" s="113"/>
      <c r="V253" s="113"/>
    </row>
    <row r="254" customFormat="false" ht="15" hidden="false" customHeight="true" outlineLevel="0" collapsed="false">
      <c r="H254" s="113"/>
      <c r="I254" s="113"/>
      <c r="J254" s="113"/>
      <c r="L254" s="113"/>
      <c r="M254" s="113"/>
      <c r="N254" s="113"/>
      <c r="P254" s="113"/>
      <c r="Q254" s="113"/>
      <c r="R254" s="113"/>
      <c r="T254" s="113"/>
      <c r="U254" s="113"/>
      <c r="V254" s="113"/>
    </row>
    <row r="255" customFormat="false" ht="15" hidden="false" customHeight="true" outlineLevel="0" collapsed="false">
      <c r="H255" s="113"/>
      <c r="I255" s="113"/>
      <c r="J255" s="113"/>
      <c r="L255" s="113"/>
      <c r="M255" s="113"/>
      <c r="N255" s="113"/>
      <c r="P255" s="113"/>
      <c r="Q255" s="113"/>
      <c r="R255" s="113"/>
      <c r="T255" s="113"/>
      <c r="U255" s="113"/>
      <c r="V255" s="113"/>
    </row>
    <row r="256" customFormat="false" ht="15" hidden="false" customHeight="true" outlineLevel="0" collapsed="false">
      <c r="H256" s="113"/>
      <c r="I256" s="113"/>
      <c r="J256" s="113"/>
      <c r="L256" s="113"/>
      <c r="M256" s="113"/>
      <c r="N256" s="113"/>
      <c r="P256" s="113"/>
      <c r="Q256" s="113"/>
      <c r="R256" s="113"/>
      <c r="T256" s="113"/>
      <c r="U256" s="113"/>
      <c r="V256" s="113"/>
    </row>
    <row r="257" customFormat="false" ht="15" hidden="false" customHeight="true" outlineLevel="0" collapsed="false">
      <c r="H257" s="113"/>
      <c r="I257" s="113"/>
      <c r="J257" s="113"/>
      <c r="L257" s="113"/>
      <c r="M257" s="113"/>
      <c r="N257" s="113"/>
      <c r="P257" s="113"/>
      <c r="Q257" s="113"/>
      <c r="R257" s="113"/>
      <c r="T257" s="113"/>
      <c r="U257" s="113"/>
      <c r="V257" s="113"/>
    </row>
    <row r="258" customFormat="false" ht="15" hidden="false" customHeight="true" outlineLevel="0" collapsed="false">
      <c r="H258" s="113"/>
      <c r="I258" s="113"/>
      <c r="J258" s="113"/>
      <c r="L258" s="113"/>
      <c r="M258" s="113"/>
      <c r="N258" s="113"/>
      <c r="P258" s="113"/>
      <c r="Q258" s="113"/>
      <c r="R258" s="113"/>
      <c r="T258" s="113"/>
      <c r="U258" s="113"/>
      <c r="V258" s="113"/>
    </row>
    <row r="259" customFormat="false" ht="15" hidden="false" customHeight="true" outlineLevel="0" collapsed="false">
      <c r="H259" s="113"/>
      <c r="I259" s="113"/>
      <c r="J259" s="113"/>
      <c r="L259" s="113"/>
      <c r="M259" s="113"/>
      <c r="N259" s="113"/>
      <c r="P259" s="113"/>
      <c r="Q259" s="113"/>
      <c r="R259" s="113"/>
      <c r="T259" s="113"/>
      <c r="U259" s="113"/>
      <c r="V259" s="113"/>
    </row>
    <row r="260" customFormat="false" ht="15" hidden="false" customHeight="true" outlineLevel="0" collapsed="false">
      <c r="H260" s="113"/>
      <c r="I260" s="113"/>
      <c r="J260" s="113"/>
      <c r="L260" s="113"/>
      <c r="M260" s="113"/>
      <c r="N260" s="113"/>
      <c r="P260" s="113"/>
      <c r="Q260" s="113"/>
      <c r="R260" s="113"/>
      <c r="T260" s="113"/>
      <c r="U260" s="113"/>
      <c r="V260" s="113"/>
    </row>
    <row r="261" customFormat="false" ht="15" hidden="false" customHeight="true" outlineLevel="0" collapsed="false">
      <c r="H261" s="113"/>
      <c r="I261" s="113"/>
      <c r="J261" s="113"/>
      <c r="L261" s="113"/>
      <c r="M261" s="113"/>
      <c r="N261" s="113"/>
      <c r="P261" s="113"/>
      <c r="Q261" s="113"/>
      <c r="R261" s="113"/>
      <c r="T261" s="113"/>
      <c r="U261" s="113"/>
      <c r="V261" s="113"/>
    </row>
    <row r="262" customFormat="false" ht="15" hidden="false" customHeight="true" outlineLevel="0" collapsed="false">
      <c r="H262" s="113"/>
      <c r="I262" s="113"/>
      <c r="J262" s="113"/>
      <c r="L262" s="113"/>
      <c r="M262" s="113"/>
      <c r="N262" s="113"/>
      <c r="P262" s="113"/>
      <c r="Q262" s="113"/>
      <c r="R262" s="113"/>
      <c r="T262" s="113"/>
      <c r="U262" s="113"/>
      <c r="V262" s="113"/>
    </row>
    <row r="263" customFormat="false" ht="15" hidden="false" customHeight="true" outlineLevel="0" collapsed="false">
      <c r="H263" s="113"/>
      <c r="I263" s="113"/>
      <c r="J263" s="113"/>
      <c r="L263" s="113"/>
      <c r="M263" s="113"/>
      <c r="N263" s="113"/>
      <c r="P263" s="113"/>
      <c r="Q263" s="113"/>
      <c r="R263" s="113"/>
      <c r="T263" s="113"/>
      <c r="U263" s="113"/>
      <c r="V263" s="113"/>
    </row>
    <row r="264" customFormat="false" ht="15" hidden="false" customHeight="true" outlineLevel="0" collapsed="false">
      <c r="H264" s="113"/>
      <c r="I264" s="113"/>
      <c r="J264" s="113"/>
      <c r="L264" s="113"/>
      <c r="M264" s="113"/>
      <c r="N264" s="113"/>
      <c r="P264" s="113"/>
      <c r="Q264" s="113"/>
      <c r="R264" s="113"/>
      <c r="T264" s="113"/>
      <c r="U264" s="113"/>
      <c r="V264" s="113"/>
    </row>
    <row r="265" customFormat="false" ht="15" hidden="false" customHeight="true" outlineLevel="0" collapsed="false">
      <c r="H265" s="113"/>
      <c r="I265" s="113"/>
      <c r="J265" s="113"/>
      <c r="L265" s="113"/>
      <c r="M265" s="113"/>
      <c r="N265" s="113"/>
      <c r="P265" s="113"/>
      <c r="Q265" s="113"/>
      <c r="R265" s="113"/>
      <c r="T265" s="113"/>
      <c r="U265" s="113"/>
      <c r="V265" s="113"/>
    </row>
    <row r="266" customFormat="false" ht="15" hidden="false" customHeight="true" outlineLevel="0" collapsed="false">
      <c r="H266" s="113"/>
      <c r="I266" s="113"/>
      <c r="J266" s="113"/>
      <c r="L266" s="113"/>
      <c r="M266" s="113"/>
      <c r="N266" s="113"/>
      <c r="P266" s="113"/>
      <c r="Q266" s="113"/>
      <c r="R266" s="113"/>
      <c r="T266" s="113"/>
      <c r="U266" s="113"/>
      <c r="V266" s="113"/>
    </row>
    <row r="267" customFormat="false" ht="15" hidden="false" customHeight="true" outlineLevel="0" collapsed="false">
      <c r="H267" s="113"/>
      <c r="I267" s="113"/>
      <c r="J267" s="113"/>
      <c r="L267" s="113"/>
      <c r="M267" s="113"/>
      <c r="N267" s="113"/>
      <c r="P267" s="113"/>
      <c r="Q267" s="113"/>
      <c r="R267" s="113"/>
      <c r="T267" s="113"/>
      <c r="U267" s="113"/>
      <c r="V267" s="113"/>
    </row>
    <row r="268" customFormat="false" ht="15" hidden="false" customHeight="true" outlineLevel="0" collapsed="false">
      <c r="H268" s="113"/>
      <c r="I268" s="113"/>
      <c r="J268" s="113"/>
      <c r="L268" s="113"/>
      <c r="M268" s="113"/>
      <c r="N268" s="113"/>
      <c r="P268" s="113"/>
      <c r="Q268" s="113"/>
      <c r="R268" s="113"/>
      <c r="T268" s="113"/>
      <c r="U268" s="113"/>
      <c r="V268" s="113"/>
    </row>
    <row r="269" customFormat="false" ht="15" hidden="false" customHeight="true" outlineLevel="0" collapsed="false">
      <c r="H269" s="113"/>
      <c r="I269" s="113"/>
      <c r="J269" s="113"/>
      <c r="L269" s="113"/>
      <c r="M269" s="113"/>
      <c r="N269" s="113"/>
      <c r="P269" s="113"/>
      <c r="Q269" s="113"/>
      <c r="R269" s="113"/>
      <c r="T269" s="113"/>
      <c r="U269" s="113"/>
      <c r="V269" s="113"/>
    </row>
    <row r="270" customFormat="false" ht="15" hidden="false" customHeight="true" outlineLevel="0" collapsed="false">
      <c r="H270" s="113"/>
      <c r="I270" s="113"/>
      <c r="J270" s="113"/>
      <c r="L270" s="113"/>
      <c r="M270" s="113"/>
      <c r="N270" s="113"/>
      <c r="P270" s="113"/>
      <c r="Q270" s="113"/>
      <c r="R270" s="113"/>
      <c r="T270" s="113"/>
      <c r="U270" s="113"/>
      <c r="V270" s="113"/>
    </row>
    <row r="271" customFormat="false" ht="15" hidden="false" customHeight="true" outlineLevel="0" collapsed="false">
      <c r="H271" s="113"/>
      <c r="I271" s="113"/>
      <c r="J271" s="113"/>
      <c r="L271" s="113"/>
      <c r="M271" s="113"/>
      <c r="N271" s="113"/>
      <c r="P271" s="113"/>
      <c r="Q271" s="113"/>
      <c r="R271" s="113"/>
      <c r="T271" s="113"/>
      <c r="U271" s="113"/>
      <c r="V271" s="113"/>
    </row>
    <row r="272" customFormat="false" ht="15" hidden="false" customHeight="true" outlineLevel="0" collapsed="false">
      <c r="H272" s="113"/>
      <c r="I272" s="113"/>
      <c r="J272" s="113"/>
      <c r="L272" s="113"/>
      <c r="M272" s="113"/>
      <c r="N272" s="113"/>
      <c r="P272" s="113"/>
      <c r="Q272" s="113"/>
      <c r="R272" s="113"/>
      <c r="T272" s="113"/>
      <c r="U272" s="113"/>
      <c r="V272" s="113"/>
    </row>
    <row r="273" customFormat="false" ht="15" hidden="false" customHeight="true" outlineLevel="0" collapsed="false">
      <c r="H273" s="113"/>
      <c r="I273" s="113"/>
      <c r="J273" s="113"/>
      <c r="L273" s="113"/>
      <c r="M273" s="113"/>
      <c r="N273" s="113"/>
      <c r="P273" s="113"/>
      <c r="Q273" s="113"/>
      <c r="R273" s="113"/>
      <c r="T273" s="113"/>
      <c r="U273" s="113"/>
      <c r="V273" s="113"/>
    </row>
    <row r="274" customFormat="false" ht="15" hidden="false" customHeight="true" outlineLevel="0" collapsed="false">
      <c r="H274" s="113"/>
      <c r="I274" s="113"/>
      <c r="J274" s="113"/>
      <c r="L274" s="113"/>
      <c r="M274" s="113"/>
      <c r="N274" s="113"/>
      <c r="P274" s="113"/>
      <c r="Q274" s="113"/>
      <c r="R274" s="113"/>
      <c r="T274" s="113"/>
      <c r="U274" s="113"/>
      <c r="V274" s="113"/>
    </row>
    <row r="275" customFormat="false" ht="15" hidden="false" customHeight="true" outlineLevel="0" collapsed="false">
      <c r="H275" s="113"/>
      <c r="I275" s="113"/>
      <c r="J275" s="113"/>
      <c r="L275" s="113"/>
      <c r="M275" s="113"/>
      <c r="N275" s="113"/>
      <c r="P275" s="113"/>
      <c r="Q275" s="113"/>
      <c r="R275" s="113"/>
      <c r="T275" s="113"/>
      <c r="U275" s="113"/>
      <c r="V275" s="113"/>
    </row>
    <row r="276" customFormat="false" ht="15" hidden="false" customHeight="true" outlineLevel="0" collapsed="false">
      <c r="H276" s="113"/>
      <c r="I276" s="113"/>
      <c r="J276" s="113"/>
      <c r="L276" s="113"/>
      <c r="M276" s="113"/>
      <c r="N276" s="113"/>
      <c r="P276" s="113"/>
      <c r="Q276" s="113"/>
      <c r="R276" s="113"/>
      <c r="T276" s="113"/>
      <c r="U276" s="113"/>
      <c r="V276" s="113"/>
    </row>
    <row r="277" customFormat="false" ht="15" hidden="false" customHeight="true" outlineLevel="0" collapsed="false">
      <c r="H277" s="113"/>
      <c r="I277" s="113"/>
      <c r="J277" s="113"/>
      <c r="L277" s="113"/>
      <c r="M277" s="113"/>
      <c r="N277" s="113"/>
      <c r="P277" s="113"/>
      <c r="Q277" s="113"/>
      <c r="R277" s="113"/>
      <c r="T277" s="113"/>
      <c r="U277" s="113"/>
      <c r="V277" s="113"/>
    </row>
    <row r="278" customFormat="false" ht="15" hidden="false" customHeight="true" outlineLevel="0" collapsed="false">
      <c r="H278" s="113"/>
      <c r="I278" s="113"/>
      <c r="J278" s="113"/>
      <c r="L278" s="113"/>
      <c r="M278" s="113"/>
      <c r="N278" s="113"/>
      <c r="P278" s="113"/>
      <c r="Q278" s="113"/>
      <c r="R278" s="113"/>
      <c r="T278" s="113"/>
      <c r="U278" s="113"/>
      <c r="V278" s="113"/>
    </row>
    <row r="279" customFormat="false" ht="15" hidden="false" customHeight="true" outlineLevel="0" collapsed="false">
      <c r="H279" s="113"/>
      <c r="I279" s="113"/>
      <c r="J279" s="113"/>
      <c r="L279" s="113"/>
      <c r="M279" s="113"/>
      <c r="N279" s="113"/>
      <c r="P279" s="113"/>
      <c r="Q279" s="113"/>
      <c r="R279" s="113"/>
      <c r="T279" s="113"/>
      <c r="U279" s="113"/>
      <c r="V279" s="113"/>
    </row>
    <row r="280" customFormat="false" ht="15" hidden="false" customHeight="true" outlineLevel="0" collapsed="false">
      <c r="H280" s="113"/>
      <c r="I280" s="113"/>
      <c r="J280" s="113"/>
      <c r="L280" s="113"/>
      <c r="M280" s="113"/>
      <c r="N280" s="113"/>
      <c r="P280" s="113"/>
      <c r="Q280" s="113"/>
      <c r="R280" s="113"/>
      <c r="T280" s="113"/>
      <c r="U280" s="113"/>
      <c r="V280" s="113"/>
    </row>
    <row r="281" customFormat="false" ht="15" hidden="false" customHeight="true" outlineLevel="0" collapsed="false">
      <c r="H281" s="113"/>
      <c r="I281" s="113"/>
      <c r="J281" s="113"/>
      <c r="L281" s="113"/>
      <c r="M281" s="113"/>
      <c r="N281" s="113"/>
      <c r="P281" s="113"/>
      <c r="Q281" s="113"/>
      <c r="R281" s="113"/>
      <c r="T281" s="113"/>
      <c r="U281" s="113"/>
      <c r="V281" s="113"/>
    </row>
    <row r="282" customFormat="false" ht="15" hidden="false" customHeight="true" outlineLevel="0" collapsed="false">
      <c r="H282" s="113"/>
      <c r="I282" s="113"/>
      <c r="J282" s="113"/>
      <c r="L282" s="113"/>
      <c r="M282" s="113"/>
      <c r="N282" s="113"/>
      <c r="P282" s="113"/>
      <c r="Q282" s="113"/>
      <c r="R282" s="113"/>
      <c r="T282" s="113"/>
      <c r="U282" s="113"/>
      <c r="V282" s="113"/>
    </row>
    <row r="283" customFormat="false" ht="15" hidden="false" customHeight="true" outlineLevel="0" collapsed="false">
      <c r="H283" s="113"/>
      <c r="I283" s="113"/>
      <c r="J283" s="113"/>
      <c r="L283" s="113"/>
      <c r="M283" s="113"/>
      <c r="N283" s="113"/>
      <c r="P283" s="113"/>
      <c r="Q283" s="113"/>
      <c r="R283" s="113"/>
      <c r="T283" s="113"/>
      <c r="U283" s="113"/>
      <c r="V283" s="113"/>
    </row>
    <row r="284" customFormat="false" ht="15" hidden="false" customHeight="true" outlineLevel="0" collapsed="false">
      <c r="H284" s="113"/>
      <c r="I284" s="113"/>
      <c r="J284" s="113"/>
      <c r="L284" s="113"/>
      <c r="M284" s="113"/>
      <c r="N284" s="113"/>
      <c r="P284" s="113"/>
      <c r="Q284" s="113"/>
      <c r="R284" s="113"/>
      <c r="T284" s="113"/>
      <c r="U284" s="113"/>
      <c r="V284" s="113"/>
    </row>
    <row r="285" customFormat="false" ht="15" hidden="false" customHeight="true" outlineLevel="0" collapsed="false">
      <c r="H285" s="113"/>
      <c r="I285" s="113"/>
      <c r="J285" s="113"/>
      <c r="L285" s="113"/>
      <c r="M285" s="113"/>
      <c r="N285" s="113"/>
      <c r="P285" s="113"/>
      <c r="Q285" s="113"/>
      <c r="R285" s="113"/>
      <c r="T285" s="113"/>
      <c r="U285" s="113"/>
      <c r="V285" s="113"/>
    </row>
    <row r="286" customFormat="false" ht="15" hidden="false" customHeight="true" outlineLevel="0" collapsed="false">
      <c r="H286" s="113"/>
      <c r="I286" s="113"/>
      <c r="J286" s="113"/>
      <c r="L286" s="113"/>
      <c r="M286" s="113"/>
      <c r="N286" s="113"/>
      <c r="P286" s="113"/>
      <c r="Q286" s="113"/>
      <c r="R286" s="113"/>
      <c r="T286" s="113"/>
      <c r="U286" s="113"/>
      <c r="V286" s="113"/>
    </row>
    <row r="287" customFormat="false" ht="15" hidden="false" customHeight="true" outlineLevel="0" collapsed="false">
      <c r="H287" s="113"/>
      <c r="I287" s="113"/>
      <c r="J287" s="113"/>
      <c r="L287" s="113"/>
      <c r="M287" s="113"/>
      <c r="N287" s="113"/>
      <c r="P287" s="113"/>
      <c r="Q287" s="113"/>
      <c r="R287" s="113"/>
      <c r="T287" s="113"/>
      <c r="U287" s="113"/>
      <c r="V287" s="113"/>
    </row>
    <row r="288" customFormat="false" ht="15" hidden="false" customHeight="true" outlineLevel="0" collapsed="false">
      <c r="H288" s="113"/>
      <c r="I288" s="113"/>
      <c r="J288" s="113"/>
      <c r="L288" s="113"/>
      <c r="M288" s="113"/>
      <c r="N288" s="113"/>
      <c r="P288" s="113"/>
      <c r="Q288" s="113"/>
      <c r="R288" s="113"/>
      <c r="T288" s="113"/>
      <c r="U288" s="113"/>
      <c r="V288" s="113"/>
    </row>
    <row r="289" customFormat="false" ht="15" hidden="false" customHeight="true" outlineLevel="0" collapsed="false">
      <c r="H289" s="113"/>
      <c r="I289" s="113"/>
      <c r="J289" s="113"/>
      <c r="L289" s="113"/>
      <c r="M289" s="113"/>
      <c r="N289" s="113"/>
      <c r="P289" s="113"/>
      <c r="Q289" s="113"/>
      <c r="R289" s="113"/>
      <c r="T289" s="113"/>
      <c r="U289" s="113"/>
      <c r="V289" s="113"/>
    </row>
    <row r="290" customFormat="false" ht="15" hidden="false" customHeight="true" outlineLevel="0" collapsed="false">
      <c r="H290" s="113"/>
      <c r="I290" s="113"/>
      <c r="J290" s="113"/>
      <c r="L290" s="113"/>
      <c r="M290" s="113"/>
      <c r="N290" s="113"/>
      <c r="P290" s="113"/>
      <c r="Q290" s="113"/>
      <c r="R290" s="113"/>
      <c r="T290" s="113"/>
      <c r="U290" s="113"/>
      <c r="V290" s="113"/>
    </row>
    <row r="291" customFormat="false" ht="15" hidden="false" customHeight="true" outlineLevel="0" collapsed="false">
      <c r="H291" s="113"/>
      <c r="I291" s="113"/>
      <c r="J291" s="113"/>
      <c r="L291" s="113"/>
      <c r="M291" s="113"/>
      <c r="N291" s="113"/>
      <c r="P291" s="113"/>
      <c r="Q291" s="113"/>
      <c r="R291" s="113"/>
      <c r="T291" s="113"/>
      <c r="U291" s="113"/>
      <c r="V291" s="113"/>
    </row>
    <row r="292" customFormat="false" ht="15" hidden="false" customHeight="true" outlineLevel="0" collapsed="false">
      <c r="H292" s="113"/>
      <c r="I292" s="113"/>
      <c r="J292" s="113"/>
      <c r="L292" s="113"/>
      <c r="M292" s="113"/>
      <c r="N292" s="113"/>
      <c r="P292" s="113"/>
      <c r="Q292" s="113"/>
      <c r="R292" s="113"/>
      <c r="T292" s="113"/>
      <c r="U292" s="113"/>
      <c r="V292" s="113"/>
    </row>
    <row r="293" customFormat="false" ht="15" hidden="false" customHeight="true" outlineLevel="0" collapsed="false">
      <c r="H293" s="113"/>
      <c r="I293" s="113"/>
      <c r="J293" s="113"/>
      <c r="L293" s="113"/>
      <c r="M293" s="113"/>
      <c r="N293" s="113"/>
      <c r="P293" s="113"/>
      <c r="Q293" s="113"/>
      <c r="R293" s="113"/>
      <c r="T293" s="113"/>
      <c r="U293" s="113"/>
      <c r="V293" s="113"/>
    </row>
    <row r="294" customFormat="false" ht="15" hidden="false" customHeight="true" outlineLevel="0" collapsed="false">
      <c r="H294" s="113"/>
      <c r="I294" s="113"/>
      <c r="J294" s="113"/>
      <c r="L294" s="113"/>
      <c r="M294" s="113"/>
      <c r="N294" s="113"/>
      <c r="P294" s="113"/>
      <c r="Q294" s="113"/>
      <c r="R294" s="113"/>
      <c r="T294" s="113"/>
      <c r="U294" s="113"/>
      <c r="V294" s="113"/>
    </row>
    <row r="295" customFormat="false" ht="15" hidden="false" customHeight="true" outlineLevel="0" collapsed="false">
      <c r="H295" s="113"/>
      <c r="I295" s="113"/>
      <c r="J295" s="113"/>
      <c r="L295" s="113"/>
      <c r="M295" s="113"/>
      <c r="N295" s="113"/>
      <c r="P295" s="113"/>
      <c r="Q295" s="113"/>
      <c r="R295" s="113"/>
      <c r="T295" s="113"/>
      <c r="U295" s="113"/>
      <c r="V295" s="113"/>
    </row>
    <row r="296" customFormat="false" ht="15" hidden="false" customHeight="true" outlineLevel="0" collapsed="false">
      <c r="H296" s="113"/>
      <c r="I296" s="113"/>
      <c r="J296" s="113"/>
      <c r="L296" s="113"/>
      <c r="M296" s="113"/>
      <c r="N296" s="113"/>
      <c r="P296" s="113"/>
      <c r="Q296" s="113"/>
      <c r="R296" s="113"/>
      <c r="T296" s="113"/>
      <c r="U296" s="113"/>
      <c r="V296" s="113"/>
    </row>
    <row r="297" customFormat="false" ht="15" hidden="false" customHeight="true" outlineLevel="0" collapsed="false">
      <c r="H297" s="113"/>
      <c r="I297" s="113"/>
      <c r="J297" s="113"/>
      <c r="L297" s="113"/>
      <c r="M297" s="113"/>
      <c r="N297" s="113"/>
      <c r="P297" s="113"/>
      <c r="Q297" s="113"/>
      <c r="R297" s="113"/>
      <c r="T297" s="113"/>
      <c r="U297" s="113"/>
      <c r="V297" s="113"/>
    </row>
    <row r="298" customFormat="false" ht="15" hidden="false" customHeight="true" outlineLevel="0" collapsed="false">
      <c r="H298" s="113"/>
      <c r="I298" s="113"/>
      <c r="J298" s="113"/>
      <c r="L298" s="113"/>
      <c r="M298" s="113"/>
      <c r="N298" s="113"/>
      <c r="P298" s="113"/>
      <c r="Q298" s="113"/>
      <c r="R298" s="113"/>
      <c r="T298" s="113"/>
      <c r="U298" s="113"/>
      <c r="V298" s="113"/>
    </row>
    <row r="299" customFormat="false" ht="15" hidden="false" customHeight="true" outlineLevel="0" collapsed="false">
      <c r="H299" s="113"/>
      <c r="I299" s="113"/>
      <c r="J299" s="113"/>
      <c r="L299" s="113"/>
      <c r="M299" s="113"/>
      <c r="N299" s="113"/>
      <c r="P299" s="113"/>
      <c r="Q299" s="113"/>
      <c r="R299" s="113"/>
      <c r="T299" s="113"/>
      <c r="U299" s="113"/>
      <c r="V299" s="113"/>
    </row>
    <row r="300" customFormat="false" ht="15" hidden="false" customHeight="true" outlineLevel="0" collapsed="false">
      <c r="H300" s="113"/>
      <c r="I300" s="113"/>
      <c r="J300" s="113"/>
      <c r="L300" s="113"/>
      <c r="M300" s="113"/>
      <c r="N300" s="113"/>
      <c r="P300" s="113"/>
      <c r="Q300" s="113"/>
      <c r="R300" s="113"/>
      <c r="T300" s="113"/>
      <c r="U300" s="113"/>
      <c r="V300" s="113"/>
    </row>
    <row r="301" customFormat="false" ht="15" hidden="false" customHeight="true" outlineLevel="0" collapsed="false">
      <c r="H301" s="113"/>
      <c r="I301" s="113"/>
      <c r="J301" s="113"/>
      <c r="L301" s="113"/>
      <c r="M301" s="113"/>
      <c r="N301" s="113"/>
      <c r="P301" s="113"/>
      <c r="Q301" s="113"/>
      <c r="R301" s="113"/>
      <c r="T301" s="113"/>
      <c r="U301" s="113"/>
      <c r="V301" s="113"/>
    </row>
    <row r="302" customFormat="false" ht="15" hidden="false" customHeight="true" outlineLevel="0" collapsed="false">
      <c r="H302" s="113"/>
      <c r="I302" s="113"/>
      <c r="J302" s="113"/>
      <c r="L302" s="113"/>
      <c r="M302" s="113"/>
      <c r="N302" s="113"/>
      <c r="P302" s="113"/>
      <c r="Q302" s="113"/>
      <c r="R302" s="113"/>
      <c r="T302" s="113"/>
      <c r="U302" s="113"/>
      <c r="V302" s="113"/>
    </row>
    <row r="303" customFormat="false" ht="15" hidden="false" customHeight="true" outlineLevel="0" collapsed="false">
      <c r="H303" s="113"/>
      <c r="I303" s="113"/>
      <c r="J303" s="113"/>
      <c r="L303" s="113"/>
      <c r="M303" s="113"/>
      <c r="N303" s="113"/>
      <c r="P303" s="113"/>
      <c r="Q303" s="113"/>
      <c r="R303" s="113"/>
      <c r="T303" s="113"/>
      <c r="U303" s="113"/>
      <c r="V303" s="113"/>
    </row>
    <row r="304" customFormat="false" ht="15" hidden="false" customHeight="true" outlineLevel="0" collapsed="false">
      <c r="H304" s="113"/>
      <c r="I304" s="113"/>
      <c r="J304" s="113"/>
      <c r="L304" s="113"/>
      <c r="M304" s="113"/>
      <c r="N304" s="113"/>
      <c r="P304" s="113"/>
      <c r="Q304" s="113"/>
      <c r="R304" s="113"/>
      <c r="T304" s="113"/>
      <c r="U304" s="113"/>
      <c r="V304" s="113"/>
    </row>
    <row r="305" customFormat="false" ht="15" hidden="false" customHeight="true" outlineLevel="0" collapsed="false">
      <c r="H305" s="113"/>
      <c r="I305" s="113"/>
      <c r="J305" s="113"/>
      <c r="L305" s="113"/>
      <c r="M305" s="113"/>
      <c r="N305" s="113"/>
      <c r="P305" s="113"/>
      <c r="Q305" s="113"/>
      <c r="R305" s="113"/>
      <c r="T305" s="113"/>
      <c r="U305" s="113"/>
      <c r="V305" s="113"/>
    </row>
    <row r="306" customFormat="false" ht="15" hidden="false" customHeight="true" outlineLevel="0" collapsed="false">
      <c r="H306" s="113"/>
      <c r="I306" s="113"/>
      <c r="J306" s="113"/>
      <c r="L306" s="113"/>
      <c r="M306" s="113"/>
      <c r="N306" s="113"/>
      <c r="P306" s="113"/>
      <c r="Q306" s="113"/>
      <c r="R306" s="113"/>
      <c r="T306" s="113"/>
      <c r="U306" s="113"/>
      <c r="V306" s="113"/>
    </row>
    <row r="307" customFormat="false" ht="15" hidden="false" customHeight="true" outlineLevel="0" collapsed="false">
      <c r="H307" s="113"/>
      <c r="I307" s="113"/>
      <c r="J307" s="113"/>
      <c r="L307" s="113"/>
      <c r="M307" s="113"/>
      <c r="N307" s="113"/>
      <c r="P307" s="113"/>
      <c r="Q307" s="113"/>
      <c r="R307" s="113"/>
      <c r="T307" s="113"/>
      <c r="U307" s="113"/>
      <c r="V307" s="113"/>
    </row>
    <row r="308" customFormat="false" ht="15" hidden="false" customHeight="true" outlineLevel="0" collapsed="false">
      <c r="H308" s="113"/>
      <c r="I308" s="113"/>
      <c r="J308" s="113"/>
      <c r="L308" s="113"/>
      <c r="M308" s="113"/>
      <c r="N308" s="113"/>
      <c r="P308" s="113"/>
      <c r="Q308" s="113"/>
      <c r="R308" s="113"/>
      <c r="T308" s="113"/>
      <c r="U308" s="113"/>
      <c r="V308" s="113"/>
    </row>
    <row r="309" customFormat="false" ht="15" hidden="false" customHeight="true" outlineLevel="0" collapsed="false">
      <c r="H309" s="113"/>
      <c r="I309" s="113"/>
      <c r="J309" s="113"/>
      <c r="L309" s="113"/>
      <c r="M309" s="113"/>
      <c r="N309" s="113"/>
      <c r="P309" s="113"/>
      <c r="Q309" s="113"/>
      <c r="R309" s="113"/>
      <c r="T309" s="113"/>
      <c r="U309" s="113"/>
      <c r="V309" s="113"/>
    </row>
    <row r="310" customFormat="false" ht="15" hidden="false" customHeight="true" outlineLevel="0" collapsed="false">
      <c r="H310" s="113"/>
      <c r="I310" s="113"/>
      <c r="J310" s="113"/>
      <c r="L310" s="113"/>
      <c r="M310" s="113"/>
      <c r="N310" s="113"/>
      <c r="P310" s="113"/>
      <c r="Q310" s="113"/>
      <c r="R310" s="113"/>
      <c r="T310" s="113"/>
      <c r="U310" s="113"/>
      <c r="V310" s="113"/>
    </row>
    <row r="311" customFormat="false" ht="15" hidden="false" customHeight="true" outlineLevel="0" collapsed="false">
      <c r="H311" s="113"/>
      <c r="I311" s="113"/>
      <c r="J311" s="113"/>
      <c r="L311" s="113"/>
      <c r="M311" s="113"/>
      <c r="N311" s="113"/>
      <c r="P311" s="113"/>
      <c r="Q311" s="113"/>
      <c r="R311" s="113"/>
      <c r="T311" s="113"/>
      <c r="U311" s="113"/>
      <c r="V311" s="113"/>
    </row>
    <row r="312" customFormat="false" ht="15" hidden="false" customHeight="true" outlineLevel="0" collapsed="false">
      <c r="H312" s="113"/>
      <c r="I312" s="113"/>
      <c r="J312" s="113"/>
      <c r="L312" s="113"/>
      <c r="M312" s="113"/>
      <c r="N312" s="113"/>
      <c r="P312" s="113"/>
      <c r="Q312" s="113"/>
      <c r="R312" s="113"/>
      <c r="T312" s="113"/>
      <c r="U312" s="113"/>
      <c r="V312" s="113"/>
    </row>
    <row r="313" customFormat="false" ht="15" hidden="false" customHeight="true" outlineLevel="0" collapsed="false">
      <c r="H313" s="113"/>
      <c r="I313" s="113"/>
      <c r="J313" s="113"/>
      <c r="L313" s="113"/>
      <c r="M313" s="113"/>
      <c r="N313" s="113"/>
      <c r="P313" s="113"/>
      <c r="Q313" s="113"/>
      <c r="R313" s="113"/>
      <c r="T313" s="113"/>
      <c r="U313" s="113"/>
      <c r="V313" s="113"/>
    </row>
    <row r="314" customFormat="false" ht="15" hidden="false" customHeight="true" outlineLevel="0" collapsed="false">
      <c r="H314" s="113"/>
      <c r="I314" s="113"/>
      <c r="J314" s="113"/>
      <c r="L314" s="113"/>
      <c r="M314" s="113"/>
      <c r="N314" s="113"/>
      <c r="P314" s="113"/>
      <c r="Q314" s="113"/>
      <c r="R314" s="113"/>
      <c r="T314" s="113"/>
      <c r="U314" s="113"/>
      <c r="V314" s="113"/>
    </row>
    <row r="315" customFormat="false" ht="15" hidden="false" customHeight="true" outlineLevel="0" collapsed="false">
      <c r="H315" s="113"/>
      <c r="I315" s="113"/>
      <c r="J315" s="113"/>
      <c r="L315" s="113"/>
      <c r="M315" s="113"/>
      <c r="N315" s="113"/>
      <c r="P315" s="113"/>
      <c r="Q315" s="113"/>
      <c r="R315" s="113"/>
      <c r="T315" s="113"/>
      <c r="U315" s="113"/>
      <c r="V315" s="113"/>
    </row>
    <row r="316" customFormat="false" ht="15" hidden="false" customHeight="true" outlineLevel="0" collapsed="false">
      <c r="H316" s="113"/>
      <c r="I316" s="113"/>
      <c r="J316" s="113"/>
      <c r="L316" s="113"/>
      <c r="M316" s="113"/>
      <c r="N316" s="113"/>
      <c r="P316" s="113"/>
      <c r="Q316" s="113"/>
      <c r="R316" s="113"/>
      <c r="T316" s="113"/>
      <c r="U316" s="113"/>
      <c r="V316" s="113"/>
    </row>
    <row r="317" customFormat="false" ht="15" hidden="false" customHeight="true" outlineLevel="0" collapsed="false">
      <c r="H317" s="113"/>
      <c r="I317" s="113"/>
      <c r="J317" s="113"/>
      <c r="L317" s="113"/>
      <c r="M317" s="113"/>
      <c r="N317" s="113"/>
      <c r="P317" s="113"/>
      <c r="Q317" s="113"/>
      <c r="R317" s="113"/>
      <c r="T317" s="113"/>
      <c r="U317" s="113"/>
      <c r="V317" s="113"/>
    </row>
    <row r="318" customFormat="false" ht="15" hidden="false" customHeight="true" outlineLevel="0" collapsed="false">
      <c r="H318" s="113"/>
      <c r="I318" s="113"/>
      <c r="J318" s="113"/>
      <c r="L318" s="113"/>
      <c r="M318" s="113"/>
      <c r="N318" s="113"/>
      <c r="P318" s="113"/>
      <c r="Q318" s="113"/>
      <c r="R318" s="113"/>
      <c r="T318" s="113"/>
      <c r="U318" s="113"/>
      <c r="V318" s="113"/>
    </row>
    <row r="319" customFormat="false" ht="15" hidden="false" customHeight="true" outlineLevel="0" collapsed="false">
      <c r="H319" s="113"/>
      <c r="I319" s="113"/>
      <c r="J319" s="113"/>
      <c r="L319" s="113"/>
      <c r="M319" s="113"/>
      <c r="N319" s="113"/>
      <c r="P319" s="113"/>
      <c r="Q319" s="113"/>
      <c r="R319" s="113"/>
      <c r="T319" s="113"/>
      <c r="U319" s="113"/>
      <c r="V319" s="113"/>
    </row>
    <row r="320" customFormat="false" ht="15" hidden="false" customHeight="true" outlineLevel="0" collapsed="false">
      <c r="H320" s="113"/>
      <c r="I320" s="113"/>
      <c r="J320" s="113"/>
      <c r="L320" s="113"/>
      <c r="M320" s="113"/>
      <c r="N320" s="113"/>
      <c r="P320" s="113"/>
      <c r="Q320" s="113"/>
      <c r="R320" s="113"/>
      <c r="T320" s="113"/>
      <c r="U320" s="113"/>
      <c r="V320" s="113"/>
    </row>
    <row r="321" customFormat="false" ht="15" hidden="false" customHeight="true" outlineLevel="0" collapsed="false">
      <c r="H321" s="113"/>
      <c r="I321" s="113"/>
      <c r="J321" s="113"/>
      <c r="L321" s="113"/>
      <c r="M321" s="113"/>
      <c r="N321" s="113"/>
      <c r="P321" s="113"/>
      <c r="Q321" s="113"/>
      <c r="R321" s="113"/>
      <c r="T321" s="113"/>
      <c r="U321" s="113"/>
      <c r="V321" s="113"/>
    </row>
    <row r="322" customFormat="false" ht="15" hidden="false" customHeight="true" outlineLevel="0" collapsed="false">
      <c r="H322" s="113"/>
      <c r="I322" s="113"/>
      <c r="J322" s="113"/>
      <c r="L322" s="113"/>
      <c r="M322" s="113"/>
      <c r="N322" s="113"/>
      <c r="P322" s="113"/>
      <c r="Q322" s="113"/>
      <c r="R322" s="113"/>
      <c r="T322" s="113"/>
      <c r="U322" s="113"/>
      <c r="V322" s="113"/>
    </row>
    <row r="323" customFormat="false" ht="15" hidden="false" customHeight="true" outlineLevel="0" collapsed="false">
      <c r="H323" s="113"/>
      <c r="I323" s="113"/>
      <c r="J323" s="113"/>
      <c r="L323" s="113"/>
      <c r="M323" s="113"/>
      <c r="N323" s="113"/>
      <c r="P323" s="113"/>
      <c r="Q323" s="113"/>
      <c r="R323" s="113"/>
      <c r="T323" s="113"/>
      <c r="U323" s="113"/>
      <c r="V323" s="113"/>
    </row>
    <row r="324" customFormat="false" ht="15" hidden="false" customHeight="true" outlineLevel="0" collapsed="false">
      <c r="H324" s="113"/>
      <c r="I324" s="113"/>
      <c r="J324" s="113"/>
      <c r="L324" s="113"/>
      <c r="M324" s="113"/>
      <c r="N324" s="113"/>
      <c r="P324" s="113"/>
      <c r="Q324" s="113"/>
      <c r="R324" s="113"/>
      <c r="T324" s="113"/>
      <c r="U324" s="113"/>
      <c r="V324" s="113"/>
    </row>
    <row r="325" customFormat="false" ht="15" hidden="false" customHeight="true" outlineLevel="0" collapsed="false">
      <c r="H325" s="113"/>
      <c r="I325" s="113"/>
      <c r="J325" s="113"/>
      <c r="L325" s="113"/>
      <c r="M325" s="113"/>
      <c r="N325" s="113"/>
      <c r="P325" s="113"/>
      <c r="Q325" s="113"/>
      <c r="R325" s="113"/>
      <c r="T325" s="113"/>
      <c r="U325" s="113"/>
      <c r="V325" s="113"/>
    </row>
    <row r="326" customFormat="false" ht="15" hidden="false" customHeight="true" outlineLevel="0" collapsed="false">
      <c r="H326" s="113"/>
      <c r="I326" s="113"/>
      <c r="J326" s="113"/>
      <c r="L326" s="113"/>
      <c r="M326" s="113"/>
      <c r="N326" s="113"/>
      <c r="P326" s="113"/>
      <c r="Q326" s="113"/>
      <c r="R326" s="113"/>
      <c r="T326" s="113"/>
      <c r="U326" s="113"/>
      <c r="V326" s="113"/>
    </row>
    <row r="327" customFormat="false" ht="15" hidden="false" customHeight="true" outlineLevel="0" collapsed="false">
      <c r="H327" s="113"/>
      <c r="I327" s="113"/>
      <c r="J327" s="113"/>
      <c r="L327" s="113"/>
      <c r="M327" s="113"/>
      <c r="N327" s="113"/>
      <c r="P327" s="113"/>
      <c r="Q327" s="113"/>
      <c r="R327" s="113"/>
      <c r="T327" s="113"/>
      <c r="U327" s="113"/>
      <c r="V327" s="113"/>
    </row>
    <row r="328" customFormat="false" ht="15" hidden="false" customHeight="true" outlineLevel="0" collapsed="false">
      <c r="H328" s="113"/>
      <c r="I328" s="113"/>
      <c r="J328" s="113"/>
      <c r="L328" s="113"/>
      <c r="M328" s="113"/>
      <c r="N328" s="113"/>
      <c r="P328" s="113"/>
      <c r="Q328" s="113"/>
      <c r="R328" s="113"/>
      <c r="T328" s="113"/>
      <c r="U328" s="113"/>
      <c r="V328" s="113"/>
    </row>
    <row r="329" customFormat="false" ht="15" hidden="false" customHeight="true" outlineLevel="0" collapsed="false">
      <c r="H329" s="113"/>
      <c r="I329" s="113"/>
      <c r="J329" s="113"/>
      <c r="L329" s="113"/>
      <c r="M329" s="113"/>
      <c r="N329" s="113"/>
      <c r="P329" s="113"/>
      <c r="Q329" s="113"/>
      <c r="R329" s="113"/>
      <c r="T329" s="113"/>
      <c r="U329" s="113"/>
      <c r="V329" s="113"/>
    </row>
    <row r="330" customFormat="false" ht="15" hidden="false" customHeight="true" outlineLevel="0" collapsed="false">
      <c r="H330" s="113"/>
      <c r="I330" s="113"/>
      <c r="J330" s="113"/>
      <c r="L330" s="113"/>
      <c r="M330" s="113"/>
      <c r="N330" s="113"/>
      <c r="P330" s="113"/>
      <c r="Q330" s="113"/>
      <c r="R330" s="113"/>
      <c r="T330" s="113"/>
      <c r="U330" s="113"/>
      <c r="V330" s="113"/>
    </row>
    <row r="331" customFormat="false" ht="15" hidden="false" customHeight="true" outlineLevel="0" collapsed="false">
      <c r="H331" s="113"/>
      <c r="I331" s="113"/>
      <c r="J331" s="113"/>
      <c r="L331" s="113"/>
      <c r="M331" s="113"/>
      <c r="N331" s="113"/>
      <c r="P331" s="113"/>
      <c r="Q331" s="113"/>
      <c r="R331" s="113"/>
      <c r="T331" s="113"/>
      <c r="U331" s="113"/>
      <c r="V331" s="113"/>
    </row>
    <row r="332" customFormat="false" ht="15" hidden="false" customHeight="true" outlineLevel="0" collapsed="false">
      <c r="H332" s="113"/>
      <c r="I332" s="113"/>
      <c r="J332" s="113"/>
      <c r="L332" s="113"/>
      <c r="M332" s="113"/>
      <c r="N332" s="113"/>
      <c r="P332" s="113"/>
      <c r="Q332" s="113"/>
      <c r="R332" s="113"/>
      <c r="T332" s="113"/>
      <c r="U332" s="113"/>
      <c r="V332" s="113"/>
    </row>
    <row r="333" customFormat="false" ht="15" hidden="false" customHeight="true" outlineLevel="0" collapsed="false">
      <c r="H333" s="113"/>
      <c r="I333" s="113"/>
      <c r="J333" s="113"/>
      <c r="L333" s="113"/>
      <c r="M333" s="113"/>
      <c r="N333" s="113"/>
      <c r="P333" s="113"/>
      <c r="Q333" s="113"/>
      <c r="R333" s="113"/>
      <c r="T333" s="113"/>
      <c r="U333" s="113"/>
      <c r="V333" s="113"/>
    </row>
    <row r="334" customFormat="false" ht="15" hidden="false" customHeight="true" outlineLevel="0" collapsed="false">
      <c r="H334" s="113"/>
      <c r="I334" s="113"/>
      <c r="J334" s="113"/>
      <c r="L334" s="113"/>
      <c r="M334" s="113"/>
      <c r="N334" s="113"/>
      <c r="P334" s="113"/>
      <c r="Q334" s="113"/>
      <c r="R334" s="113"/>
      <c r="T334" s="113"/>
      <c r="U334" s="113"/>
      <c r="V334" s="113"/>
    </row>
    <row r="335" customFormat="false" ht="15" hidden="false" customHeight="true" outlineLevel="0" collapsed="false">
      <c r="H335" s="113"/>
      <c r="I335" s="113"/>
      <c r="J335" s="113"/>
      <c r="L335" s="113"/>
      <c r="M335" s="113"/>
      <c r="N335" s="113"/>
      <c r="P335" s="113"/>
      <c r="Q335" s="113"/>
      <c r="R335" s="113"/>
      <c r="T335" s="113"/>
      <c r="U335" s="113"/>
      <c r="V335" s="113"/>
    </row>
    <row r="336" customFormat="false" ht="15" hidden="false" customHeight="true" outlineLevel="0" collapsed="false">
      <c r="H336" s="113"/>
      <c r="I336" s="113"/>
      <c r="J336" s="113"/>
      <c r="L336" s="113"/>
      <c r="M336" s="113"/>
      <c r="N336" s="113"/>
      <c r="P336" s="113"/>
      <c r="Q336" s="113"/>
      <c r="R336" s="113"/>
      <c r="T336" s="113"/>
      <c r="U336" s="113"/>
      <c r="V336" s="113"/>
    </row>
    <row r="337" customFormat="false" ht="15" hidden="false" customHeight="true" outlineLevel="0" collapsed="false">
      <c r="H337" s="113"/>
      <c r="I337" s="113"/>
      <c r="J337" s="113"/>
      <c r="L337" s="113"/>
      <c r="M337" s="113"/>
      <c r="N337" s="113"/>
      <c r="P337" s="113"/>
      <c r="Q337" s="113"/>
      <c r="R337" s="113"/>
      <c r="T337" s="113"/>
      <c r="U337" s="113"/>
      <c r="V337" s="113"/>
    </row>
    <row r="338" customFormat="false" ht="15" hidden="false" customHeight="true" outlineLevel="0" collapsed="false">
      <c r="H338" s="113"/>
      <c r="I338" s="113"/>
      <c r="J338" s="113"/>
      <c r="L338" s="113"/>
      <c r="M338" s="113"/>
      <c r="N338" s="113"/>
      <c r="P338" s="113"/>
      <c r="Q338" s="113"/>
      <c r="R338" s="113"/>
      <c r="T338" s="113"/>
      <c r="U338" s="113"/>
      <c r="V338" s="113"/>
    </row>
    <row r="339" customFormat="false" ht="15" hidden="false" customHeight="true" outlineLevel="0" collapsed="false">
      <c r="H339" s="113"/>
      <c r="I339" s="113"/>
      <c r="J339" s="113"/>
      <c r="L339" s="113"/>
      <c r="M339" s="113"/>
      <c r="N339" s="113"/>
      <c r="P339" s="113"/>
      <c r="Q339" s="113"/>
      <c r="R339" s="113"/>
      <c r="T339" s="113"/>
      <c r="U339" s="113"/>
      <c r="V339" s="113"/>
    </row>
    <row r="340" customFormat="false" ht="15" hidden="false" customHeight="true" outlineLevel="0" collapsed="false">
      <c r="H340" s="113"/>
      <c r="I340" s="113"/>
      <c r="J340" s="113"/>
      <c r="L340" s="113"/>
      <c r="M340" s="113"/>
      <c r="N340" s="113"/>
      <c r="P340" s="113"/>
      <c r="Q340" s="113"/>
      <c r="R340" s="113"/>
      <c r="T340" s="113"/>
      <c r="U340" s="113"/>
      <c r="V340" s="113"/>
    </row>
    <row r="341" customFormat="false" ht="15" hidden="false" customHeight="true" outlineLevel="0" collapsed="false">
      <c r="H341" s="113"/>
      <c r="I341" s="113"/>
      <c r="J341" s="113"/>
      <c r="L341" s="113"/>
      <c r="M341" s="113"/>
      <c r="N341" s="113"/>
      <c r="P341" s="113"/>
      <c r="Q341" s="113"/>
      <c r="R341" s="113"/>
      <c r="T341" s="113"/>
      <c r="U341" s="113"/>
      <c r="V341" s="113"/>
    </row>
    <row r="342" customFormat="false" ht="15" hidden="false" customHeight="true" outlineLevel="0" collapsed="false">
      <c r="H342" s="113"/>
      <c r="I342" s="113"/>
      <c r="J342" s="113"/>
      <c r="L342" s="113"/>
      <c r="M342" s="113"/>
      <c r="N342" s="113"/>
      <c r="P342" s="113"/>
      <c r="Q342" s="113"/>
      <c r="R342" s="113"/>
      <c r="T342" s="113"/>
      <c r="U342" s="113"/>
      <c r="V342" s="113"/>
    </row>
    <row r="343" customFormat="false" ht="15" hidden="false" customHeight="true" outlineLevel="0" collapsed="false">
      <c r="H343" s="113"/>
      <c r="I343" s="113"/>
      <c r="J343" s="113"/>
      <c r="L343" s="113"/>
      <c r="M343" s="113"/>
      <c r="N343" s="113"/>
      <c r="P343" s="113"/>
      <c r="Q343" s="113"/>
      <c r="R343" s="113"/>
      <c r="T343" s="113"/>
      <c r="U343" s="113"/>
      <c r="V343" s="113"/>
    </row>
    <row r="344" customFormat="false" ht="15" hidden="false" customHeight="true" outlineLevel="0" collapsed="false">
      <c r="H344" s="113"/>
      <c r="I344" s="113"/>
      <c r="J344" s="113"/>
      <c r="L344" s="113"/>
      <c r="M344" s="113"/>
      <c r="N344" s="113"/>
      <c r="P344" s="113"/>
      <c r="Q344" s="113"/>
      <c r="R344" s="113"/>
      <c r="T344" s="113"/>
      <c r="U344" s="113"/>
      <c r="V344" s="113"/>
    </row>
    <row r="345" customFormat="false" ht="15" hidden="false" customHeight="true" outlineLevel="0" collapsed="false">
      <c r="H345" s="113"/>
      <c r="I345" s="113"/>
      <c r="J345" s="113"/>
      <c r="L345" s="113"/>
      <c r="M345" s="113"/>
      <c r="N345" s="113"/>
      <c r="P345" s="113"/>
      <c r="Q345" s="113"/>
      <c r="R345" s="113"/>
      <c r="T345" s="113"/>
      <c r="U345" s="113"/>
      <c r="V345" s="113"/>
    </row>
    <row r="346" customFormat="false" ht="15" hidden="false" customHeight="true" outlineLevel="0" collapsed="false">
      <c r="H346" s="113"/>
      <c r="I346" s="113"/>
      <c r="J346" s="113"/>
      <c r="L346" s="113"/>
      <c r="M346" s="113"/>
      <c r="N346" s="113"/>
      <c r="P346" s="113"/>
      <c r="Q346" s="113"/>
      <c r="R346" s="113"/>
      <c r="T346" s="113"/>
      <c r="U346" s="113"/>
      <c r="V346" s="113"/>
    </row>
    <row r="347" customFormat="false" ht="15" hidden="false" customHeight="true" outlineLevel="0" collapsed="false">
      <c r="H347" s="113"/>
      <c r="I347" s="113"/>
      <c r="J347" s="113"/>
      <c r="L347" s="113"/>
      <c r="M347" s="113"/>
      <c r="N347" s="113"/>
      <c r="P347" s="113"/>
      <c r="Q347" s="113"/>
      <c r="R347" s="113"/>
      <c r="T347" s="113"/>
      <c r="U347" s="113"/>
      <c r="V347" s="113"/>
    </row>
    <row r="348" customFormat="false" ht="15" hidden="false" customHeight="true" outlineLevel="0" collapsed="false">
      <c r="H348" s="113"/>
      <c r="I348" s="113"/>
      <c r="J348" s="113"/>
      <c r="L348" s="113"/>
      <c r="M348" s="113"/>
      <c r="N348" s="113"/>
      <c r="P348" s="113"/>
      <c r="Q348" s="113"/>
      <c r="R348" s="113"/>
      <c r="T348" s="113"/>
      <c r="U348" s="113"/>
      <c r="V348" s="113"/>
    </row>
    <row r="349" customFormat="false" ht="15" hidden="false" customHeight="true" outlineLevel="0" collapsed="false">
      <c r="H349" s="113"/>
      <c r="I349" s="113"/>
      <c r="J349" s="113"/>
      <c r="L349" s="113"/>
      <c r="M349" s="113"/>
      <c r="N349" s="113"/>
      <c r="P349" s="113"/>
      <c r="Q349" s="113"/>
      <c r="R349" s="113"/>
      <c r="T349" s="113"/>
      <c r="U349" s="113"/>
      <c r="V349" s="113"/>
    </row>
    <row r="350" customFormat="false" ht="15" hidden="false" customHeight="true" outlineLevel="0" collapsed="false">
      <c r="H350" s="113"/>
      <c r="I350" s="113"/>
      <c r="J350" s="113"/>
      <c r="L350" s="113"/>
      <c r="M350" s="113"/>
      <c r="N350" s="113"/>
      <c r="P350" s="113"/>
      <c r="Q350" s="113"/>
      <c r="R350" s="113"/>
      <c r="T350" s="113"/>
      <c r="U350" s="113"/>
      <c r="V350" s="113"/>
    </row>
    <row r="351" customFormat="false" ht="15" hidden="false" customHeight="true" outlineLevel="0" collapsed="false">
      <c r="H351" s="113"/>
      <c r="I351" s="113"/>
      <c r="J351" s="113"/>
      <c r="L351" s="113"/>
      <c r="M351" s="113"/>
      <c r="N351" s="113"/>
      <c r="P351" s="113"/>
      <c r="Q351" s="113"/>
      <c r="R351" s="113"/>
      <c r="T351" s="113"/>
      <c r="U351" s="113"/>
      <c r="V351" s="113"/>
    </row>
    <row r="352" customFormat="false" ht="15" hidden="false" customHeight="true" outlineLevel="0" collapsed="false">
      <c r="H352" s="113"/>
      <c r="I352" s="113"/>
      <c r="J352" s="113"/>
      <c r="L352" s="113"/>
      <c r="M352" s="113"/>
      <c r="N352" s="113"/>
      <c r="P352" s="113"/>
      <c r="Q352" s="113"/>
      <c r="R352" s="113"/>
      <c r="T352" s="113"/>
      <c r="U352" s="113"/>
      <c r="V352" s="113"/>
    </row>
    <row r="353" customFormat="false" ht="15" hidden="false" customHeight="true" outlineLevel="0" collapsed="false">
      <c r="H353" s="113"/>
      <c r="I353" s="113"/>
      <c r="J353" s="113"/>
      <c r="L353" s="113"/>
      <c r="M353" s="113"/>
      <c r="N353" s="113"/>
      <c r="P353" s="113"/>
      <c r="Q353" s="113"/>
      <c r="R353" s="113"/>
      <c r="T353" s="113"/>
      <c r="U353" s="113"/>
      <c r="V353" s="113"/>
    </row>
    <row r="354" customFormat="false" ht="15" hidden="false" customHeight="true" outlineLevel="0" collapsed="false">
      <c r="H354" s="113"/>
      <c r="I354" s="113"/>
      <c r="J354" s="113"/>
      <c r="L354" s="113"/>
      <c r="M354" s="113"/>
      <c r="N354" s="113"/>
      <c r="P354" s="113"/>
      <c r="Q354" s="113"/>
      <c r="R354" s="113"/>
      <c r="T354" s="113"/>
      <c r="U354" s="113"/>
      <c r="V354" s="113"/>
    </row>
    <row r="355" customFormat="false" ht="15" hidden="false" customHeight="true" outlineLevel="0" collapsed="false">
      <c r="H355" s="113"/>
      <c r="I355" s="113"/>
      <c r="J355" s="113"/>
      <c r="L355" s="113"/>
      <c r="M355" s="113"/>
      <c r="N355" s="113"/>
      <c r="P355" s="113"/>
      <c r="Q355" s="113"/>
      <c r="R355" s="113"/>
      <c r="T355" s="113"/>
      <c r="U355" s="113"/>
      <c r="V355" s="113"/>
    </row>
    <row r="356" customFormat="false" ht="15" hidden="false" customHeight="true" outlineLevel="0" collapsed="false">
      <c r="H356" s="113"/>
      <c r="I356" s="113"/>
      <c r="J356" s="113"/>
      <c r="L356" s="113"/>
      <c r="M356" s="113"/>
      <c r="N356" s="113"/>
      <c r="P356" s="113"/>
      <c r="Q356" s="113"/>
      <c r="R356" s="113"/>
      <c r="T356" s="113"/>
      <c r="U356" s="113"/>
      <c r="V356" s="113"/>
    </row>
    <row r="357" customFormat="false" ht="15" hidden="false" customHeight="true" outlineLevel="0" collapsed="false">
      <c r="H357" s="113"/>
      <c r="I357" s="113"/>
      <c r="J357" s="113"/>
      <c r="L357" s="113"/>
      <c r="M357" s="113"/>
      <c r="N357" s="113"/>
      <c r="P357" s="113"/>
      <c r="Q357" s="113"/>
      <c r="R357" s="113"/>
      <c r="T357" s="113"/>
      <c r="U357" s="113"/>
      <c r="V357" s="113"/>
    </row>
    <row r="358" customFormat="false" ht="15" hidden="false" customHeight="true" outlineLevel="0" collapsed="false">
      <c r="H358" s="113"/>
      <c r="I358" s="113"/>
      <c r="J358" s="113"/>
      <c r="L358" s="113"/>
      <c r="M358" s="113"/>
      <c r="N358" s="113"/>
      <c r="P358" s="113"/>
      <c r="Q358" s="113"/>
      <c r="R358" s="113"/>
      <c r="T358" s="113"/>
      <c r="U358" s="113"/>
      <c r="V358" s="113"/>
    </row>
    <row r="359" customFormat="false" ht="15" hidden="false" customHeight="true" outlineLevel="0" collapsed="false">
      <c r="H359" s="113"/>
      <c r="I359" s="113"/>
      <c r="J359" s="113"/>
      <c r="L359" s="113"/>
      <c r="M359" s="113"/>
      <c r="N359" s="113"/>
      <c r="P359" s="113"/>
      <c r="Q359" s="113"/>
      <c r="R359" s="113"/>
      <c r="T359" s="113"/>
      <c r="U359" s="113"/>
      <c r="V359" s="113"/>
    </row>
    <row r="360" customFormat="false" ht="15" hidden="false" customHeight="true" outlineLevel="0" collapsed="false">
      <c r="H360" s="113"/>
      <c r="I360" s="113"/>
      <c r="J360" s="113"/>
      <c r="L360" s="113"/>
      <c r="M360" s="113"/>
      <c r="N360" s="113"/>
      <c r="P360" s="113"/>
      <c r="Q360" s="113"/>
      <c r="R360" s="113"/>
      <c r="T360" s="113"/>
      <c r="U360" s="113"/>
      <c r="V360" s="113"/>
    </row>
    <row r="361" customFormat="false" ht="15" hidden="false" customHeight="true" outlineLevel="0" collapsed="false">
      <c r="H361" s="113"/>
      <c r="I361" s="113"/>
      <c r="J361" s="113"/>
      <c r="L361" s="113"/>
      <c r="M361" s="113"/>
      <c r="N361" s="113"/>
      <c r="P361" s="113"/>
      <c r="Q361" s="113"/>
      <c r="R361" s="113"/>
      <c r="T361" s="113"/>
      <c r="U361" s="113"/>
      <c r="V361" s="113"/>
    </row>
    <row r="362" customFormat="false" ht="15" hidden="false" customHeight="true" outlineLevel="0" collapsed="false">
      <c r="H362" s="113"/>
      <c r="I362" s="113"/>
      <c r="J362" s="113"/>
      <c r="L362" s="113"/>
      <c r="M362" s="113"/>
      <c r="N362" s="113"/>
      <c r="P362" s="113"/>
      <c r="Q362" s="113"/>
      <c r="R362" s="113"/>
      <c r="T362" s="113"/>
      <c r="U362" s="113"/>
      <c r="V362" s="113"/>
    </row>
    <row r="363" customFormat="false" ht="15" hidden="false" customHeight="true" outlineLevel="0" collapsed="false">
      <c r="H363" s="113"/>
      <c r="I363" s="113"/>
      <c r="J363" s="113"/>
      <c r="L363" s="113"/>
      <c r="M363" s="113"/>
      <c r="N363" s="113"/>
      <c r="P363" s="113"/>
      <c r="Q363" s="113"/>
      <c r="R363" s="113"/>
      <c r="T363" s="113"/>
      <c r="U363" s="113"/>
      <c r="V363" s="113"/>
    </row>
    <row r="364" customFormat="false" ht="15" hidden="false" customHeight="true" outlineLevel="0" collapsed="false">
      <c r="H364" s="113"/>
      <c r="I364" s="113"/>
      <c r="J364" s="113"/>
      <c r="L364" s="113"/>
      <c r="M364" s="113"/>
      <c r="N364" s="113"/>
      <c r="P364" s="113"/>
      <c r="Q364" s="113"/>
      <c r="R364" s="113"/>
      <c r="T364" s="113"/>
      <c r="U364" s="113"/>
      <c r="V364" s="113"/>
    </row>
    <row r="365" customFormat="false" ht="15" hidden="false" customHeight="true" outlineLevel="0" collapsed="false">
      <c r="H365" s="113"/>
      <c r="I365" s="113"/>
      <c r="J365" s="113"/>
      <c r="L365" s="113"/>
      <c r="M365" s="113"/>
      <c r="N365" s="113"/>
      <c r="P365" s="113"/>
      <c r="Q365" s="113"/>
      <c r="R365" s="113"/>
      <c r="T365" s="113"/>
      <c r="U365" s="113"/>
      <c r="V365" s="113"/>
    </row>
    <row r="366" customFormat="false" ht="15" hidden="false" customHeight="true" outlineLevel="0" collapsed="false">
      <c r="H366" s="113"/>
      <c r="I366" s="113"/>
      <c r="J366" s="113"/>
      <c r="L366" s="113"/>
      <c r="M366" s="113"/>
      <c r="N366" s="113"/>
      <c r="P366" s="113"/>
      <c r="Q366" s="113"/>
      <c r="R366" s="113"/>
      <c r="T366" s="113"/>
      <c r="U366" s="113"/>
      <c r="V366" s="113"/>
    </row>
    <row r="367" customFormat="false" ht="15" hidden="false" customHeight="true" outlineLevel="0" collapsed="false">
      <c r="H367" s="113"/>
      <c r="I367" s="113"/>
      <c r="J367" s="113"/>
      <c r="L367" s="113"/>
      <c r="M367" s="113"/>
      <c r="N367" s="113"/>
      <c r="P367" s="113"/>
      <c r="Q367" s="113"/>
      <c r="R367" s="113"/>
      <c r="T367" s="113"/>
      <c r="U367" s="113"/>
      <c r="V367" s="113"/>
    </row>
    <row r="368" customFormat="false" ht="15" hidden="false" customHeight="true" outlineLevel="0" collapsed="false">
      <c r="H368" s="113"/>
      <c r="I368" s="113"/>
      <c r="J368" s="113"/>
      <c r="L368" s="113"/>
      <c r="M368" s="113"/>
      <c r="N368" s="113"/>
      <c r="P368" s="113"/>
      <c r="Q368" s="113"/>
      <c r="R368" s="113"/>
      <c r="T368" s="113"/>
      <c r="U368" s="113"/>
      <c r="V368" s="113"/>
    </row>
    <row r="369" customFormat="false" ht="15" hidden="false" customHeight="true" outlineLevel="0" collapsed="false">
      <c r="H369" s="113"/>
      <c r="I369" s="113"/>
      <c r="J369" s="113"/>
      <c r="L369" s="113"/>
      <c r="M369" s="113"/>
      <c r="N369" s="113"/>
      <c r="P369" s="113"/>
      <c r="Q369" s="113"/>
      <c r="R369" s="113"/>
      <c r="T369" s="113"/>
      <c r="U369" s="113"/>
      <c r="V369" s="113"/>
    </row>
    <row r="370" customFormat="false" ht="15" hidden="false" customHeight="true" outlineLevel="0" collapsed="false">
      <c r="H370" s="113"/>
      <c r="I370" s="113"/>
      <c r="J370" s="113"/>
      <c r="L370" s="113"/>
      <c r="M370" s="113"/>
      <c r="N370" s="113"/>
      <c r="P370" s="113"/>
      <c r="Q370" s="113"/>
      <c r="R370" s="113"/>
      <c r="T370" s="113"/>
      <c r="U370" s="113"/>
      <c r="V370" s="113"/>
    </row>
    <row r="371" customFormat="false" ht="15" hidden="false" customHeight="true" outlineLevel="0" collapsed="false">
      <c r="H371" s="113"/>
      <c r="I371" s="113"/>
      <c r="J371" s="113"/>
      <c r="L371" s="113"/>
      <c r="M371" s="113"/>
      <c r="N371" s="113"/>
      <c r="P371" s="113"/>
      <c r="Q371" s="113"/>
      <c r="R371" s="113"/>
      <c r="T371" s="113"/>
      <c r="U371" s="113"/>
      <c r="V371" s="113"/>
    </row>
    <row r="372" customFormat="false" ht="15" hidden="false" customHeight="true" outlineLevel="0" collapsed="false">
      <c r="H372" s="113"/>
      <c r="I372" s="113"/>
      <c r="J372" s="113"/>
      <c r="L372" s="113"/>
      <c r="M372" s="113"/>
      <c r="N372" s="113"/>
      <c r="P372" s="113"/>
      <c r="Q372" s="113"/>
      <c r="R372" s="113"/>
      <c r="T372" s="113"/>
      <c r="U372" s="113"/>
      <c r="V372" s="113"/>
    </row>
    <row r="373" customFormat="false" ht="15" hidden="false" customHeight="true" outlineLevel="0" collapsed="false">
      <c r="H373" s="113"/>
      <c r="I373" s="113"/>
      <c r="J373" s="113"/>
      <c r="L373" s="113"/>
      <c r="M373" s="113"/>
      <c r="N373" s="113"/>
      <c r="P373" s="113"/>
      <c r="Q373" s="113"/>
      <c r="R373" s="113"/>
      <c r="T373" s="113"/>
      <c r="U373" s="113"/>
      <c r="V373" s="113"/>
    </row>
    <row r="374" customFormat="false" ht="15" hidden="false" customHeight="true" outlineLevel="0" collapsed="false">
      <c r="H374" s="113"/>
      <c r="I374" s="113"/>
      <c r="J374" s="113"/>
      <c r="L374" s="113"/>
      <c r="M374" s="113"/>
      <c r="N374" s="113"/>
      <c r="P374" s="113"/>
      <c r="Q374" s="113"/>
      <c r="R374" s="113"/>
      <c r="T374" s="113"/>
      <c r="U374" s="113"/>
      <c r="V374" s="113"/>
    </row>
    <row r="375" customFormat="false" ht="15" hidden="false" customHeight="true" outlineLevel="0" collapsed="false">
      <c r="H375" s="113"/>
      <c r="I375" s="113"/>
      <c r="J375" s="113"/>
      <c r="L375" s="113"/>
      <c r="M375" s="113"/>
      <c r="N375" s="113"/>
      <c r="P375" s="113"/>
      <c r="Q375" s="113"/>
      <c r="R375" s="113"/>
      <c r="T375" s="113"/>
      <c r="U375" s="113"/>
      <c r="V375" s="113"/>
    </row>
    <row r="376" customFormat="false" ht="15" hidden="false" customHeight="true" outlineLevel="0" collapsed="false">
      <c r="H376" s="113"/>
      <c r="I376" s="113"/>
      <c r="J376" s="113"/>
      <c r="L376" s="113"/>
      <c r="M376" s="113"/>
      <c r="N376" s="113"/>
      <c r="P376" s="113"/>
      <c r="Q376" s="113"/>
      <c r="R376" s="113"/>
      <c r="T376" s="113"/>
      <c r="U376" s="113"/>
      <c r="V376" s="113"/>
    </row>
    <row r="377" customFormat="false" ht="15" hidden="false" customHeight="true" outlineLevel="0" collapsed="false">
      <c r="H377" s="113"/>
      <c r="I377" s="113"/>
      <c r="J377" s="113"/>
      <c r="L377" s="113"/>
      <c r="M377" s="113"/>
      <c r="N377" s="113"/>
      <c r="P377" s="113"/>
      <c r="Q377" s="113"/>
      <c r="R377" s="113"/>
      <c r="T377" s="113"/>
      <c r="U377" s="113"/>
      <c r="V377" s="113"/>
    </row>
    <row r="378" customFormat="false" ht="15" hidden="false" customHeight="true" outlineLevel="0" collapsed="false">
      <c r="H378" s="113"/>
      <c r="I378" s="113"/>
      <c r="J378" s="113"/>
      <c r="L378" s="113"/>
      <c r="M378" s="113"/>
      <c r="N378" s="113"/>
      <c r="P378" s="113"/>
      <c r="Q378" s="113"/>
      <c r="R378" s="113"/>
      <c r="T378" s="113"/>
      <c r="U378" s="113"/>
      <c r="V378" s="113"/>
    </row>
    <row r="379" customFormat="false" ht="15" hidden="false" customHeight="true" outlineLevel="0" collapsed="false">
      <c r="H379" s="113"/>
      <c r="I379" s="113"/>
      <c r="J379" s="113"/>
      <c r="L379" s="113"/>
      <c r="M379" s="113"/>
      <c r="N379" s="113"/>
      <c r="P379" s="113"/>
      <c r="Q379" s="113"/>
      <c r="R379" s="113"/>
      <c r="T379" s="113"/>
      <c r="U379" s="113"/>
      <c r="V379" s="113"/>
    </row>
    <row r="380" customFormat="false" ht="15" hidden="false" customHeight="true" outlineLevel="0" collapsed="false">
      <c r="H380" s="113"/>
      <c r="I380" s="113"/>
      <c r="J380" s="113"/>
      <c r="L380" s="113"/>
      <c r="M380" s="113"/>
      <c r="N380" s="113"/>
      <c r="P380" s="113"/>
      <c r="Q380" s="113"/>
      <c r="R380" s="113"/>
      <c r="T380" s="113"/>
      <c r="U380" s="113"/>
      <c r="V380" s="113"/>
    </row>
    <row r="381" customFormat="false" ht="15" hidden="false" customHeight="true" outlineLevel="0" collapsed="false">
      <c r="H381" s="113"/>
      <c r="I381" s="113"/>
      <c r="J381" s="113"/>
      <c r="L381" s="113"/>
      <c r="M381" s="113"/>
      <c r="N381" s="113"/>
      <c r="P381" s="113"/>
      <c r="Q381" s="113"/>
      <c r="R381" s="113"/>
      <c r="T381" s="113"/>
      <c r="U381" s="113"/>
      <c r="V381" s="113"/>
    </row>
    <row r="382" customFormat="false" ht="15" hidden="false" customHeight="true" outlineLevel="0" collapsed="false">
      <c r="H382" s="113"/>
      <c r="I382" s="113"/>
      <c r="J382" s="113"/>
      <c r="L382" s="113"/>
      <c r="M382" s="113"/>
      <c r="N382" s="113"/>
      <c r="P382" s="113"/>
      <c r="Q382" s="113"/>
      <c r="R382" s="113"/>
      <c r="T382" s="113"/>
      <c r="U382" s="113"/>
      <c r="V382" s="113"/>
    </row>
    <row r="383" customFormat="false" ht="15" hidden="false" customHeight="true" outlineLevel="0" collapsed="false">
      <c r="H383" s="113"/>
      <c r="I383" s="113"/>
      <c r="J383" s="113"/>
      <c r="L383" s="113"/>
      <c r="M383" s="113"/>
      <c r="N383" s="113"/>
      <c r="P383" s="113"/>
      <c r="Q383" s="113"/>
      <c r="R383" s="113"/>
      <c r="T383" s="113"/>
      <c r="U383" s="113"/>
      <c r="V383" s="113"/>
    </row>
    <row r="384" customFormat="false" ht="15" hidden="false" customHeight="true" outlineLevel="0" collapsed="false">
      <c r="H384" s="113"/>
      <c r="I384" s="113"/>
      <c r="J384" s="113"/>
      <c r="L384" s="113"/>
      <c r="M384" s="113"/>
      <c r="N384" s="113"/>
      <c r="P384" s="113"/>
      <c r="Q384" s="113"/>
      <c r="R384" s="113"/>
      <c r="T384" s="113"/>
      <c r="U384" s="113"/>
      <c r="V384" s="113"/>
    </row>
    <row r="385" customFormat="false" ht="15" hidden="false" customHeight="true" outlineLevel="0" collapsed="false">
      <c r="H385" s="113"/>
      <c r="I385" s="113"/>
      <c r="J385" s="113"/>
      <c r="L385" s="113"/>
      <c r="M385" s="113"/>
      <c r="N385" s="113"/>
      <c r="P385" s="113"/>
      <c r="Q385" s="113"/>
      <c r="R385" s="113"/>
      <c r="T385" s="113"/>
      <c r="U385" s="113"/>
      <c r="V385" s="113"/>
    </row>
    <row r="386" customFormat="false" ht="15" hidden="false" customHeight="true" outlineLevel="0" collapsed="false">
      <c r="H386" s="113"/>
      <c r="I386" s="113"/>
      <c r="J386" s="113"/>
      <c r="L386" s="113"/>
      <c r="M386" s="113"/>
      <c r="N386" s="113"/>
      <c r="P386" s="113"/>
      <c r="Q386" s="113"/>
      <c r="R386" s="113"/>
      <c r="T386" s="113"/>
      <c r="U386" s="113"/>
      <c r="V386" s="113"/>
    </row>
    <row r="387" customFormat="false" ht="15" hidden="false" customHeight="true" outlineLevel="0" collapsed="false">
      <c r="H387" s="113"/>
      <c r="I387" s="113"/>
      <c r="J387" s="113"/>
      <c r="L387" s="113"/>
      <c r="M387" s="113"/>
      <c r="N387" s="113"/>
      <c r="P387" s="113"/>
      <c r="Q387" s="113"/>
      <c r="R387" s="113"/>
      <c r="T387" s="113"/>
      <c r="U387" s="113"/>
      <c r="V387" s="113"/>
    </row>
    <row r="388" customFormat="false" ht="15" hidden="false" customHeight="true" outlineLevel="0" collapsed="false">
      <c r="H388" s="113"/>
      <c r="I388" s="113"/>
      <c r="J388" s="113"/>
      <c r="L388" s="113"/>
      <c r="M388" s="113"/>
      <c r="N388" s="113"/>
      <c r="P388" s="113"/>
      <c r="Q388" s="113"/>
      <c r="R388" s="113"/>
      <c r="T388" s="113"/>
      <c r="U388" s="113"/>
      <c r="V388" s="113"/>
    </row>
    <row r="389" customFormat="false" ht="15" hidden="false" customHeight="true" outlineLevel="0" collapsed="false">
      <c r="H389" s="113"/>
      <c r="I389" s="113"/>
      <c r="J389" s="113"/>
      <c r="L389" s="113"/>
      <c r="M389" s="113"/>
      <c r="N389" s="113"/>
      <c r="P389" s="113"/>
      <c r="Q389" s="113"/>
      <c r="R389" s="113"/>
      <c r="T389" s="113"/>
      <c r="U389" s="113"/>
      <c r="V389" s="113"/>
    </row>
    <row r="390" customFormat="false" ht="15" hidden="false" customHeight="true" outlineLevel="0" collapsed="false">
      <c r="H390" s="113"/>
      <c r="I390" s="113"/>
      <c r="J390" s="113"/>
      <c r="L390" s="113"/>
      <c r="M390" s="113"/>
      <c r="N390" s="113"/>
      <c r="P390" s="113"/>
      <c r="Q390" s="113"/>
      <c r="R390" s="113"/>
      <c r="T390" s="113"/>
      <c r="U390" s="113"/>
      <c r="V390" s="113"/>
    </row>
    <row r="391" customFormat="false" ht="15" hidden="false" customHeight="true" outlineLevel="0" collapsed="false">
      <c r="H391" s="113"/>
      <c r="I391" s="113"/>
      <c r="J391" s="113"/>
      <c r="L391" s="113"/>
      <c r="M391" s="113"/>
      <c r="N391" s="113"/>
      <c r="P391" s="113"/>
      <c r="Q391" s="113"/>
      <c r="R391" s="113"/>
      <c r="T391" s="113"/>
      <c r="U391" s="113"/>
      <c r="V391" s="113"/>
    </row>
    <row r="392" customFormat="false" ht="15" hidden="false" customHeight="true" outlineLevel="0" collapsed="false">
      <c r="H392" s="113"/>
      <c r="I392" s="113"/>
      <c r="J392" s="113"/>
      <c r="L392" s="113"/>
      <c r="M392" s="113"/>
      <c r="N392" s="113"/>
      <c r="P392" s="113"/>
      <c r="Q392" s="113"/>
      <c r="R392" s="113"/>
      <c r="T392" s="113"/>
      <c r="U392" s="113"/>
      <c r="V392" s="113"/>
    </row>
    <row r="393" customFormat="false" ht="15" hidden="false" customHeight="true" outlineLevel="0" collapsed="false">
      <c r="H393" s="113"/>
      <c r="I393" s="113"/>
      <c r="J393" s="113"/>
      <c r="L393" s="113"/>
      <c r="M393" s="113"/>
      <c r="N393" s="113"/>
      <c r="P393" s="113"/>
      <c r="Q393" s="113"/>
      <c r="R393" s="113"/>
      <c r="T393" s="113"/>
      <c r="U393" s="113"/>
      <c r="V393" s="113"/>
    </row>
    <row r="394" customFormat="false" ht="15" hidden="false" customHeight="true" outlineLevel="0" collapsed="false">
      <c r="H394" s="113"/>
      <c r="I394" s="113"/>
      <c r="J394" s="113"/>
      <c r="L394" s="113"/>
      <c r="M394" s="113"/>
      <c r="N394" s="113"/>
      <c r="P394" s="113"/>
      <c r="Q394" s="113"/>
      <c r="R394" s="113"/>
      <c r="T394" s="113"/>
      <c r="U394" s="113"/>
      <c r="V394" s="113"/>
    </row>
    <row r="395" customFormat="false" ht="15" hidden="false" customHeight="true" outlineLevel="0" collapsed="false">
      <c r="H395" s="113"/>
      <c r="I395" s="113"/>
      <c r="J395" s="113"/>
      <c r="L395" s="113"/>
      <c r="M395" s="113"/>
      <c r="N395" s="113"/>
      <c r="P395" s="113"/>
      <c r="Q395" s="113"/>
      <c r="R395" s="113"/>
      <c r="T395" s="113"/>
      <c r="U395" s="113"/>
      <c r="V395" s="113"/>
    </row>
    <row r="396" customFormat="false" ht="15" hidden="false" customHeight="true" outlineLevel="0" collapsed="false">
      <c r="H396" s="113"/>
      <c r="I396" s="113"/>
      <c r="J396" s="113"/>
      <c r="L396" s="113"/>
      <c r="M396" s="113"/>
      <c r="N396" s="113"/>
      <c r="P396" s="113"/>
      <c r="Q396" s="113"/>
      <c r="R396" s="113"/>
      <c r="T396" s="113"/>
      <c r="U396" s="113"/>
      <c r="V396" s="113"/>
    </row>
    <row r="397" customFormat="false" ht="15" hidden="false" customHeight="true" outlineLevel="0" collapsed="false">
      <c r="H397" s="113"/>
      <c r="I397" s="113"/>
      <c r="J397" s="113"/>
      <c r="L397" s="113"/>
      <c r="M397" s="113"/>
      <c r="N397" s="113"/>
      <c r="P397" s="113"/>
      <c r="Q397" s="113"/>
      <c r="R397" s="113"/>
      <c r="T397" s="113"/>
      <c r="U397" s="113"/>
      <c r="V397" s="113"/>
    </row>
    <row r="398" customFormat="false" ht="15" hidden="false" customHeight="true" outlineLevel="0" collapsed="false">
      <c r="H398" s="113"/>
      <c r="I398" s="113"/>
      <c r="J398" s="113"/>
      <c r="L398" s="113"/>
      <c r="M398" s="113"/>
      <c r="N398" s="113"/>
      <c r="P398" s="113"/>
      <c r="Q398" s="113"/>
      <c r="R398" s="113"/>
      <c r="T398" s="113"/>
      <c r="U398" s="113"/>
      <c r="V398" s="113"/>
    </row>
    <row r="399" customFormat="false" ht="15" hidden="false" customHeight="true" outlineLevel="0" collapsed="false">
      <c r="H399" s="113"/>
      <c r="I399" s="113"/>
      <c r="J399" s="113"/>
      <c r="L399" s="113"/>
      <c r="M399" s="113"/>
      <c r="N399" s="113"/>
      <c r="P399" s="113"/>
      <c r="Q399" s="113"/>
      <c r="R399" s="113"/>
      <c r="T399" s="113"/>
      <c r="U399" s="113"/>
      <c r="V399" s="113"/>
    </row>
    <row r="400" customFormat="false" ht="15" hidden="false" customHeight="true" outlineLevel="0" collapsed="false">
      <c r="H400" s="113"/>
      <c r="I400" s="113"/>
      <c r="J400" s="113"/>
      <c r="L400" s="113"/>
      <c r="M400" s="113"/>
      <c r="N400" s="113"/>
      <c r="P400" s="113"/>
      <c r="Q400" s="113"/>
      <c r="R400" s="113"/>
      <c r="T400" s="113"/>
      <c r="U400" s="113"/>
      <c r="V400" s="113"/>
    </row>
    <row r="401" customFormat="false" ht="15" hidden="false" customHeight="true" outlineLevel="0" collapsed="false">
      <c r="H401" s="113"/>
      <c r="I401" s="113"/>
      <c r="J401" s="113"/>
      <c r="L401" s="113"/>
      <c r="M401" s="113"/>
      <c r="N401" s="113"/>
      <c r="P401" s="113"/>
      <c r="Q401" s="113"/>
      <c r="R401" s="113"/>
      <c r="T401" s="113"/>
      <c r="U401" s="113"/>
      <c r="V401" s="113"/>
    </row>
    <row r="402" customFormat="false" ht="15" hidden="false" customHeight="true" outlineLevel="0" collapsed="false">
      <c r="H402" s="113"/>
      <c r="I402" s="113"/>
      <c r="J402" s="113"/>
      <c r="L402" s="113"/>
      <c r="M402" s="113"/>
      <c r="N402" s="113"/>
      <c r="P402" s="113"/>
      <c r="Q402" s="113"/>
      <c r="R402" s="113"/>
      <c r="T402" s="113"/>
      <c r="U402" s="113"/>
      <c r="V402" s="113"/>
    </row>
    <row r="403" customFormat="false" ht="15" hidden="false" customHeight="true" outlineLevel="0" collapsed="false">
      <c r="H403" s="113"/>
      <c r="I403" s="113"/>
      <c r="J403" s="113"/>
      <c r="L403" s="113"/>
      <c r="M403" s="113"/>
      <c r="N403" s="113"/>
      <c r="P403" s="113"/>
      <c r="Q403" s="113"/>
      <c r="R403" s="113"/>
      <c r="T403" s="113"/>
      <c r="U403" s="113"/>
      <c r="V403" s="113"/>
    </row>
    <row r="404" customFormat="false" ht="15" hidden="false" customHeight="true" outlineLevel="0" collapsed="false">
      <c r="H404" s="113"/>
      <c r="I404" s="113"/>
      <c r="J404" s="113"/>
      <c r="L404" s="113"/>
      <c r="M404" s="113"/>
      <c r="N404" s="113"/>
      <c r="P404" s="113"/>
      <c r="Q404" s="113"/>
      <c r="R404" s="113"/>
      <c r="T404" s="113"/>
      <c r="U404" s="113"/>
      <c r="V404" s="113"/>
    </row>
    <row r="405" customFormat="false" ht="15" hidden="false" customHeight="true" outlineLevel="0" collapsed="false">
      <c r="H405" s="113"/>
      <c r="I405" s="113"/>
      <c r="J405" s="113"/>
      <c r="L405" s="113"/>
      <c r="M405" s="113"/>
      <c r="N405" s="113"/>
      <c r="P405" s="113"/>
      <c r="Q405" s="113"/>
      <c r="R405" s="113"/>
      <c r="T405" s="113"/>
      <c r="U405" s="113"/>
      <c r="V405" s="113"/>
    </row>
    <row r="406" customFormat="false" ht="15" hidden="false" customHeight="true" outlineLevel="0" collapsed="false">
      <c r="H406" s="113"/>
      <c r="I406" s="113"/>
      <c r="J406" s="113"/>
      <c r="L406" s="113"/>
      <c r="M406" s="113"/>
      <c r="N406" s="113"/>
      <c r="P406" s="113"/>
      <c r="Q406" s="113"/>
      <c r="R406" s="113"/>
      <c r="T406" s="113"/>
      <c r="U406" s="113"/>
      <c r="V406" s="113"/>
    </row>
    <row r="407" customFormat="false" ht="15" hidden="false" customHeight="true" outlineLevel="0" collapsed="false">
      <c r="H407" s="113"/>
      <c r="I407" s="113"/>
      <c r="J407" s="113"/>
      <c r="L407" s="113"/>
      <c r="M407" s="113"/>
      <c r="N407" s="113"/>
      <c r="P407" s="113"/>
      <c r="Q407" s="113"/>
      <c r="R407" s="113"/>
      <c r="T407" s="113"/>
      <c r="U407" s="113"/>
      <c r="V407" s="113"/>
    </row>
    <row r="408" customFormat="false" ht="15" hidden="false" customHeight="true" outlineLevel="0" collapsed="false">
      <c r="H408" s="113"/>
      <c r="I408" s="113"/>
      <c r="J408" s="113"/>
      <c r="L408" s="113"/>
      <c r="M408" s="113"/>
      <c r="N408" s="113"/>
      <c r="P408" s="113"/>
      <c r="Q408" s="113"/>
      <c r="R408" s="113"/>
      <c r="T408" s="113"/>
      <c r="U408" s="113"/>
      <c r="V408" s="113"/>
    </row>
    <row r="409" customFormat="false" ht="15" hidden="false" customHeight="true" outlineLevel="0" collapsed="false">
      <c r="H409" s="113"/>
      <c r="I409" s="113"/>
      <c r="J409" s="113"/>
      <c r="L409" s="113"/>
      <c r="M409" s="113"/>
      <c r="N409" s="113"/>
      <c r="P409" s="113"/>
      <c r="Q409" s="113"/>
      <c r="R409" s="113"/>
      <c r="T409" s="113"/>
      <c r="U409" s="113"/>
      <c r="V409" s="113"/>
    </row>
    <row r="410" customFormat="false" ht="15" hidden="false" customHeight="true" outlineLevel="0" collapsed="false">
      <c r="H410" s="113"/>
      <c r="I410" s="113"/>
      <c r="J410" s="113"/>
      <c r="L410" s="113"/>
      <c r="M410" s="113"/>
      <c r="N410" s="113"/>
      <c r="P410" s="113"/>
      <c r="Q410" s="113"/>
      <c r="R410" s="113"/>
      <c r="T410" s="113"/>
      <c r="U410" s="113"/>
      <c r="V410" s="113"/>
    </row>
    <row r="411" customFormat="false" ht="15" hidden="false" customHeight="true" outlineLevel="0" collapsed="false">
      <c r="H411" s="113"/>
      <c r="I411" s="113"/>
      <c r="J411" s="113"/>
      <c r="L411" s="113"/>
      <c r="M411" s="113"/>
      <c r="N411" s="113"/>
      <c r="P411" s="113"/>
      <c r="Q411" s="113"/>
      <c r="R411" s="113"/>
      <c r="T411" s="113"/>
      <c r="U411" s="113"/>
      <c r="V411" s="113"/>
    </row>
    <row r="412" customFormat="false" ht="15" hidden="false" customHeight="true" outlineLevel="0" collapsed="false">
      <c r="H412" s="113"/>
      <c r="I412" s="113"/>
      <c r="J412" s="113"/>
      <c r="L412" s="113"/>
      <c r="M412" s="113"/>
      <c r="N412" s="113"/>
      <c r="P412" s="113"/>
      <c r="Q412" s="113"/>
      <c r="R412" s="113"/>
      <c r="T412" s="113"/>
      <c r="U412" s="113"/>
      <c r="V412" s="113"/>
    </row>
    <row r="413" customFormat="false" ht="15" hidden="false" customHeight="true" outlineLevel="0" collapsed="false">
      <c r="H413" s="113"/>
      <c r="I413" s="113"/>
      <c r="J413" s="113"/>
      <c r="L413" s="113"/>
      <c r="M413" s="113"/>
      <c r="N413" s="113"/>
      <c r="P413" s="113"/>
      <c r="Q413" s="113"/>
      <c r="R413" s="113"/>
      <c r="T413" s="113"/>
      <c r="U413" s="113"/>
      <c r="V413" s="113"/>
    </row>
    <row r="414" customFormat="false" ht="15" hidden="false" customHeight="true" outlineLevel="0" collapsed="false">
      <c r="H414" s="113"/>
      <c r="I414" s="113"/>
      <c r="J414" s="113"/>
      <c r="L414" s="113"/>
      <c r="M414" s="113"/>
      <c r="N414" s="113"/>
      <c r="P414" s="113"/>
      <c r="Q414" s="113"/>
      <c r="R414" s="113"/>
      <c r="T414" s="113"/>
      <c r="U414" s="113"/>
      <c r="V414" s="113"/>
    </row>
    <row r="415" customFormat="false" ht="15" hidden="false" customHeight="true" outlineLevel="0" collapsed="false">
      <c r="H415" s="113"/>
      <c r="I415" s="113"/>
      <c r="J415" s="113"/>
      <c r="L415" s="113"/>
      <c r="M415" s="113"/>
      <c r="N415" s="113"/>
      <c r="P415" s="113"/>
      <c r="Q415" s="113"/>
      <c r="R415" s="113"/>
      <c r="T415" s="113"/>
      <c r="U415" s="113"/>
      <c r="V415" s="113"/>
    </row>
    <row r="416" customFormat="false" ht="15" hidden="false" customHeight="true" outlineLevel="0" collapsed="false">
      <c r="H416" s="113"/>
      <c r="I416" s="113"/>
      <c r="J416" s="113"/>
      <c r="L416" s="113"/>
      <c r="M416" s="113"/>
      <c r="N416" s="113"/>
      <c r="P416" s="113"/>
      <c r="Q416" s="113"/>
      <c r="R416" s="113"/>
      <c r="T416" s="113"/>
      <c r="U416" s="113"/>
      <c r="V416" s="113"/>
    </row>
    <row r="417" customFormat="false" ht="15" hidden="false" customHeight="true" outlineLevel="0" collapsed="false">
      <c r="H417" s="113"/>
      <c r="I417" s="113"/>
      <c r="J417" s="113"/>
      <c r="L417" s="113"/>
      <c r="M417" s="113"/>
      <c r="N417" s="113"/>
      <c r="P417" s="113"/>
      <c r="Q417" s="113"/>
      <c r="R417" s="113"/>
      <c r="T417" s="113"/>
      <c r="U417" s="113"/>
      <c r="V417" s="113"/>
    </row>
    <row r="418" customFormat="false" ht="15" hidden="false" customHeight="true" outlineLevel="0" collapsed="false">
      <c r="H418" s="113"/>
      <c r="I418" s="113"/>
      <c r="J418" s="113"/>
      <c r="L418" s="113"/>
      <c r="M418" s="113"/>
      <c r="N418" s="113"/>
      <c r="P418" s="113"/>
      <c r="Q418" s="113"/>
      <c r="R418" s="113"/>
      <c r="T418" s="113"/>
      <c r="U418" s="113"/>
      <c r="V418" s="113"/>
    </row>
    <row r="419" customFormat="false" ht="15" hidden="false" customHeight="true" outlineLevel="0" collapsed="false">
      <c r="H419" s="113"/>
      <c r="I419" s="113"/>
      <c r="J419" s="113"/>
      <c r="L419" s="113"/>
      <c r="M419" s="113"/>
      <c r="N419" s="113"/>
      <c r="P419" s="113"/>
      <c r="Q419" s="113"/>
      <c r="R419" s="113"/>
      <c r="T419" s="113"/>
      <c r="U419" s="113"/>
      <c r="V419" s="113"/>
    </row>
    <row r="420" customFormat="false" ht="15" hidden="false" customHeight="true" outlineLevel="0" collapsed="false">
      <c r="H420" s="113"/>
      <c r="I420" s="113"/>
      <c r="J420" s="113"/>
      <c r="L420" s="113"/>
      <c r="M420" s="113"/>
      <c r="N420" s="113"/>
      <c r="P420" s="113"/>
      <c r="Q420" s="113"/>
      <c r="R420" s="113"/>
      <c r="T420" s="113"/>
      <c r="U420" s="113"/>
      <c r="V420" s="113"/>
    </row>
    <row r="421" customFormat="false" ht="15" hidden="false" customHeight="true" outlineLevel="0" collapsed="false">
      <c r="H421" s="113"/>
      <c r="I421" s="113"/>
      <c r="J421" s="113"/>
      <c r="L421" s="113"/>
      <c r="M421" s="113"/>
      <c r="N421" s="113"/>
      <c r="P421" s="113"/>
      <c r="Q421" s="113"/>
      <c r="R421" s="113"/>
      <c r="T421" s="113"/>
      <c r="U421" s="113"/>
      <c r="V421" s="113"/>
    </row>
    <row r="422" customFormat="false" ht="15" hidden="false" customHeight="true" outlineLevel="0" collapsed="false">
      <c r="H422" s="113"/>
      <c r="I422" s="113"/>
      <c r="J422" s="113"/>
      <c r="L422" s="113"/>
      <c r="M422" s="113"/>
      <c r="N422" s="113"/>
      <c r="P422" s="113"/>
      <c r="Q422" s="113"/>
      <c r="R422" s="113"/>
      <c r="T422" s="113"/>
      <c r="U422" s="113"/>
      <c r="V422" s="113"/>
    </row>
    <row r="423" customFormat="false" ht="15" hidden="false" customHeight="true" outlineLevel="0" collapsed="false">
      <c r="H423" s="113"/>
      <c r="I423" s="113"/>
      <c r="J423" s="113"/>
      <c r="L423" s="113"/>
      <c r="M423" s="113"/>
      <c r="N423" s="113"/>
      <c r="P423" s="113"/>
      <c r="Q423" s="113"/>
      <c r="R423" s="113"/>
      <c r="T423" s="113"/>
      <c r="U423" s="113"/>
      <c r="V423" s="113"/>
    </row>
    <row r="424" customFormat="false" ht="15" hidden="false" customHeight="true" outlineLevel="0" collapsed="false">
      <c r="H424" s="113"/>
      <c r="I424" s="113"/>
      <c r="J424" s="113"/>
      <c r="L424" s="113"/>
      <c r="M424" s="113"/>
      <c r="N424" s="113"/>
      <c r="P424" s="113"/>
      <c r="Q424" s="113"/>
      <c r="R424" s="113"/>
      <c r="T424" s="113"/>
      <c r="U424" s="113"/>
      <c r="V424" s="113"/>
    </row>
    <row r="425" customFormat="false" ht="15" hidden="false" customHeight="true" outlineLevel="0" collapsed="false">
      <c r="H425" s="113"/>
      <c r="I425" s="113"/>
      <c r="J425" s="113"/>
      <c r="L425" s="113"/>
      <c r="M425" s="113"/>
      <c r="N425" s="113"/>
      <c r="P425" s="113"/>
      <c r="Q425" s="113"/>
      <c r="R425" s="113"/>
      <c r="T425" s="113"/>
      <c r="U425" s="113"/>
      <c r="V425" s="113"/>
    </row>
    <row r="426" customFormat="false" ht="15" hidden="false" customHeight="true" outlineLevel="0" collapsed="false">
      <c r="H426" s="113"/>
      <c r="I426" s="113"/>
      <c r="J426" s="113"/>
      <c r="L426" s="113"/>
      <c r="M426" s="113"/>
      <c r="N426" s="113"/>
      <c r="P426" s="113"/>
      <c r="Q426" s="113"/>
      <c r="R426" s="113"/>
      <c r="T426" s="113"/>
      <c r="U426" s="113"/>
      <c r="V426" s="113"/>
    </row>
    <row r="427" customFormat="false" ht="15" hidden="false" customHeight="true" outlineLevel="0" collapsed="false">
      <c r="H427" s="113"/>
      <c r="I427" s="113"/>
      <c r="J427" s="113"/>
      <c r="L427" s="113"/>
      <c r="M427" s="113"/>
      <c r="N427" s="113"/>
      <c r="P427" s="113"/>
      <c r="Q427" s="113"/>
      <c r="R427" s="113"/>
      <c r="T427" s="113"/>
      <c r="U427" s="113"/>
      <c r="V427" s="113"/>
    </row>
    <row r="428" customFormat="false" ht="15" hidden="false" customHeight="true" outlineLevel="0" collapsed="false">
      <c r="H428" s="113"/>
      <c r="I428" s="113"/>
      <c r="J428" s="113"/>
      <c r="L428" s="113"/>
      <c r="M428" s="113"/>
      <c r="N428" s="113"/>
      <c r="P428" s="113"/>
      <c r="Q428" s="113"/>
      <c r="R428" s="113"/>
      <c r="T428" s="113"/>
      <c r="U428" s="113"/>
      <c r="V428" s="113"/>
    </row>
    <row r="429" customFormat="false" ht="15" hidden="false" customHeight="true" outlineLevel="0" collapsed="false">
      <c r="H429" s="113"/>
      <c r="I429" s="113"/>
      <c r="J429" s="113"/>
      <c r="L429" s="113"/>
      <c r="M429" s="113"/>
      <c r="N429" s="113"/>
      <c r="P429" s="113"/>
      <c r="Q429" s="113"/>
      <c r="R429" s="113"/>
      <c r="T429" s="113"/>
      <c r="U429" s="113"/>
      <c r="V429" s="113"/>
    </row>
    <row r="430" customFormat="false" ht="15" hidden="false" customHeight="true" outlineLevel="0" collapsed="false">
      <c r="H430" s="113"/>
      <c r="I430" s="113"/>
      <c r="J430" s="113"/>
      <c r="L430" s="113"/>
      <c r="M430" s="113"/>
      <c r="N430" s="113"/>
      <c r="P430" s="113"/>
      <c r="Q430" s="113"/>
      <c r="R430" s="113"/>
      <c r="T430" s="113"/>
      <c r="U430" s="113"/>
      <c r="V430" s="113"/>
    </row>
    <row r="431" customFormat="false" ht="15" hidden="false" customHeight="true" outlineLevel="0" collapsed="false">
      <c r="H431" s="113"/>
      <c r="I431" s="113"/>
      <c r="J431" s="113"/>
      <c r="L431" s="113"/>
      <c r="M431" s="113"/>
      <c r="N431" s="113"/>
      <c r="P431" s="113"/>
      <c r="Q431" s="113"/>
      <c r="R431" s="113"/>
      <c r="T431" s="113"/>
      <c r="U431" s="113"/>
      <c r="V431" s="113"/>
    </row>
    <row r="432" customFormat="false" ht="15" hidden="false" customHeight="true" outlineLevel="0" collapsed="false">
      <c r="H432" s="113"/>
      <c r="I432" s="113"/>
      <c r="J432" s="113"/>
      <c r="L432" s="113"/>
      <c r="M432" s="113"/>
      <c r="N432" s="113"/>
      <c r="P432" s="113"/>
      <c r="Q432" s="113"/>
      <c r="R432" s="113"/>
      <c r="T432" s="113"/>
      <c r="U432" s="113"/>
      <c r="V432" s="113"/>
    </row>
    <row r="433" customFormat="false" ht="15" hidden="false" customHeight="true" outlineLevel="0" collapsed="false">
      <c r="H433" s="113"/>
      <c r="I433" s="113"/>
      <c r="J433" s="113"/>
      <c r="L433" s="113"/>
      <c r="M433" s="113"/>
      <c r="N433" s="113"/>
      <c r="P433" s="113"/>
      <c r="Q433" s="113"/>
      <c r="R433" s="113"/>
      <c r="T433" s="113"/>
      <c r="U433" s="113"/>
      <c r="V433" s="113"/>
    </row>
    <row r="434" customFormat="false" ht="15" hidden="false" customHeight="true" outlineLevel="0" collapsed="false">
      <c r="H434" s="113"/>
      <c r="I434" s="113"/>
      <c r="J434" s="113"/>
      <c r="L434" s="113"/>
      <c r="M434" s="113"/>
      <c r="N434" s="113"/>
      <c r="P434" s="113"/>
      <c r="Q434" s="113"/>
      <c r="R434" s="113"/>
      <c r="T434" s="113"/>
      <c r="U434" s="113"/>
      <c r="V434" s="113"/>
    </row>
    <row r="435" customFormat="false" ht="15" hidden="false" customHeight="true" outlineLevel="0" collapsed="false">
      <c r="H435" s="113"/>
      <c r="I435" s="113"/>
      <c r="J435" s="113"/>
      <c r="L435" s="113"/>
      <c r="M435" s="113"/>
      <c r="N435" s="113"/>
      <c r="P435" s="113"/>
      <c r="Q435" s="113"/>
      <c r="R435" s="113"/>
      <c r="T435" s="113"/>
      <c r="U435" s="113"/>
      <c r="V435" s="113"/>
    </row>
    <row r="436" customFormat="false" ht="15" hidden="false" customHeight="true" outlineLevel="0" collapsed="false">
      <c r="H436" s="113"/>
      <c r="I436" s="113"/>
      <c r="J436" s="113"/>
      <c r="L436" s="113"/>
      <c r="M436" s="113"/>
      <c r="N436" s="113"/>
      <c r="P436" s="113"/>
      <c r="Q436" s="113"/>
      <c r="R436" s="113"/>
      <c r="T436" s="113"/>
      <c r="U436" s="113"/>
      <c r="V436" s="113"/>
    </row>
    <row r="437" customFormat="false" ht="15" hidden="false" customHeight="true" outlineLevel="0" collapsed="false">
      <c r="H437" s="113"/>
      <c r="I437" s="113"/>
      <c r="J437" s="113"/>
      <c r="L437" s="113"/>
      <c r="M437" s="113"/>
      <c r="N437" s="113"/>
      <c r="P437" s="113"/>
      <c r="Q437" s="113"/>
      <c r="R437" s="113"/>
      <c r="T437" s="113"/>
      <c r="U437" s="113"/>
      <c r="V437" s="113"/>
    </row>
    <row r="438" customFormat="false" ht="15" hidden="false" customHeight="true" outlineLevel="0" collapsed="false">
      <c r="H438" s="113"/>
      <c r="I438" s="113"/>
      <c r="J438" s="113"/>
      <c r="L438" s="113"/>
      <c r="M438" s="113"/>
      <c r="N438" s="113"/>
      <c r="P438" s="113"/>
      <c r="Q438" s="113"/>
      <c r="R438" s="113"/>
      <c r="T438" s="113"/>
      <c r="U438" s="113"/>
      <c r="V438" s="113"/>
    </row>
    <row r="439" customFormat="false" ht="15" hidden="false" customHeight="true" outlineLevel="0" collapsed="false">
      <c r="H439" s="113"/>
      <c r="I439" s="113"/>
      <c r="J439" s="113"/>
      <c r="L439" s="113"/>
      <c r="M439" s="113"/>
      <c r="N439" s="113"/>
      <c r="P439" s="113"/>
      <c r="Q439" s="113"/>
      <c r="R439" s="113"/>
      <c r="T439" s="113"/>
      <c r="U439" s="113"/>
      <c r="V439" s="113"/>
    </row>
    <row r="440" customFormat="false" ht="15" hidden="false" customHeight="true" outlineLevel="0" collapsed="false">
      <c r="H440" s="113"/>
      <c r="I440" s="113"/>
      <c r="J440" s="113"/>
      <c r="L440" s="113"/>
      <c r="M440" s="113"/>
      <c r="N440" s="113"/>
      <c r="P440" s="113"/>
      <c r="Q440" s="113"/>
      <c r="R440" s="113"/>
      <c r="T440" s="113"/>
      <c r="U440" s="113"/>
      <c r="V440" s="113"/>
    </row>
    <row r="441" customFormat="false" ht="15" hidden="false" customHeight="true" outlineLevel="0" collapsed="false">
      <c r="H441" s="113"/>
      <c r="I441" s="113"/>
      <c r="J441" s="113"/>
      <c r="L441" s="113"/>
      <c r="M441" s="113"/>
      <c r="N441" s="113"/>
      <c r="P441" s="113"/>
      <c r="Q441" s="113"/>
      <c r="R441" s="113"/>
      <c r="T441" s="113"/>
      <c r="U441" s="113"/>
      <c r="V441" s="113"/>
    </row>
    <row r="442" customFormat="false" ht="15" hidden="false" customHeight="true" outlineLevel="0" collapsed="false">
      <c r="H442" s="113"/>
      <c r="I442" s="113"/>
      <c r="J442" s="113"/>
      <c r="L442" s="113"/>
      <c r="M442" s="113"/>
      <c r="N442" s="113"/>
      <c r="P442" s="113"/>
      <c r="Q442" s="113"/>
      <c r="R442" s="113"/>
      <c r="T442" s="113"/>
      <c r="U442" s="113"/>
      <c r="V442" s="113"/>
    </row>
    <row r="443" customFormat="false" ht="15" hidden="false" customHeight="true" outlineLevel="0" collapsed="false">
      <c r="H443" s="113"/>
      <c r="I443" s="113"/>
      <c r="J443" s="113"/>
      <c r="L443" s="113"/>
      <c r="M443" s="113"/>
      <c r="N443" s="113"/>
      <c r="P443" s="113"/>
      <c r="Q443" s="113"/>
      <c r="R443" s="113"/>
      <c r="T443" s="113"/>
      <c r="U443" s="113"/>
      <c r="V443" s="113"/>
    </row>
    <row r="444" customFormat="false" ht="15" hidden="false" customHeight="true" outlineLevel="0" collapsed="false">
      <c r="H444" s="113"/>
      <c r="I444" s="113"/>
      <c r="J444" s="113"/>
      <c r="L444" s="113"/>
      <c r="M444" s="113"/>
      <c r="N444" s="113"/>
      <c r="P444" s="113"/>
      <c r="Q444" s="113"/>
      <c r="R444" s="113"/>
      <c r="T444" s="113"/>
      <c r="U444" s="113"/>
      <c r="V444" s="113"/>
    </row>
    <row r="445" customFormat="false" ht="15" hidden="false" customHeight="true" outlineLevel="0" collapsed="false">
      <c r="H445" s="113"/>
      <c r="I445" s="113"/>
      <c r="J445" s="113"/>
      <c r="L445" s="113"/>
      <c r="M445" s="113"/>
      <c r="N445" s="113"/>
      <c r="P445" s="113"/>
      <c r="Q445" s="113"/>
      <c r="R445" s="113"/>
      <c r="T445" s="113"/>
      <c r="U445" s="113"/>
      <c r="V445" s="113"/>
    </row>
    <row r="446" customFormat="false" ht="15" hidden="false" customHeight="true" outlineLevel="0" collapsed="false">
      <c r="H446" s="113"/>
      <c r="I446" s="113"/>
      <c r="J446" s="113"/>
      <c r="L446" s="113"/>
      <c r="M446" s="113"/>
      <c r="N446" s="113"/>
      <c r="P446" s="113"/>
      <c r="Q446" s="113"/>
      <c r="R446" s="113"/>
      <c r="T446" s="113"/>
      <c r="U446" s="113"/>
      <c r="V446" s="113"/>
    </row>
    <row r="447" customFormat="false" ht="15" hidden="false" customHeight="true" outlineLevel="0" collapsed="false">
      <c r="H447" s="113"/>
      <c r="I447" s="113"/>
      <c r="J447" s="113"/>
      <c r="L447" s="113"/>
      <c r="M447" s="113"/>
      <c r="N447" s="113"/>
      <c r="P447" s="113"/>
      <c r="Q447" s="113"/>
      <c r="R447" s="113"/>
      <c r="T447" s="113"/>
      <c r="U447" s="113"/>
      <c r="V447" s="113"/>
    </row>
    <row r="448" customFormat="false" ht="15" hidden="false" customHeight="true" outlineLevel="0" collapsed="false">
      <c r="H448" s="113"/>
      <c r="I448" s="113"/>
      <c r="J448" s="113"/>
      <c r="L448" s="113"/>
      <c r="M448" s="113"/>
      <c r="N448" s="113"/>
      <c r="P448" s="113"/>
      <c r="Q448" s="113"/>
      <c r="R448" s="113"/>
      <c r="T448" s="113"/>
      <c r="U448" s="113"/>
      <c r="V448" s="113"/>
    </row>
    <row r="449" customFormat="false" ht="15" hidden="false" customHeight="true" outlineLevel="0" collapsed="false">
      <c r="H449" s="113"/>
      <c r="I449" s="113"/>
      <c r="J449" s="113"/>
      <c r="L449" s="113"/>
      <c r="M449" s="113"/>
      <c r="N449" s="113"/>
      <c r="P449" s="113"/>
      <c r="Q449" s="113"/>
      <c r="R449" s="113"/>
      <c r="T449" s="113"/>
      <c r="U449" s="113"/>
      <c r="V449" s="113"/>
    </row>
    <row r="450" customFormat="false" ht="15" hidden="false" customHeight="true" outlineLevel="0" collapsed="false">
      <c r="H450" s="113"/>
      <c r="I450" s="113"/>
      <c r="J450" s="113"/>
      <c r="L450" s="113"/>
      <c r="M450" s="113"/>
      <c r="N450" s="113"/>
      <c r="P450" s="113"/>
      <c r="Q450" s="113"/>
      <c r="R450" s="113"/>
      <c r="T450" s="113"/>
      <c r="U450" s="113"/>
      <c r="V450" s="113"/>
    </row>
    <row r="451" customFormat="false" ht="15" hidden="false" customHeight="true" outlineLevel="0" collapsed="false">
      <c r="H451" s="113"/>
      <c r="I451" s="113"/>
      <c r="J451" s="113"/>
      <c r="L451" s="113"/>
      <c r="M451" s="113"/>
      <c r="N451" s="113"/>
      <c r="P451" s="113"/>
      <c r="Q451" s="113"/>
      <c r="R451" s="113"/>
      <c r="T451" s="113"/>
      <c r="U451" s="113"/>
      <c r="V451" s="113"/>
    </row>
    <row r="452" customFormat="false" ht="15" hidden="false" customHeight="true" outlineLevel="0" collapsed="false">
      <c r="H452" s="113"/>
      <c r="I452" s="113"/>
      <c r="J452" s="113"/>
      <c r="L452" s="113"/>
      <c r="M452" s="113"/>
      <c r="N452" s="113"/>
      <c r="P452" s="113"/>
      <c r="Q452" s="113"/>
      <c r="R452" s="113"/>
      <c r="T452" s="113"/>
      <c r="U452" s="113"/>
      <c r="V452" s="113"/>
    </row>
    <row r="453" customFormat="false" ht="15" hidden="false" customHeight="true" outlineLevel="0" collapsed="false">
      <c r="H453" s="113"/>
      <c r="I453" s="113"/>
      <c r="J453" s="113"/>
      <c r="L453" s="113"/>
      <c r="M453" s="113"/>
      <c r="N453" s="113"/>
      <c r="P453" s="113"/>
      <c r="Q453" s="113"/>
      <c r="R453" s="113"/>
      <c r="T453" s="113"/>
      <c r="U453" s="113"/>
      <c r="V453" s="113"/>
    </row>
    <row r="454" customFormat="false" ht="15" hidden="false" customHeight="true" outlineLevel="0" collapsed="false">
      <c r="H454" s="113"/>
      <c r="I454" s="113"/>
      <c r="J454" s="113"/>
      <c r="L454" s="113"/>
      <c r="M454" s="113"/>
      <c r="N454" s="113"/>
      <c r="P454" s="113"/>
      <c r="Q454" s="113"/>
      <c r="R454" s="113"/>
      <c r="T454" s="113"/>
      <c r="U454" s="113"/>
      <c r="V454" s="113"/>
    </row>
    <row r="455" customFormat="false" ht="15" hidden="false" customHeight="true" outlineLevel="0" collapsed="false">
      <c r="H455" s="113"/>
      <c r="I455" s="113"/>
      <c r="J455" s="113"/>
      <c r="L455" s="113"/>
      <c r="M455" s="113"/>
      <c r="N455" s="113"/>
      <c r="P455" s="113"/>
      <c r="Q455" s="113"/>
      <c r="R455" s="113"/>
      <c r="T455" s="113"/>
      <c r="U455" s="113"/>
      <c r="V455" s="113"/>
    </row>
    <row r="456" customFormat="false" ht="15" hidden="false" customHeight="true" outlineLevel="0" collapsed="false">
      <c r="H456" s="113"/>
      <c r="I456" s="113"/>
      <c r="J456" s="113"/>
      <c r="L456" s="113"/>
      <c r="M456" s="113"/>
      <c r="N456" s="113"/>
      <c r="P456" s="113"/>
      <c r="Q456" s="113"/>
      <c r="R456" s="113"/>
      <c r="T456" s="113"/>
      <c r="U456" s="113"/>
      <c r="V456" s="113"/>
    </row>
    <row r="457" customFormat="false" ht="15" hidden="false" customHeight="true" outlineLevel="0" collapsed="false">
      <c r="H457" s="113"/>
      <c r="I457" s="113"/>
      <c r="J457" s="113"/>
      <c r="L457" s="113"/>
      <c r="M457" s="113"/>
      <c r="N457" s="113"/>
      <c r="P457" s="113"/>
      <c r="Q457" s="113"/>
      <c r="R457" s="113"/>
      <c r="T457" s="113"/>
      <c r="U457" s="113"/>
      <c r="V457" s="113"/>
    </row>
    <row r="458" customFormat="false" ht="15" hidden="false" customHeight="true" outlineLevel="0" collapsed="false">
      <c r="H458" s="113"/>
      <c r="I458" s="113"/>
      <c r="J458" s="113"/>
      <c r="L458" s="113"/>
      <c r="M458" s="113"/>
      <c r="N458" s="113"/>
      <c r="P458" s="113"/>
      <c r="Q458" s="113"/>
      <c r="R458" s="113"/>
      <c r="T458" s="113"/>
      <c r="U458" s="113"/>
      <c r="V458" s="113"/>
    </row>
    <row r="459" customFormat="false" ht="15" hidden="false" customHeight="true" outlineLevel="0" collapsed="false">
      <c r="H459" s="113"/>
      <c r="I459" s="113"/>
      <c r="J459" s="113"/>
      <c r="L459" s="113"/>
      <c r="M459" s="113"/>
      <c r="N459" s="113"/>
      <c r="P459" s="113"/>
      <c r="Q459" s="113"/>
      <c r="R459" s="113"/>
      <c r="T459" s="113"/>
      <c r="U459" s="113"/>
      <c r="V459" s="113"/>
    </row>
    <row r="460" customFormat="false" ht="15" hidden="false" customHeight="true" outlineLevel="0" collapsed="false">
      <c r="H460" s="113"/>
      <c r="I460" s="113"/>
      <c r="J460" s="113"/>
      <c r="L460" s="113"/>
      <c r="M460" s="113"/>
      <c r="N460" s="113"/>
      <c r="P460" s="113"/>
      <c r="Q460" s="113"/>
      <c r="R460" s="113"/>
      <c r="T460" s="113"/>
      <c r="U460" s="113"/>
      <c r="V460" s="113"/>
    </row>
    <row r="461" customFormat="false" ht="15" hidden="false" customHeight="true" outlineLevel="0" collapsed="false">
      <c r="H461" s="113"/>
      <c r="I461" s="113"/>
      <c r="J461" s="113"/>
      <c r="L461" s="113"/>
      <c r="M461" s="113"/>
      <c r="N461" s="113"/>
      <c r="P461" s="113"/>
      <c r="Q461" s="113"/>
      <c r="R461" s="113"/>
      <c r="T461" s="113"/>
      <c r="U461" s="113"/>
      <c r="V461" s="113"/>
    </row>
    <row r="462" customFormat="false" ht="15" hidden="false" customHeight="true" outlineLevel="0" collapsed="false">
      <c r="H462" s="113"/>
      <c r="I462" s="113"/>
      <c r="J462" s="113"/>
      <c r="L462" s="113"/>
      <c r="M462" s="113"/>
      <c r="N462" s="113"/>
      <c r="P462" s="113"/>
      <c r="Q462" s="113"/>
      <c r="R462" s="113"/>
      <c r="T462" s="113"/>
      <c r="U462" s="113"/>
      <c r="V462" s="113"/>
    </row>
    <row r="463" customFormat="false" ht="15" hidden="false" customHeight="true" outlineLevel="0" collapsed="false">
      <c r="H463" s="113"/>
      <c r="I463" s="113"/>
      <c r="J463" s="113"/>
      <c r="L463" s="113"/>
      <c r="M463" s="113"/>
      <c r="N463" s="113"/>
      <c r="P463" s="113"/>
      <c r="Q463" s="113"/>
      <c r="R463" s="113"/>
      <c r="T463" s="113"/>
      <c r="U463" s="113"/>
      <c r="V463" s="113"/>
    </row>
    <row r="464" customFormat="false" ht="15" hidden="false" customHeight="true" outlineLevel="0" collapsed="false">
      <c r="H464" s="113"/>
      <c r="I464" s="113"/>
      <c r="J464" s="113"/>
      <c r="L464" s="113"/>
      <c r="M464" s="113"/>
      <c r="N464" s="113"/>
      <c r="P464" s="113"/>
      <c r="Q464" s="113"/>
      <c r="R464" s="113"/>
      <c r="T464" s="113"/>
      <c r="U464" s="113"/>
      <c r="V464" s="113"/>
    </row>
    <row r="465" customFormat="false" ht="15" hidden="false" customHeight="true" outlineLevel="0" collapsed="false">
      <c r="H465" s="113"/>
      <c r="I465" s="113"/>
      <c r="J465" s="113"/>
      <c r="L465" s="113"/>
      <c r="M465" s="113"/>
      <c r="N465" s="113"/>
      <c r="P465" s="113"/>
      <c r="Q465" s="113"/>
      <c r="R465" s="113"/>
      <c r="T465" s="113"/>
      <c r="U465" s="113"/>
      <c r="V465" s="113"/>
    </row>
    <row r="466" customFormat="false" ht="15" hidden="false" customHeight="true" outlineLevel="0" collapsed="false">
      <c r="H466" s="113"/>
      <c r="I466" s="113"/>
      <c r="J466" s="113"/>
      <c r="L466" s="113"/>
      <c r="M466" s="113"/>
      <c r="N466" s="113"/>
      <c r="P466" s="113"/>
      <c r="Q466" s="113"/>
      <c r="R466" s="113"/>
      <c r="T466" s="113"/>
      <c r="U466" s="113"/>
      <c r="V466" s="113"/>
    </row>
    <row r="467" customFormat="false" ht="15" hidden="false" customHeight="true" outlineLevel="0" collapsed="false">
      <c r="H467" s="113"/>
      <c r="I467" s="113"/>
      <c r="J467" s="113"/>
      <c r="L467" s="113"/>
      <c r="M467" s="113"/>
      <c r="N467" s="113"/>
      <c r="P467" s="113"/>
      <c r="Q467" s="113"/>
      <c r="R467" s="113"/>
      <c r="T467" s="113"/>
      <c r="U467" s="113"/>
      <c r="V467" s="113"/>
    </row>
    <row r="468" customFormat="false" ht="15" hidden="false" customHeight="true" outlineLevel="0" collapsed="false">
      <c r="H468" s="113"/>
      <c r="I468" s="113"/>
      <c r="J468" s="113"/>
      <c r="L468" s="113"/>
      <c r="M468" s="113"/>
      <c r="N468" s="113"/>
      <c r="P468" s="113"/>
      <c r="Q468" s="113"/>
      <c r="R468" s="113"/>
      <c r="T468" s="113"/>
      <c r="U468" s="113"/>
      <c r="V468" s="113"/>
    </row>
    <row r="469" customFormat="false" ht="15" hidden="false" customHeight="true" outlineLevel="0" collapsed="false">
      <c r="H469" s="113"/>
      <c r="I469" s="113"/>
      <c r="J469" s="113"/>
      <c r="L469" s="113"/>
      <c r="M469" s="113"/>
      <c r="N469" s="113"/>
      <c r="P469" s="113"/>
      <c r="Q469" s="113"/>
      <c r="R469" s="113"/>
      <c r="T469" s="113"/>
      <c r="U469" s="113"/>
      <c r="V469" s="113"/>
    </row>
    <row r="470" customFormat="false" ht="15" hidden="false" customHeight="true" outlineLevel="0" collapsed="false">
      <c r="H470" s="113"/>
      <c r="I470" s="113"/>
      <c r="J470" s="113"/>
      <c r="L470" s="113"/>
      <c r="M470" s="113"/>
      <c r="N470" s="113"/>
      <c r="P470" s="113"/>
      <c r="Q470" s="113"/>
      <c r="R470" s="113"/>
      <c r="T470" s="113"/>
      <c r="U470" s="113"/>
      <c r="V470" s="113"/>
    </row>
    <row r="471" customFormat="false" ht="15" hidden="false" customHeight="true" outlineLevel="0" collapsed="false">
      <c r="H471" s="113"/>
      <c r="I471" s="113"/>
      <c r="J471" s="113"/>
      <c r="L471" s="113"/>
      <c r="M471" s="113"/>
      <c r="N471" s="113"/>
      <c r="P471" s="113"/>
      <c r="Q471" s="113"/>
      <c r="R471" s="113"/>
      <c r="T471" s="113"/>
      <c r="U471" s="113"/>
      <c r="V471" s="113"/>
    </row>
    <row r="472" customFormat="false" ht="15" hidden="false" customHeight="true" outlineLevel="0" collapsed="false">
      <c r="H472" s="113"/>
      <c r="I472" s="113"/>
      <c r="J472" s="113"/>
      <c r="L472" s="113"/>
      <c r="M472" s="113"/>
      <c r="N472" s="113"/>
      <c r="P472" s="113"/>
      <c r="Q472" s="113"/>
      <c r="R472" s="113"/>
      <c r="T472" s="113"/>
      <c r="U472" s="113"/>
      <c r="V472" s="113"/>
    </row>
    <row r="473" customFormat="false" ht="15" hidden="false" customHeight="true" outlineLevel="0" collapsed="false">
      <c r="H473" s="113"/>
      <c r="I473" s="113"/>
      <c r="J473" s="113"/>
      <c r="L473" s="113"/>
      <c r="M473" s="113"/>
      <c r="N473" s="113"/>
      <c r="P473" s="113"/>
      <c r="Q473" s="113"/>
      <c r="R473" s="113"/>
      <c r="T473" s="113"/>
      <c r="U473" s="113"/>
      <c r="V473" s="113"/>
    </row>
    <row r="474" customFormat="false" ht="15" hidden="false" customHeight="true" outlineLevel="0" collapsed="false">
      <c r="H474" s="113"/>
      <c r="I474" s="113"/>
      <c r="J474" s="113"/>
      <c r="L474" s="113"/>
      <c r="M474" s="113"/>
      <c r="N474" s="113"/>
      <c r="P474" s="113"/>
      <c r="Q474" s="113"/>
      <c r="R474" s="113"/>
      <c r="T474" s="113"/>
      <c r="U474" s="113"/>
      <c r="V474" s="113"/>
    </row>
    <row r="475" customFormat="false" ht="15" hidden="false" customHeight="true" outlineLevel="0" collapsed="false">
      <c r="H475" s="113"/>
      <c r="I475" s="113"/>
      <c r="J475" s="113"/>
      <c r="L475" s="113"/>
      <c r="M475" s="113"/>
      <c r="N475" s="113"/>
      <c r="P475" s="113"/>
      <c r="Q475" s="113"/>
      <c r="R475" s="113"/>
      <c r="T475" s="113"/>
      <c r="U475" s="113"/>
      <c r="V475" s="113"/>
    </row>
    <row r="476" customFormat="false" ht="15" hidden="false" customHeight="true" outlineLevel="0" collapsed="false">
      <c r="H476" s="113"/>
      <c r="I476" s="113"/>
      <c r="J476" s="113"/>
      <c r="L476" s="113"/>
      <c r="M476" s="113"/>
      <c r="N476" s="113"/>
      <c r="P476" s="113"/>
      <c r="Q476" s="113"/>
      <c r="R476" s="113"/>
      <c r="T476" s="113"/>
      <c r="U476" s="113"/>
      <c r="V476" s="113"/>
    </row>
    <row r="477" customFormat="false" ht="15" hidden="false" customHeight="true" outlineLevel="0" collapsed="false">
      <c r="H477" s="113"/>
      <c r="I477" s="113"/>
      <c r="J477" s="113"/>
      <c r="L477" s="113"/>
      <c r="M477" s="113"/>
      <c r="N477" s="113"/>
      <c r="P477" s="113"/>
      <c r="Q477" s="113"/>
      <c r="R477" s="113"/>
      <c r="T477" s="113"/>
      <c r="U477" s="113"/>
      <c r="V477" s="113"/>
    </row>
    <row r="478" customFormat="false" ht="15" hidden="false" customHeight="true" outlineLevel="0" collapsed="false">
      <c r="H478" s="113"/>
      <c r="I478" s="113"/>
      <c r="J478" s="113"/>
      <c r="L478" s="113"/>
      <c r="M478" s="113"/>
      <c r="N478" s="113"/>
      <c r="P478" s="113"/>
      <c r="Q478" s="113"/>
      <c r="R478" s="113"/>
      <c r="T478" s="113"/>
      <c r="U478" s="113"/>
      <c r="V478" s="113"/>
    </row>
    <row r="479" customFormat="false" ht="15" hidden="false" customHeight="true" outlineLevel="0" collapsed="false">
      <c r="H479" s="113"/>
      <c r="I479" s="113"/>
      <c r="J479" s="113"/>
      <c r="L479" s="113"/>
      <c r="M479" s="113"/>
      <c r="N479" s="113"/>
      <c r="P479" s="113"/>
      <c r="Q479" s="113"/>
      <c r="R479" s="113"/>
      <c r="T479" s="113"/>
      <c r="U479" s="113"/>
      <c r="V479" s="113"/>
    </row>
    <row r="480" customFormat="false" ht="15" hidden="false" customHeight="true" outlineLevel="0" collapsed="false">
      <c r="H480" s="113"/>
      <c r="I480" s="113"/>
      <c r="J480" s="113"/>
      <c r="L480" s="113"/>
      <c r="M480" s="113"/>
      <c r="N480" s="113"/>
      <c r="P480" s="113"/>
      <c r="Q480" s="113"/>
      <c r="R480" s="113"/>
      <c r="T480" s="113"/>
      <c r="U480" s="113"/>
      <c r="V480" s="113"/>
    </row>
    <row r="481" customFormat="false" ht="15" hidden="false" customHeight="true" outlineLevel="0" collapsed="false">
      <c r="H481" s="113"/>
      <c r="I481" s="113"/>
      <c r="J481" s="113"/>
      <c r="L481" s="113"/>
      <c r="M481" s="113"/>
      <c r="N481" s="113"/>
      <c r="P481" s="113"/>
      <c r="Q481" s="113"/>
      <c r="R481" s="113"/>
      <c r="T481" s="113"/>
      <c r="U481" s="113"/>
      <c r="V481" s="113"/>
    </row>
    <row r="482" customFormat="false" ht="15" hidden="false" customHeight="true" outlineLevel="0" collapsed="false">
      <c r="H482" s="113"/>
      <c r="I482" s="113"/>
      <c r="J482" s="113"/>
      <c r="L482" s="113"/>
      <c r="M482" s="113"/>
      <c r="N482" s="113"/>
      <c r="P482" s="113"/>
      <c r="Q482" s="113"/>
      <c r="R482" s="113"/>
      <c r="T482" s="113"/>
      <c r="U482" s="113"/>
      <c r="V482" s="113"/>
    </row>
    <row r="483" customFormat="false" ht="15" hidden="false" customHeight="true" outlineLevel="0" collapsed="false">
      <c r="H483" s="113"/>
      <c r="I483" s="113"/>
      <c r="J483" s="113"/>
      <c r="L483" s="113"/>
      <c r="M483" s="113"/>
      <c r="N483" s="113"/>
      <c r="P483" s="113"/>
      <c r="Q483" s="113"/>
      <c r="R483" s="113"/>
      <c r="T483" s="113"/>
      <c r="U483" s="113"/>
      <c r="V483" s="113"/>
    </row>
    <row r="484" customFormat="false" ht="15" hidden="false" customHeight="true" outlineLevel="0" collapsed="false">
      <c r="H484" s="113"/>
      <c r="I484" s="113"/>
      <c r="J484" s="113"/>
      <c r="L484" s="113"/>
      <c r="M484" s="113"/>
      <c r="N484" s="113"/>
      <c r="P484" s="113"/>
      <c r="Q484" s="113"/>
      <c r="R484" s="113"/>
      <c r="T484" s="113"/>
      <c r="U484" s="113"/>
      <c r="V484" s="113"/>
    </row>
    <row r="485" customFormat="false" ht="15" hidden="false" customHeight="true" outlineLevel="0" collapsed="false">
      <c r="H485" s="113"/>
      <c r="I485" s="113"/>
      <c r="J485" s="113"/>
      <c r="L485" s="113"/>
      <c r="M485" s="113"/>
      <c r="N485" s="113"/>
      <c r="P485" s="113"/>
      <c r="Q485" s="113"/>
      <c r="R485" s="113"/>
      <c r="T485" s="113"/>
      <c r="U485" s="113"/>
      <c r="V485" s="113"/>
    </row>
    <row r="486" customFormat="false" ht="15" hidden="false" customHeight="true" outlineLevel="0" collapsed="false">
      <c r="H486" s="113"/>
      <c r="I486" s="113"/>
      <c r="J486" s="113"/>
      <c r="L486" s="113"/>
      <c r="M486" s="113"/>
      <c r="N486" s="113"/>
      <c r="P486" s="113"/>
      <c r="Q486" s="113"/>
      <c r="R486" s="113"/>
      <c r="T486" s="113"/>
      <c r="U486" s="113"/>
      <c r="V486" s="113"/>
    </row>
    <row r="487" customFormat="false" ht="15" hidden="false" customHeight="true" outlineLevel="0" collapsed="false">
      <c r="H487" s="113"/>
      <c r="I487" s="113"/>
      <c r="J487" s="113"/>
      <c r="L487" s="113"/>
      <c r="M487" s="113"/>
      <c r="N487" s="113"/>
      <c r="P487" s="113"/>
      <c r="Q487" s="113"/>
      <c r="R487" s="113"/>
      <c r="T487" s="113"/>
      <c r="U487" s="113"/>
      <c r="V487" s="113"/>
    </row>
    <row r="488" customFormat="false" ht="15" hidden="false" customHeight="true" outlineLevel="0" collapsed="false">
      <c r="H488" s="113"/>
      <c r="I488" s="113"/>
      <c r="J488" s="113"/>
      <c r="L488" s="113"/>
      <c r="M488" s="113"/>
      <c r="N488" s="113"/>
      <c r="P488" s="113"/>
      <c r="Q488" s="113"/>
      <c r="R488" s="113"/>
      <c r="T488" s="113"/>
      <c r="U488" s="113"/>
      <c r="V488" s="113"/>
    </row>
    <row r="489" customFormat="false" ht="15" hidden="false" customHeight="true" outlineLevel="0" collapsed="false">
      <c r="H489" s="113"/>
      <c r="I489" s="113"/>
      <c r="J489" s="113"/>
      <c r="L489" s="113"/>
      <c r="M489" s="113"/>
      <c r="N489" s="113"/>
      <c r="P489" s="113"/>
      <c r="Q489" s="113"/>
      <c r="R489" s="113"/>
      <c r="T489" s="113"/>
      <c r="U489" s="113"/>
      <c r="V489" s="113"/>
    </row>
    <row r="490" customFormat="false" ht="15" hidden="false" customHeight="true" outlineLevel="0" collapsed="false">
      <c r="H490" s="113"/>
      <c r="I490" s="113"/>
      <c r="J490" s="113"/>
      <c r="L490" s="113"/>
      <c r="M490" s="113"/>
      <c r="N490" s="113"/>
      <c r="P490" s="113"/>
      <c r="Q490" s="113"/>
      <c r="R490" s="113"/>
      <c r="T490" s="113"/>
      <c r="U490" s="113"/>
      <c r="V490" s="113"/>
    </row>
    <row r="491" customFormat="false" ht="15" hidden="false" customHeight="true" outlineLevel="0" collapsed="false">
      <c r="H491" s="113"/>
      <c r="I491" s="113"/>
      <c r="J491" s="113"/>
      <c r="L491" s="113"/>
      <c r="M491" s="113"/>
      <c r="N491" s="113"/>
      <c r="P491" s="113"/>
      <c r="Q491" s="113"/>
      <c r="R491" s="113"/>
      <c r="T491" s="113"/>
      <c r="U491" s="113"/>
      <c r="V491" s="113"/>
    </row>
    <row r="492" customFormat="false" ht="15" hidden="false" customHeight="true" outlineLevel="0" collapsed="false">
      <c r="H492" s="113"/>
      <c r="I492" s="113"/>
      <c r="J492" s="113"/>
      <c r="L492" s="113"/>
      <c r="M492" s="113"/>
      <c r="N492" s="113"/>
      <c r="P492" s="113"/>
      <c r="Q492" s="113"/>
      <c r="R492" s="113"/>
      <c r="T492" s="113"/>
      <c r="U492" s="113"/>
      <c r="V492" s="113"/>
    </row>
    <row r="493" customFormat="false" ht="15" hidden="false" customHeight="true" outlineLevel="0" collapsed="false">
      <c r="H493" s="113"/>
      <c r="I493" s="113"/>
      <c r="J493" s="113"/>
      <c r="L493" s="113"/>
      <c r="M493" s="113"/>
      <c r="N493" s="113"/>
      <c r="P493" s="113"/>
      <c r="Q493" s="113"/>
      <c r="R493" s="113"/>
      <c r="T493" s="113"/>
      <c r="U493" s="113"/>
      <c r="V493" s="113"/>
    </row>
    <row r="494" customFormat="false" ht="15" hidden="false" customHeight="true" outlineLevel="0" collapsed="false">
      <c r="H494" s="113"/>
      <c r="I494" s="113"/>
      <c r="J494" s="113"/>
      <c r="L494" s="113"/>
      <c r="M494" s="113"/>
      <c r="N494" s="113"/>
      <c r="P494" s="113"/>
      <c r="Q494" s="113"/>
      <c r="R494" s="113"/>
      <c r="T494" s="113"/>
      <c r="U494" s="113"/>
      <c r="V494" s="113"/>
    </row>
    <row r="495" customFormat="false" ht="15" hidden="false" customHeight="true" outlineLevel="0" collapsed="false">
      <c r="H495" s="113"/>
      <c r="I495" s="113"/>
      <c r="J495" s="113"/>
      <c r="L495" s="113"/>
      <c r="M495" s="113"/>
      <c r="N495" s="113"/>
      <c r="P495" s="113"/>
      <c r="Q495" s="113"/>
      <c r="R495" s="113"/>
      <c r="T495" s="113"/>
      <c r="U495" s="113"/>
      <c r="V495" s="113"/>
    </row>
    <row r="496" customFormat="false" ht="15" hidden="false" customHeight="true" outlineLevel="0" collapsed="false">
      <c r="H496" s="113"/>
      <c r="I496" s="113"/>
      <c r="J496" s="113"/>
      <c r="L496" s="113"/>
      <c r="M496" s="113"/>
      <c r="N496" s="113"/>
      <c r="P496" s="113"/>
      <c r="Q496" s="113"/>
      <c r="R496" s="113"/>
      <c r="T496" s="113"/>
      <c r="U496" s="113"/>
      <c r="V496" s="113"/>
    </row>
    <row r="497" customFormat="false" ht="15" hidden="false" customHeight="true" outlineLevel="0" collapsed="false">
      <c r="H497" s="113"/>
      <c r="I497" s="113"/>
      <c r="J497" s="113"/>
      <c r="L497" s="113"/>
      <c r="M497" s="113"/>
      <c r="N497" s="113"/>
      <c r="P497" s="113"/>
      <c r="Q497" s="113"/>
      <c r="R497" s="113"/>
      <c r="T497" s="113"/>
      <c r="U497" s="113"/>
      <c r="V497" s="113"/>
    </row>
    <row r="498" customFormat="false" ht="15" hidden="false" customHeight="true" outlineLevel="0" collapsed="false">
      <c r="H498" s="113"/>
      <c r="I498" s="113"/>
      <c r="J498" s="113"/>
      <c r="L498" s="113"/>
      <c r="M498" s="113"/>
      <c r="N498" s="113"/>
      <c r="P498" s="113"/>
      <c r="Q498" s="113"/>
      <c r="R498" s="113"/>
      <c r="T498" s="113"/>
      <c r="U498" s="113"/>
      <c r="V498" s="113"/>
    </row>
    <row r="499" customFormat="false" ht="15" hidden="false" customHeight="true" outlineLevel="0" collapsed="false">
      <c r="H499" s="113"/>
      <c r="I499" s="113"/>
      <c r="J499" s="113"/>
      <c r="L499" s="113"/>
      <c r="M499" s="113"/>
      <c r="N499" s="113"/>
      <c r="P499" s="113"/>
      <c r="Q499" s="113"/>
      <c r="R499" s="113"/>
      <c r="T499" s="113"/>
      <c r="U499" s="113"/>
      <c r="V499" s="113"/>
    </row>
    <row r="500" customFormat="false" ht="15" hidden="false" customHeight="true" outlineLevel="0" collapsed="false">
      <c r="H500" s="113"/>
      <c r="I500" s="113"/>
      <c r="J500" s="113"/>
      <c r="L500" s="113"/>
      <c r="M500" s="113"/>
      <c r="N500" s="113"/>
      <c r="P500" s="113"/>
      <c r="Q500" s="113"/>
      <c r="R500" s="113"/>
      <c r="T500" s="113"/>
      <c r="U500" s="113"/>
      <c r="V500" s="113"/>
    </row>
    <row r="501" customFormat="false" ht="15" hidden="false" customHeight="true" outlineLevel="0" collapsed="false">
      <c r="H501" s="113"/>
      <c r="I501" s="113"/>
      <c r="J501" s="113"/>
      <c r="L501" s="113"/>
      <c r="M501" s="113"/>
      <c r="N501" s="113"/>
      <c r="P501" s="113"/>
      <c r="Q501" s="113"/>
      <c r="R501" s="113"/>
      <c r="T501" s="113"/>
      <c r="U501" s="113"/>
      <c r="V501" s="113"/>
    </row>
    <row r="502" customFormat="false" ht="15" hidden="false" customHeight="true" outlineLevel="0" collapsed="false">
      <c r="H502" s="113"/>
      <c r="I502" s="113"/>
      <c r="J502" s="113"/>
      <c r="L502" s="113"/>
      <c r="M502" s="113"/>
      <c r="N502" s="113"/>
      <c r="P502" s="113"/>
      <c r="Q502" s="113"/>
      <c r="R502" s="113"/>
      <c r="T502" s="113"/>
      <c r="U502" s="113"/>
      <c r="V502" s="113"/>
    </row>
    <row r="503" customFormat="false" ht="15" hidden="false" customHeight="true" outlineLevel="0" collapsed="false">
      <c r="H503" s="113"/>
      <c r="I503" s="113"/>
      <c r="J503" s="113"/>
      <c r="L503" s="113"/>
      <c r="M503" s="113"/>
      <c r="N503" s="113"/>
      <c r="P503" s="113"/>
      <c r="Q503" s="113"/>
      <c r="R503" s="113"/>
      <c r="T503" s="113"/>
      <c r="U503" s="113"/>
      <c r="V503" s="113"/>
    </row>
    <row r="504" customFormat="false" ht="15" hidden="false" customHeight="true" outlineLevel="0" collapsed="false">
      <c r="H504" s="113"/>
      <c r="I504" s="113"/>
      <c r="J504" s="113"/>
      <c r="L504" s="113"/>
      <c r="M504" s="113"/>
      <c r="N504" s="113"/>
      <c r="P504" s="113"/>
      <c r="Q504" s="113"/>
      <c r="R504" s="113"/>
      <c r="T504" s="113"/>
      <c r="U504" s="113"/>
      <c r="V504" s="113"/>
    </row>
    <row r="505" customFormat="false" ht="15" hidden="false" customHeight="true" outlineLevel="0" collapsed="false">
      <c r="H505" s="113"/>
      <c r="I505" s="113"/>
      <c r="J505" s="113"/>
      <c r="L505" s="113"/>
      <c r="M505" s="113"/>
      <c r="N505" s="113"/>
      <c r="P505" s="113"/>
      <c r="Q505" s="113"/>
      <c r="R505" s="113"/>
      <c r="T505" s="113"/>
      <c r="U505" s="113"/>
      <c r="V505" s="113"/>
    </row>
    <row r="506" customFormat="false" ht="15" hidden="false" customHeight="true" outlineLevel="0" collapsed="false">
      <c r="H506" s="113"/>
      <c r="I506" s="113"/>
      <c r="J506" s="113"/>
      <c r="L506" s="113"/>
      <c r="M506" s="113"/>
      <c r="N506" s="113"/>
      <c r="P506" s="113"/>
      <c r="Q506" s="113"/>
      <c r="R506" s="113"/>
      <c r="T506" s="113"/>
      <c r="U506" s="113"/>
      <c r="V506" s="113"/>
    </row>
    <row r="507" customFormat="false" ht="15" hidden="false" customHeight="true" outlineLevel="0" collapsed="false">
      <c r="H507" s="113"/>
      <c r="I507" s="113"/>
      <c r="J507" s="113"/>
      <c r="L507" s="113"/>
      <c r="M507" s="113"/>
      <c r="N507" s="113"/>
      <c r="P507" s="113"/>
      <c r="Q507" s="113"/>
      <c r="R507" s="113"/>
      <c r="T507" s="113"/>
      <c r="U507" s="113"/>
      <c r="V507" s="113"/>
    </row>
    <row r="508" customFormat="false" ht="15" hidden="false" customHeight="true" outlineLevel="0" collapsed="false">
      <c r="H508" s="113"/>
      <c r="I508" s="113"/>
      <c r="J508" s="113"/>
      <c r="L508" s="113"/>
      <c r="M508" s="113"/>
      <c r="N508" s="113"/>
      <c r="P508" s="113"/>
      <c r="Q508" s="113"/>
      <c r="R508" s="113"/>
      <c r="T508" s="113"/>
      <c r="U508" s="113"/>
      <c r="V508" s="113"/>
    </row>
    <row r="509" customFormat="false" ht="15" hidden="false" customHeight="true" outlineLevel="0" collapsed="false">
      <c r="H509" s="113"/>
      <c r="I509" s="113"/>
      <c r="J509" s="113"/>
      <c r="L509" s="113"/>
      <c r="M509" s="113"/>
      <c r="N509" s="113"/>
      <c r="P509" s="113"/>
      <c r="Q509" s="113"/>
      <c r="R509" s="113"/>
      <c r="T509" s="113"/>
      <c r="U509" s="113"/>
      <c r="V509" s="113"/>
    </row>
    <row r="510" customFormat="false" ht="15" hidden="false" customHeight="true" outlineLevel="0" collapsed="false">
      <c r="H510" s="113"/>
      <c r="I510" s="113"/>
      <c r="J510" s="113"/>
      <c r="L510" s="113"/>
      <c r="M510" s="113"/>
      <c r="N510" s="113"/>
      <c r="P510" s="113"/>
      <c r="Q510" s="113"/>
      <c r="R510" s="113"/>
      <c r="T510" s="113"/>
      <c r="U510" s="113"/>
      <c r="V510" s="113"/>
    </row>
    <row r="511" customFormat="false" ht="15" hidden="false" customHeight="true" outlineLevel="0" collapsed="false">
      <c r="H511" s="113"/>
      <c r="I511" s="113"/>
      <c r="J511" s="113"/>
      <c r="L511" s="113"/>
      <c r="M511" s="113"/>
      <c r="N511" s="113"/>
      <c r="P511" s="113"/>
      <c r="Q511" s="113"/>
      <c r="R511" s="113"/>
      <c r="T511" s="113"/>
      <c r="U511" s="113"/>
      <c r="V511" s="113"/>
    </row>
    <row r="512" customFormat="false" ht="15" hidden="false" customHeight="true" outlineLevel="0" collapsed="false">
      <c r="H512" s="113"/>
      <c r="I512" s="113"/>
      <c r="J512" s="113"/>
      <c r="L512" s="113"/>
      <c r="M512" s="113"/>
      <c r="N512" s="113"/>
      <c r="P512" s="113"/>
      <c r="Q512" s="113"/>
      <c r="R512" s="113"/>
      <c r="T512" s="113"/>
      <c r="U512" s="113"/>
      <c r="V512" s="113"/>
    </row>
    <row r="513" customFormat="false" ht="15" hidden="false" customHeight="true" outlineLevel="0" collapsed="false">
      <c r="H513" s="113"/>
      <c r="I513" s="113"/>
      <c r="J513" s="113"/>
      <c r="L513" s="113"/>
      <c r="M513" s="113"/>
      <c r="N513" s="113"/>
      <c r="P513" s="113"/>
      <c r="Q513" s="113"/>
      <c r="R513" s="113"/>
      <c r="T513" s="113"/>
      <c r="U513" s="113"/>
      <c r="V513" s="113"/>
    </row>
    <row r="514" customFormat="false" ht="15" hidden="false" customHeight="true" outlineLevel="0" collapsed="false">
      <c r="H514" s="113"/>
      <c r="I514" s="113"/>
      <c r="J514" s="113"/>
      <c r="L514" s="113"/>
      <c r="M514" s="113"/>
      <c r="N514" s="113"/>
      <c r="P514" s="113"/>
      <c r="Q514" s="113"/>
      <c r="R514" s="113"/>
      <c r="T514" s="113"/>
      <c r="U514" s="113"/>
      <c r="V514" s="113"/>
    </row>
    <row r="515" customFormat="false" ht="15" hidden="false" customHeight="true" outlineLevel="0" collapsed="false">
      <c r="H515" s="113"/>
      <c r="I515" s="113"/>
      <c r="J515" s="113"/>
      <c r="L515" s="113"/>
      <c r="M515" s="113"/>
      <c r="N515" s="113"/>
      <c r="P515" s="113"/>
      <c r="Q515" s="113"/>
      <c r="R515" s="113"/>
      <c r="T515" s="113"/>
      <c r="U515" s="113"/>
      <c r="V515" s="113"/>
    </row>
    <row r="516" customFormat="false" ht="15" hidden="false" customHeight="true" outlineLevel="0" collapsed="false">
      <c r="H516" s="113"/>
      <c r="I516" s="113"/>
      <c r="J516" s="113"/>
      <c r="L516" s="113"/>
      <c r="M516" s="113"/>
      <c r="N516" s="113"/>
      <c r="P516" s="113"/>
      <c r="Q516" s="113"/>
      <c r="R516" s="113"/>
      <c r="T516" s="113"/>
      <c r="U516" s="113"/>
      <c r="V516" s="113"/>
    </row>
    <row r="517" customFormat="false" ht="15" hidden="false" customHeight="true" outlineLevel="0" collapsed="false">
      <c r="H517" s="113"/>
      <c r="I517" s="113"/>
      <c r="J517" s="113"/>
      <c r="L517" s="113"/>
      <c r="M517" s="113"/>
      <c r="N517" s="113"/>
      <c r="P517" s="113"/>
      <c r="Q517" s="113"/>
      <c r="R517" s="113"/>
      <c r="T517" s="113"/>
      <c r="U517" s="113"/>
      <c r="V517" s="113"/>
    </row>
    <row r="518" customFormat="false" ht="15" hidden="false" customHeight="true" outlineLevel="0" collapsed="false">
      <c r="H518" s="113"/>
      <c r="I518" s="113"/>
      <c r="J518" s="113"/>
      <c r="L518" s="113"/>
      <c r="M518" s="113"/>
      <c r="N518" s="113"/>
      <c r="P518" s="113"/>
      <c r="Q518" s="113"/>
      <c r="R518" s="113"/>
      <c r="T518" s="113"/>
      <c r="U518" s="113"/>
      <c r="V518" s="113"/>
    </row>
    <row r="519" customFormat="false" ht="15" hidden="false" customHeight="true" outlineLevel="0" collapsed="false">
      <c r="H519" s="113"/>
      <c r="I519" s="113"/>
      <c r="J519" s="113"/>
      <c r="L519" s="113"/>
      <c r="M519" s="113"/>
      <c r="N519" s="113"/>
      <c r="P519" s="113"/>
      <c r="Q519" s="113"/>
      <c r="R519" s="113"/>
      <c r="T519" s="113"/>
      <c r="U519" s="113"/>
      <c r="V519" s="113"/>
    </row>
    <row r="520" customFormat="false" ht="15" hidden="false" customHeight="true" outlineLevel="0" collapsed="false">
      <c r="H520" s="113"/>
      <c r="I520" s="113"/>
      <c r="J520" s="113"/>
      <c r="L520" s="113"/>
      <c r="M520" s="113"/>
      <c r="N520" s="113"/>
      <c r="P520" s="113"/>
      <c r="Q520" s="113"/>
      <c r="R520" s="113"/>
      <c r="T520" s="113"/>
      <c r="U520" s="113"/>
      <c r="V520" s="113"/>
    </row>
    <row r="521" customFormat="false" ht="15" hidden="false" customHeight="true" outlineLevel="0" collapsed="false">
      <c r="H521" s="113"/>
      <c r="I521" s="113"/>
      <c r="J521" s="113"/>
      <c r="L521" s="113"/>
      <c r="M521" s="113"/>
      <c r="N521" s="113"/>
      <c r="P521" s="113"/>
      <c r="Q521" s="113"/>
      <c r="R521" s="113"/>
      <c r="T521" s="113"/>
      <c r="U521" s="113"/>
      <c r="V521" s="113"/>
    </row>
    <row r="522" customFormat="false" ht="15" hidden="false" customHeight="true" outlineLevel="0" collapsed="false">
      <c r="H522" s="113"/>
      <c r="I522" s="113"/>
      <c r="J522" s="113"/>
      <c r="L522" s="113"/>
      <c r="M522" s="113"/>
      <c r="N522" s="113"/>
      <c r="P522" s="113"/>
      <c r="Q522" s="113"/>
      <c r="R522" s="113"/>
      <c r="T522" s="113"/>
      <c r="U522" s="113"/>
      <c r="V522" s="113"/>
    </row>
    <row r="523" customFormat="false" ht="15" hidden="false" customHeight="true" outlineLevel="0" collapsed="false">
      <c r="H523" s="113"/>
      <c r="I523" s="113"/>
      <c r="J523" s="113"/>
      <c r="L523" s="113"/>
      <c r="M523" s="113"/>
      <c r="N523" s="113"/>
      <c r="P523" s="113"/>
      <c r="Q523" s="113"/>
      <c r="R523" s="113"/>
      <c r="T523" s="113"/>
      <c r="U523" s="113"/>
      <c r="V523" s="113"/>
    </row>
    <row r="524" customFormat="false" ht="15" hidden="false" customHeight="true" outlineLevel="0" collapsed="false">
      <c r="H524" s="113"/>
      <c r="I524" s="113"/>
      <c r="J524" s="113"/>
      <c r="L524" s="113"/>
      <c r="M524" s="113"/>
      <c r="N524" s="113"/>
      <c r="P524" s="113"/>
      <c r="Q524" s="113"/>
      <c r="R524" s="113"/>
      <c r="T524" s="113"/>
      <c r="U524" s="113"/>
      <c r="V524" s="113"/>
    </row>
    <row r="525" customFormat="false" ht="15" hidden="false" customHeight="true" outlineLevel="0" collapsed="false">
      <c r="H525" s="113"/>
      <c r="I525" s="113"/>
      <c r="J525" s="113"/>
      <c r="L525" s="113"/>
      <c r="M525" s="113"/>
      <c r="N525" s="113"/>
      <c r="P525" s="113"/>
      <c r="Q525" s="113"/>
      <c r="R525" s="113"/>
      <c r="T525" s="113"/>
      <c r="U525" s="113"/>
      <c r="V525" s="113"/>
    </row>
    <row r="526" customFormat="false" ht="15" hidden="false" customHeight="true" outlineLevel="0" collapsed="false">
      <c r="H526" s="113"/>
      <c r="I526" s="113"/>
      <c r="J526" s="113"/>
      <c r="L526" s="113"/>
      <c r="M526" s="113"/>
      <c r="N526" s="113"/>
      <c r="P526" s="113"/>
      <c r="Q526" s="113"/>
      <c r="R526" s="113"/>
      <c r="T526" s="113"/>
      <c r="U526" s="113"/>
      <c r="V526" s="113"/>
    </row>
    <row r="527" customFormat="false" ht="15" hidden="false" customHeight="true" outlineLevel="0" collapsed="false">
      <c r="H527" s="113"/>
      <c r="I527" s="113"/>
      <c r="J527" s="113"/>
      <c r="L527" s="113"/>
      <c r="M527" s="113"/>
      <c r="N527" s="113"/>
      <c r="P527" s="113"/>
      <c r="Q527" s="113"/>
      <c r="R527" s="113"/>
      <c r="T527" s="113"/>
      <c r="U527" s="113"/>
      <c r="V527" s="113"/>
    </row>
    <row r="528" customFormat="false" ht="15" hidden="false" customHeight="true" outlineLevel="0" collapsed="false">
      <c r="H528" s="113"/>
      <c r="I528" s="113"/>
      <c r="J528" s="113"/>
      <c r="L528" s="113"/>
      <c r="M528" s="113"/>
      <c r="N528" s="113"/>
      <c r="P528" s="113"/>
      <c r="Q528" s="113"/>
      <c r="R528" s="113"/>
      <c r="T528" s="113"/>
      <c r="U528" s="113"/>
      <c r="V528" s="113"/>
    </row>
    <row r="529" customFormat="false" ht="15" hidden="false" customHeight="true" outlineLevel="0" collapsed="false">
      <c r="H529" s="113"/>
      <c r="I529" s="113"/>
      <c r="J529" s="113"/>
      <c r="L529" s="113"/>
      <c r="M529" s="113"/>
      <c r="N529" s="113"/>
      <c r="P529" s="113"/>
      <c r="Q529" s="113"/>
      <c r="R529" s="113"/>
      <c r="T529" s="113"/>
      <c r="U529" s="113"/>
      <c r="V529" s="113"/>
    </row>
    <row r="530" customFormat="false" ht="15" hidden="false" customHeight="true" outlineLevel="0" collapsed="false">
      <c r="H530" s="113"/>
      <c r="I530" s="113"/>
      <c r="J530" s="113"/>
      <c r="L530" s="113"/>
      <c r="M530" s="113"/>
      <c r="N530" s="113"/>
      <c r="P530" s="113"/>
      <c r="Q530" s="113"/>
      <c r="R530" s="113"/>
      <c r="T530" s="113"/>
      <c r="U530" s="113"/>
      <c r="V530" s="113"/>
    </row>
    <row r="531" customFormat="false" ht="15" hidden="false" customHeight="true" outlineLevel="0" collapsed="false">
      <c r="H531" s="113"/>
      <c r="I531" s="113"/>
      <c r="J531" s="113"/>
      <c r="L531" s="113"/>
      <c r="M531" s="113"/>
      <c r="N531" s="113"/>
      <c r="P531" s="113"/>
      <c r="Q531" s="113"/>
      <c r="R531" s="113"/>
      <c r="T531" s="113"/>
      <c r="U531" s="113"/>
      <c r="V531" s="113"/>
    </row>
    <row r="532" customFormat="false" ht="15" hidden="false" customHeight="true" outlineLevel="0" collapsed="false">
      <c r="H532" s="113"/>
      <c r="I532" s="113"/>
      <c r="J532" s="113"/>
      <c r="L532" s="113"/>
      <c r="M532" s="113"/>
      <c r="N532" s="113"/>
      <c r="P532" s="113"/>
      <c r="Q532" s="113"/>
      <c r="R532" s="113"/>
      <c r="T532" s="113"/>
      <c r="U532" s="113"/>
      <c r="V532" s="113"/>
    </row>
    <row r="533" customFormat="false" ht="15" hidden="false" customHeight="true" outlineLevel="0" collapsed="false">
      <c r="H533" s="113"/>
      <c r="I533" s="113"/>
      <c r="J533" s="113"/>
      <c r="L533" s="113"/>
      <c r="M533" s="113"/>
      <c r="N533" s="113"/>
      <c r="P533" s="113"/>
      <c r="Q533" s="113"/>
      <c r="R533" s="113"/>
      <c r="T533" s="113"/>
      <c r="U533" s="113"/>
      <c r="V533" s="113"/>
    </row>
    <row r="534" customFormat="false" ht="15" hidden="false" customHeight="true" outlineLevel="0" collapsed="false">
      <c r="H534" s="113"/>
      <c r="I534" s="113"/>
      <c r="J534" s="113"/>
      <c r="L534" s="113"/>
      <c r="M534" s="113"/>
      <c r="N534" s="113"/>
      <c r="P534" s="113"/>
      <c r="Q534" s="113"/>
      <c r="R534" s="113"/>
      <c r="T534" s="113"/>
      <c r="U534" s="113"/>
      <c r="V534" s="113"/>
    </row>
    <row r="535" customFormat="false" ht="15" hidden="false" customHeight="true" outlineLevel="0" collapsed="false">
      <c r="H535" s="113"/>
      <c r="I535" s="113"/>
      <c r="J535" s="113"/>
      <c r="L535" s="113"/>
      <c r="M535" s="113"/>
      <c r="N535" s="113"/>
      <c r="P535" s="113"/>
      <c r="Q535" s="113"/>
      <c r="R535" s="113"/>
      <c r="T535" s="113"/>
      <c r="U535" s="113"/>
      <c r="V535" s="113"/>
    </row>
    <row r="536" customFormat="false" ht="15" hidden="false" customHeight="true" outlineLevel="0" collapsed="false">
      <c r="H536" s="113"/>
      <c r="I536" s="113"/>
      <c r="J536" s="113"/>
      <c r="L536" s="113"/>
      <c r="M536" s="113"/>
      <c r="N536" s="113"/>
      <c r="P536" s="113"/>
      <c r="Q536" s="113"/>
      <c r="R536" s="113"/>
      <c r="T536" s="113"/>
      <c r="U536" s="113"/>
      <c r="V536" s="113"/>
    </row>
    <row r="537" customFormat="false" ht="15" hidden="false" customHeight="true" outlineLevel="0" collapsed="false">
      <c r="H537" s="113"/>
      <c r="I537" s="113"/>
      <c r="J537" s="113"/>
      <c r="L537" s="113"/>
      <c r="M537" s="113"/>
      <c r="N537" s="113"/>
      <c r="P537" s="113"/>
      <c r="Q537" s="113"/>
      <c r="R537" s="113"/>
      <c r="T537" s="113"/>
      <c r="U537" s="113"/>
      <c r="V537" s="113"/>
    </row>
    <row r="538" customFormat="false" ht="15" hidden="false" customHeight="true" outlineLevel="0" collapsed="false">
      <c r="H538" s="113"/>
      <c r="I538" s="113"/>
      <c r="J538" s="113"/>
      <c r="L538" s="113"/>
      <c r="M538" s="113"/>
      <c r="N538" s="113"/>
      <c r="P538" s="113"/>
      <c r="Q538" s="113"/>
      <c r="R538" s="113"/>
      <c r="T538" s="113"/>
      <c r="U538" s="113"/>
      <c r="V538" s="113"/>
    </row>
    <row r="539" customFormat="false" ht="15" hidden="false" customHeight="true" outlineLevel="0" collapsed="false">
      <c r="H539" s="113"/>
      <c r="I539" s="113"/>
      <c r="J539" s="113"/>
      <c r="L539" s="113"/>
      <c r="M539" s="113"/>
      <c r="N539" s="113"/>
      <c r="P539" s="113"/>
      <c r="Q539" s="113"/>
      <c r="R539" s="113"/>
      <c r="T539" s="113"/>
      <c r="U539" s="113"/>
      <c r="V539" s="113"/>
    </row>
    <row r="540" customFormat="false" ht="15" hidden="false" customHeight="true" outlineLevel="0" collapsed="false">
      <c r="H540" s="113"/>
      <c r="I540" s="113"/>
      <c r="J540" s="113"/>
      <c r="L540" s="113"/>
      <c r="M540" s="113"/>
      <c r="N540" s="113"/>
      <c r="P540" s="113"/>
      <c r="Q540" s="113"/>
      <c r="R540" s="113"/>
      <c r="T540" s="113"/>
      <c r="U540" s="113"/>
      <c r="V540" s="113"/>
    </row>
    <row r="541" customFormat="false" ht="15" hidden="false" customHeight="true" outlineLevel="0" collapsed="false">
      <c r="H541" s="113"/>
      <c r="I541" s="113"/>
      <c r="J541" s="113"/>
      <c r="L541" s="113"/>
      <c r="M541" s="113"/>
      <c r="N541" s="113"/>
      <c r="P541" s="113"/>
      <c r="Q541" s="113"/>
      <c r="R541" s="113"/>
      <c r="T541" s="113"/>
      <c r="U541" s="113"/>
      <c r="V541" s="113"/>
    </row>
    <row r="542" customFormat="false" ht="15" hidden="false" customHeight="true" outlineLevel="0" collapsed="false">
      <c r="H542" s="113"/>
      <c r="I542" s="113"/>
      <c r="J542" s="113"/>
      <c r="L542" s="113"/>
      <c r="M542" s="113"/>
      <c r="N542" s="113"/>
      <c r="P542" s="113"/>
      <c r="Q542" s="113"/>
      <c r="R542" s="113"/>
      <c r="T542" s="113"/>
      <c r="U542" s="113"/>
      <c r="V542" s="113"/>
    </row>
    <row r="543" customFormat="false" ht="15" hidden="false" customHeight="true" outlineLevel="0" collapsed="false">
      <c r="H543" s="113"/>
      <c r="I543" s="113"/>
      <c r="J543" s="113"/>
      <c r="L543" s="113"/>
      <c r="M543" s="113"/>
      <c r="N543" s="113"/>
      <c r="P543" s="113"/>
      <c r="Q543" s="113"/>
      <c r="R543" s="113"/>
      <c r="T543" s="113"/>
      <c r="U543" s="113"/>
      <c r="V543" s="113"/>
    </row>
    <row r="544" customFormat="false" ht="15" hidden="false" customHeight="true" outlineLevel="0" collapsed="false">
      <c r="H544" s="113"/>
      <c r="I544" s="113"/>
      <c r="J544" s="113"/>
      <c r="L544" s="113"/>
      <c r="M544" s="113"/>
      <c r="N544" s="113"/>
      <c r="P544" s="113"/>
      <c r="Q544" s="113"/>
      <c r="R544" s="113"/>
      <c r="T544" s="113"/>
      <c r="U544" s="113"/>
      <c r="V544" s="113"/>
    </row>
    <row r="545" customFormat="false" ht="15" hidden="false" customHeight="true" outlineLevel="0" collapsed="false">
      <c r="H545" s="113"/>
      <c r="I545" s="113"/>
      <c r="J545" s="113"/>
      <c r="L545" s="113"/>
      <c r="M545" s="113"/>
      <c r="N545" s="113"/>
      <c r="P545" s="113"/>
      <c r="Q545" s="113"/>
      <c r="R545" s="113"/>
      <c r="T545" s="113"/>
      <c r="U545" s="113"/>
      <c r="V545" s="113"/>
    </row>
    <row r="546" customFormat="false" ht="15" hidden="false" customHeight="true" outlineLevel="0" collapsed="false">
      <c r="H546" s="113"/>
      <c r="I546" s="113"/>
      <c r="J546" s="113"/>
      <c r="L546" s="113"/>
      <c r="M546" s="113"/>
      <c r="N546" s="113"/>
      <c r="P546" s="113"/>
      <c r="Q546" s="113"/>
      <c r="R546" s="113"/>
      <c r="T546" s="113"/>
      <c r="U546" s="113"/>
      <c r="V546" s="113"/>
    </row>
    <row r="547" customFormat="false" ht="15" hidden="false" customHeight="true" outlineLevel="0" collapsed="false">
      <c r="H547" s="113"/>
      <c r="I547" s="113"/>
      <c r="J547" s="113"/>
      <c r="L547" s="113"/>
      <c r="M547" s="113"/>
      <c r="N547" s="113"/>
      <c r="P547" s="113"/>
      <c r="Q547" s="113"/>
      <c r="R547" s="113"/>
      <c r="T547" s="113"/>
      <c r="U547" s="113"/>
      <c r="V547" s="113"/>
    </row>
    <row r="548" customFormat="false" ht="15" hidden="false" customHeight="true" outlineLevel="0" collapsed="false">
      <c r="H548" s="113"/>
      <c r="I548" s="113"/>
      <c r="J548" s="113"/>
      <c r="L548" s="113"/>
      <c r="M548" s="113"/>
      <c r="N548" s="113"/>
      <c r="P548" s="113"/>
      <c r="Q548" s="113"/>
      <c r="R548" s="113"/>
      <c r="T548" s="113"/>
      <c r="U548" s="113"/>
      <c r="V548" s="113"/>
    </row>
    <row r="549" customFormat="false" ht="15" hidden="false" customHeight="true" outlineLevel="0" collapsed="false">
      <c r="H549" s="113"/>
      <c r="I549" s="113"/>
      <c r="J549" s="113"/>
      <c r="L549" s="113"/>
      <c r="M549" s="113"/>
      <c r="N549" s="113"/>
      <c r="P549" s="113"/>
      <c r="Q549" s="113"/>
      <c r="R549" s="113"/>
      <c r="T549" s="113"/>
      <c r="U549" s="113"/>
      <c r="V549" s="113"/>
    </row>
    <row r="550" customFormat="false" ht="15" hidden="false" customHeight="true" outlineLevel="0" collapsed="false">
      <c r="H550" s="113"/>
      <c r="I550" s="113"/>
      <c r="J550" s="113"/>
      <c r="L550" s="113"/>
      <c r="M550" s="113"/>
      <c r="N550" s="113"/>
      <c r="P550" s="113"/>
      <c r="Q550" s="113"/>
      <c r="R550" s="113"/>
      <c r="T550" s="113"/>
      <c r="U550" s="113"/>
      <c r="V550" s="113"/>
    </row>
    <row r="551" customFormat="false" ht="15" hidden="false" customHeight="true" outlineLevel="0" collapsed="false">
      <c r="H551" s="113"/>
      <c r="I551" s="113"/>
      <c r="J551" s="113"/>
      <c r="L551" s="113"/>
      <c r="M551" s="113"/>
      <c r="N551" s="113"/>
      <c r="P551" s="113"/>
      <c r="Q551" s="113"/>
      <c r="R551" s="113"/>
      <c r="T551" s="113"/>
      <c r="U551" s="113"/>
      <c r="V551" s="113"/>
    </row>
    <row r="552" customFormat="false" ht="15" hidden="false" customHeight="true" outlineLevel="0" collapsed="false">
      <c r="H552" s="113"/>
      <c r="I552" s="113"/>
      <c r="J552" s="113"/>
      <c r="L552" s="113"/>
      <c r="M552" s="113"/>
      <c r="N552" s="113"/>
      <c r="P552" s="113"/>
      <c r="Q552" s="113"/>
      <c r="R552" s="113"/>
      <c r="T552" s="113"/>
      <c r="U552" s="113"/>
      <c r="V552" s="113"/>
    </row>
    <row r="553" customFormat="false" ht="15" hidden="false" customHeight="true" outlineLevel="0" collapsed="false">
      <c r="H553" s="113"/>
      <c r="I553" s="113"/>
      <c r="J553" s="113"/>
      <c r="L553" s="113"/>
      <c r="M553" s="113"/>
      <c r="N553" s="113"/>
      <c r="P553" s="113"/>
      <c r="Q553" s="113"/>
      <c r="R553" s="113"/>
      <c r="T553" s="113"/>
      <c r="U553" s="113"/>
      <c r="V553" s="113"/>
    </row>
    <row r="554" customFormat="false" ht="15" hidden="false" customHeight="true" outlineLevel="0" collapsed="false">
      <c r="H554" s="113"/>
      <c r="I554" s="113"/>
      <c r="J554" s="113"/>
      <c r="L554" s="113"/>
      <c r="M554" s="113"/>
      <c r="N554" s="113"/>
      <c r="P554" s="113"/>
      <c r="Q554" s="113"/>
      <c r="R554" s="113"/>
      <c r="T554" s="113"/>
      <c r="U554" s="113"/>
      <c r="V554" s="113"/>
    </row>
    <row r="555" customFormat="false" ht="15" hidden="false" customHeight="true" outlineLevel="0" collapsed="false">
      <c r="H555" s="113"/>
      <c r="I555" s="113"/>
      <c r="J555" s="113"/>
      <c r="L555" s="113"/>
      <c r="M555" s="113"/>
      <c r="N555" s="113"/>
      <c r="P555" s="113"/>
      <c r="Q555" s="113"/>
      <c r="R555" s="113"/>
      <c r="T555" s="113"/>
      <c r="U555" s="113"/>
      <c r="V555" s="113"/>
    </row>
    <row r="556" customFormat="false" ht="15" hidden="false" customHeight="true" outlineLevel="0" collapsed="false">
      <c r="H556" s="113"/>
      <c r="I556" s="113"/>
      <c r="J556" s="113"/>
      <c r="L556" s="113"/>
      <c r="M556" s="113"/>
      <c r="N556" s="113"/>
      <c r="P556" s="113"/>
      <c r="Q556" s="113"/>
      <c r="R556" s="113"/>
      <c r="T556" s="113"/>
      <c r="U556" s="113"/>
      <c r="V556" s="113"/>
    </row>
    <row r="557" customFormat="false" ht="15" hidden="false" customHeight="true" outlineLevel="0" collapsed="false">
      <c r="H557" s="113"/>
      <c r="I557" s="113"/>
      <c r="J557" s="113"/>
      <c r="L557" s="113"/>
      <c r="M557" s="113"/>
      <c r="N557" s="113"/>
      <c r="P557" s="113"/>
      <c r="Q557" s="113"/>
      <c r="R557" s="113"/>
      <c r="T557" s="113"/>
      <c r="U557" s="113"/>
      <c r="V557" s="113"/>
    </row>
    <row r="558" customFormat="false" ht="15" hidden="false" customHeight="true" outlineLevel="0" collapsed="false">
      <c r="H558" s="113"/>
      <c r="I558" s="113"/>
      <c r="J558" s="113"/>
      <c r="L558" s="113"/>
      <c r="M558" s="113"/>
      <c r="N558" s="113"/>
      <c r="P558" s="113"/>
      <c r="Q558" s="113"/>
      <c r="R558" s="113"/>
      <c r="T558" s="113"/>
      <c r="U558" s="113"/>
      <c r="V558" s="113"/>
    </row>
    <row r="559" customFormat="false" ht="15" hidden="false" customHeight="true" outlineLevel="0" collapsed="false">
      <c r="H559" s="113"/>
      <c r="I559" s="113"/>
      <c r="J559" s="113"/>
      <c r="L559" s="113"/>
      <c r="M559" s="113"/>
      <c r="N559" s="113"/>
      <c r="P559" s="113"/>
      <c r="Q559" s="113"/>
      <c r="R559" s="113"/>
      <c r="T559" s="113"/>
      <c r="U559" s="113"/>
      <c r="V559" s="113"/>
    </row>
    <row r="560" customFormat="false" ht="15" hidden="false" customHeight="true" outlineLevel="0" collapsed="false">
      <c r="H560" s="113"/>
      <c r="I560" s="113"/>
      <c r="J560" s="113"/>
      <c r="L560" s="113"/>
      <c r="M560" s="113"/>
      <c r="N560" s="113"/>
      <c r="P560" s="113"/>
      <c r="Q560" s="113"/>
      <c r="R560" s="113"/>
      <c r="T560" s="113"/>
      <c r="U560" s="113"/>
      <c r="V560" s="113"/>
    </row>
    <row r="561" customFormat="false" ht="15" hidden="false" customHeight="true" outlineLevel="0" collapsed="false">
      <c r="H561" s="113"/>
      <c r="I561" s="113"/>
      <c r="J561" s="113"/>
      <c r="L561" s="113"/>
      <c r="M561" s="113"/>
      <c r="N561" s="113"/>
      <c r="P561" s="113"/>
      <c r="Q561" s="113"/>
      <c r="R561" s="113"/>
      <c r="T561" s="113"/>
      <c r="U561" s="113"/>
      <c r="V561" s="113"/>
    </row>
    <row r="562" customFormat="false" ht="15" hidden="false" customHeight="true" outlineLevel="0" collapsed="false">
      <c r="H562" s="113"/>
      <c r="I562" s="113"/>
      <c r="J562" s="113"/>
      <c r="L562" s="113"/>
      <c r="M562" s="113"/>
      <c r="N562" s="113"/>
      <c r="P562" s="113"/>
      <c r="Q562" s="113"/>
      <c r="R562" s="113"/>
      <c r="T562" s="113"/>
      <c r="U562" s="113"/>
      <c r="V562" s="113"/>
    </row>
    <row r="563" customFormat="false" ht="15" hidden="false" customHeight="true" outlineLevel="0" collapsed="false">
      <c r="H563" s="113"/>
      <c r="I563" s="113"/>
      <c r="J563" s="113"/>
      <c r="L563" s="113"/>
      <c r="M563" s="113"/>
      <c r="N563" s="113"/>
      <c r="P563" s="113"/>
      <c r="Q563" s="113"/>
      <c r="R563" s="113"/>
      <c r="T563" s="113"/>
      <c r="U563" s="113"/>
      <c r="V563" s="113"/>
    </row>
    <row r="564" customFormat="false" ht="15" hidden="false" customHeight="true" outlineLevel="0" collapsed="false">
      <c r="H564" s="113"/>
      <c r="I564" s="113"/>
      <c r="J564" s="113"/>
      <c r="L564" s="113"/>
      <c r="M564" s="113"/>
      <c r="N564" s="113"/>
      <c r="P564" s="113"/>
      <c r="Q564" s="113"/>
      <c r="R564" s="113"/>
      <c r="T564" s="113"/>
      <c r="U564" s="113"/>
      <c r="V564" s="113"/>
    </row>
    <row r="565" customFormat="false" ht="15" hidden="false" customHeight="true" outlineLevel="0" collapsed="false">
      <c r="H565" s="113"/>
      <c r="I565" s="113"/>
      <c r="J565" s="113"/>
      <c r="L565" s="113"/>
      <c r="M565" s="113"/>
      <c r="N565" s="113"/>
      <c r="P565" s="113"/>
      <c r="Q565" s="113"/>
      <c r="R565" s="113"/>
      <c r="T565" s="113"/>
      <c r="U565" s="113"/>
      <c r="V565" s="113"/>
    </row>
    <row r="566" customFormat="false" ht="15" hidden="false" customHeight="true" outlineLevel="0" collapsed="false">
      <c r="H566" s="113"/>
      <c r="I566" s="113"/>
      <c r="J566" s="113"/>
      <c r="L566" s="113"/>
      <c r="M566" s="113"/>
      <c r="N566" s="113"/>
      <c r="P566" s="113"/>
      <c r="Q566" s="113"/>
      <c r="R566" s="113"/>
      <c r="T566" s="113"/>
      <c r="U566" s="113"/>
      <c r="V566" s="113"/>
    </row>
    <row r="567" customFormat="false" ht="15" hidden="false" customHeight="true" outlineLevel="0" collapsed="false">
      <c r="H567" s="113"/>
      <c r="I567" s="113"/>
      <c r="J567" s="113"/>
      <c r="L567" s="113"/>
      <c r="M567" s="113"/>
      <c r="N567" s="113"/>
      <c r="P567" s="113"/>
      <c r="Q567" s="113"/>
      <c r="R567" s="113"/>
      <c r="T567" s="113"/>
      <c r="U567" s="113"/>
      <c r="V567" s="113"/>
    </row>
    <row r="568" customFormat="false" ht="15" hidden="false" customHeight="true" outlineLevel="0" collapsed="false">
      <c r="H568" s="113"/>
      <c r="I568" s="113"/>
      <c r="J568" s="113"/>
      <c r="L568" s="113"/>
      <c r="M568" s="113"/>
      <c r="N568" s="113"/>
      <c r="P568" s="113"/>
      <c r="Q568" s="113"/>
      <c r="R568" s="113"/>
      <c r="T568" s="113"/>
      <c r="U568" s="113"/>
      <c r="V568" s="113"/>
    </row>
    <row r="569" customFormat="false" ht="15" hidden="false" customHeight="true" outlineLevel="0" collapsed="false">
      <c r="H569" s="113"/>
      <c r="I569" s="113"/>
      <c r="J569" s="113"/>
      <c r="L569" s="113"/>
      <c r="M569" s="113"/>
      <c r="N569" s="113"/>
      <c r="P569" s="113"/>
      <c r="Q569" s="113"/>
      <c r="R569" s="113"/>
      <c r="T569" s="113"/>
      <c r="U569" s="113"/>
      <c r="V569" s="113"/>
    </row>
    <row r="570" customFormat="false" ht="15" hidden="false" customHeight="true" outlineLevel="0" collapsed="false">
      <c r="H570" s="113"/>
      <c r="I570" s="113"/>
      <c r="J570" s="113"/>
      <c r="L570" s="113"/>
      <c r="M570" s="113"/>
      <c r="N570" s="113"/>
      <c r="P570" s="113"/>
      <c r="Q570" s="113"/>
      <c r="R570" s="113"/>
      <c r="T570" s="113"/>
      <c r="U570" s="113"/>
      <c r="V570" s="113"/>
    </row>
    <row r="571" customFormat="false" ht="15" hidden="false" customHeight="true" outlineLevel="0" collapsed="false">
      <c r="H571" s="113"/>
      <c r="I571" s="113"/>
      <c r="J571" s="113"/>
      <c r="L571" s="113"/>
      <c r="M571" s="113"/>
      <c r="N571" s="113"/>
      <c r="P571" s="113"/>
      <c r="Q571" s="113"/>
      <c r="R571" s="113"/>
      <c r="T571" s="113"/>
      <c r="U571" s="113"/>
      <c r="V571" s="113"/>
    </row>
    <row r="572" customFormat="false" ht="15" hidden="false" customHeight="true" outlineLevel="0" collapsed="false">
      <c r="H572" s="113"/>
      <c r="I572" s="113"/>
      <c r="J572" s="113"/>
      <c r="L572" s="113"/>
      <c r="M572" s="113"/>
      <c r="N572" s="113"/>
      <c r="P572" s="113"/>
      <c r="Q572" s="113"/>
      <c r="R572" s="113"/>
      <c r="T572" s="113"/>
      <c r="U572" s="113"/>
      <c r="V572" s="113"/>
    </row>
    <row r="573" customFormat="false" ht="15" hidden="false" customHeight="true" outlineLevel="0" collapsed="false">
      <c r="H573" s="113"/>
      <c r="I573" s="113"/>
      <c r="J573" s="113"/>
      <c r="L573" s="113"/>
      <c r="M573" s="113"/>
      <c r="N573" s="113"/>
      <c r="P573" s="113"/>
      <c r="Q573" s="113"/>
      <c r="R573" s="113"/>
      <c r="T573" s="113"/>
      <c r="U573" s="113"/>
      <c r="V573" s="113"/>
    </row>
    <row r="574" customFormat="false" ht="15" hidden="false" customHeight="true" outlineLevel="0" collapsed="false">
      <c r="H574" s="113"/>
      <c r="I574" s="113"/>
      <c r="J574" s="113"/>
      <c r="L574" s="113"/>
      <c r="M574" s="113"/>
      <c r="N574" s="113"/>
      <c r="P574" s="113"/>
      <c r="Q574" s="113"/>
      <c r="R574" s="113"/>
      <c r="T574" s="113"/>
      <c r="U574" s="113"/>
      <c r="V574" s="113"/>
    </row>
    <row r="575" customFormat="false" ht="15" hidden="false" customHeight="true" outlineLevel="0" collapsed="false">
      <c r="H575" s="113"/>
      <c r="I575" s="113"/>
      <c r="J575" s="113"/>
      <c r="L575" s="113"/>
      <c r="M575" s="113"/>
      <c r="N575" s="113"/>
      <c r="P575" s="113"/>
      <c r="Q575" s="113"/>
      <c r="R575" s="113"/>
      <c r="T575" s="113"/>
      <c r="U575" s="113"/>
      <c r="V575" s="113"/>
    </row>
    <row r="576" customFormat="false" ht="15" hidden="false" customHeight="true" outlineLevel="0" collapsed="false">
      <c r="H576" s="113"/>
      <c r="I576" s="113"/>
      <c r="J576" s="113"/>
      <c r="L576" s="113"/>
      <c r="M576" s="113"/>
      <c r="N576" s="113"/>
      <c r="P576" s="113"/>
      <c r="Q576" s="113"/>
      <c r="R576" s="113"/>
      <c r="T576" s="113"/>
      <c r="U576" s="113"/>
      <c r="V576" s="113"/>
    </row>
    <row r="577" customFormat="false" ht="15" hidden="false" customHeight="true" outlineLevel="0" collapsed="false">
      <c r="H577" s="113"/>
      <c r="I577" s="113"/>
      <c r="J577" s="113"/>
      <c r="L577" s="113"/>
      <c r="M577" s="113"/>
      <c r="N577" s="113"/>
      <c r="P577" s="113"/>
      <c r="Q577" s="113"/>
      <c r="R577" s="113"/>
      <c r="T577" s="113"/>
      <c r="U577" s="113"/>
      <c r="V577" s="113"/>
    </row>
    <row r="578" customFormat="false" ht="15" hidden="false" customHeight="true" outlineLevel="0" collapsed="false">
      <c r="H578" s="113"/>
      <c r="I578" s="113"/>
      <c r="J578" s="113"/>
      <c r="L578" s="113"/>
      <c r="M578" s="113"/>
      <c r="N578" s="113"/>
      <c r="P578" s="113"/>
      <c r="Q578" s="113"/>
      <c r="R578" s="113"/>
      <c r="T578" s="113"/>
      <c r="U578" s="113"/>
      <c r="V578" s="113"/>
    </row>
    <row r="579" customFormat="false" ht="15" hidden="false" customHeight="true" outlineLevel="0" collapsed="false">
      <c r="H579" s="113"/>
      <c r="I579" s="113"/>
      <c r="J579" s="113"/>
      <c r="L579" s="113"/>
      <c r="M579" s="113"/>
      <c r="N579" s="113"/>
      <c r="P579" s="113"/>
      <c r="Q579" s="113"/>
      <c r="R579" s="113"/>
      <c r="T579" s="113"/>
      <c r="U579" s="113"/>
      <c r="V579" s="113"/>
    </row>
    <row r="580" customFormat="false" ht="15" hidden="false" customHeight="true" outlineLevel="0" collapsed="false">
      <c r="H580" s="113"/>
      <c r="I580" s="113"/>
      <c r="J580" s="113"/>
      <c r="L580" s="113"/>
      <c r="M580" s="113"/>
      <c r="N580" s="113"/>
      <c r="P580" s="113"/>
      <c r="Q580" s="113"/>
      <c r="R580" s="113"/>
      <c r="T580" s="113"/>
      <c r="U580" s="113"/>
      <c r="V580" s="113"/>
    </row>
    <row r="581" customFormat="false" ht="15" hidden="false" customHeight="true" outlineLevel="0" collapsed="false">
      <c r="H581" s="113"/>
      <c r="I581" s="113"/>
      <c r="J581" s="113"/>
      <c r="L581" s="113"/>
      <c r="M581" s="113"/>
      <c r="N581" s="113"/>
      <c r="P581" s="113"/>
      <c r="Q581" s="113"/>
      <c r="R581" s="113"/>
      <c r="T581" s="113"/>
      <c r="U581" s="113"/>
      <c r="V581" s="113"/>
    </row>
    <row r="582" customFormat="false" ht="15" hidden="false" customHeight="true" outlineLevel="0" collapsed="false">
      <c r="H582" s="113"/>
      <c r="I582" s="113"/>
      <c r="J582" s="113"/>
      <c r="L582" s="113"/>
      <c r="M582" s="113"/>
      <c r="N582" s="113"/>
      <c r="P582" s="113"/>
      <c r="Q582" s="113"/>
      <c r="R582" s="113"/>
      <c r="T582" s="113"/>
      <c r="U582" s="113"/>
      <c r="V582" s="113"/>
    </row>
    <row r="583" customFormat="false" ht="15" hidden="false" customHeight="true" outlineLevel="0" collapsed="false">
      <c r="H583" s="113"/>
      <c r="I583" s="113"/>
      <c r="J583" s="113"/>
      <c r="L583" s="113"/>
      <c r="M583" s="113"/>
      <c r="N583" s="113"/>
      <c r="P583" s="113"/>
      <c r="Q583" s="113"/>
      <c r="R583" s="113"/>
      <c r="T583" s="113"/>
      <c r="U583" s="113"/>
      <c r="V583" s="113"/>
    </row>
    <row r="584" customFormat="false" ht="15" hidden="false" customHeight="true" outlineLevel="0" collapsed="false">
      <c r="H584" s="113"/>
      <c r="I584" s="113"/>
      <c r="J584" s="113"/>
      <c r="L584" s="113"/>
      <c r="M584" s="113"/>
      <c r="N584" s="113"/>
      <c r="P584" s="113"/>
      <c r="Q584" s="113"/>
      <c r="R584" s="113"/>
      <c r="T584" s="113"/>
      <c r="U584" s="113"/>
      <c r="V584" s="113"/>
    </row>
    <row r="585" customFormat="false" ht="15" hidden="false" customHeight="true" outlineLevel="0" collapsed="false">
      <c r="H585" s="113"/>
      <c r="I585" s="113"/>
      <c r="J585" s="113"/>
      <c r="L585" s="113"/>
      <c r="M585" s="113"/>
      <c r="N585" s="113"/>
      <c r="P585" s="113"/>
      <c r="Q585" s="113"/>
      <c r="R585" s="113"/>
      <c r="T585" s="113"/>
      <c r="U585" s="113"/>
      <c r="V585" s="113"/>
    </row>
    <row r="586" customFormat="false" ht="15" hidden="false" customHeight="true" outlineLevel="0" collapsed="false">
      <c r="H586" s="113"/>
      <c r="I586" s="113"/>
      <c r="J586" s="113"/>
      <c r="L586" s="113"/>
      <c r="M586" s="113"/>
      <c r="N586" s="113"/>
      <c r="P586" s="113"/>
      <c r="Q586" s="113"/>
      <c r="R586" s="113"/>
      <c r="T586" s="113"/>
      <c r="U586" s="113"/>
      <c r="V586" s="113"/>
    </row>
    <row r="587" customFormat="false" ht="15" hidden="false" customHeight="true" outlineLevel="0" collapsed="false">
      <c r="H587" s="113"/>
      <c r="I587" s="113"/>
      <c r="J587" s="113"/>
      <c r="L587" s="113"/>
      <c r="M587" s="113"/>
      <c r="N587" s="113"/>
      <c r="P587" s="113"/>
      <c r="Q587" s="113"/>
      <c r="R587" s="113"/>
      <c r="T587" s="113"/>
      <c r="U587" s="113"/>
      <c r="V587" s="113"/>
    </row>
    <row r="588" customFormat="false" ht="15" hidden="false" customHeight="true" outlineLevel="0" collapsed="false">
      <c r="H588" s="113"/>
      <c r="I588" s="113"/>
      <c r="J588" s="113"/>
      <c r="L588" s="113"/>
      <c r="M588" s="113"/>
      <c r="N588" s="113"/>
      <c r="P588" s="113"/>
      <c r="Q588" s="113"/>
      <c r="R588" s="113"/>
      <c r="T588" s="113"/>
      <c r="U588" s="113"/>
      <c r="V588" s="113"/>
    </row>
    <row r="589" customFormat="false" ht="15" hidden="false" customHeight="true" outlineLevel="0" collapsed="false">
      <c r="H589" s="113"/>
      <c r="I589" s="113"/>
      <c r="J589" s="113"/>
      <c r="L589" s="113"/>
      <c r="M589" s="113"/>
      <c r="N589" s="113"/>
      <c r="P589" s="113"/>
      <c r="Q589" s="113"/>
      <c r="R589" s="113"/>
      <c r="T589" s="113"/>
      <c r="U589" s="113"/>
      <c r="V589" s="113"/>
    </row>
    <row r="590" customFormat="false" ht="15" hidden="false" customHeight="true" outlineLevel="0" collapsed="false">
      <c r="H590" s="113"/>
      <c r="I590" s="113"/>
      <c r="J590" s="113"/>
      <c r="L590" s="113"/>
      <c r="M590" s="113"/>
      <c r="N590" s="113"/>
      <c r="P590" s="113"/>
      <c r="Q590" s="113"/>
      <c r="R590" s="113"/>
      <c r="T590" s="113"/>
      <c r="U590" s="113"/>
      <c r="V590" s="113"/>
    </row>
    <row r="591" customFormat="false" ht="15" hidden="false" customHeight="true" outlineLevel="0" collapsed="false">
      <c r="H591" s="113"/>
      <c r="I591" s="113"/>
      <c r="J591" s="113"/>
      <c r="L591" s="113"/>
      <c r="M591" s="113"/>
      <c r="N591" s="113"/>
      <c r="P591" s="113"/>
      <c r="Q591" s="113"/>
      <c r="R591" s="113"/>
      <c r="T591" s="113"/>
      <c r="U591" s="113"/>
      <c r="V591" s="113"/>
    </row>
    <row r="592" customFormat="false" ht="15" hidden="false" customHeight="true" outlineLevel="0" collapsed="false">
      <c r="H592" s="113"/>
      <c r="I592" s="113"/>
      <c r="J592" s="113"/>
      <c r="L592" s="113"/>
      <c r="M592" s="113"/>
      <c r="N592" s="113"/>
      <c r="P592" s="113"/>
      <c r="Q592" s="113"/>
      <c r="R592" s="113"/>
      <c r="T592" s="113"/>
      <c r="U592" s="113"/>
      <c r="V592" s="113"/>
    </row>
    <row r="593" customFormat="false" ht="15" hidden="false" customHeight="true" outlineLevel="0" collapsed="false">
      <c r="H593" s="113"/>
      <c r="I593" s="113"/>
      <c r="J593" s="113"/>
      <c r="L593" s="113"/>
      <c r="M593" s="113"/>
      <c r="N593" s="113"/>
      <c r="P593" s="113"/>
      <c r="Q593" s="113"/>
      <c r="R593" s="113"/>
      <c r="T593" s="113"/>
      <c r="U593" s="113"/>
      <c r="V593" s="113"/>
    </row>
    <row r="594" customFormat="false" ht="15" hidden="false" customHeight="true" outlineLevel="0" collapsed="false">
      <c r="H594" s="113"/>
      <c r="I594" s="113"/>
      <c r="J594" s="113"/>
      <c r="L594" s="113"/>
      <c r="M594" s="113"/>
      <c r="N594" s="113"/>
      <c r="P594" s="113"/>
      <c r="Q594" s="113"/>
      <c r="R594" s="113"/>
      <c r="T594" s="113"/>
      <c r="U594" s="113"/>
      <c r="V594" s="113"/>
    </row>
    <row r="595" customFormat="false" ht="15" hidden="false" customHeight="true" outlineLevel="0" collapsed="false">
      <c r="H595" s="113"/>
      <c r="I595" s="113"/>
      <c r="J595" s="113"/>
      <c r="L595" s="113"/>
      <c r="M595" s="113"/>
      <c r="N595" s="113"/>
      <c r="P595" s="113"/>
      <c r="Q595" s="113"/>
      <c r="R595" s="113"/>
      <c r="T595" s="113"/>
      <c r="U595" s="113"/>
      <c r="V595" s="113"/>
    </row>
    <row r="596" customFormat="false" ht="15" hidden="false" customHeight="true" outlineLevel="0" collapsed="false">
      <c r="H596" s="113"/>
      <c r="I596" s="113"/>
      <c r="J596" s="113"/>
      <c r="L596" s="113"/>
      <c r="M596" s="113"/>
      <c r="N596" s="113"/>
      <c r="P596" s="113"/>
      <c r="Q596" s="113"/>
      <c r="R596" s="113"/>
      <c r="T596" s="113"/>
      <c r="U596" s="113"/>
      <c r="V596" s="113"/>
    </row>
    <row r="597" customFormat="false" ht="15" hidden="false" customHeight="true" outlineLevel="0" collapsed="false">
      <c r="H597" s="113"/>
      <c r="I597" s="113"/>
      <c r="J597" s="113"/>
      <c r="L597" s="113"/>
      <c r="M597" s="113"/>
      <c r="N597" s="113"/>
      <c r="P597" s="113"/>
      <c r="Q597" s="113"/>
      <c r="R597" s="113"/>
      <c r="T597" s="113"/>
      <c r="U597" s="113"/>
      <c r="V597" s="113"/>
    </row>
    <row r="598" customFormat="false" ht="15" hidden="false" customHeight="true" outlineLevel="0" collapsed="false">
      <c r="H598" s="113"/>
      <c r="I598" s="113"/>
      <c r="J598" s="113"/>
      <c r="L598" s="113"/>
      <c r="M598" s="113"/>
      <c r="N598" s="113"/>
      <c r="P598" s="113"/>
      <c r="Q598" s="113"/>
      <c r="R598" s="113"/>
      <c r="T598" s="113"/>
      <c r="U598" s="113"/>
      <c r="V598" s="113"/>
    </row>
    <row r="599" customFormat="false" ht="15" hidden="false" customHeight="true" outlineLevel="0" collapsed="false">
      <c r="H599" s="113"/>
      <c r="I599" s="113"/>
      <c r="J599" s="113"/>
      <c r="L599" s="113"/>
      <c r="M599" s="113"/>
      <c r="N599" s="113"/>
      <c r="P599" s="113"/>
      <c r="Q599" s="113"/>
      <c r="R599" s="113"/>
      <c r="T599" s="113"/>
      <c r="U599" s="113"/>
      <c r="V599" s="113"/>
    </row>
    <row r="600" customFormat="false" ht="15" hidden="false" customHeight="true" outlineLevel="0" collapsed="false">
      <c r="H600" s="113"/>
      <c r="I600" s="113"/>
      <c r="J600" s="113"/>
      <c r="L600" s="113"/>
      <c r="M600" s="113"/>
      <c r="N600" s="113"/>
      <c r="P600" s="113"/>
      <c r="Q600" s="113"/>
      <c r="R600" s="113"/>
      <c r="T600" s="113"/>
      <c r="U600" s="113"/>
      <c r="V600" s="113"/>
    </row>
    <row r="601" customFormat="false" ht="15" hidden="false" customHeight="true" outlineLevel="0" collapsed="false">
      <c r="H601" s="113"/>
      <c r="I601" s="113"/>
      <c r="J601" s="113"/>
      <c r="L601" s="113"/>
      <c r="M601" s="113"/>
      <c r="N601" s="113"/>
      <c r="P601" s="113"/>
      <c r="Q601" s="113"/>
      <c r="R601" s="113"/>
      <c r="T601" s="113"/>
      <c r="U601" s="113"/>
      <c r="V601" s="113"/>
    </row>
    <row r="602" customFormat="false" ht="15" hidden="false" customHeight="true" outlineLevel="0" collapsed="false">
      <c r="H602" s="113"/>
      <c r="I602" s="113"/>
      <c r="J602" s="113"/>
      <c r="L602" s="113"/>
      <c r="M602" s="113"/>
      <c r="N602" s="113"/>
      <c r="P602" s="113"/>
      <c r="Q602" s="113"/>
      <c r="R602" s="113"/>
      <c r="T602" s="113"/>
      <c r="U602" s="113"/>
      <c r="V602" s="113"/>
    </row>
    <row r="603" customFormat="false" ht="15" hidden="false" customHeight="true" outlineLevel="0" collapsed="false">
      <c r="H603" s="113"/>
      <c r="I603" s="113"/>
      <c r="J603" s="113"/>
      <c r="L603" s="113"/>
      <c r="M603" s="113"/>
      <c r="N603" s="113"/>
      <c r="P603" s="113"/>
      <c r="Q603" s="113"/>
      <c r="R603" s="113"/>
      <c r="T603" s="113"/>
      <c r="U603" s="113"/>
      <c r="V603" s="113"/>
    </row>
    <row r="604" customFormat="false" ht="15" hidden="false" customHeight="true" outlineLevel="0" collapsed="false">
      <c r="H604" s="113"/>
      <c r="I604" s="113"/>
      <c r="J604" s="113"/>
      <c r="L604" s="113"/>
      <c r="M604" s="113"/>
      <c r="N604" s="113"/>
      <c r="P604" s="113"/>
      <c r="Q604" s="113"/>
      <c r="R604" s="113"/>
      <c r="T604" s="113"/>
      <c r="U604" s="113"/>
      <c r="V604" s="113"/>
    </row>
    <row r="605" customFormat="false" ht="15" hidden="false" customHeight="true" outlineLevel="0" collapsed="false">
      <c r="H605" s="113"/>
      <c r="I605" s="113"/>
      <c r="J605" s="113"/>
      <c r="L605" s="113"/>
      <c r="M605" s="113"/>
      <c r="N605" s="113"/>
      <c r="P605" s="113"/>
      <c r="Q605" s="113"/>
      <c r="R605" s="113"/>
      <c r="T605" s="113"/>
      <c r="U605" s="113"/>
      <c r="V605" s="113"/>
    </row>
    <row r="606" customFormat="false" ht="15" hidden="false" customHeight="true" outlineLevel="0" collapsed="false">
      <c r="H606" s="113"/>
      <c r="I606" s="113"/>
      <c r="J606" s="113"/>
      <c r="L606" s="113"/>
      <c r="M606" s="113"/>
      <c r="N606" s="113"/>
      <c r="P606" s="113"/>
      <c r="Q606" s="113"/>
      <c r="R606" s="113"/>
      <c r="T606" s="113"/>
      <c r="U606" s="113"/>
      <c r="V606" s="113"/>
    </row>
    <row r="607" customFormat="false" ht="15" hidden="false" customHeight="true" outlineLevel="0" collapsed="false">
      <c r="H607" s="113"/>
      <c r="I607" s="113"/>
      <c r="J607" s="113"/>
      <c r="L607" s="113"/>
      <c r="M607" s="113"/>
      <c r="N607" s="113"/>
      <c r="P607" s="113"/>
      <c r="Q607" s="113"/>
      <c r="R607" s="113"/>
      <c r="T607" s="113"/>
      <c r="U607" s="113"/>
      <c r="V607" s="113"/>
    </row>
    <row r="608" customFormat="false" ht="15" hidden="false" customHeight="true" outlineLevel="0" collapsed="false">
      <c r="H608" s="113"/>
      <c r="I608" s="113"/>
      <c r="J608" s="113"/>
      <c r="L608" s="113"/>
      <c r="M608" s="113"/>
      <c r="N608" s="113"/>
      <c r="P608" s="113"/>
      <c r="Q608" s="113"/>
      <c r="R608" s="113"/>
      <c r="T608" s="113"/>
      <c r="U608" s="113"/>
      <c r="V608" s="113"/>
    </row>
    <row r="609" customFormat="false" ht="15" hidden="false" customHeight="true" outlineLevel="0" collapsed="false">
      <c r="H609" s="113"/>
      <c r="I609" s="113"/>
      <c r="J609" s="113"/>
      <c r="L609" s="113"/>
      <c r="M609" s="113"/>
      <c r="N609" s="113"/>
      <c r="P609" s="113"/>
      <c r="Q609" s="113"/>
      <c r="R609" s="113"/>
      <c r="T609" s="113"/>
      <c r="U609" s="113"/>
      <c r="V609" s="113"/>
    </row>
    <row r="610" customFormat="false" ht="15" hidden="false" customHeight="true" outlineLevel="0" collapsed="false">
      <c r="H610" s="113"/>
      <c r="I610" s="113"/>
      <c r="J610" s="113"/>
      <c r="L610" s="113"/>
      <c r="M610" s="113"/>
      <c r="N610" s="113"/>
      <c r="P610" s="113"/>
      <c r="Q610" s="113"/>
      <c r="R610" s="113"/>
      <c r="T610" s="113"/>
      <c r="U610" s="113"/>
      <c r="V610" s="113"/>
    </row>
    <row r="611" customFormat="false" ht="15" hidden="false" customHeight="true" outlineLevel="0" collapsed="false">
      <c r="H611" s="113"/>
      <c r="I611" s="113"/>
      <c r="J611" s="113"/>
      <c r="L611" s="113"/>
      <c r="M611" s="113"/>
      <c r="N611" s="113"/>
      <c r="P611" s="113"/>
      <c r="Q611" s="113"/>
      <c r="R611" s="113"/>
      <c r="T611" s="113"/>
      <c r="U611" s="113"/>
      <c r="V611" s="113"/>
    </row>
    <row r="612" customFormat="false" ht="15" hidden="false" customHeight="true" outlineLevel="0" collapsed="false">
      <c r="H612" s="113"/>
      <c r="I612" s="113"/>
      <c r="J612" s="113"/>
      <c r="L612" s="113"/>
      <c r="M612" s="113"/>
      <c r="N612" s="113"/>
      <c r="P612" s="113"/>
      <c r="Q612" s="113"/>
      <c r="R612" s="113"/>
      <c r="T612" s="113"/>
      <c r="U612" s="113"/>
      <c r="V612" s="113"/>
    </row>
    <row r="613" customFormat="false" ht="15" hidden="false" customHeight="true" outlineLevel="0" collapsed="false">
      <c r="H613" s="113"/>
      <c r="I613" s="113"/>
      <c r="J613" s="113"/>
      <c r="L613" s="113"/>
      <c r="M613" s="113"/>
      <c r="N613" s="113"/>
      <c r="P613" s="113"/>
      <c r="Q613" s="113"/>
      <c r="R613" s="113"/>
      <c r="T613" s="113"/>
      <c r="U613" s="113"/>
      <c r="V613" s="113"/>
    </row>
    <row r="614" customFormat="false" ht="15" hidden="false" customHeight="true" outlineLevel="0" collapsed="false">
      <c r="H614" s="113"/>
      <c r="I614" s="113"/>
      <c r="J614" s="113"/>
      <c r="L614" s="113"/>
      <c r="M614" s="113"/>
      <c r="N614" s="113"/>
      <c r="P614" s="113"/>
      <c r="Q614" s="113"/>
      <c r="R614" s="113"/>
      <c r="T614" s="113"/>
      <c r="U614" s="113"/>
      <c r="V614" s="113"/>
    </row>
    <row r="615" customFormat="false" ht="15" hidden="false" customHeight="true" outlineLevel="0" collapsed="false">
      <c r="H615" s="113"/>
      <c r="I615" s="113"/>
      <c r="J615" s="113"/>
      <c r="L615" s="113"/>
      <c r="M615" s="113"/>
      <c r="N615" s="113"/>
      <c r="P615" s="113"/>
      <c r="Q615" s="113"/>
      <c r="R615" s="113"/>
      <c r="T615" s="113"/>
      <c r="U615" s="113"/>
      <c r="V615" s="113"/>
    </row>
    <row r="616" customFormat="false" ht="15" hidden="false" customHeight="true" outlineLevel="0" collapsed="false">
      <c r="H616" s="113"/>
      <c r="I616" s="113"/>
      <c r="J616" s="113"/>
      <c r="L616" s="113"/>
      <c r="M616" s="113"/>
      <c r="N616" s="113"/>
      <c r="P616" s="113"/>
      <c r="Q616" s="113"/>
      <c r="R616" s="113"/>
      <c r="T616" s="113"/>
      <c r="U616" s="113"/>
      <c r="V616" s="113"/>
    </row>
    <row r="617" customFormat="false" ht="15" hidden="false" customHeight="true" outlineLevel="0" collapsed="false">
      <c r="H617" s="113"/>
      <c r="I617" s="113"/>
      <c r="J617" s="113"/>
      <c r="L617" s="113"/>
      <c r="M617" s="113"/>
      <c r="N617" s="113"/>
      <c r="P617" s="113"/>
      <c r="Q617" s="113"/>
      <c r="R617" s="113"/>
      <c r="T617" s="113"/>
      <c r="U617" s="113"/>
      <c r="V617" s="113"/>
    </row>
    <row r="618" customFormat="false" ht="15" hidden="false" customHeight="true" outlineLevel="0" collapsed="false">
      <c r="H618" s="113"/>
      <c r="I618" s="113"/>
      <c r="J618" s="113"/>
      <c r="L618" s="113"/>
      <c r="M618" s="113"/>
      <c r="N618" s="113"/>
      <c r="P618" s="113"/>
      <c r="Q618" s="113"/>
      <c r="R618" s="113"/>
      <c r="T618" s="113"/>
      <c r="U618" s="113"/>
      <c r="V618" s="113"/>
    </row>
    <row r="619" customFormat="false" ht="15" hidden="false" customHeight="true" outlineLevel="0" collapsed="false">
      <c r="H619" s="113"/>
      <c r="I619" s="113"/>
      <c r="J619" s="113"/>
      <c r="L619" s="113"/>
      <c r="M619" s="113"/>
      <c r="N619" s="113"/>
      <c r="P619" s="113"/>
      <c r="Q619" s="113"/>
      <c r="R619" s="113"/>
      <c r="T619" s="113"/>
      <c r="U619" s="113"/>
      <c r="V619" s="113"/>
    </row>
    <row r="620" customFormat="false" ht="15" hidden="false" customHeight="true" outlineLevel="0" collapsed="false">
      <c r="H620" s="113"/>
      <c r="I620" s="113"/>
      <c r="J620" s="113"/>
      <c r="L620" s="113"/>
      <c r="M620" s="113"/>
      <c r="N620" s="113"/>
      <c r="P620" s="113"/>
      <c r="Q620" s="113"/>
      <c r="R620" s="113"/>
      <c r="T620" s="113"/>
      <c r="U620" s="113"/>
      <c r="V620" s="113"/>
    </row>
    <row r="621" customFormat="false" ht="15" hidden="false" customHeight="true" outlineLevel="0" collapsed="false">
      <c r="H621" s="113"/>
      <c r="I621" s="113"/>
      <c r="J621" s="113"/>
      <c r="L621" s="113"/>
      <c r="M621" s="113"/>
      <c r="N621" s="113"/>
      <c r="P621" s="113"/>
      <c r="Q621" s="113"/>
      <c r="R621" s="113"/>
      <c r="T621" s="113"/>
      <c r="U621" s="113"/>
      <c r="V621" s="113"/>
    </row>
    <row r="622" customFormat="false" ht="15" hidden="false" customHeight="true" outlineLevel="0" collapsed="false">
      <c r="H622" s="113"/>
      <c r="I622" s="113"/>
      <c r="J622" s="113"/>
      <c r="L622" s="113"/>
      <c r="M622" s="113"/>
      <c r="N622" s="113"/>
      <c r="P622" s="113"/>
      <c r="Q622" s="113"/>
      <c r="R622" s="113"/>
      <c r="T622" s="113"/>
      <c r="U622" s="113"/>
      <c r="V622" s="113"/>
    </row>
    <row r="623" customFormat="false" ht="15" hidden="false" customHeight="true" outlineLevel="0" collapsed="false">
      <c r="H623" s="113"/>
      <c r="I623" s="113"/>
      <c r="J623" s="113"/>
      <c r="L623" s="113"/>
      <c r="M623" s="113"/>
      <c r="N623" s="113"/>
      <c r="P623" s="113"/>
      <c r="Q623" s="113"/>
      <c r="R623" s="113"/>
      <c r="T623" s="113"/>
      <c r="U623" s="113"/>
      <c r="V623" s="113"/>
    </row>
    <row r="624" customFormat="false" ht="15" hidden="false" customHeight="true" outlineLevel="0" collapsed="false">
      <c r="H624" s="113"/>
      <c r="I624" s="113"/>
      <c r="J624" s="113"/>
      <c r="L624" s="113"/>
      <c r="M624" s="113"/>
      <c r="N624" s="113"/>
      <c r="P624" s="113"/>
      <c r="Q624" s="113"/>
      <c r="R624" s="113"/>
      <c r="T624" s="113"/>
      <c r="U624" s="113"/>
      <c r="V624" s="113"/>
    </row>
    <row r="625" customFormat="false" ht="15" hidden="false" customHeight="true" outlineLevel="0" collapsed="false">
      <c r="H625" s="113"/>
      <c r="I625" s="113"/>
      <c r="J625" s="113"/>
      <c r="L625" s="113"/>
      <c r="M625" s="113"/>
      <c r="N625" s="113"/>
      <c r="P625" s="113"/>
      <c r="Q625" s="113"/>
      <c r="R625" s="113"/>
      <c r="T625" s="113"/>
      <c r="U625" s="113"/>
      <c r="V625" s="113"/>
    </row>
    <row r="626" customFormat="false" ht="15" hidden="false" customHeight="true" outlineLevel="0" collapsed="false">
      <c r="H626" s="113"/>
      <c r="I626" s="113"/>
      <c r="J626" s="113"/>
      <c r="L626" s="113"/>
      <c r="M626" s="113"/>
      <c r="N626" s="113"/>
      <c r="P626" s="113"/>
      <c r="Q626" s="113"/>
      <c r="R626" s="113"/>
      <c r="T626" s="113"/>
      <c r="U626" s="113"/>
      <c r="V626" s="113"/>
    </row>
    <row r="627" customFormat="false" ht="15" hidden="false" customHeight="true" outlineLevel="0" collapsed="false">
      <c r="H627" s="113"/>
      <c r="I627" s="113"/>
      <c r="J627" s="113"/>
      <c r="L627" s="113"/>
      <c r="M627" s="113"/>
      <c r="N627" s="113"/>
      <c r="P627" s="113"/>
      <c r="Q627" s="113"/>
      <c r="R627" s="113"/>
      <c r="T627" s="113"/>
      <c r="U627" s="113"/>
      <c r="V627" s="113"/>
    </row>
    <row r="628" customFormat="false" ht="15" hidden="false" customHeight="true" outlineLevel="0" collapsed="false">
      <c r="H628" s="113"/>
      <c r="I628" s="113"/>
      <c r="J628" s="113"/>
      <c r="L628" s="113"/>
      <c r="M628" s="113"/>
      <c r="N628" s="113"/>
      <c r="P628" s="113"/>
      <c r="Q628" s="113"/>
      <c r="R628" s="113"/>
      <c r="T628" s="113"/>
      <c r="U628" s="113"/>
      <c r="V628" s="113"/>
    </row>
    <row r="629" customFormat="false" ht="15" hidden="false" customHeight="true" outlineLevel="0" collapsed="false">
      <c r="H629" s="113"/>
      <c r="I629" s="113"/>
      <c r="J629" s="113"/>
      <c r="L629" s="113"/>
      <c r="M629" s="113"/>
      <c r="N629" s="113"/>
      <c r="P629" s="113"/>
      <c r="Q629" s="113"/>
      <c r="R629" s="113"/>
      <c r="T629" s="113"/>
      <c r="U629" s="113"/>
      <c r="V629" s="113"/>
    </row>
    <row r="630" customFormat="false" ht="15" hidden="false" customHeight="true" outlineLevel="0" collapsed="false">
      <c r="H630" s="113"/>
      <c r="I630" s="113"/>
      <c r="J630" s="113"/>
      <c r="L630" s="113"/>
      <c r="M630" s="113"/>
      <c r="N630" s="113"/>
      <c r="P630" s="113"/>
      <c r="Q630" s="113"/>
      <c r="R630" s="113"/>
      <c r="T630" s="113"/>
      <c r="U630" s="113"/>
      <c r="V630" s="113"/>
    </row>
    <row r="631" customFormat="false" ht="15" hidden="false" customHeight="true" outlineLevel="0" collapsed="false">
      <c r="H631" s="113"/>
      <c r="I631" s="113"/>
      <c r="J631" s="113"/>
      <c r="L631" s="113"/>
      <c r="M631" s="113"/>
      <c r="N631" s="113"/>
      <c r="P631" s="113"/>
      <c r="Q631" s="113"/>
      <c r="R631" s="113"/>
      <c r="T631" s="113"/>
      <c r="U631" s="113"/>
      <c r="V631" s="113"/>
    </row>
    <row r="632" customFormat="false" ht="15" hidden="false" customHeight="true" outlineLevel="0" collapsed="false">
      <c r="H632" s="113"/>
      <c r="I632" s="113"/>
      <c r="J632" s="113"/>
      <c r="L632" s="113"/>
      <c r="M632" s="113"/>
      <c r="N632" s="113"/>
      <c r="P632" s="113"/>
      <c r="Q632" s="113"/>
      <c r="R632" s="113"/>
      <c r="T632" s="113"/>
      <c r="U632" s="113"/>
      <c r="V632" s="113"/>
    </row>
    <row r="633" customFormat="false" ht="15" hidden="false" customHeight="true" outlineLevel="0" collapsed="false">
      <c r="H633" s="113"/>
      <c r="I633" s="113"/>
      <c r="J633" s="113"/>
      <c r="L633" s="113"/>
      <c r="M633" s="113"/>
      <c r="N633" s="113"/>
      <c r="P633" s="113"/>
      <c r="Q633" s="113"/>
      <c r="R633" s="113"/>
      <c r="T633" s="113"/>
      <c r="U633" s="113"/>
      <c r="V633" s="113"/>
    </row>
    <row r="634" customFormat="false" ht="15" hidden="false" customHeight="true" outlineLevel="0" collapsed="false">
      <c r="H634" s="113"/>
      <c r="I634" s="113"/>
      <c r="J634" s="113"/>
      <c r="L634" s="113"/>
      <c r="M634" s="113"/>
      <c r="N634" s="113"/>
      <c r="P634" s="113"/>
      <c r="Q634" s="113"/>
      <c r="R634" s="113"/>
      <c r="T634" s="113"/>
      <c r="U634" s="113"/>
      <c r="V634" s="113"/>
    </row>
    <row r="635" customFormat="false" ht="15" hidden="false" customHeight="true" outlineLevel="0" collapsed="false">
      <c r="H635" s="113"/>
      <c r="I635" s="113"/>
      <c r="J635" s="113"/>
      <c r="L635" s="113"/>
      <c r="M635" s="113"/>
      <c r="N635" s="113"/>
      <c r="P635" s="113"/>
      <c r="Q635" s="113"/>
      <c r="R635" s="113"/>
      <c r="T635" s="113"/>
      <c r="U635" s="113"/>
      <c r="V635" s="113"/>
    </row>
    <row r="636" customFormat="false" ht="15" hidden="false" customHeight="true" outlineLevel="0" collapsed="false">
      <c r="H636" s="113"/>
      <c r="I636" s="113"/>
      <c r="J636" s="113"/>
      <c r="L636" s="113"/>
      <c r="M636" s="113"/>
      <c r="N636" s="113"/>
      <c r="P636" s="113"/>
      <c r="Q636" s="113"/>
      <c r="R636" s="113"/>
      <c r="T636" s="113"/>
      <c r="U636" s="113"/>
      <c r="V636" s="113"/>
    </row>
    <row r="637" customFormat="false" ht="15" hidden="false" customHeight="true" outlineLevel="0" collapsed="false">
      <c r="H637" s="113"/>
      <c r="I637" s="113"/>
      <c r="J637" s="113"/>
      <c r="L637" s="113"/>
      <c r="M637" s="113"/>
      <c r="N637" s="113"/>
      <c r="P637" s="113"/>
      <c r="Q637" s="113"/>
      <c r="R637" s="113"/>
      <c r="T637" s="113"/>
      <c r="U637" s="113"/>
      <c r="V637" s="113"/>
    </row>
    <row r="638" customFormat="false" ht="15" hidden="false" customHeight="true" outlineLevel="0" collapsed="false">
      <c r="H638" s="113"/>
      <c r="I638" s="113"/>
      <c r="J638" s="113"/>
      <c r="L638" s="113"/>
      <c r="M638" s="113"/>
      <c r="N638" s="113"/>
      <c r="P638" s="113"/>
      <c r="Q638" s="113"/>
      <c r="R638" s="113"/>
      <c r="T638" s="113"/>
      <c r="U638" s="113"/>
      <c r="V638" s="113"/>
    </row>
    <row r="639" customFormat="false" ht="15" hidden="false" customHeight="true" outlineLevel="0" collapsed="false">
      <c r="H639" s="113"/>
      <c r="I639" s="113"/>
      <c r="J639" s="113"/>
      <c r="L639" s="113"/>
      <c r="M639" s="113"/>
      <c r="N639" s="113"/>
      <c r="P639" s="113"/>
      <c r="Q639" s="113"/>
      <c r="R639" s="113"/>
      <c r="T639" s="113"/>
      <c r="U639" s="113"/>
      <c r="V639" s="113"/>
    </row>
    <row r="640" customFormat="false" ht="15" hidden="false" customHeight="true" outlineLevel="0" collapsed="false">
      <c r="H640" s="113"/>
      <c r="I640" s="113"/>
      <c r="J640" s="113"/>
      <c r="L640" s="113"/>
      <c r="M640" s="113"/>
      <c r="N640" s="113"/>
      <c r="P640" s="113"/>
      <c r="Q640" s="113"/>
      <c r="R640" s="113"/>
      <c r="T640" s="113"/>
      <c r="U640" s="113"/>
      <c r="V640" s="113"/>
    </row>
    <row r="641" customFormat="false" ht="15" hidden="false" customHeight="true" outlineLevel="0" collapsed="false">
      <c r="H641" s="113"/>
      <c r="I641" s="113"/>
      <c r="J641" s="113"/>
      <c r="L641" s="113"/>
      <c r="M641" s="113"/>
      <c r="N641" s="113"/>
      <c r="P641" s="113"/>
      <c r="Q641" s="113"/>
      <c r="R641" s="113"/>
      <c r="T641" s="113"/>
      <c r="U641" s="113"/>
      <c r="V641" s="113"/>
    </row>
    <row r="642" customFormat="false" ht="15" hidden="false" customHeight="true" outlineLevel="0" collapsed="false">
      <c r="H642" s="113"/>
      <c r="I642" s="113"/>
      <c r="J642" s="113"/>
      <c r="L642" s="113"/>
      <c r="M642" s="113"/>
      <c r="N642" s="113"/>
      <c r="P642" s="113"/>
      <c r="Q642" s="113"/>
      <c r="R642" s="113"/>
      <c r="T642" s="113"/>
      <c r="U642" s="113"/>
      <c r="V642" s="113"/>
    </row>
    <row r="643" customFormat="false" ht="15" hidden="false" customHeight="true" outlineLevel="0" collapsed="false">
      <c r="H643" s="113"/>
      <c r="I643" s="113"/>
      <c r="J643" s="113"/>
      <c r="L643" s="113"/>
      <c r="M643" s="113"/>
      <c r="N643" s="113"/>
      <c r="P643" s="113"/>
      <c r="Q643" s="113"/>
      <c r="R643" s="113"/>
      <c r="T643" s="113"/>
      <c r="U643" s="113"/>
      <c r="V643" s="113"/>
    </row>
    <row r="644" customFormat="false" ht="15" hidden="false" customHeight="true" outlineLevel="0" collapsed="false">
      <c r="H644" s="113"/>
      <c r="I644" s="113"/>
      <c r="J644" s="113"/>
      <c r="L644" s="113"/>
      <c r="M644" s="113"/>
      <c r="N644" s="113"/>
      <c r="P644" s="113"/>
      <c r="Q644" s="113"/>
      <c r="R644" s="113"/>
      <c r="T644" s="113"/>
      <c r="U644" s="113"/>
      <c r="V644" s="113"/>
    </row>
    <row r="645" customFormat="false" ht="15" hidden="false" customHeight="true" outlineLevel="0" collapsed="false">
      <c r="H645" s="113"/>
      <c r="I645" s="113"/>
      <c r="J645" s="113"/>
      <c r="L645" s="113"/>
      <c r="M645" s="113"/>
      <c r="N645" s="113"/>
      <c r="P645" s="113"/>
      <c r="Q645" s="113"/>
      <c r="R645" s="113"/>
      <c r="T645" s="113"/>
      <c r="U645" s="113"/>
      <c r="V645" s="113"/>
    </row>
    <row r="646" customFormat="false" ht="15" hidden="false" customHeight="true" outlineLevel="0" collapsed="false">
      <c r="H646" s="113"/>
      <c r="I646" s="113"/>
      <c r="J646" s="113"/>
      <c r="L646" s="113"/>
      <c r="M646" s="113"/>
      <c r="N646" s="113"/>
      <c r="P646" s="113"/>
      <c r="Q646" s="113"/>
      <c r="R646" s="113"/>
      <c r="T646" s="113"/>
      <c r="U646" s="113"/>
      <c r="V646" s="113"/>
    </row>
    <row r="647" customFormat="false" ht="15" hidden="false" customHeight="true" outlineLevel="0" collapsed="false">
      <c r="H647" s="113"/>
      <c r="I647" s="113"/>
      <c r="J647" s="113"/>
      <c r="L647" s="113"/>
      <c r="M647" s="113"/>
      <c r="N647" s="113"/>
      <c r="P647" s="113"/>
      <c r="Q647" s="113"/>
      <c r="R647" s="113"/>
      <c r="T647" s="113"/>
      <c r="U647" s="113"/>
      <c r="V647" s="113"/>
    </row>
    <row r="648" customFormat="false" ht="15" hidden="false" customHeight="true" outlineLevel="0" collapsed="false">
      <c r="H648" s="113"/>
      <c r="I648" s="113"/>
      <c r="J648" s="113"/>
      <c r="L648" s="113"/>
      <c r="M648" s="113"/>
      <c r="N648" s="113"/>
      <c r="P648" s="113"/>
      <c r="Q648" s="113"/>
      <c r="R648" s="113"/>
      <c r="T648" s="113"/>
      <c r="U648" s="113"/>
      <c r="V648" s="113"/>
    </row>
    <row r="649" customFormat="false" ht="15" hidden="false" customHeight="true" outlineLevel="0" collapsed="false">
      <c r="H649" s="113"/>
      <c r="I649" s="113"/>
      <c r="J649" s="113"/>
      <c r="L649" s="113"/>
      <c r="M649" s="113"/>
      <c r="N649" s="113"/>
      <c r="P649" s="113"/>
      <c r="Q649" s="113"/>
      <c r="R649" s="113"/>
      <c r="T649" s="113"/>
      <c r="U649" s="113"/>
      <c r="V649" s="113"/>
    </row>
    <row r="650" customFormat="false" ht="15" hidden="false" customHeight="true" outlineLevel="0" collapsed="false">
      <c r="H650" s="113"/>
      <c r="I650" s="113"/>
      <c r="J650" s="113"/>
      <c r="L650" s="113"/>
      <c r="M650" s="113"/>
      <c r="N650" s="113"/>
      <c r="P650" s="113"/>
      <c r="Q650" s="113"/>
      <c r="R650" s="113"/>
      <c r="T650" s="113"/>
      <c r="U650" s="113"/>
      <c r="V650" s="113"/>
    </row>
    <row r="651" customFormat="false" ht="15" hidden="false" customHeight="true" outlineLevel="0" collapsed="false">
      <c r="H651" s="113"/>
      <c r="I651" s="113"/>
      <c r="J651" s="113"/>
      <c r="L651" s="113"/>
      <c r="M651" s="113"/>
      <c r="N651" s="113"/>
      <c r="P651" s="113"/>
      <c r="Q651" s="113"/>
      <c r="R651" s="113"/>
      <c r="T651" s="113"/>
      <c r="U651" s="113"/>
      <c r="V651" s="113"/>
    </row>
    <row r="652" customFormat="false" ht="15" hidden="false" customHeight="true" outlineLevel="0" collapsed="false">
      <c r="H652" s="113"/>
      <c r="I652" s="113"/>
      <c r="J652" s="113"/>
      <c r="L652" s="113"/>
      <c r="M652" s="113"/>
      <c r="N652" s="113"/>
      <c r="P652" s="113"/>
      <c r="Q652" s="113"/>
      <c r="R652" s="113"/>
      <c r="T652" s="113"/>
      <c r="U652" s="113"/>
      <c r="V652" s="113"/>
    </row>
    <row r="653" customFormat="false" ht="15" hidden="false" customHeight="true" outlineLevel="0" collapsed="false">
      <c r="H653" s="113"/>
      <c r="I653" s="113"/>
      <c r="J653" s="113"/>
      <c r="L653" s="113"/>
      <c r="M653" s="113"/>
      <c r="N653" s="113"/>
      <c r="P653" s="113"/>
      <c r="Q653" s="113"/>
      <c r="R653" s="113"/>
      <c r="T653" s="113"/>
      <c r="U653" s="113"/>
      <c r="V653" s="113"/>
    </row>
    <row r="654" customFormat="false" ht="15" hidden="false" customHeight="true" outlineLevel="0" collapsed="false">
      <c r="H654" s="113"/>
      <c r="I654" s="113"/>
      <c r="J654" s="113"/>
      <c r="L654" s="113"/>
      <c r="M654" s="113"/>
      <c r="N654" s="113"/>
      <c r="P654" s="113"/>
      <c r="Q654" s="113"/>
      <c r="R654" s="113"/>
      <c r="T654" s="113"/>
      <c r="U654" s="113"/>
      <c r="V654" s="113"/>
    </row>
    <row r="655" customFormat="false" ht="15" hidden="false" customHeight="true" outlineLevel="0" collapsed="false">
      <c r="H655" s="113"/>
      <c r="I655" s="113"/>
      <c r="J655" s="113"/>
      <c r="L655" s="113"/>
      <c r="M655" s="113"/>
      <c r="N655" s="113"/>
      <c r="P655" s="113"/>
      <c r="Q655" s="113"/>
      <c r="R655" s="113"/>
      <c r="T655" s="113"/>
      <c r="U655" s="113"/>
      <c r="V655" s="113"/>
    </row>
    <row r="656" customFormat="false" ht="15" hidden="false" customHeight="true" outlineLevel="0" collapsed="false">
      <c r="H656" s="113"/>
      <c r="I656" s="113"/>
      <c r="J656" s="113"/>
      <c r="L656" s="113"/>
      <c r="M656" s="113"/>
      <c r="N656" s="113"/>
      <c r="P656" s="113"/>
      <c r="Q656" s="113"/>
      <c r="R656" s="113"/>
      <c r="T656" s="113"/>
      <c r="U656" s="113"/>
      <c r="V656" s="113"/>
    </row>
    <row r="657" customFormat="false" ht="15" hidden="false" customHeight="true" outlineLevel="0" collapsed="false">
      <c r="H657" s="113"/>
      <c r="I657" s="113"/>
      <c r="J657" s="113"/>
      <c r="L657" s="113"/>
      <c r="M657" s="113"/>
      <c r="N657" s="113"/>
      <c r="P657" s="113"/>
      <c r="Q657" s="113"/>
      <c r="R657" s="113"/>
      <c r="T657" s="113"/>
      <c r="U657" s="113"/>
      <c r="V657" s="113"/>
    </row>
    <row r="658" customFormat="false" ht="15" hidden="false" customHeight="true" outlineLevel="0" collapsed="false">
      <c r="H658" s="113"/>
      <c r="I658" s="113"/>
      <c r="J658" s="113"/>
      <c r="L658" s="113"/>
      <c r="M658" s="113"/>
      <c r="N658" s="113"/>
      <c r="P658" s="113"/>
      <c r="Q658" s="113"/>
      <c r="R658" s="113"/>
      <c r="T658" s="113"/>
      <c r="U658" s="113"/>
      <c r="V658" s="113"/>
    </row>
    <row r="659" customFormat="false" ht="15" hidden="false" customHeight="true" outlineLevel="0" collapsed="false">
      <c r="H659" s="113"/>
      <c r="I659" s="113"/>
      <c r="J659" s="113"/>
      <c r="L659" s="113"/>
      <c r="M659" s="113"/>
      <c r="N659" s="113"/>
      <c r="P659" s="113"/>
      <c r="Q659" s="113"/>
      <c r="R659" s="113"/>
      <c r="T659" s="113"/>
      <c r="U659" s="113"/>
      <c r="V659" s="113"/>
    </row>
    <row r="660" customFormat="false" ht="15" hidden="false" customHeight="true" outlineLevel="0" collapsed="false">
      <c r="H660" s="113"/>
      <c r="I660" s="113"/>
      <c r="J660" s="113"/>
      <c r="L660" s="113"/>
      <c r="M660" s="113"/>
      <c r="N660" s="113"/>
      <c r="P660" s="113"/>
      <c r="Q660" s="113"/>
      <c r="R660" s="113"/>
      <c r="T660" s="113"/>
      <c r="U660" s="113"/>
      <c r="V660" s="113"/>
    </row>
    <row r="661" customFormat="false" ht="15" hidden="false" customHeight="true" outlineLevel="0" collapsed="false">
      <c r="H661" s="113"/>
      <c r="I661" s="113"/>
      <c r="J661" s="113"/>
      <c r="L661" s="113"/>
      <c r="M661" s="113"/>
      <c r="N661" s="113"/>
      <c r="P661" s="113"/>
      <c r="Q661" s="113"/>
      <c r="R661" s="113"/>
      <c r="T661" s="113"/>
      <c r="U661" s="113"/>
      <c r="V661" s="113"/>
    </row>
    <row r="662" customFormat="false" ht="15" hidden="false" customHeight="true" outlineLevel="0" collapsed="false">
      <c r="H662" s="113"/>
      <c r="I662" s="113"/>
      <c r="J662" s="113"/>
      <c r="L662" s="113"/>
      <c r="M662" s="113"/>
      <c r="N662" s="113"/>
      <c r="P662" s="113"/>
      <c r="Q662" s="113"/>
      <c r="R662" s="113"/>
      <c r="T662" s="113"/>
      <c r="U662" s="113"/>
      <c r="V662" s="113"/>
    </row>
    <row r="663" customFormat="false" ht="15" hidden="false" customHeight="true" outlineLevel="0" collapsed="false">
      <c r="H663" s="113"/>
      <c r="I663" s="113"/>
      <c r="J663" s="113"/>
      <c r="L663" s="113"/>
      <c r="M663" s="113"/>
      <c r="N663" s="113"/>
      <c r="P663" s="113"/>
      <c r="Q663" s="113"/>
      <c r="R663" s="113"/>
      <c r="T663" s="113"/>
      <c r="U663" s="113"/>
      <c r="V663" s="113"/>
    </row>
    <row r="664" customFormat="false" ht="15" hidden="false" customHeight="true" outlineLevel="0" collapsed="false">
      <c r="H664" s="113"/>
      <c r="I664" s="113"/>
      <c r="J664" s="113"/>
      <c r="L664" s="113"/>
      <c r="M664" s="113"/>
      <c r="N664" s="113"/>
      <c r="P664" s="113"/>
      <c r="Q664" s="113"/>
      <c r="R664" s="113"/>
      <c r="T664" s="113"/>
      <c r="U664" s="113"/>
      <c r="V664" s="113"/>
    </row>
    <row r="665" customFormat="false" ht="15" hidden="false" customHeight="true" outlineLevel="0" collapsed="false">
      <c r="H665" s="113"/>
      <c r="I665" s="113"/>
      <c r="J665" s="113"/>
      <c r="L665" s="113"/>
      <c r="M665" s="113"/>
      <c r="N665" s="113"/>
      <c r="P665" s="113"/>
      <c r="Q665" s="113"/>
      <c r="R665" s="113"/>
      <c r="T665" s="113"/>
      <c r="U665" s="113"/>
      <c r="V665" s="113"/>
    </row>
    <row r="666" customFormat="false" ht="15" hidden="false" customHeight="true" outlineLevel="0" collapsed="false">
      <c r="H666" s="113"/>
      <c r="I666" s="113"/>
      <c r="J666" s="113"/>
      <c r="L666" s="113"/>
      <c r="M666" s="113"/>
      <c r="N666" s="113"/>
      <c r="P666" s="113"/>
      <c r="Q666" s="113"/>
      <c r="R666" s="113"/>
      <c r="T666" s="113"/>
      <c r="U666" s="113"/>
      <c r="V666" s="113"/>
    </row>
    <row r="667" customFormat="false" ht="15" hidden="false" customHeight="true" outlineLevel="0" collapsed="false">
      <c r="H667" s="113"/>
      <c r="I667" s="113"/>
      <c r="J667" s="113"/>
      <c r="L667" s="113"/>
      <c r="M667" s="113"/>
      <c r="N667" s="113"/>
      <c r="P667" s="113"/>
      <c r="Q667" s="113"/>
      <c r="R667" s="113"/>
      <c r="T667" s="113"/>
      <c r="U667" s="113"/>
      <c r="V667" s="113"/>
    </row>
    <row r="668" customFormat="false" ht="15" hidden="false" customHeight="true" outlineLevel="0" collapsed="false">
      <c r="H668" s="113"/>
      <c r="I668" s="113"/>
      <c r="J668" s="113"/>
      <c r="L668" s="113"/>
      <c r="M668" s="113"/>
      <c r="N668" s="113"/>
      <c r="P668" s="113"/>
      <c r="Q668" s="113"/>
      <c r="R668" s="113"/>
      <c r="T668" s="113"/>
      <c r="U668" s="113"/>
      <c r="V668" s="113"/>
    </row>
    <row r="669" customFormat="false" ht="15" hidden="false" customHeight="true" outlineLevel="0" collapsed="false">
      <c r="H669" s="113"/>
      <c r="I669" s="113"/>
      <c r="J669" s="113"/>
      <c r="L669" s="113"/>
      <c r="M669" s="113"/>
      <c r="N669" s="113"/>
      <c r="P669" s="113"/>
      <c r="Q669" s="113"/>
      <c r="R669" s="113"/>
      <c r="T669" s="113"/>
      <c r="U669" s="113"/>
      <c r="V669" s="113"/>
    </row>
    <row r="670" customFormat="false" ht="15" hidden="false" customHeight="true" outlineLevel="0" collapsed="false">
      <c r="H670" s="113"/>
      <c r="I670" s="113"/>
      <c r="J670" s="113"/>
      <c r="L670" s="113"/>
      <c r="M670" s="113"/>
      <c r="N670" s="113"/>
      <c r="P670" s="113"/>
      <c r="Q670" s="113"/>
      <c r="R670" s="113"/>
      <c r="T670" s="113"/>
      <c r="U670" s="113"/>
      <c r="V670" s="113"/>
    </row>
    <row r="671" customFormat="false" ht="15" hidden="false" customHeight="true" outlineLevel="0" collapsed="false">
      <c r="H671" s="113"/>
      <c r="I671" s="113"/>
      <c r="J671" s="113"/>
      <c r="L671" s="113"/>
      <c r="M671" s="113"/>
      <c r="N671" s="113"/>
      <c r="P671" s="113"/>
      <c r="Q671" s="113"/>
      <c r="R671" s="113"/>
      <c r="T671" s="113"/>
      <c r="U671" s="113"/>
      <c r="V671" s="113"/>
    </row>
    <row r="672" customFormat="false" ht="15" hidden="false" customHeight="true" outlineLevel="0" collapsed="false">
      <c r="H672" s="113"/>
      <c r="I672" s="113"/>
      <c r="J672" s="113"/>
      <c r="L672" s="113"/>
      <c r="M672" s="113"/>
      <c r="N672" s="113"/>
      <c r="P672" s="113"/>
      <c r="Q672" s="113"/>
      <c r="R672" s="113"/>
      <c r="T672" s="113"/>
      <c r="U672" s="113"/>
      <c r="V672" s="113"/>
    </row>
    <row r="673" customFormat="false" ht="15" hidden="false" customHeight="true" outlineLevel="0" collapsed="false">
      <c r="H673" s="113"/>
      <c r="I673" s="113"/>
      <c r="J673" s="113"/>
      <c r="L673" s="113"/>
      <c r="M673" s="113"/>
      <c r="N673" s="113"/>
      <c r="P673" s="113"/>
      <c r="Q673" s="113"/>
      <c r="R673" s="113"/>
      <c r="T673" s="113"/>
      <c r="U673" s="113"/>
      <c r="V673" s="113"/>
    </row>
    <row r="674" customFormat="false" ht="15" hidden="false" customHeight="true" outlineLevel="0" collapsed="false">
      <c r="H674" s="113"/>
      <c r="I674" s="113"/>
      <c r="J674" s="113"/>
      <c r="L674" s="113"/>
      <c r="M674" s="113"/>
      <c r="N674" s="113"/>
      <c r="P674" s="113"/>
      <c r="Q674" s="113"/>
      <c r="R674" s="113"/>
      <c r="T674" s="113"/>
      <c r="U674" s="113"/>
      <c r="V674" s="113"/>
    </row>
    <row r="675" customFormat="false" ht="15" hidden="false" customHeight="true" outlineLevel="0" collapsed="false">
      <c r="H675" s="113"/>
      <c r="I675" s="113"/>
      <c r="J675" s="113"/>
      <c r="L675" s="113"/>
      <c r="M675" s="113"/>
      <c r="N675" s="113"/>
      <c r="P675" s="113"/>
      <c r="Q675" s="113"/>
      <c r="R675" s="113"/>
      <c r="T675" s="113"/>
      <c r="U675" s="113"/>
      <c r="V675" s="113"/>
    </row>
    <row r="676" customFormat="false" ht="15" hidden="false" customHeight="true" outlineLevel="0" collapsed="false">
      <c r="H676" s="113"/>
      <c r="I676" s="113"/>
      <c r="J676" s="113"/>
      <c r="L676" s="113"/>
      <c r="M676" s="113"/>
      <c r="N676" s="113"/>
      <c r="P676" s="113"/>
      <c r="Q676" s="113"/>
      <c r="R676" s="113"/>
      <c r="T676" s="113"/>
      <c r="U676" s="113"/>
      <c r="V676" s="113"/>
    </row>
    <row r="677" customFormat="false" ht="15" hidden="false" customHeight="true" outlineLevel="0" collapsed="false">
      <c r="H677" s="113"/>
      <c r="I677" s="113"/>
      <c r="J677" s="113"/>
      <c r="L677" s="113"/>
      <c r="M677" s="113"/>
      <c r="N677" s="113"/>
      <c r="P677" s="113"/>
      <c r="Q677" s="113"/>
      <c r="R677" s="113"/>
      <c r="T677" s="113"/>
      <c r="U677" s="113"/>
      <c r="V677" s="113"/>
    </row>
    <row r="678" customFormat="false" ht="15" hidden="false" customHeight="true" outlineLevel="0" collapsed="false">
      <c r="H678" s="113"/>
      <c r="I678" s="113"/>
      <c r="J678" s="113"/>
      <c r="L678" s="113"/>
      <c r="M678" s="113"/>
      <c r="N678" s="113"/>
      <c r="P678" s="113"/>
      <c r="Q678" s="113"/>
      <c r="R678" s="113"/>
      <c r="T678" s="113"/>
      <c r="U678" s="113"/>
      <c r="V678" s="113"/>
    </row>
    <row r="679" customFormat="false" ht="15" hidden="false" customHeight="true" outlineLevel="0" collapsed="false">
      <c r="H679" s="113"/>
      <c r="I679" s="113"/>
      <c r="J679" s="113"/>
      <c r="L679" s="113"/>
      <c r="M679" s="113"/>
      <c r="N679" s="113"/>
      <c r="P679" s="113"/>
      <c r="Q679" s="113"/>
      <c r="R679" s="113"/>
      <c r="T679" s="113"/>
      <c r="U679" s="113"/>
      <c r="V679" s="113"/>
    </row>
    <row r="680" customFormat="false" ht="15" hidden="false" customHeight="true" outlineLevel="0" collapsed="false">
      <c r="H680" s="113"/>
      <c r="I680" s="113"/>
      <c r="J680" s="113"/>
      <c r="L680" s="113"/>
      <c r="M680" s="113"/>
      <c r="N680" s="113"/>
      <c r="P680" s="113"/>
      <c r="Q680" s="113"/>
      <c r="R680" s="113"/>
      <c r="T680" s="113"/>
      <c r="U680" s="113"/>
      <c r="V680" s="113"/>
    </row>
    <row r="681" customFormat="false" ht="15" hidden="false" customHeight="true" outlineLevel="0" collapsed="false">
      <c r="H681" s="113"/>
      <c r="I681" s="113"/>
      <c r="J681" s="113"/>
      <c r="L681" s="113"/>
      <c r="M681" s="113"/>
      <c r="N681" s="113"/>
      <c r="P681" s="113"/>
      <c r="Q681" s="113"/>
      <c r="R681" s="113"/>
      <c r="T681" s="113"/>
      <c r="U681" s="113"/>
      <c r="V681" s="113"/>
    </row>
    <row r="682" customFormat="false" ht="15" hidden="false" customHeight="true" outlineLevel="0" collapsed="false">
      <c r="H682" s="113"/>
      <c r="I682" s="113"/>
      <c r="J682" s="113"/>
      <c r="L682" s="113"/>
      <c r="M682" s="113"/>
      <c r="N682" s="113"/>
      <c r="P682" s="113"/>
      <c r="Q682" s="113"/>
      <c r="R682" s="113"/>
      <c r="T682" s="113"/>
      <c r="U682" s="113"/>
      <c r="V682" s="113"/>
    </row>
    <row r="683" customFormat="false" ht="15" hidden="false" customHeight="true" outlineLevel="0" collapsed="false">
      <c r="H683" s="113"/>
      <c r="I683" s="113"/>
      <c r="J683" s="113"/>
      <c r="L683" s="113"/>
      <c r="M683" s="113"/>
      <c r="N683" s="113"/>
      <c r="P683" s="113"/>
      <c r="Q683" s="113"/>
      <c r="R683" s="113"/>
      <c r="T683" s="113"/>
      <c r="U683" s="113"/>
      <c r="V683" s="113"/>
    </row>
    <row r="684" customFormat="false" ht="15" hidden="false" customHeight="true" outlineLevel="0" collapsed="false">
      <c r="H684" s="113"/>
      <c r="I684" s="113"/>
      <c r="J684" s="113"/>
      <c r="L684" s="113"/>
      <c r="M684" s="113"/>
      <c r="N684" s="113"/>
      <c r="P684" s="113"/>
      <c r="Q684" s="113"/>
      <c r="R684" s="113"/>
      <c r="T684" s="113"/>
      <c r="U684" s="113"/>
      <c r="V684" s="113"/>
    </row>
    <row r="685" customFormat="false" ht="15" hidden="false" customHeight="true" outlineLevel="0" collapsed="false">
      <c r="H685" s="113"/>
      <c r="I685" s="113"/>
      <c r="J685" s="113"/>
      <c r="L685" s="113"/>
      <c r="M685" s="113"/>
      <c r="N685" s="113"/>
      <c r="P685" s="113"/>
      <c r="Q685" s="113"/>
      <c r="R685" s="113"/>
      <c r="T685" s="113"/>
      <c r="U685" s="113"/>
      <c r="V685" s="113"/>
    </row>
    <row r="686" customFormat="false" ht="15" hidden="false" customHeight="true" outlineLevel="0" collapsed="false">
      <c r="H686" s="113"/>
      <c r="I686" s="113"/>
      <c r="J686" s="113"/>
      <c r="L686" s="113"/>
      <c r="M686" s="113"/>
      <c r="N686" s="113"/>
      <c r="P686" s="113"/>
      <c r="Q686" s="113"/>
      <c r="R686" s="113"/>
      <c r="T686" s="113"/>
      <c r="U686" s="113"/>
      <c r="V686" s="113"/>
    </row>
    <row r="687" customFormat="false" ht="15" hidden="false" customHeight="true" outlineLevel="0" collapsed="false">
      <c r="H687" s="113"/>
      <c r="I687" s="113"/>
      <c r="J687" s="113"/>
      <c r="L687" s="113"/>
      <c r="M687" s="113"/>
      <c r="N687" s="113"/>
      <c r="P687" s="113"/>
      <c r="Q687" s="113"/>
      <c r="R687" s="113"/>
      <c r="T687" s="113"/>
      <c r="U687" s="113"/>
      <c r="V687" s="113"/>
    </row>
    <row r="688" customFormat="false" ht="15" hidden="false" customHeight="true" outlineLevel="0" collapsed="false">
      <c r="H688" s="113"/>
      <c r="I688" s="113"/>
      <c r="J688" s="113"/>
      <c r="L688" s="113"/>
      <c r="M688" s="113"/>
      <c r="N688" s="113"/>
      <c r="P688" s="113"/>
      <c r="Q688" s="113"/>
      <c r="R688" s="113"/>
      <c r="T688" s="113"/>
      <c r="U688" s="113"/>
      <c r="V688" s="113"/>
    </row>
    <row r="689" customFormat="false" ht="15" hidden="false" customHeight="true" outlineLevel="0" collapsed="false">
      <c r="H689" s="113"/>
      <c r="I689" s="113"/>
      <c r="J689" s="113"/>
      <c r="L689" s="113"/>
      <c r="M689" s="113"/>
      <c r="N689" s="113"/>
      <c r="P689" s="113"/>
      <c r="Q689" s="113"/>
      <c r="R689" s="113"/>
      <c r="T689" s="113"/>
      <c r="U689" s="113"/>
      <c r="V689" s="113"/>
    </row>
    <row r="690" customFormat="false" ht="15" hidden="false" customHeight="true" outlineLevel="0" collapsed="false">
      <c r="H690" s="113"/>
      <c r="I690" s="113"/>
      <c r="J690" s="113"/>
      <c r="L690" s="113"/>
      <c r="M690" s="113"/>
      <c r="N690" s="113"/>
      <c r="P690" s="113"/>
      <c r="Q690" s="113"/>
      <c r="R690" s="113"/>
      <c r="T690" s="113"/>
      <c r="U690" s="113"/>
      <c r="V690" s="113"/>
    </row>
    <row r="691" customFormat="false" ht="15" hidden="false" customHeight="true" outlineLevel="0" collapsed="false">
      <c r="H691" s="113"/>
      <c r="I691" s="113"/>
      <c r="J691" s="113"/>
      <c r="L691" s="113"/>
      <c r="M691" s="113"/>
      <c r="N691" s="113"/>
      <c r="P691" s="113"/>
      <c r="Q691" s="113"/>
      <c r="R691" s="113"/>
      <c r="T691" s="113"/>
      <c r="U691" s="113"/>
      <c r="V691" s="113"/>
    </row>
    <row r="692" customFormat="false" ht="15" hidden="false" customHeight="true" outlineLevel="0" collapsed="false">
      <c r="H692" s="113"/>
      <c r="I692" s="113"/>
      <c r="J692" s="113"/>
      <c r="L692" s="113"/>
      <c r="M692" s="113"/>
      <c r="N692" s="113"/>
      <c r="P692" s="113"/>
      <c r="Q692" s="113"/>
      <c r="R692" s="113"/>
      <c r="T692" s="113"/>
      <c r="U692" s="113"/>
      <c r="V692" s="113"/>
    </row>
    <row r="693" customFormat="false" ht="15" hidden="false" customHeight="true" outlineLevel="0" collapsed="false">
      <c r="H693" s="113"/>
      <c r="I693" s="113"/>
      <c r="J693" s="113"/>
      <c r="L693" s="113"/>
      <c r="M693" s="113"/>
      <c r="N693" s="113"/>
      <c r="P693" s="113"/>
      <c r="Q693" s="113"/>
      <c r="R693" s="113"/>
      <c r="T693" s="113"/>
      <c r="U693" s="113"/>
      <c r="V693" s="113"/>
    </row>
    <row r="694" customFormat="false" ht="15" hidden="false" customHeight="true" outlineLevel="0" collapsed="false">
      <c r="H694" s="113"/>
      <c r="I694" s="113"/>
      <c r="J694" s="113"/>
      <c r="L694" s="113"/>
      <c r="M694" s="113"/>
      <c r="N694" s="113"/>
      <c r="P694" s="113"/>
      <c r="Q694" s="113"/>
      <c r="R694" s="113"/>
      <c r="T694" s="113"/>
      <c r="U694" s="113"/>
      <c r="V694" s="113"/>
    </row>
    <row r="695" customFormat="false" ht="15" hidden="false" customHeight="true" outlineLevel="0" collapsed="false">
      <c r="H695" s="113"/>
      <c r="I695" s="113"/>
      <c r="J695" s="113"/>
      <c r="L695" s="113"/>
      <c r="M695" s="113"/>
      <c r="N695" s="113"/>
      <c r="P695" s="113"/>
      <c r="Q695" s="113"/>
      <c r="R695" s="113"/>
      <c r="T695" s="113"/>
      <c r="U695" s="113"/>
      <c r="V695" s="113"/>
    </row>
    <row r="696" customFormat="false" ht="15" hidden="false" customHeight="true" outlineLevel="0" collapsed="false">
      <c r="H696" s="113"/>
      <c r="I696" s="113"/>
      <c r="J696" s="113"/>
      <c r="L696" s="113"/>
      <c r="M696" s="113"/>
      <c r="N696" s="113"/>
      <c r="P696" s="113"/>
      <c r="Q696" s="113"/>
      <c r="R696" s="113"/>
      <c r="T696" s="113"/>
      <c r="U696" s="113"/>
      <c r="V696" s="113"/>
    </row>
    <row r="697" customFormat="false" ht="15" hidden="false" customHeight="true" outlineLevel="0" collapsed="false">
      <c r="H697" s="113"/>
      <c r="I697" s="113"/>
      <c r="J697" s="113"/>
      <c r="L697" s="113"/>
      <c r="M697" s="113"/>
      <c r="N697" s="113"/>
      <c r="P697" s="113"/>
      <c r="Q697" s="113"/>
      <c r="R697" s="113"/>
      <c r="T697" s="113"/>
      <c r="U697" s="113"/>
      <c r="V697" s="113"/>
    </row>
    <row r="698" customFormat="false" ht="15" hidden="false" customHeight="true" outlineLevel="0" collapsed="false">
      <c r="H698" s="113"/>
      <c r="I698" s="113"/>
      <c r="J698" s="113"/>
      <c r="L698" s="113"/>
      <c r="M698" s="113"/>
      <c r="N698" s="113"/>
      <c r="P698" s="113"/>
      <c r="Q698" s="113"/>
      <c r="R698" s="113"/>
      <c r="T698" s="113"/>
      <c r="U698" s="113"/>
      <c r="V698" s="113"/>
    </row>
    <row r="699" customFormat="false" ht="15" hidden="false" customHeight="true" outlineLevel="0" collapsed="false">
      <c r="H699" s="113"/>
      <c r="I699" s="113"/>
      <c r="J699" s="113"/>
      <c r="L699" s="113"/>
      <c r="M699" s="113"/>
      <c r="N699" s="113"/>
      <c r="P699" s="113"/>
      <c r="Q699" s="113"/>
      <c r="R699" s="113"/>
      <c r="T699" s="113"/>
      <c r="U699" s="113"/>
      <c r="V699" s="113"/>
    </row>
    <row r="700" customFormat="false" ht="15" hidden="false" customHeight="true" outlineLevel="0" collapsed="false">
      <c r="H700" s="113"/>
      <c r="I700" s="113"/>
      <c r="J700" s="113"/>
      <c r="L700" s="113"/>
      <c r="M700" s="113"/>
      <c r="N700" s="113"/>
      <c r="P700" s="113"/>
      <c r="Q700" s="113"/>
      <c r="R700" s="113"/>
      <c r="T700" s="113"/>
      <c r="U700" s="113"/>
      <c r="V700" s="113"/>
    </row>
    <row r="701" customFormat="false" ht="15" hidden="false" customHeight="true" outlineLevel="0" collapsed="false">
      <c r="H701" s="113"/>
      <c r="I701" s="113"/>
      <c r="J701" s="113"/>
      <c r="L701" s="113"/>
      <c r="M701" s="113"/>
      <c r="N701" s="113"/>
      <c r="P701" s="113"/>
      <c r="Q701" s="113"/>
      <c r="R701" s="113"/>
      <c r="T701" s="113"/>
      <c r="U701" s="113"/>
      <c r="V701" s="113"/>
    </row>
    <row r="702" customFormat="false" ht="15" hidden="false" customHeight="true" outlineLevel="0" collapsed="false"/>
  </sheetData>
  <mergeCells count="62">
    <mergeCell ref="A7:Y7"/>
    <mergeCell ref="B9:I9"/>
    <mergeCell ref="K9:R9"/>
    <mergeCell ref="B10:C10"/>
    <mergeCell ref="D10:E10"/>
    <mergeCell ref="F10:G10"/>
    <mergeCell ref="H10:I10"/>
    <mergeCell ref="K10:L10"/>
    <mergeCell ref="M10:N10"/>
    <mergeCell ref="O10:P10"/>
    <mergeCell ref="Q10:R10"/>
    <mergeCell ref="B11:C11"/>
    <mergeCell ref="D11:E11"/>
    <mergeCell ref="F11:G11"/>
    <mergeCell ref="H11:I11"/>
    <mergeCell ref="K11:L11"/>
    <mergeCell ref="M11:N11"/>
    <mergeCell ref="O11:P11"/>
    <mergeCell ref="Q11:R11"/>
    <mergeCell ref="B12:C13"/>
    <mergeCell ref="D12:E13"/>
    <mergeCell ref="F12:G13"/>
    <mergeCell ref="H12:I13"/>
    <mergeCell ref="K12:L13"/>
    <mergeCell ref="M12:N13"/>
    <mergeCell ref="O12:P13"/>
    <mergeCell ref="Q12:R13"/>
    <mergeCell ref="B14:C14"/>
    <mergeCell ref="D14:E14"/>
    <mergeCell ref="F14:G14"/>
    <mergeCell ref="H14:I14"/>
    <mergeCell ref="K14:L14"/>
    <mergeCell ref="M14:N14"/>
    <mergeCell ref="O14:P14"/>
    <mergeCell ref="Q14:R14"/>
    <mergeCell ref="B16:R16"/>
    <mergeCell ref="B17:D17"/>
    <mergeCell ref="E17:G17"/>
    <mergeCell ref="I17:K17"/>
    <mergeCell ref="M17:O17"/>
    <mergeCell ref="Q17:S17"/>
    <mergeCell ref="B18:D18"/>
    <mergeCell ref="E18:G18"/>
    <mergeCell ref="I18:K18"/>
    <mergeCell ref="M18:O18"/>
    <mergeCell ref="Q18:S18"/>
    <mergeCell ref="B19:D20"/>
    <mergeCell ref="E19:G20"/>
    <mergeCell ref="I19:K20"/>
    <mergeCell ref="M19:O20"/>
    <mergeCell ref="Q19:S20"/>
    <mergeCell ref="B21:D21"/>
    <mergeCell ref="E21:G21"/>
    <mergeCell ref="I21:K21"/>
    <mergeCell ref="M21:O21"/>
    <mergeCell ref="Q21:S21"/>
    <mergeCell ref="B22:D22"/>
    <mergeCell ref="E22:G22"/>
    <mergeCell ref="I22:K22"/>
    <mergeCell ref="M22:O22"/>
    <mergeCell ref="Q22:S22"/>
    <mergeCell ref="B23:S23"/>
  </mergeCells>
  <conditionalFormatting sqref="L49:M49">
    <cfRule type="expression" priority="2" aboveAverage="0" equalAverage="0" bottom="0" percent="0" rank="0" text="" dxfId="0">
      <formula>AND(ISNUMBER(L49),ISNUMBER($G49),OR(AND($D49="P",L49&gt;=$G49),AND($D49="N",L49&lt;=$G49)))</formula>
    </cfRule>
    <cfRule type="expression" priority="3" aboveAverage="0" equalAverage="0" bottom="0" percent="0" rank="0" text="" dxfId="1">
      <formula>AND(ISNUMBER(L49),ISNUMBER($G49),OR(AND($D49="P",L49&lt;$G49),AND($D49="N",L49&gt;$G49)))</formula>
    </cfRule>
  </conditionalFormatting>
  <conditionalFormatting sqref="X36:X106">
    <cfRule type="expression" priority="4" aboveAverage="0" equalAverage="0" bottom="0" percent="0" rank="0" text="" dxfId="0">
      <formula>$Y36="✓ On Target"</formula>
    </cfRule>
    <cfRule type="expression" priority="5" aboveAverage="0" equalAverage="0" bottom="0" percent="0" rank="0" text="" dxfId="1">
      <formula>$Y36="✗ Off Target"</formula>
    </cfRule>
    <cfRule type="expression" priority="6" aboveAverage="0" equalAverage="0" bottom="0" percent="0" rank="0" text="" dxfId="2">
      <formula>$Y36="— No Data"</formula>
    </cfRule>
    <cfRule type="expression" priority="7" aboveAverage="0" equalAverage="0" bottom="0" percent="0" rank="0" text="" dxfId="3">
      <formula>$Y36="⊘ Non Target"</formula>
    </cfRule>
  </conditionalFormatting>
  <conditionalFormatting sqref="Y36:Y106">
    <cfRule type="expression" priority="8" aboveAverage="0" equalAverage="0" bottom="0" percent="0" rank="0" text="" dxfId="0">
      <formula>Y36="✓ On Target"</formula>
    </cfRule>
    <cfRule type="expression" priority="9" aboveAverage="0" equalAverage="0" bottom="0" percent="0" rank="0" text="" dxfId="1">
      <formula>Y36="✗ Off Target"</formula>
    </cfRule>
    <cfRule type="expression" priority="10" aboveAverage="0" equalAverage="0" bottom="0" percent="0" rank="0" text="" dxfId="2">
      <formula>Y36="— No Data"</formula>
    </cfRule>
    <cfRule type="expression" priority="11" aboveAverage="0" equalAverage="0" bottom="0" percent="0" rank="0" text="" dxfId="3">
      <formula>Y36="⊘ Non Target"</formula>
    </cfRule>
  </conditionalFormatting>
  <conditionalFormatting sqref="H36:W48 H49:K49 H50:W106 N49:W49">
    <cfRule type="expression" priority="12" aboveAverage="0" equalAverage="0" bottom="0" percent="0" rank="0" text="" dxfId="0">
      <formula>AND(ISNUMBER(H36),ISNUMBER($G36),OR(AND($D36="P",H36&gt;=$G36),AND($D36="N",H36&lt;=$G36)))</formula>
    </cfRule>
    <cfRule type="expression" priority="13" aboveAverage="0" equalAverage="0" bottom="0" percent="0" rank="0" text="" dxfId="1">
      <formula>AND(ISNUMBER(H36),ISNUMBER($G36),OR(AND($D36="P",H36&lt;$G36),AND($D36="N",H36&gt;$G36)))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95"/>
  <sheetViews>
    <sheetView showFormulas="false" showGridLines="fals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J58" activeCellId="0" sqref="J58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8"/>
    <col collapsed="false" customWidth="true" hidden="false" outlineLevel="0" max="3" min="3" style="1" width="13"/>
    <col collapsed="false" customWidth="true" hidden="true" outlineLevel="0" max="4" min="4" style="1" width="3"/>
    <col collapsed="false" customWidth="true" hidden="false" outlineLevel="0" max="5" min="5" style="1" width="9"/>
    <col collapsed="false" customWidth="true" hidden="false" outlineLevel="0" max="7" min="6" style="1" width="10"/>
    <col collapsed="false" customWidth="true" hidden="false" outlineLevel="0" max="10" min="8" style="1" width="7"/>
    <col collapsed="false" customWidth="true" hidden="false" outlineLevel="0" max="11" min="11" style="1" width="8"/>
    <col collapsed="false" customWidth="true" hidden="false" outlineLevel="0" max="14" min="12" style="1" width="7"/>
    <col collapsed="false" customWidth="true" hidden="false" outlineLevel="0" max="15" min="15" style="1" width="8"/>
    <col collapsed="false" customWidth="true" hidden="false" outlineLevel="0" max="18" min="16" style="1" width="7"/>
    <col collapsed="false" customWidth="true" hidden="false" outlineLevel="0" max="19" min="19" style="1" width="8"/>
    <col collapsed="false" customWidth="true" hidden="false" outlineLevel="0" max="22" min="20" style="1" width="7"/>
    <col collapsed="false" customWidth="true" hidden="false" outlineLevel="0" max="23" min="23" style="1" width="8"/>
    <col collapsed="false" customWidth="true" hidden="false" outlineLevel="0" max="24" min="24" style="1" width="10"/>
    <col collapsed="false" customWidth="true" hidden="false" outlineLevel="0" max="25" min="25" style="1" width="14"/>
    <col collapsed="false" customWidth="true" hidden="false" outlineLevel="0" max="26" min="26" style="1" width="16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30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30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30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2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21.75" hidden="false" customHeight="true" outlineLevel="0" collapsed="false">
      <c r="A7" s="3" t="s">
        <v>541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9" customFormat="false" ht="24" hidden="false" customHeight="true" outlineLevel="0" collapsed="false">
      <c r="B9" s="159" t="s">
        <v>486</v>
      </c>
      <c r="C9" s="159"/>
      <c r="D9" s="159"/>
      <c r="E9" s="159"/>
      <c r="F9" s="159"/>
      <c r="G9" s="159"/>
      <c r="H9" s="159"/>
      <c r="I9" s="159"/>
      <c r="K9" s="159" t="s">
        <v>487</v>
      </c>
      <c r="L9" s="159"/>
      <c r="M9" s="159"/>
      <c r="N9" s="159"/>
      <c r="O9" s="159"/>
      <c r="P9" s="159"/>
      <c r="Q9" s="159"/>
      <c r="R9" s="159"/>
    </row>
    <row r="10" customFormat="false" ht="6" hidden="false" customHeight="true" outlineLevel="0" collapsed="false">
      <c r="B10" s="4"/>
      <c r="C10" s="4"/>
      <c r="D10" s="5"/>
      <c r="E10" s="5"/>
      <c r="F10" s="6"/>
      <c r="G10" s="6"/>
      <c r="H10" s="7"/>
      <c r="I10" s="7"/>
      <c r="K10" s="4"/>
      <c r="L10" s="4"/>
      <c r="M10" s="5"/>
      <c r="N10" s="5"/>
      <c r="O10" s="6"/>
      <c r="P10" s="6"/>
      <c r="Q10" s="7"/>
      <c r="R10" s="7"/>
    </row>
    <row r="11" customFormat="false" ht="19.5" hidden="false" customHeight="true" outlineLevel="0" collapsed="false">
      <c r="B11" s="9" t="s">
        <v>488</v>
      </c>
      <c r="C11" s="9"/>
      <c r="D11" s="9" t="s">
        <v>489</v>
      </c>
      <c r="E11" s="9"/>
      <c r="F11" s="9" t="s">
        <v>490</v>
      </c>
      <c r="G11" s="9"/>
      <c r="H11" s="9" t="s">
        <v>248</v>
      </c>
      <c r="I11" s="9"/>
      <c r="K11" s="9" t="s">
        <v>488</v>
      </c>
      <c r="L11" s="9"/>
      <c r="M11" s="9" t="s">
        <v>489</v>
      </c>
      <c r="N11" s="9"/>
      <c r="O11" s="9" t="s">
        <v>490</v>
      </c>
      <c r="P11" s="9"/>
      <c r="Q11" s="9" t="s">
        <v>248</v>
      </c>
      <c r="R11" s="9"/>
    </row>
    <row r="12" customFormat="false" ht="24" hidden="false" customHeight="true" outlineLevel="0" collapsed="false">
      <c r="B12" s="160" t="n">
        <v>24</v>
      </c>
      <c r="C12" s="160"/>
      <c r="D12" s="161" t="n">
        <v>10</v>
      </c>
      <c r="E12" s="161"/>
      <c r="F12" s="162" t="n">
        <v>8</v>
      </c>
      <c r="G12" s="162"/>
      <c r="H12" s="163" t="n">
        <v>1</v>
      </c>
      <c r="I12" s="163"/>
      <c r="K12" s="160" t="n">
        <v>5</v>
      </c>
      <c r="L12" s="160"/>
      <c r="M12" s="161" t="n">
        <v>1</v>
      </c>
      <c r="N12" s="161"/>
      <c r="O12" s="162" t="n">
        <v>1</v>
      </c>
      <c r="P12" s="162"/>
      <c r="Q12" s="163" t="n">
        <v>0</v>
      </c>
      <c r="R12" s="163"/>
    </row>
    <row r="13" customFormat="false" ht="24" hidden="false" customHeight="true" outlineLevel="0" collapsed="false">
      <c r="B13" s="160"/>
      <c r="C13" s="160"/>
      <c r="D13" s="161"/>
      <c r="E13" s="161"/>
      <c r="F13" s="162"/>
      <c r="G13" s="162"/>
      <c r="H13" s="163"/>
      <c r="I13" s="163"/>
      <c r="K13" s="160"/>
      <c r="L13" s="160"/>
      <c r="M13" s="161"/>
      <c r="N13" s="161"/>
      <c r="O13" s="162"/>
      <c r="P13" s="162"/>
      <c r="Q13" s="163"/>
      <c r="R13" s="163"/>
    </row>
    <row r="14" customFormat="false" ht="3.75" hidden="false" customHeight="true" outlineLevel="0" collapsed="false">
      <c r="B14" s="18"/>
      <c r="C14" s="18"/>
      <c r="D14" s="18"/>
      <c r="E14" s="18"/>
      <c r="F14" s="18"/>
      <c r="G14" s="18"/>
      <c r="H14" s="18"/>
      <c r="I14" s="18"/>
      <c r="K14" s="18"/>
      <c r="L14" s="18"/>
      <c r="M14" s="18"/>
      <c r="N14" s="18"/>
      <c r="O14" s="18"/>
      <c r="P14" s="18"/>
      <c r="Q14" s="18"/>
      <c r="R14" s="18"/>
    </row>
    <row r="16" customFormat="false" ht="25.5" hidden="false" customHeight="true" outlineLevel="0" collapsed="false">
      <c r="B16" s="164" t="s">
        <v>542</v>
      </c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</row>
    <row r="17" customFormat="false" ht="6" hidden="false" customHeight="true" outlineLevel="0" collapsed="false">
      <c r="B17" s="165"/>
      <c r="C17" s="165"/>
      <c r="D17" s="165"/>
      <c r="E17" s="5"/>
      <c r="F17" s="5"/>
      <c r="G17" s="5"/>
      <c r="I17" s="6"/>
      <c r="J17" s="6"/>
      <c r="K17" s="6"/>
      <c r="M17" s="7"/>
      <c r="N17" s="7"/>
      <c r="O17" s="7"/>
      <c r="Q17" s="8"/>
      <c r="R17" s="8"/>
      <c r="S17" s="8"/>
    </row>
    <row r="18" customFormat="false" ht="21.75" hidden="false" customHeight="true" outlineLevel="0" collapsed="false">
      <c r="B18" s="9" t="s">
        <v>492</v>
      </c>
      <c r="C18" s="9"/>
      <c r="D18" s="9"/>
      <c r="E18" s="9" t="s">
        <v>489</v>
      </c>
      <c r="F18" s="9"/>
      <c r="G18" s="9"/>
      <c r="I18" s="9" t="s">
        <v>490</v>
      </c>
      <c r="J18" s="9"/>
      <c r="K18" s="9"/>
      <c r="M18" s="9" t="s">
        <v>248</v>
      </c>
      <c r="N18" s="9"/>
      <c r="O18" s="9"/>
      <c r="Q18" s="166" t="s">
        <v>5</v>
      </c>
      <c r="R18" s="166"/>
      <c r="S18" s="166"/>
    </row>
    <row r="19" customFormat="false" ht="27.75" hidden="false" customHeight="true" outlineLevel="0" collapsed="false">
      <c r="B19" s="167" t="n">
        <v>29</v>
      </c>
      <c r="C19" s="167"/>
      <c r="D19" s="167"/>
      <c r="E19" s="168" t="n">
        <v>11</v>
      </c>
      <c r="F19" s="168"/>
      <c r="G19" s="168"/>
      <c r="I19" s="169" t="n">
        <v>9</v>
      </c>
      <c r="J19" s="169"/>
      <c r="K19" s="169"/>
      <c r="M19" s="170" t="n">
        <v>1</v>
      </c>
      <c r="N19" s="170"/>
      <c r="O19" s="170"/>
      <c r="Q19" s="171" t="n">
        <v>26</v>
      </c>
      <c r="R19" s="171"/>
      <c r="S19" s="171"/>
    </row>
    <row r="20" customFormat="false" ht="27.75" hidden="false" customHeight="true" outlineLevel="0" collapsed="false">
      <c r="B20" s="167"/>
      <c r="C20" s="167"/>
      <c r="D20" s="167"/>
      <c r="E20" s="168"/>
      <c r="F20" s="168"/>
      <c r="G20" s="168"/>
      <c r="I20" s="169"/>
      <c r="J20" s="169"/>
      <c r="K20" s="169"/>
      <c r="M20" s="170"/>
      <c r="N20" s="170"/>
      <c r="O20" s="170"/>
      <c r="Q20" s="171"/>
      <c r="R20" s="171"/>
      <c r="S20" s="171"/>
    </row>
    <row r="21" customFormat="false" ht="21.75" hidden="false" customHeight="true" outlineLevel="0" collapsed="false">
      <c r="B21" s="15" t="s">
        <v>493</v>
      </c>
      <c r="C21" s="15"/>
      <c r="D21" s="15"/>
      <c r="E21" s="15" t="s">
        <v>543</v>
      </c>
      <c r="F21" s="15"/>
      <c r="G21" s="15"/>
      <c r="I21" s="15" t="s">
        <v>544</v>
      </c>
      <c r="J21" s="15"/>
      <c r="K21" s="15"/>
      <c r="M21" s="15" t="s">
        <v>545</v>
      </c>
      <c r="N21" s="15"/>
      <c r="O21" s="15"/>
      <c r="Q21" s="172" t="s">
        <v>528</v>
      </c>
      <c r="R21" s="172"/>
      <c r="S21" s="172"/>
    </row>
    <row r="22" customFormat="false" ht="3.75" hidden="false" customHeight="true" outlineLevel="0" collapsed="false">
      <c r="B22" s="18"/>
      <c r="C22" s="18"/>
      <c r="D22" s="18"/>
      <c r="E22" s="18"/>
      <c r="F22" s="18"/>
      <c r="G22" s="18"/>
      <c r="I22" s="18"/>
      <c r="J22" s="18"/>
      <c r="K22" s="18"/>
      <c r="M22" s="18"/>
      <c r="N22" s="18"/>
      <c r="O22" s="18"/>
      <c r="Q22" s="18"/>
      <c r="R22" s="18"/>
      <c r="S22" s="18"/>
    </row>
    <row r="23" customFormat="false" ht="24" hidden="false" customHeight="true" outlineLevel="0" collapsed="false">
      <c r="B23" s="47" t="s">
        <v>546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</row>
    <row r="24" customFormat="false" ht="24" hidden="false" customHeight="true" outlineLevel="0" collapsed="false">
      <c r="B24" s="48" t="s">
        <v>23</v>
      </c>
      <c r="C24" s="48" t="s">
        <v>29</v>
      </c>
      <c r="D24" s="48" t="s">
        <v>65</v>
      </c>
      <c r="E24" s="48" t="s">
        <v>66</v>
      </c>
      <c r="F24" s="48" t="s">
        <v>67</v>
      </c>
      <c r="G24" s="48" t="s">
        <v>30</v>
      </c>
    </row>
    <row r="25" customFormat="false" ht="21.75" hidden="false" customHeight="true" outlineLevel="0" collapsed="false">
      <c r="B25" s="55" t="s">
        <v>35</v>
      </c>
      <c r="C25" s="65" t="n">
        <v>10</v>
      </c>
      <c r="D25" s="57" t="n">
        <v>2</v>
      </c>
      <c r="E25" s="58" t="n">
        <v>2</v>
      </c>
      <c r="F25" s="59" t="n">
        <v>1</v>
      </c>
      <c r="G25" s="60" t="n">
        <v>0.5</v>
      </c>
    </row>
    <row r="26" customFormat="false" ht="21.75" hidden="false" customHeight="true" outlineLevel="0" collapsed="false">
      <c r="B26" s="49" t="s">
        <v>34</v>
      </c>
      <c r="C26" s="66" t="n">
        <v>4</v>
      </c>
      <c r="D26" s="51" t="n">
        <v>3</v>
      </c>
      <c r="E26" s="52" t="n">
        <v>1</v>
      </c>
      <c r="F26" s="53" t="n">
        <v>0</v>
      </c>
      <c r="G26" s="54" t="n">
        <v>0.75</v>
      </c>
    </row>
    <row r="27" customFormat="false" ht="21.75" hidden="false" customHeight="true" outlineLevel="0" collapsed="false">
      <c r="B27" s="55" t="s">
        <v>36</v>
      </c>
      <c r="C27" s="65" t="n">
        <v>12</v>
      </c>
      <c r="D27" s="57" t="n">
        <v>6</v>
      </c>
      <c r="E27" s="58" t="n">
        <v>5</v>
      </c>
      <c r="F27" s="59" t="n">
        <v>0</v>
      </c>
      <c r="G27" s="60" t="n">
        <v>0.545454545454545</v>
      </c>
    </row>
    <row r="28" customFormat="false" ht="21.75" hidden="false" customHeight="true" outlineLevel="0" collapsed="false">
      <c r="B28" s="49" t="s">
        <v>39</v>
      </c>
      <c r="C28" s="66" t="n">
        <v>0</v>
      </c>
      <c r="D28" s="51" t="n">
        <v>0</v>
      </c>
      <c r="E28" s="52" t="n">
        <v>0</v>
      </c>
      <c r="F28" s="53" t="n">
        <v>0</v>
      </c>
      <c r="G28" s="54" t="s">
        <v>32</v>
      </c>
    </row>
    <row r="29" customFormat="false" ht="21.75" hidden="false" customHeight="true" outlineLevel="0" collapsed="false">
      <c r="B29" s="55" t="s">
        <v>37</v>
      </c>
      <c r="C29" s="65" t="n">
        <v>2</v>
      </c>
      <c r="D29" s="57" t="n">
        <v>0</v>
      </c>
      <c r="E29" s="58" t="n">
        <v>1</v>
      </c>
      <c r="F29" s="59" t="n">
        <v>0</v>
      </c>
      <c r="G29" s="60" t="n">
        <v>0</v>
      </c>
    </row>
    <row r="30" customFormat="false" ht="25.5" hidden="false" customHeight="true" outlineLevel="0" collapsed="false">
      <c r="B30" s="61" t="s">
        <v>54</v>
      </c>
      <c r="C30" s="63" t="n">
        <v>29</v>
      </c>
      <c r="D30" s="63" t="n">
        <v>11</v>
      </c>
      <c r="E30" s="63" t="n">
        <v>9</v>
      </c>
      <c r="F30" s="63" t="n">
        <v>1</v>
      </c>
      <c r="G30" s="64" t="n">
        <v>0.55</v>
      </c>
    </row>
    <row r="31" customFormat="false" ht="15.75" hidden="false" customHeight="true" outlineLevel="0" collapsed="false"/>
    <row r="32" customFormat="false" ht="15.75" hidden="false" customHeight="true" outlineLevel="0" collapsed="false"/>
    <row r="35" customFormat="false" ht="25.5" hidden="false" customHeight="true" outlineLevel="0" collapsed="false">
      <c r="A35" s="67" t="s">
        <v>69</v>
      </c>
      <c r="B35" s="67" t="s">
        <v>70</v>
      </c>
      <c r="C35" s="67" t="s">
        <v>71</v>
      </c>
      <c r="D35" s="67" t="s">
        <v>72</v>
      </c>
      <c r="E35" s="67" t="s">
        <v>499</v>
      </c>
      <c r="F35" s="67" t="s">
        <v>500</v>
      </c>
      <c r="G35" s="67" t="s">
        <v>74</v>
      </c>
      <c r="H35" s="67" t="s">
        <v>75</v>
      </c>
      <c r="I35" s="67" t="s">
        <v>76</v>
      </c>
      <c r="J35" s="67" t="s">
        <v>77</v>
      </c>
      <c r="K35" s="173" t="s">
        <v>78</v>
      </c>
      <c r="L35" s="67" t="s">
        <v>79</v>
      </c>
      <c r="M35" s="67" t="s">
        <v>80</v>
      </c>
      <c r="N35" s="67" t="s">
        <v>81</v>
      </c>
      <c r="O35" s="173" t="s">
        <v>82</v>
      </c>
      <c r="P35" s="67" t="s">
        <v>83</v>
      </c>
      <c r="Q35" s="67" t="s">
        <v>84</v>
      </c>
      <c r="R35" s="67" t="s">
        <v>85</v>
      </c>
      <c r="S35" s="173" t="s">
        <v>86</v>
      </c>
      <c r="T35" s="67" t="s">
        <v>87</v>
      </c>
      <c r="U35" s="67" t="s">
        <v>88</v>
      </c>
      <c r="V35" s="67" t="s">
        <v>89</v>
      </c>
      <c r="W35" s="173" t="s">
        <v>90</v>
      </c>
      <c r="X35" s="67" t="s">
        <v>91</v>
      </c>
      <c r="Y35" s="67" t="s">
        <v>92</v>
      </c>
      <c r="Z35" s="68" t="s">
        <v>93</v>
      </c>
    </row>
    <row r="36" customFormat="false" ht="25.5" hidden="false" customHeight="true" outlineLevel="0" collapsed="false">
      <c r="A36" s="69" t="s">
        <v>111</v>
      </c>
      <c r="B36" s="70" t="s">
        <v>112</v>
      </c>
      <c r="C36" s="71" t="s">
        <v>35</v>
      </c>
      <c r="D36" s="71" t="s">
        <v>97</v>
      </c>
      <c r="E36" s="69" t="s">
        <v>501</v>
      </c>
      <c r="F36" s="87" t="n">
        <v>0.017</v>
      </c>
      <c r="G36" s="88" t="n">
        <v>0.0145</v>
      </c>
      <c r="H36" s="89" t="n">
        <v>0</v>
      </c>
      <c r="I36" s="89" t="n">
        <v>0.0833333333333333</v>
      </c>
      <c r="J36" s="89" t="n">
        <v>0</v>
      </c>
      <c r="K36" s="174" t="n">
        <f aca="false">IF(COUNT(H36:J36)=0,"",AVERAGE(H36:J36))</f>
        <v>0.0277777777777778</v>
      </c>
      <c r="L36" s="90" t="n">
        <v>0.0416666666666667</v>
      </c>
      <c r="M36" s="90" t="n">
        <v>0</v>
      </c>
      <c r="N36" s="90" t="n">
        <v>0</v>
      </c>
      <c r="O36" s="174" t="n">
        <f aca="false">IF(COUNT(L36:N36)=0,"",AVERAGE(L36:N36))</f>
        <v>0.0138888888888889</v>
      </c>
      <c r="P36" s="90" t="n">
        <v>0</v>
      </c>
      <c r="Q36" s="90"/>
      <c r="R36" s="90"/>
      <c r="S36" s="174" t="n">
        <f aca="false">IF(COUNT(P36:R36)=0,"",AVERAGE(P36:R36))</f>
        <v>0</v>
      </c>
      <c r="T36" s="90"/>
      <c r="U36" s="90"/>
      <c r="V36" s="90"/>
      <c r="W36" s="174" t="str">
        <f aca="false">IF(COUNT(T36:V36)=0,"",AVERAGE(T36:V36))</f>
        <v/>
      </c>
      <c r="X36" s="92" t="n">
        <v>0.0347222222222222</v>
      </c>
      <c r="Y36" s="114" t="s">
        <v>113</v>
      </c>
      <c r="Z36" s="78" t="s">
        <v>100</v>
      </c>
    </row>
    <row r="37" customFormat="false" ht="25.5" hidden="false" customHeight="true" outlineLevel="0" collapsed="false">
      <c r="A37" s="69" t="s">
        <v>116</v>
      </c>
      <c r="B37" s="70" t="s">
        <v>117</v>
      </c>
      <c r="C37" s="71" t="s">
        <v>35</v>
      </c>
      <c r="D37" s="71" t="s">
        <v>97</v>
      </c>
      <c r="E37" s="69" t="s">
        <v>501</v>
      </c>
      <c r="F37" s="94" t="n">
        <v>0.0054</v>
      </c>
      <c r="G37" s="88" t="n">
        <v>0.0046</v>
      </c>
      <c r="H37" s="89" t="n">
        <v>0</v>
      </c>
      <c r="I37" s="89" t="n">
        <v>0</v>
      </c>
      <c r="J37" s="89" t="n">
        <v>0</v>
      </c>
      <c r="K37" s="174" t="n">
        <f aca="false">IF(COUNT(H37:J37)=0,"",AVERAGE(H37:J37))</f>
        <v>0</v>
      </c>
      <c r="L37" s="90" t="n">
        <v>0</v>
      </c>
      <c r="M37" s="90" t="n">
        <v>0</v>
      </c>
      <c r="N37" s="90" t="n">
        <v>0</v>
      </c>
      <c r="O37" s="175" t="n">
        <f aca="false">IF(COUNT(L37:N37)=0,"",AVERAGE(L37:N37))</f>
        <v>0</v>
      </c>
      <c r="P37" s="124" t="n">
        <v>0</v>
      </c>
      <c r="Q37" s="124"/>
      <c r="R37" s="124"/>
      <c r="S37" s="175" t="n">
        <f aca="false">IF(COUNT(P37:R37)=0,"",AVERAGE(P37:R37))</f>
        <v>0</v>
      </c>
      <c r="T37" s="124"/>
      <c r="U37" s="124"/>
      <c r="V37" s="124"/>
      <c r="W37" s="175" t="str">
        <f aca="false">IF(COUNT(T37:V37)=0,"",AVERAGE(T37:V37))</f>
        <v/>
      </c>
      <c r="X37" s="125" t="n">
        <v>0</v>
      </c>
      <c r="Y37" s="114" t="s">
        <v>104</v>
      </c>
      <c r="Z37" s="78" t="s">
        <v>100</v>
      </c>
    </row>
    <row r="38" customFormat="false" ht="25.5" hidden="false" customHeight="true" outlineLevel="0" collapsed="false">
      <c r="A38" s="69" t="s">
        <v>118</v>
      </c>
      <c r="B38" s="70" t="s">
        <v>119</v>
      </c>
      <c r="C38" s="71" t="s">
        <v>35</v>
      </c>
      <c r="D38" s="71" t="s">
        <v>97</v>
      </c>
      <c r="E38" s="69" t="s">
        <v>501</v>
      </c>
      <c r="F38" s="87" t="s">
        <v>32</v>
      </c>
      <c r="G38" s="91" t="s">
        <v>32</v>
      </c>
      <c r="H38" s="89" t="n">
        <v>0.00772200772200772</v>
      </c>
      <c r="I38" s="89" t="n">
        <v>0.00365877142306952</v>
      </c>
      <c r="J38" s="89" t="n">
        <v>0.00678829019940603</v>
      </c>
      <c r="K38" s="174" t="n">
        <f aca="false">IF(COUNT(H38:J38)=0,"",AVERAGE(H38:J38))</f>
        <v>0.00605635644816109</v>
      </c>
      <c r="L38" s="90" t="n">
        <v>0.00614525139664804</v>
      </c>
      <c r="M38" s="90" t="n">
        <v>0.00748983522362508</v>
      </c>
      <c r="N38" s="90" t="n">
        <v>0.00256794350524288</v>
      </c>
      <c r="O38" s="174" t="n">
        <f aca="false">IF(COUNT(L38:N38)=0,"",AVERAGE(L38:N38))</f>
        <v>0.00540101004183867</v>
      </c>
      <c r="P38" s="90" t="n">
        <v>0.00426191398682681</v>
      </c>
      <c r="Q38" s="90"/>
      <c r="R38" s="90"/>
      <c r="S38" s="174" t="n">
        <f aca="false">IF(COUNT(P38:R38)=0,"",AVERAGE(P38:R38))</f>
        <v>0.00426191398682681</v>
      </c>
      <c r="T38" s="90"/>
      <c r="U38" s="90"/>
      <c r="V38" s="90"/>
      <c r="W38" s="174" t="str">
        <f aca="false">IF(COUNT(T38:V38)=0,"",AVERAGE(T38:V38))</f>
        <v/>
      </c>
      <c r="X38" s="92" t="n">
        <v>0.00610080392240456</v>
      </c>
      <c r="Y38" s="114" t="s">
        <v>120</v>
      </c>
      <c r="Z38" s="78" t="s">
        <v>100</v>
      </c>
    </row>
    <row r="39" customFormat="false" ht="25.5" hidden="false" customHeight="true" outlineLevel="0" collapsed="false">
      <c r="A39" s="69" t="s">
        <v>127</v>
      </c>
      <c r="B39" s="70" t="s">
        <v>128</v>
      </c>
      <c r="C39" s="71" t="s">
        <v>35</v>
      </c>
      <c r="D39" s="71" t="s">
        <v>110</v>
      </c>
      <c r="E39" s="69" t="s">
        <v>501</v>
      </c>
      <c r="F39" s="102" t="s">
        <v>32</v>
      </c>
      <c r="G39" s="75" t="s">
        <v>32</v>
      </c>
      <c r="H39" s="81" t="n">
        <v>0.00612131329994435</v>
      </c>
      <c r="I39" s="81" t="n">
        <v>0.011482254697286</v>
      </c>
      <c r="J39" s="81" t="n">
        <v>0.0154494382022472</v>
      </c>
      <c r="K39" s="176" t="n">
        <f aca="false">IF(COUNT(H39:J39)=0,"",AVERAGE(H39:J39))</f>
        <v>0.0110176687331592</v>
      </c>
      <c r="L39" s="103" t="n">
        <v>0.00867507886435331</v>
      </c>
      <c r="M39" s="103" t="n">
        <v>0.0117145899893504</v>
      </c>
      <c r="N39" s="103" t="n">
        <v>0.0117145899893504</v>
      </c>
      <c r="O39" s="176" t="n">
        <f aca="false">IF(COUNT(L39:N39)=0,"",AVERAGE(L39:N39))</f>
        <v>0.0107014196143514</v>
      </c>
      <c r="P39" s="103" t="n">
        <v>0.0077683615819209</v>
      </c>
      <c r="Q39" s="103"/>
      <c r="R39" s="103"/>
      <c r="S39" s="176" t="n">
        <f aca="false">IF(COUNT(P39:R39)=0,"",AVERAGE(P39:R39))</f>
        <v>0.0077683615819209</v>
      </c>
      <c r="T39" s="103"/>
      <c r="U39" s="103"/>
      <c r="V39" s="103"/>
      <c r="W39" s="176" t="str">
        <f aca="false">IF(COUNT(T39:V39)=0,"",AVERAGE(T39:V39))</f>
        <v/>
      </c>
      <c r="X39" s="104" t="n">
        <v>0.00984637379875625</v>
      </c>
      <c r="Y39" s="114" t="s">
        <v>120</v>
      </c>
      <c r="Z39" s="78" t="s">
        <v>100</v>
      </c>
    </row>
    <row r="40" customFormat="false" ht="25.5" hidden="false" customHeight="true" outlineLevel="0" collapsed="false">
      <c r="A40" s="69" t="s">
        <v>129</v>
      </c>
      <c r="B40" s="70" t="s">
        <v>130</v>
      </c>
      <c r="C40" s="71" t="s">
        <v>35</v>
      </c>
      <c r="D40" s="71" t="s">
        <v>110</v>
      </c>
      <c r="E40" s="69" t="s">
        <v>501</v>
      </c>
      <c r="F40" s="102" t="s">
        <v>32</v>
      </c>
      <c r="G40" s="75" t="s">
        <v>32</v>
      </c>
      <c r="H40" s="81" t="n">
        <v>0.00304819965707754</v>
      </c>
      <c r="I40" s="81" t="n">
        <v>0.00306983883346124</v>
      </c>
      <c r="J40" s="81" t="n">
        <v>0.00337126000842815</v>
      </c>
      <c r="K40" s="176" t="n">
        <f aca="false">IF(COUNT(H40:J40)=0,"",AVERAGE(H40:J40))</f>
        <v>0.00316309949965564</v>
      </c>
      <c r="L40" s="103" t="n">
        <v>0.00296131778641496</v>
      </c>
      <c r="M40" s="103" t="n">
        <v>0.00339847068819031</v>
      </c>
      <c r="N40" s="103" t="n">
        <v>0.00339847068819031</v>
      </c>
      <c r="O40" s="176" t="n">
        <f aca="false">IF(COUNT(L40:N40)=0,"",AVERAGE(L40:N40))</f>
        <v>0.00325275305426519</v>
      </c>
      <c r="P40" s="103" t="n">
        <v>0.00231481481481481</v>
      </c>
      <c r="Q40" s="103"/>
      <c r="R40" s="103"/>
      <c r="S40" s="176" t="n">
        <f aca="false">IF(COUNT(P40:R40)=0,"",AVERAGE(P40:R40))</f>
        <v>0.00231481481481481</v>
      </c>
      <c r="T40" s="103"/>
      <c r="U40" s="103"/>
      <c r="V40" s="103"/>
      <c r="W40" s="176" t="str">
        <f aca="false">IF(COUNT(T40:V40)=0,"",AVERAGE(T40:V40))</f>
        <v/>
      </c>
      <c r="X40" s="104" t="n">
        <v>0.0030622086430353</v>
      </c>
      <c r="Y40" s="114" t="s">
        <v>120</v>
      </c>
      <c r="Z40" s="78" t="s">
        <v>100</v>
      </c>
    </row>
    <row r="41" customFormat="false" ht="25.5" hidden="false" customHeight="true" outlineLevel="0" collapsed="false">
      <c r="A41" s="69" t="s">
        <v>139</v>
      </c>
      <c r="B41" s="70" t="s">
        <v>140</v>
      </c>
      <c r="C41" s="71" t="s">
        <v>35</v>
      </c>
      <c r="D41" s="71" t="s">
        <v>97</v>
      </c>
      <c r="E41" s="69" t="s">
        <v>501</v>
      </c>
      <c r="F41" s="87" t="n">
        <v>0.646</v>
      </c>
      <c r="G41" s="88" t="s">
        <v>141</v>
      </c>
      <c r="H41" s="89" t="n">
        <v>0.155425219941349</v>
      </c>
      <c r="I41" s="89" t="n">
        <v>0.207792207792208</v>
      </c>
      <c r="J41" s="89" t="n">
        <v>0.315789473684211</v>
      </c>
      <c r="K41" s="174" t="n">
        <f aca="false">IF(COUNT(H41:J41)=0,"",AVERAGE(H41:J41))</f>
        <v>0.226335633805923</v>
      </c>
      <c r="L41" s="90" t="n">
        <v>0.214035087719298</v>
      </c>
      <c r="M41" s="90" t="n">
        <v>0.273344651952462</v>
      </c>
      <c r="N41" s="90" t="n">
        <v>0.184210526315789</v>
      </c>
      <c r="O41" s="174" t="n">
        <f aca="false">IF(COUNT(L41:N41)=0,"",AVERAGE(L41:N41))</f>
        <v>0.22386342199585</v>
      </c>
      <c r="P41" s="90" t="n">
        <v>0.171477079796265</v>
      </c>
      <c r="Q41" s="90"/>
      <c r="R41" s="90"/>
      <c r="S41" s="174" t="n">
        <f aca="false">IF(COUNT(P41:R41)=0,"",AVERAGE(P41:R41))</f>
        <v>0.171477079796265</v>
      </c>
      <c r="T41" s="90"/>
      <c r="U41" s="90"/>
      <c r="V41" s="90"/>
      <c r="W41" s="174" t="str">
        <f aca="false">IF(COUNT(T41:V41)=0,"",AVERAGE(T41:V41))</f>
        <v/>
      </c>
      <c r="X41" s="92" t="n">
        <v>0.22018536076261</v>
      </c>
      <c r="Y41" s="114" t="s">
        <v>104</v>
      </c>
      <c r="Z41" s="78" t="s">
        <v>100</v>
      </c>
    </row>
    <row r="42" customFormat="false" ht="25.5" hidden="false" customHeight="true" outlineLevel="0" collapsed="false">
      <c r="A42" s="69" t="s">
        <v>142</v>
      </c>
      <c r="B42" s="70" t="s">
        <v>143</v>
      </c>
      <c r="C42" s="71" t="s">
        <v>35</v>
      </c>
      <c r="D42" s="71" t="s">
        <v>97</v>
      </c>
      <c r="E42" s="69" t="s">
        <v>501</v>
      </c>
      <c r="F42" s="96" t="n">
        <v>3.9</v>
      </c>
      <c r="G42" s="97" t="n">
        <v>3.77</v>
      </c>
      <c r="H42" s="120" t="n">
        <v>4</v>
      </c>
      <c r="I42" s="120" t="n">
        <v>5.46666666666667</v>
      </c>
      <c r="J42" s="120" t="n">
        <v>7.5</v>
      </c>
      <c r="K42" s="180" t="n">
        <f aca="false">IF(COUNT(H42:J42)=0,"",AVERAGE(H42:J42))</f>
        <v>5.65555555555556</v>
      </c>
      <c r="L42" s="98" t="n">
        <v>3.78787878787879</v>
      </c>
      <c r="M42" s="98" t="n">
        <v>4.35294117647059</v>
      </c>
      <c r="N42" s="98" t="n">
        <v>6.5</v>
      </c>
      <c r="O42" s="180" t="n">
        <f aca="false">IF(COUNT(L42:N42)=0,"",AVERAGE(L42:N42))</f>
        <v>4.88027332144979</v>
      </c>
      <c r="P42" s="98" t="n">
        <v>4.59090909090909</v>
      </c>
      <c r="Q42" s="98"/>
      <c r="R42" s="98"/>
      <c r="S42" s="180" t="n">
        <f aca="false">IF(COUNT(P42:R42)=0,"",AVERAGE(P42:R42))</f>
        <v>4.59090909090909</v>
      </c>
      <c r="T42" s="98"/>
      <c r="U42" s="98"/>
      <c r="V42" s="98"/>
      <c r="W42" s="180" t="str">
        <f aca="false">IF(COUNT(T42:V42)=0,"",AVERAGE(T42:V42))</f>
        <v/>
      </c>
      <c r="X42" s="100" t="n">
        <v>4.72171717171717</v>
      </c>
      <c r="Y42" s="114" t="s">
        <v>113</v>
      </c>
      <c r="Z42" s="78" t="s">
        <v>100</v>
      </c>
    </row>
    <row r="43" customFormat="false" ht="25.5" hidden="false" customHeight="true" outlineLevel="0" collapsed="false">
      <c r="A43" s="69" t="s">
        <v>154</v>
      </c>
      <c r="B43" s="70" t="s">
        <v>155</v>
      </c>
      <c r="C43" s="71" t="s">
        <v>34</v>
      </c>
      <c r="D43" s="71" t="s">
        <v>97</v>
      </c>
      <c r="E43" s="69" t="s">
        <v>501</v>
      </c>
      <c r="F43" s="102" t="n">
        <v>0.18</v>
      </c>
      <c r="G43" s="82" t="n">
        <v>0</v>
      </c>
      <c r="H43" s="103"/>
      <c r="I43" s="103"/>
      <c r="J43" s="81" t="n">
        <v>0</v>
      </c>
      <c r="K43" s="176" t="n">
        <f aca="false">IF(COUNT(H43:J43)=0,"",SUM(H43:J43))</f>
        <v>0</v>
      </c>
      <c r="L43" s="74" t="n">
        <v>0</v>
      </c>
      <c r="M43" s="103" t="n">
        <v>0</v>
      </c>
      <c r="N43" s="103" t="n">
        <v>0</v>
      </c>
      <c r="O43" s="176" t="n">
        <f aca="false">IF(COUNT(L43:N43)=0,"",SUM(L43:N43))</f>
        <v>0</v>
      </c>
      <c r="P43" s="103" t="n">
        <v>0</v>
      </c>
      <c r="Q43" s="103"/>
      <c r="R43" s="103"/>
      <c r="S43" s="176" t="n">
        <v>0</v>
      </c>
      <c r="T43" s="103"/>
      <c r="U43" s="103"/>
      <c r="V43" s="103"/>
      <c r="W43" s="176" t="n">
        <v>0</v>
      </c>
      <c r="X43" s="104" t="n">
        <v>0</v>
      </c>
      <c r="Y43" s="114" t="s">
        <v>104</v>
      </c>
      <c r="Z43" s="78" t="s">
        <v>100</v>
      </c>
    </row>
    <row r="44" customFormat="false" ht="25.5" hidden="false" customHeight="true" outlineLevel="0" collapsed="false">
      <c r="A44" s="69" t="s">
        <v>156</v>
      </c>
      <c r="B44" s="70" t="s">
        <v>157</v>
      </c>
      <c r="C44" s="71" t="s">
        <v>34</v>
      </c>
      <c r="D44" s="71" t="s">
        <v>110</v>
      </c>
      <c r="E44" s="69" t="s">
        <v>501</v>
      </c>
      <c r="F44" s="87" t="n">
        <v>0.974</v>
      </c>
      <c r="G44" s="88" t="n">
        <v>0.98</v>
      </c>
      <c r="H44" s="89" t="n">
        <v>0.970620239390642</v>
      </c>
      <c r="I44" s="89" t="n">
        <v>0.978456913827655</v>
      </c>
      <c r="J44" s="89" t="n">
        <v>0.961340206185567</v>
      </c>
      <c r="K44" s="174" t="n">
        <f aca="false">IF(COUNT(H44:J44)=0,"",AVERAGE(H44:J44))</f>
        <v>0.970139119801288</v>
      </c>
      <c r="L44" s="90" t="n">
        <v>0.980276134122288</v>
      </c>
      <c r="M44" s="90" t="n">
        <v>0.985458070770722</v>
      </c>
      <c r="N44" s="90" t="n">
        <v>0.995967741935484</v>
      </c>
      <c r="O44" s="174" t="n">
        <f aca="false">IF(COUNT(L44:N44)=0,"",AVERAGE(L44:N44))</f>
        <v>0.987233982276165</v>
      </c>
      <c r="P44" s="90" t="n">
        <v>0.995893223819302</v>
      </c>
      <c r="Q44" s="90"/>
      <c r="R44" s="90"/>
      <c r="S44" s="174" t="n">
        <f aca="false">IF(COUNT(P44:R44)=0,"",AVERAGE(P44:R44))</f>
        <v>0.995893223819302</v>
      </c>
      <c r="T44" s="90"/>
      <c r="U44" s="90"/>
      <c r="V44" s="90"/>
      <c r="W44" s="174" t="str">
        <f aca="false">IF(COUNT(T44:V44)=0,"",AVERAGE(T44:V44))</f>
        <v/>
      </c>
      <c r="X44" s="92" t="n">
        <v>0.975207626961788</v>
      </c>
      <c r="Y44" s="114" t="s">
        <v>113</v>
      </c>
      <c r="Z44" s="78" t="s">
        <v>100</v>
      </c>
    </row>
    <row r="45" customFormat="false" ht="25.5" hidden="false" customHeight="true" outlineLevel="0" collapsed="false">
      <c r="A45" s="69" t="s">
        <v>160</v>
      </c>
      <c r="B45" s="70" t="s">
        <v>161</v>
      </c>
      <c r="C45" s="71" t="s">
        <v>34</v>
      </c>
      <c r="D45" s="71" t="s">
        <v>110</v>
      </c>
      <c r="E45" s="69" t="s">
        <v>501</v>
      </c>
      <c r="F45" s="87" t="n">
        <v>1</v>
      </c>
      <c r="G45" s="88" t="n">
        <v>1</v>
      </c>
      <c r="H45" s="89" t="n">
        <v>1</v>
      </c>
      <c r="I45" s="89" t="n">
        <v>1</v>
      </c>
      <c r="J45" s="89" t="n">
        <v>1</v>
      </c>
      <c r="K45" s="174" t="n">
        <f aca="false">IF(COUNT(H45:J45)=0,"",AVERAGE(H45:J45))</f>
        <v>1</v>
      </c>
      <c r="L45" s="90" t="n">
        <v>1</v>
      </c>
      <c r="M45" s="90" t="n">
        <v>1</v>
      </c>
      <c r="N45" s="90" t="n">
        <v>1</v>
      </c>
      <c r="O45" s="174" t="n">
        <f aca="false">IF(COUNT(L45:N45)=0,"",AVERAGE(L45:N45))</f>
        <v>1</v>
      </c>
      <c r="P45" s="90" t="n">
        <v>1</v>
      </c>
      <c r="Q45" s="90"/>
      <c r="R45" s="90"/>
      <c r="S45" s="174" t="n">
        <f aca="false">IF(COUNT(P45:R45)=0,"",AVERAGE(P45:R45))</f>
        <v>1</v>
      </c>
      <c r="T45" s="90"/>
      <c r="U45" s="90"/>
      <c r="V45" s="90"/>
      <c r="W45" s="174" t="str">
        <f aca="false">IF(COUNT(T45:V45)=0,"",AVERAGE(T45:V45))</f>
        <v/>
      </c>
      <c r="X45" s="92" t="n">
        <v>1</v>
      </c>
      <c r="Y45" s="114" t="s">
        <v>104</v>
      </c>
      <c r="Z45" s="78" t="s">
        <v>100</v>
      </c>
    </row>
    <row r="46" customFormat="false" ht="25.5" hidden="false" customHeight="true" outlineLevel="0" collapsed="false">
      <c r="A46" s="69" t="s">
        <v>162</v>
      </c>
      <c r="B46" s="70" t="s">
        <v>163</v>
      </c>
      <c r="C46" s="71" t="s">
        <v>34</v>
      </c>
      <c r="D46" s="71" t="s">
        <v>97</v>
      </c>
      <c r="E46" s="69" t="s">
        <v>501</v>
      </c>
      <c r="F46" s="87" t="n">
        <v>0.01</v>
      </c>
      <c r="G46" s="88" t="n">
        <v>0.012</v>
      </c>
      <c r="H46" s="89" t="n">
        <v>0.00273224043715847</v>
      </c>
      <c r="I46" s="89" t="n">
        <v>0.00252016129032258</v>
      </c>
      <c r="J46" s="89" t="n">
        <v>0.00199900049975013</v>
      </c>
      <c r="K46" s="174" t="n">
        <f aca="false">IF(COUNT(H46:J46)=0,"",AVERAGE(H46:J46))</f>
        <v>0.00241713407574373</v>
      </c>
      <c r="L46" s="90" t="n">
        <v>0.00219405168210629</v>
      </c>
      <c r="M46" s="90" t="n">
        <v>0.00321371183717193</v>
      </c>
      <c r="N46" s="90" t="n">
        <v>0.00106496272630458</v>
      </c>
      <c r="O46" s="174" t="n">
        <f aca="false">IF(COUNT(L46:N46)=0,"",AVERAGE(L46:N46))</f>
        <v>0.00215757541519427</v>
      </c>
      <c r="P46" s="90" t="n">
        <v>0.00490677134445535</v>
      </c>
      <c r="Q46" s="90"/>
      <c r="R46" s="90"/>
      <c r="S46" s="174" t="n">
        <f aca="false">IF(COUNT(P46:R46)=0,"",AVERAGE(P46:R46))</f>
        <v>0.00490677134445535</v>
      </c>
      <c r="T46" s="90"/>
      <c r="U46" s="90"/>
      <c r="V46" s="90"/>
      <c r="W46" s="174" t="str">
        <f aca="false">IF(COUNT(T46:V46)=0,"",AVERAGE(T46:V46))</f>
        <v/>
      </c>
      <c r="X46" s="92" t="n">
        <v>0.00230559287892501</v>
      </c>
      <c r="Y46" s="114" t="s">
        <v>104</v>
      </c>
      <c r="Z46" s="78" t="s">
        <v>100</v>
      </c>
    </row>
    <row r="47" customFormat="false" ht="25.5" hidden="false" customHeight="true" outlineLevel="0" collapsed="false">
      <c r="A47" s="69" t="s">
        <v>164</v>
      </c>
      <c r="B47" s="70" t="s">
        <v>165</v>
      </c>
      <c r="C47" s="71" t="s">
        <v>166</v>
      </c>
      <c r="D47" s="71" t="s">
        <v>110</v>
      </c>
      <c r="E47" s="69" t="s">
        <v>501</v>
      </c>
      <c r="F47" s="87" t="n">
        <v>0.788</v>
      </c>
      <c r="G47" s="88" t="n">
        <v>0.9</v>
      </c>
      <c r="H47" s="89" t="n">
        <v>0.7321</v>
      </c>
      <c r="I47" s="90" t="n">
        <v>0.8</v>
      </c>
      <c r="J47" s="90" t="n">
        <v>0.6957</v>
      </c>
      <c r="K47" s="174" t="n">
        <f aca="false">IF(COUNT(H47:J47)=0,"",AVERAGE(H47:J47))</f>
        <v>0.7426</v>
      </c>
      <c r="L47" s="90" t="n">
        <v>0.0727</v>
      </c>
      <c r="M47" s="90" t="n">
        <v>0.6914</v>
      </c>
      <c r="N47" s="90" t="n">
        <v>0.7937</v>
      </c>
      <c r="O47" s="174" t="n">
        <f aca="false">IF(COUNT(L47:N47)=0,"",AVERAGE(L47:N47))</f>
        <v>0.519266666666667</v>
      </c>
      <c r="P47" s="90" t="n">
        <v>0.897</v>
      </c>
      <c r="Q47" s="90"/>
      <c r="R47" s="90"/>
      <c r="S47" s="174" t="n">
        <f aca="false">IF(COUNT(P47:R47)=0,"",AVERAGE(P47:R47))</f>
        <v>0.897</v>
      </c>
      <c r="T47" s="90"/>
      <c r="U47" s="90"/>
      <c r="V47" s="90"/>
      <c r="W47" s="174" t="str">
        <f aca="false">IF(COUNT(T47:V47)=0,"",AVERAGE(T47:V47))</f>
        <v/>
      </c>
      <c r="X47" s="92" t="n">
        <v>0.7321</v>
      </c>
      <c r="Y47" s="114" t="s">
        <v>113</v>
      </c>
      <c r="Z47" s="78" t="s">
        <v>105</v>
      </c>
    </row>
    <row r="48" customFormat="false" ht="25.5" hidden="false" customHeight="true" outlineLevel="0" collapsed="false">
      <c r="A48" s="69" t="s">
        <v>167</v>
      </c>
      <c r="B48" s="70" t="s">
        <v>168</v>
      </c>
      <c r="C48" s="71" t="s">
        <v>166</v>
      </c>
      <c r="D48" s="71" t="s">
        <v>110</v>
      </c>
      <c r="E48" s="69" t="s">
        <v>501</v>
      </c>
      <c r="F48" s="87" t="n">
        <v>0.988</v>
      </c>
      <c r="G48" s="88" t="n">
        <v>0.99</v>
      </c>
      <c r="H48" s="89" t="n">
        <v>1</v>
      </c>
      <c r="I48" s="89" t="n">
        <v>1</v>
      </c>
      <c r="J48" s="89" t="n">
        <v>1</v>
      </c>
      <c r="K48" s="174" t="n">
        <f aca="false">IF(COUNT(H48:J48)=0,"",AVERAGE(H48:J48))</f>
        <v>1</v>
      </c>
      <c r="L48" s="90" t="n">
        <v>1</v>
      </c>
      <c r="M48" s="90" t="n">
        <v>1</v>
      </c>
      <c r="N48" s="90"/>
      <c r="O48" s="174" t="n">
        <f aca="false">IF(COUNT(L48:N48)=0,"",AVERAGE(L48:N48))</f>
        <v>1</v>
      </c>
      <c r="P48" s="90"/>
      <c r="Q48" s="90"/>
      <c r="R48" s="90"/>
      <c r="S48" s="174" t="str">
        <f aca="false">IF(COUNT(P48:R48)=0,"",AVERAGE(P48:R48))</f>
        <v/>
      </c>
      <c r="T48" s="90"/>
      <c r="U48" s="90"/>
      <c r="V48" s="90"/>
      <c r="W48" s="174" t="str">
        <f aca="false">IF(COUNT(T48:V48)=0,"",AVERAGE(T48:V48))</f>
        <v/>
      </c>
      <c r="X48" s="92" t="n">
        <v>1</v>
      </c>
      <c r="Y48" s="114" t="s">
        <v>104</v>
      </c>
      <c r="Z48" s="78" t="s">
        <v>100</v>
      </c>
    </row>
    <row r="49" customFormat="false" ht="25.5" hidden="false" customHeight="true" outlineLevel="0" collapsed="false">
      <c r="A49" s="69" t="s">
        <v>169</v>
      </c>
      <c r="B49" s="70" t="s">
        <v>170</v>
      </c>
      <c r="C49" s="71" t="s">
        <v>166</v>
      </c>
      <c r="D49" s="71" t="s">
        <v>110</v>
      </c>
      <c r="E49" s="69" t="s">
        <v>501</v>
      </c>
      <c r="F49" s="87" t="n">
        <v>0.92</v>
      </c>
      <c r="G49" s="88" t="n">
        <v>0.93</v>
      </c>
      <c r="H49" s="89" t="n">
        <v>0.968706212050444</v>
      </c>
      <c r="I49" s="89" t="n">
        <v>0.984505969011938</v>
      </c>
      <c r="J49" s="89" t="n">
        <v>0.925537231384308</v>
      </c>
      <c r="K49" s="174" t="n">
        <f aca="false">IF(COUNT(H49:J49)=0,"",AVERAGE(H49:J49))</f>
        <v>0.95958313748223</v>
      </c>
      <c r="L49" s="90" t="n">
        <v>0.958556801560215</v>
      </c>
      <c r="M49" s="90" t="n">
        <v>0.9695</v>
      </c>
      <c r="N49" s="90" t="n">
        <v>0.971364402021336</v>
      </c>
      <c r="O49" s="174" t="n">
        <f aca="false">IF(COUNT(L49:N49)=0,"",AVERAGE(L49:N49))</f>
        <v>0.966473734527184</v>
      </c>
      <c r="P49" s="90" t="n">
        <v>0.9767</v>
      </c>
      <c r="Q49" s="90"/>
      <c r="R49" s="90"/>
      <c r="S49" s="174" t="n">
        <f aca="false">IF(COUNT(P49:R49)=0,"",AVERAGE(P49:R49))</f>
        <v>0.9767</v>
      </c>
      <c r="T49" s="90"/>
      <c r="U49" s="90"/>
      <c r="V49" s="90"/>
      <c r="W49" s="174" t="str">
        <f aca="false">IF(COUNT(T49:V49)=0,"",AVERAGE(T49:V49))</f>
        <v/>
      </c>
      <c r="X49" s="92" t="n">
        <v>0.959108201942042</v>
      </c>
      <c r="Y49" s="114" t="s">
        <v>104</v>
      </c>
      <c r="Z49" s="78" t="s">
        <v>100</v>
      </c>
    </row>
    <row r="50" customFormat="false" ht="25.5" hidden="false" customHeight="true" outlineLevel="0" collapsed="false">
      <c r="A50" s="69" t="s">
        <v>171</v>
      </c>
      <c r="B50" s="70" t="s">
        <v>172</v>
      </c>
      <c r="C50" s="71" t="s">
        <v>166</v>
      </c>
      <c r="D50" s="71" t="s">
        <v>97</v>
      </c>
      <c r="E50" s="69" t="s">
        <v>501</v>
      </c>
      <c r="F50" s="72" t="n">
        <v>0.55</v>
      </c>
      <c r="G50" s="73" t="s">
        <v>32</v>
      </c>
      <c r="H50" s="106" t="n">
        <v>0</v>
      </c>
      <c r="I50" s="106" t="n">
        <v>0</v>
      </c>
      <c r="J50" s="106" t="n">
        <v>0</v>
      </c>
      <c r="K50" s="182" t="n">
        <f aca="false">IF(COUNT(H50:J50)=0,"",SUM(H50:J50))</f>
        <v>0</v>
      </c>
      <c r="L50" s="74" t="n">
        <v>0</v>
      </c>
      <c r="M50" s="74" t="n">
        <v>0</v>
      </c>
      <c r="N50" s="74" t="n">
        <v>0</v>
      </c>
      <c r="O50" s="182" t="n">
        <f aca="false">IF(COUNT(L50:N50)=0,"",SUM(L50:N50))</f>
        <v>0</v>
      </c>
      <c r="P50" s="74" t="n">
        <v>0</v>
      </c>
      <c r="Q50" s="74"/>
      <c r="R50" s="74"/>
      <c r="S50" s="182" t="n">
        <v>0</v>
      </c>
      <c r="T50" s="74"/>
      <c r="U50" s="74"/>
      <c r="V50" s="74"/>
      <c r="W50" s="182" t="n">
        <v>0</v>
      </c>
      <c r="X50" s="76" t="n">
        <v>0</v>
      </c>
      <c r="Y50" s="114" t="s">
        <v>120</v>
      </c>
      <c r="Z50" s="78" t="s">
        <v>100</v>
      </c>
    </row>
    <row r="51" customFormat="false" ht="25.5" hidden="false" customHeight="true" outlineLevel="0" collapsed="false">
      <c r="A51" s="69" t="s">
        <v>178</v>
      </c>
      <c r="B51" s="70" t="s">
        <v>179</v>
      </c>
      <c r="C51" s="71" t="s">
        <v>166</v>
      </c>
      <c r="D51" s="71" t="s">
        <v>97</v>
      </c>
      <c r="E51" s="69" t="s">
        <v>501</v>
      </c>
      <c r="F51" s="87" t="n">
        <v>0.019</v>
      </c>
      <c r="G51" s="88" t="n">
        <v>0.0162</v>
      </c>
      <c r="H51" s="89" t="n">
        <v>0.02</v>
      </c>
      <c r="I51" s="89" t="n">
        <v>0.0205740411480823</v>
      </c>
      <c r="J51" s="89" t="n">
        <v>0.028735632183908</v>
      </c>
      <c r="K51" s="174" t="n">
        <f aca="false">IF(COUNT(H51:J51)=0,"",AVERAGE(H51:J51))</f>
        <v>0.0231032244439968</v>
      </c>
      <c r="L51" s="90" t="n">
        <v>0.0273037542662116</v>
      </c>
      <c r="M51" s="90" t="n">
        <v>0.0354</v>
      </c>
      <c r="N51" s="90" t="n">
        <v>0.0390230207748456</v>
      </c>
      <c r="O51" s="174" t="n">
        <f aca="false">IF(COUNT(L51:N51)=0,"",AVERAGE(L51:N51))</f>
        <v>0.0339089250136857</v>
      </c>
      <c r="P51" s="90" t="n">
        <v>0.014</v>
      </c>
      <c r="Q51" s="90"/>
      <c r="R51" s="90"/>
      <c r="S51" s="174" t="n">
        <f aca="false">IF(COUNT(P51:R51)=0,"",AVERAGE(P51:R51))</f>
        <v>0.014</v>
      </c>
      <c r="T51" s="90"/>
      <c r="U51" s="90"/>
      <c r="V51" s="90"/>
      <c r="W51" s="174" t="str">
        <f aca="false">IF(COUNT(T51:V51)=0,"",AVERAGE(T51:V51))</f>
        <v/>
      </c>
      <c r="X51" s="92" t="n">
        <v>0.0252034893551042</v>
      </c>
      <c r="Y51" s="114" t="s">
        <v>113</v>
      </c>
      <c r="Z51" s="78" t="s">
        <v>100</v>
      </c>
    </row>
    <row r="52" customFormat="false" ht="25.5" hidden="false" customHeight="true" outlineLevel="0" collapsed="false">
      <c r="A52" s="69" t="s">
        <v>182</v>
      </c>
      <c r="B52" s="70" t="s">
        <v>183</v>
      </c>
      <c r="C52" s="71" t="s">
        <v>166</v>
      </c>
      <c r="D52" s="71" t="s">
        <v>97</v>
      </c>
      <c r="E52" s="69" t="s">
        <v>501</v>
      </c>
      <c r="F52" s="87" t="n">
        <v>0.072</v>
      </c>
      <c r="G52" s="88" t="n">
        <v>0.0612</v>
      </c>
      <c r="H52" s="89" t="n">
        <v>0.0416666666666667</v>
      </c>
      <c r="I52" s="89" t="n">
        <v>0</v>
      </c>
      <c r="J52" s="89" t="n">
        <v>0</v>
      </c>
      <c r="K52" s="174" t="n">
        <f aca="false">IF(COUNT(H52:J52)=0,"",AVERAGE(H52:J52))</f>
        <v>0.0138888888888889</v>
      </c>
      <c r="L52" s="90" t="n">
        <v>0</v>
      </c>
      <c r="M52" s="90" t="n">
        <v>0</v>
      </c>
      <c r="N52" s="90"/>
      <c r="O52" s="174" t="n">
        <f aca="false">IF(COUNT(L52:N52)=0,"",AVERAGE(L52:N52))</f>
        <v>0</v>
      </c>
      <c r="P52" s="90" t="n">
        <v>0.008</v>
      </c>
      <c r="Q52" s="90"/>
      <c r="R52" s="90"/>
      <c r="S52" s="174" t="n">
        <f aca="false">IF(COUNT(P52:R52)=0,"",AVERAGE(P52:R52))</f>
        <v>0.008</v>
      </c>
      <c r="T52" s="90"/>
      <c r="U52" s="90"/>
      <c r="V52" s="90"/>
      <c r="W52" s="174" t="str">
        <f aca="false">IF(COUNT(T52:V52)=0,"",AVERAGE(T52:V52))</f>
        <v/>
      </c>
      <c r="X52" s="92" t="n">
        <v>0.00694444444444445</v>
      </c>
      <c r="Y52" s="114" t="s">
        <v>104</v>
      </c>
      <c r="Z52" s="78" t="s">
        <v>100</v>
      </c>
    </row>
    <row r="53" customFormat="false" ht="25.5" hidden="false" customHeight="true" outlineLevel="0" collapsed="false">
      <c r="A53" s="69" t="s">
        <v>186</v>
      </c>
      <c r="B53" s="70" t="s">
        <v>187</v>
      </c>
      <c r="C53" s="71" t="s">
        <v>166</v>
      </c>
      <c r="D53" s="71" t="s">
        <v>97</v>
      </c>
      <c r="E53" s="69" t="s">
        <v>501</v>
      </c>
      <c r="F53" s="102" t="n">
        <v>0.027</v>
      </c>
      <c r="G53" s="82" t="n">
        <v>0.0135</v>
      </c>
      <c r="H53" s="81" t="n">
        <v>0.117647058823529</v>
      </c>
      <c r="I53" s="81" t="n">
        <v>0.2</v>
      </c>
      <c r="J53" s="81" t="n">
        <v>0.45</v>
      </c>
      <c r="K53" s="176" t="n">
        <f aca="false">IF(COUNT(H53:J53)=0,"",AVERAGE(H53:J53))</f>
        <v>0.255882352941176</v>
      </c>
      <c r="L53" s="103" t="n">
        <v>0.0416666666666667</v>
      </c>
      <c r="M53" s="103" t="n">
        <v>0.0294117647058824</v>
      </c>
      <c r="N53" s="103" t="n">
        <v>0</v>
      </c>
      <c r="O53" s="176" t="n">
        <f aca="false">IF(COUNT(L53:N53)=0,"",AVERAGE(L53:N53))</f>
        <v>0.0236928104575164</v>
      </c>
      <c r="P53" s="103"/>
      <c r="Q53" s="103"/>
      <c r="R53" s="103"/>
      <c r="S53" s="176" t="str">
        <f aca="false">IF(COUNT(P53:R53)=0,"",AVERAGE(P53:R53))</f>
        <v/>
      </c>
      <c r="T53" s="103"/>
      <c r="U53" s="103"/>
      <c r="V53" s="103"/>
      <c r="W53" s="176" t="str">
        <f aca="false">IF(COUNT(T53:V53)=0,"",AVERAGE(T53:V53))</f>
        <v/>
      </c>
      <c r="X53" s="104" t="n">
        <v>0.148774509803922</v>
      </c>
      <c r="Y53" s="114" t="s">
        <v>113</v>
      </c>
      <c r="Z53" s="78" t="s">
        <v>100</v>
      </c>
    </row>
    <row r="54" customFormat="false" ht="25.5" hidden="false" customHeight="true" outlineLevel="0" collapsed="false">
      <c r="A54" s="69" t="s">
        <v>191</v>
      </c>
      <c r="B54" s="70" t="s">
        <v>192</v>
      </c>
      <c r="C54" s="71" t="s">
        <v>166</v>
      </c>
      <c r="D54" s="71" t="s">
        <v>110</v>
      </c>
      <c r="E54" s="69" t="s">
        <v>501</v>
      </c>
      <c r="F54" s="87" t="n">
        <v>0.8863</v>
      </c>
      <c r="G54" s="88" t="n">
        <v>0.8938</v>
      </c>
      <c r="H54" s="89" t="n">
        <v>0.8956</v>
      </c>
      <c r="I54" s="89" t="n">
        <v>0.8418</v>
      </c>
      <c r="J54" s="89" t="n">
        <v>0.8177</v>
      </c>
      <c r="K54" s="174" t="n">
        <f aca="false">IF(COUNT(H54:J54)=0,"",AVERAGE(H54:J54))</f>
        <v>0.8517</v>
      </c>
      <c r="L54" s="90" t="n">
        <v>0.8645</v>
      </c>
      <c r="M54" s="90" t="n">
        <v>0.8661</v>
      </c>
      <c r="N54" s="90" t="n">
        <v>0.8463</v>
      </c>
      <c r="O54" s="174" t="n">
        <f aca="false">IF(COUNT(L54:N54)=0,"",AVERAGE(L54:N54))</f>
        <v>0.858966666666667</v>
      </c>
      <c r="P54" s="90" t="n">
        <v>0.6603</v>
      </c>
      <c r="Q54" s="90"/>
      <c r="R54" s="90"/>
      <c r="S54" s="174" t="n">
        <f aca="false">IF(COUNT(P54:R54)=0,"",AVERAGE(P54:R54))</f>
        <v>0.6603</v>
      </c>
      <c r="T54" s="90"/>
      <c r="U54" s="90"/>
      <c r="V54" s="90"/>
      <c r="W54" s="174" t="str">
        <f aca="false">IF(COUNT(T54:V54)=0,"",AVERAGE(T54:V54))</f>
        <v/>
      </c>
      <c r="X54" s="92" t="n">
        <v>0.8645</v>
      </c>
      <c r="Y54" s="114" t="s">
        <v>113</v>
      </c>
      <c r="Z54" s="78" t="s">
        <v>100</v>
      </c>
    </row>
    <row r="55" customFormat="false" ht="25.5" hidden="false" customHeight="true" outlineLevel="0" collapsed="false">
      <c r="A55" s="69" t="s">
        <v>193</v>
      </c>
      <c r="B55" s="70" t="s">
        <v>194</v>
      </c>
      <c r="C55" s="71" t="s">
        <v>166</v>
      </c>
      <c r="D55" s="71" t="s">
        <v>110</v>
      </c>
      <c r="E55" s="69" t="s">
        <v>501</v>
      </c>
      <c r="F55" s="87" t="n">
        <v>0.9024</v>
      </c>
      <c r="G55" s="88" t="n">
        <v>0.8658</v>
      </c>
      <c r="H55" s="89" t="n">
        <v>0.8664</v>
      </c>
      <c r="I55" s="90"/>
      <c r="J55" s="90"/>
      <c r="K55" s="174" t="n">
        <f aca="false">IF(COUNT(H55:J55)=0,"",AVERAGE(H55:J55))</f>
        <v>0.8664</v>
      </c>
      <c r="L55" s="90"/>
      <c r="M55" s="90"/>
      <c r="N55" s="90" t="s">
        <v>195</v>
      </c>
      <c r="O55" s="174" t="str">
        <f aca="false">IF(COUNT(L55:N55)=0,"",AVERAGE(L55:N55))</f>
        <v/>
      </c>
      <c r="P55" s="90"/>
      <c r="Q55" s="90"/>
      <c r="R55" s="90"/>
      <c r="S55" s="174" t="str">
        <f aca="false">IF(COUNT(P55:R55)=0,"",AVERAGE(P55:R55))</f>
        <v/>
      </c>
      <c r="T55" s="90"/>
      <c r="U55" s="90"/>
      <c r="V55" s="90"/>
      <c r="W55" s="174" t="str">
        <f aca="false">IF(COUNT(T55:V55)=0,"",AVERAGE(T55:V55))</f>
        <v/>
      </c>
      <c r="X55" s="92" t="n">
        <v>0.8664</v>
      </c>
      <c r="Y55" s="114" t="s">
        <v>113</v>
      </c>
      <c r="Z55" s="78" t="s">
        <v>100</v>
      </c>
    </row>
    <row r="56" customFormat="false" ht="25.5" hidden="false" customHeight="true" outlineLevel="0" collapsed="false">
      <c r="A56" s="69" t="s">
        <v>196</v>
      </c>
      <c r="B56" s="70" t="s">
        <v>197</v>
      </c>
      <c r="C56" s="71" t="s">
        <v>166</v>
      </c>
      <c r="D56" s="71" t="s">
        <v>110</v>
      </c>
      <c r="E56" s="69" t="s">
        <v>501</v>
      </c>
      <c r="F56" s="87" t="n">
        <v>0.782</v>
      </c>
      <c r="G56" s="88" t="n">
        <v>0.807</v>
      </c>
      <c r="H56" s="89" t="n">
        <v>0.788</v>
      </c>
      <c r="I56" s="89" t="n">
        <v>0.7853</v>
      </c>
      <c r="J56" s="89" t="n">
        <v>0.7465</v>
      </c>
      <c r="K56" s="174" t="n">
        <f aca="false">IF(COUNT(H56:J56)=0,"",AVERAGE(H56:J56))</f>
        <v>0.773266666666667</v>
      </c>
      <c r="L56" s="90" t="n">
        <v>0.789</v>
      </c>
      <c r="M56" s="90" t="n">
        <v>0.8847</v>
      </c>
      <c r="N56" s="90" t="n">
        <v>0.8198</v>
      </c>
      <c r="O56" s="174" t="n">
        <f aca="false">IF(COUNT(L56:N56)=0,"",AVERAGE(L56:N56))</f>
        <v>0.831166666666667</v>
      </c>
      <c r="P56" s="90" t="n">
        <v>0.8321</v>
      </c>
      <c r="Q56" s="90"/>
      <c r="R56" s="90"/>
      <c r="S56" s="174" t="n">
        <f aca="false">IF(COUNT(P56:R56)=0,"",AVERAGE(P56:R56))</f>
        <v>0.8321</v>
      </c>
      <c r="T56" s="90"/>
      <c r="U56" s="90"/>
      <c r="V56" s="90"/>
      <c r="W56" s="174" t="str">
        <f aca="false">IF(COUNT(T56:V56)=0,"",AVERAGE(T56:V56))</f>
        <v/>
      </c>
      <c r="X56" s="92" t="n">
        <v>0.789</v>
      </c>
      <c r="Y56" s="114" t="s">
        <v>104</v>
      </c>
      <c r="Z56" s="78" t="s">
        <v>100</v>
      </c>
    </row>
    <row r="57" customFormat="false" ht="25.5" hidden="false" customHeight="true" outlineLevel="0" collapsed="false">
      <c r="A57" s="69" t="s">
        <v>198</v>
      </c>
      <c r="B57" s="70" t="s">
        <v>199</v>
      </c>
      <c r="C57" s="71" t="s">
        <v>166</v>
      </c>
      <c r="D57" s="71" t="s">
        <v>110</v>
      </c>
      <c r="E57" s="69" t="s">
        <v>501</v>
      </c>
      <c r="F57" s="87" t="n">
        <v>0.821</v>
      </c>
      <c r="G57" s="88" t="n">
        <v>0.848</v>
      </c>
      <c r="H57" s="89" t="n">
        <v>0.9375</v>
      </c>
      <c r="I57" s="89" t="n">
        <v>0.75</v>
      </c>
      <c r="J57" s="90" t="n">
        <v>1</v>
      </c>
      <c r="K57" s="174" t="n">
        <f aca="false">IF(COUNT(H57:J57)=0,"",AVERAGE(H57:J57))</f>
        <v>0.895833333333333</v>
      </c>
      <c r="L57" s="90" t="n">
        <v>0.9444</v>
      </c>
      <c r="M57" s="90" t="n">
        <v>0.875</v>
      </c>
      <c r="N57" s="90" t="n">
        <v>0.9643</v>
      </c>
      <c r="O57" s="174" t="n">
        <f aca="false">IF(COUNT(L57:N57)=0,"",AVERAGE(L57:N57))</f>
        <v>0.9279</v>
      </c>
      <c r="P57" s="90" t="n">
        <v>0.5625</v>
      </c>
      <c r="Q57" s="90"/>
      <c r="R57" s="90"/>
      <c r="S57" s="174" t="n">
        <f aca="false">IF(COUNT(P57:R57)=0,"",AVERAGE(P57:R57))</f>
        <v>0.5625</v>
      </c>
      <c r="T57" s="90"/>
      <c r="U57" s="90"/>
      <c r="V57" s="90"/>
      <c r="W57" s="174" t="str">
        <f aca="false">IF(COUNT(T57:V57)=0,"",AVERAGE(T57:V57))</f>
        <v/>
      </c>
      <c r="X57" s="92" t="n">
        <v>0.9444</v>
      </c>
      <c r="Y57" s="114" t="s">
        <v>104</v>
      </c>
      <c r="Z57" s="78" t="s">
        <v>190</v>
      </c>
    </row>
    <row r="58" customFormat="false" ht="25.5" hidden="false" customHeight="true" outlineLevel="0" collapsed="false">
      <c r="A58" s="69" t="s">
        <v>211</v>
      </c>
      <c r="B58" s="70" t="s">
        <v>212</v>
      </c>
      <c r="C58" s="71" t="s">
        <v>213</v>
      </c>
      <c r="D58" s="71" t="s">
        <v>110</v>
      </c>
      <c r="E58" s="69" t="s">
        <v>501</v>
      </c>
      <c r="F58" s="87" t="s">
        <v>32</v>
      </c>
      <c r="G58" s="91" t="n">
        <v>1</v>
      </c>
      <c r="H58" s="89" t="n">
        <v>0</v>
      </c>
      <c r="I58" s="89" t="n">
        <v>1</v>
      </c>
      <c r="J58" s="89" t="n">
        <v>1</v>
      </c>
      <c r="K58" s="174" t="n">
        <f aca="false">IF(COUNT(H58:J58)=0,"",LOOKUP(2,1/(H58:J58&lt;&gt;""),H58:J58))</f>
        <v>1</v>
      </c>
      <c r="L58" s="90" t="n">
        <v>1</v>
      </c>
      <c r="M58" s="90" t="n">
        <v>1</v>
      </c>
      <c r="N58" s="90" t="n">
        <v>1</v>
      </c>
      <c r="O58" s="174" t="n">
        <f aca="false">IF(COUNT(L58:N58)=0,"",LOOKUP(2,1/(L58:N58&lt;&gt;""),L58:N58))</f>
        <v>1</v>
      </c>
      <c r="P58" s="90" t="n">
        <v>1</v>
      </c>
      <c r="Q58" s="90"/>
      <c r="R58" s="90"/>
      <c r="S58" s="174" t="n">
        <f aca="false">IF(COUNT(P58:R58)=0,"",LOOKUP(2,1/(P58:R58&lt;&gt;""),P58:R58))</f>
        <v>1</v>
      </c>
      <c r="T58" s="90"/>
      <c r="U58" s="90"/>
      <c r="V58" s="90"/>
      <c r="W58" s="174" t="str">
        <f aca="false">IF(COUNT(T58:V58)=0,"",LOOKUP(2,1/(T58:V58&lt;&gt;""),T58:V58))</f>
        <v/>
      </c>
      <c r="X58" s="92" t="n">
        <v>0.805555555555556</v>
      </c>
      <c r="Y58" s="114" t="s">
        <v>120</v>
      </c>
      <c r="Z58" s="78" t="s">
        <v>214</v>
      </c>
    </row>
    <row r="59" customFormat="false" ht="25.5" hidden="false" customHeight="true" outlineLevel="0" collapsed="false">
      <c r="A59" s="69" t="s">
        <v>262</v>
      </c>
      <c r="B59" s="70" t="s">
        <v>263</v>
      </c>
      <c r="C59" s="71" t="s">
        <v>35</v>
      </c>
      <c r="D59" s="71" t="s">
        <v>110</v>
      </c>
      <c r="E59" s="183" t="s">
        <v>502</v>
      </c>
      <c r="F59" s="87" t="s">
        <v>32</v>
      </c>
      <c r="G59" s="91" t="s">
        <v>32</v>
      </c>
      <c r="H59" s="184"/>
      <c r="I59" s="184"/>
      <c r="J59" s="184"/>
      <c r="K59" s="185" t="n">
        <v>1</v>
      </c>
      <c r="L59" s="184"/>
      <c r="M59" s="184"/>
      <c r="N59" s="184"/>
      <c r="O59" s="186"/>
      <c r="P59" s="184"/>
      <c r="Q59" s="184"/>
      <c r="R59" s="184"/>
      <c r="S59" s="186"/>
      <c r="T59" s="184"/>
      <c r="U59" s="184"/>
      <c r="V59" s="184"/>
      <c r="W59" s="186"/>
      <c r="X59" s="92" t="n">
        <v>1</v>
      </c>
      <c r="Y59" s="114" t="s">
        <v>120</v>
      </c>
      <c r="Z59" s="78" t="s">
        <v>264</v>
      </c>
    </row>
    <row r="60" customFormat="false" ht="25.5" hidden="false" customHeight="true" outlineLevel="0" collapsed="false">
      <c r="A60" s="69" t="s">
        <v>277</v>
      </c>
      <c r="B60" s="70" t="s">
        <v>278</v>
      </c>
      <c r="C60" s="71" t="s">
        <v>35</v>
      </c>
      <c r="D60" s="71" t="s">
        <v>110</v>
      </c>
      <c r="E60" s="183" t="s">
        <v>502</v>
      </c>
      <c r="F60" s="87" t="n">
        <v>0.5879</v>
      </c>
      <c r="G60" s="91" t="s">
        <v>32</v>
      </c>
      <c r="H60" s="184"/>
      <c r="I60" s="184"/>
      <c r="J60" s="184"/>
      <c r="K60" s="185" t="n">
        <v>0.7955</v>
      </c>
      <c r="L60" s="184"/>
      <c r="M60" s="184"/>
      <c r="N60" s="184"/>
      <c r="O60" s="186" t="n">
        <v>0.9577</v>
      </c>
      <c r="P60" s="184"/>
      <c r="Q60" s="184"/>
      <c r="R60" s="184"/>
      <c r="S60" s="186"/>
      <c r="T60" s="184"/>
      <c r="U60" s="184"/>
      <c r="V60" s="184"/>
      <c r="W60" s="186"/>
      <c r="X60" s="92" t="n">
        <v>0.7955</v>
      </c>
      <c r="Y60" s="114" t="s">
        <v>120</v>
      </c>
      <c r="Z60" s="78" t="s">
        <v>190</v>
      </c>
    </row>
    <row r="61" customFormat="false" ht="25.5" hidden="false" customHeight="true" outlineLevel="0" collapsed="false">
      <c r="A61" s="69" t="s">
        <v>339</v>
      </c>
      <c r="B61" s="70" t="s">
        <v>340</v>
      </c>
      <c r="C61" s="71" t="s">
        <v>166</v>
      </c>
      <c r="D61" s="71" t="s">
        <v>110</v>
      </c>
      <c r="E61" s="183" t="s">
        <v>502</v>
      </c>
      <c r="F61" s="87" t="n">
        <v>0.91</v>
      </c>
      <c r="G61" s="88" t="n">
        <v>0.92</v>
      </c>
      <c r="H61" s="184"/>
      <c r="I61" s="184"/>
      <c r="J61" s="184"/>
      <c r="K61" s="185" t="n">
        <v>1</v>
      </c>
      <c r="L61" s="184"/>
      <c r="M61" s="184"/>
      <c r="N61" s="184"/>
      <c r="O61" s="186" t="n">
        <v>1</v>
      </c>
      <c r="P61" s="184"/>
      <c r="Q61" s="184"/>
      <c r="R61" s="184"/>
      <c r="S61" s="186"/>
      <c r="T61" s="184"/>
      <c r="U61" s="184"/>
      <c r="V61" s="184"/>
      <c r="W61" s="186"/>
      <c r="X61" s="92" t="n">
        <v>1</v>
      </c>
      <c r="Y61" s="114" t="s">
        <v>104</v>
      </c>
      <c r="Z61" s="78" t="s">
        <v>341</v>
      </c>
    </row>
    <row r="62" customFormat="false" ht="25.5" hidden="false" customHeight="true" outlineLevel="0" collapsed="false">
      <c r="A62" s="69" t="s">
        <v>377</v>
      </c>
      <c r="B62" s="70" t="s">
        <v>378</v>
      </c>
      <c r="C62" s="71" t="s">
        <v>236</v>
      </c>
      <c r="D62" s="71" t="s">
        <v>110</v>
      </c>
      <c r="E62" s="183" t="s">
        <v>502</v>
      </c>
      <c r="F62" s="87" t="n">
        <v>0.483</v>
      </c>
      <c r="G62" s="88" t="n">
        <v>0.5606</v>
      </c>
      <c r="H62" s="184"/>
      <c r="I62" s="184"/>
      <c r="J62" s="184"/>
      <c r="K62" s="185" t="n">
        <v>0.5</v>
      </c>
      <c r="L62" s="184"/>
      <c r="M62" s="184"/>
      <c r="N62" s="184"/>
      <c r="O62" s="186" t="n">
        <v>0.738255033557047</v>
      </c>
      <c r="P62" s="184"/>
      <c r="Q62" s="184"/>
      <c r="R62" s="184"/>
      <c r="S62" s="186"/>
      <c r="T62" s="184"/>
      <c r="U62" s="184"/>
      <c r="V62" s="184"/>
      <c r="W62" s="186"/>
      <c r="X62" s="92" t="n">
        <v>0.5</v>
      </c>
      <c r="Y62" s="114" t="s">
        <v>113</v>
      </c>
      <c r="Z62" s="78" t="s">
        <v>190</v>
      </c>
    </row>
    <row r="63" customFormat="false" ht="25.5" hidden="false" customHeight="true" outlineLevel="0" collapsed="false">
      <c r="A63" s="69" t="s">
        <v>379</v>
      </c>
      <c r="B63" s="70" t="s">
        <v>380</v>
      </c>
      <c r="C63" s="71" t="s">
        <v>236</v>
      </c>
      <c r="D63" s="71" t="s">
        <v>97</v>
      </c>
      <c r="E63" s="183" t="s">
        <v>502</v>
      </c>
      <c r="F63" s="87" t="s">
        <v>32</v>
      </c>
      <c r="G63" s="91" t="s">
        <v>32</v>
      </c>
      <c r="H63" s="184"/>
      <c r="I63" s="184"/>
      <c r="J63" s="184"/>
      <c r="K63" s="185" t="n">
        <v>0.0774336283185841</v>
      </c>
      <c r="L63" s="184"/>
      <c r="M63" s="184"/>
      <c r="N63" s="184"/>
      <c r="O63" s="186"/>
      <c r="P63" s="184"/>
      <c r="Q63" s="184"/>
      <c r="R63" s="184"/>
      <c r="S63" s="186"/>
      <c r="T63" s="184"/>
      <c r="U63" s="184"/>
      <c r="V63" s="184"/>
      <c r="W63" s="186"/>
      <c r="X63" s="92" t="n">
        <v>0.0774336283185841</v>
      </c>
      <c r="Y63" s="114" t="s">
        <v>120</v>
      </c>
      <c r="Z63" s="78" t="s">
        <v>105</v>
      </c>
    </row>
    <row r="64" customFormat="false" ht="25.5" hidden="false" customHeight="true" outlineLevel="0" collapsed="false">
      <c r="A64" s="69" t="s">
        <v>220</v>
      </c>
      <c r="B64" s="70" t="s">
        <v>221</v>
      </c>
      <c r="C64" s="71" t="s">
        <v>35</v>
      </c>
      <c r="D64" s="71" t="s">
        <v>97</v>
      </c>
      <c r="E64" s="183" t="s">
        <v>501</v>
      </c>
      <c r="F64" s="115" t="n">
        <v>6</v>
      </c>
      <c r="G64" s="116" t="n">
        <v>5</v>
      </c>
      <c r="H64" s="184"/>
      <c r="I64" s="184"/>
      <c r="J64" s="184"/>
      <c r="K64" s="187" t="str">
        <f aca="false">IF(COUNT(H64:J64)=0,"",AVERAGE(H64:J64))</f>
        <v/>
      </c>
      <c r="L64" s="184"/>
      <c r="M64" s="184"/>
      <c r="N64" s="184"/>
      <c r="O64" s="187" t="str">
        <f aca="false">IF(COUNT(L64:N64)=0,"",AVERAGE(L64:N64))</f>
        <v/>
      </c>
      <c r="P64" s="184"/>
      <c r="Q64" s="184"/>
      <c r="R64" s="184"/>
      <c r="S64" s="187" t="str">
        <f aca="false">IF(COUNT(P64:R64)=0,"",AVERAGE(P64:R64))</f>
        <v/>
      </c>
      <c r="T64" s="184"/>
      <c r="U64" s="184"/>
      <c r="V64" s="184"/>
      <c r="W64" s="187" t="str">
        <f aca="false">IF(COUNT(T64:V64)=0,"",AVERAGE(T64:V64))</f>
        <v/>
      </c>
      <c r="X64" s="118"/>
      <c r="Y64" s="114" t="s">
        <v>99</v>
      </c>
      <c r="Z64" s="78" t="s">
        <v>100</v>
      </c>
    </row>
    <row r="65" customFormat="false" ht="25.5" hidden="false" customHeight="true" outlineLevel="0" collapsed="false">
      <c r="H65" s="113"/>
      <c r="I65" s="113"/>
      <c r="J65" s="113"/>
      <c r="L65" s="113"/>
      <c r="M65" s="113"/>
      <c r="N65" s="113"/>
      <c r="P65" s="113"/>
      <c r="Q65" s="113"/>
      <c r="R65" s="113"/>
      <c r="T65" s="113"/>
      <c r="U65" s="113"/>
      <c r="V65" s="113"/>
    </row>
    <row r="66" customFormat="false" ht="25.5" hidden="false" customHeight="true" outlineLevel="0" collapsed="false">
      <c r="H66" s="113"/>
      <c r="I66" s="113"/>
      <c r="J66" s="113"/>
      <c r="L66" s="113"/>
      <c r="M66" s="113"/>
      <c r="N66" s="113"/>
      <c r="P66" s="113"/>
      <c r="Q66" s="113"/>
      <c r="R66" s="113"/>
      <c r="T66" s="113"/>
      <c r="U66" s="113"/>
      <c r="V66" s="113"/>
    </row>
    <row r="67" customFormat="false" ht="25.5" hidden="false" customHeight="true" outlineLevel="0" collapsed="false">
      <c r="H67" s="113"/>
      <c r="I67" s="113"/>
      <c r="J67" s="113"/>
      <c r="L67" s="113"/>
      <c r="M67" s="113"/>
      <c r="N67" s="113"/>
      <c r="P67" s="113"/>
      <c r="Q67" s="113"/>
      <c r="R67" s="113"/>
      <c r="T67" s="113"/>
      <c r="U67" s="113"/>
      <c r="V67" s="113"/>
    </row>
    <row r="68" customFormat="false" ht="25.5" hidden="false" customHeight="true" outlineLevel="0" collapsed="false">
      <c r="H68" s="113"/>
      <c r="I68" s="113"/>
      <c r="J68" s="113"/>
      <c r="L68" s="113"/>
      <c r="M68" s="113"/>
      <c r="N68" s="113"/>
      <c r="P68" s="113"/>
      <c r="Q68" s="113"/>
      <c r="R68" s="113"/>
      <c r="T68" s="113"/>
      <c r="U68" s="113"/>
      <c r="V68" s="113"/>
    </row>
    <row r="69" customFormat="false" ht="25.5" hidden="false" customHeight="true" outlineLevel="0" collapsed="false">
      <c r="H69" s="113"/>
      <c r="I69" s="113"/>
      <c r="J69" s="113"/>
      <c r="L69" s="113"/>
      <c r="M69" s="113"/>
      <c r="N69" s="113"/>
      <c r="P69" s="113"/>
      <c r="Q69" s="113"/>
      <c r="R69" s="113"/>
      <c r="T69" s="113"/>
      <c r="U69" s="113"/>
      <c r="V69" s="113"/>
    </row>
    <row r="70" customFormat="false" ht="25.5" hidden="false" customHeight="true" outlineLevel="0" collapsed="false">
      <c r="H70" s="113"/>
      <c r="I70" s="113"/>
      <c r="J70" s="113"/>
      <c r="L70" s="113"/>
      <c r="M70" s="113"/>
      <c r="N70" s="113"/>
      <c r="P70" s="113"/>
      <c r="Q70" s="113"/>
      <c r="R70" s="113"/>
      <c r="T70" s="113"/>
      <c r="U70" s="113"/>
      <c r="V70" s="113"/>
    </row>
    <row r="71" customFormat="false" ht="25.5" hidden="false" customHeight="true" outlineLevel="0" collapsed="false">
      <c r="H71" s="113"/>
      <c r="I71" s="113"/>
      <c r="J71" s="113"/>
      <c r="L71" s="113"/>
      <c r="M71" s="113"/>
      <c r="N71" s="113"/>
      <c r="P71" s="113"/>
      <c r="Q71" s="113"/>
      <c r="R71" s="113"/>
      <c r="T71" s="113"/>
      <c r="U71" s="113"/>
      <c r="V71" s="113"/>
    </row>
    <row r="72" customFormat="false" ht="25.5" hidden="false" customHeight="true" outlineLevel="0" collapsed="false">
      <c r="H72" s="113"/>
      <c r="I72" s="113"/>
      <c r="J72" s="113"/>
      <c r="L72" s="113"/>
      <c r="M72" s="113"/>
      <c r="N72" s="113"/>
      <c r="P72" s="113"/>
      <c r="Q72" s="113"/>
      <c r="R72" s="113"/>
      <c r="T72" s="113"/>
      <c r="U72" s="113"/>
      <c r="V72" s="113"/>
    </row>
    <row r="73" customFormat="false" ht="25.5" hidden="false" customHeight="true" outlineLevel="0" collapsed="false">
      <c r="H73" s="113"/>
      <c r="I73" s="113"/>
      <c r="J73" s="113"/>
      <c r="L73" s="113"/>
      <c r="M73" s="113"/>
      <c r="N73" s="113"/>
      <c r="P73" s="113"/>
      <c r="Q73" s="113"/>
      <c r="R73" s="113"/>
      <c r="T73" s="113"/>
      <c r="U73" s="113"/>
      <c r="V73" s="113"/>
    </row>
    <row r="74" customFormat="false" ht="25.5" hidden="false" customHeight="true" outlineLevel="0" collapsed="false">
      <c r="H74" s="113"/>
      <c r="I74" s="113"/>
      <c r="J74" s="113"/>
      <c r="L74" s="113"/>
      <c r="M74" s="113"/>
      <c r="N74" s="113"/>
      <c r="P74" s="113"/>
      <c r="Q74" s="113"/>
      <c r="R74" s="113"/>
      <c r="T74" s="113"/>
      <c r="U74" s="113"/>
      <c r="V74" s="113"/>
    </row>
    <row r="75" customFormat="false" ht="25.5" hidden="false" customHeight="true" outlineLevel="0" collapsed="false">
      <c r="H75" s="113"/>
      <c r="I75" s="113"/>
      <c r="J75" s="113"/>
      <c r="L75" s="113"/>
      <c r="M75" s="113"/>
      <c r="N75" s="113"/>
      <c r="P75" s="113"/>
      <c r="Q75" s="113"/>
      <c r="R75" s="113"/>
      <c r="T75" s="113"/>
      <c r="U75" s="113"/>
      <c r="V75" s="113"/>
    </row>
    <row r="76" customFormat="false" ht="25.5" hidden="false" customHeight="true" outlineLevel="0" collapsed="false">
      <c r="H76" s="113"/>
      <c r="I76" s="113"/>
      <c r="J76" s="113"/>
      <c r="L76" s="113"/>
      <c r="M76" s="113"/>
      <c r="N76" s="113"/>
      <c r="P76" s="113"/>
      <c r="Q76" s="113"/>
      <c r="R76" s="113"/>
      <c r="T76" s="113"/>
      <c r="U76" s="113"/>
      <c r="V76" s="113"/>
    </row>
    <row r="77" customFormat="false" ht="25.5" hidden="false" customHeight="true" outlineLevel="0" collapsed="false">
      <c r="H77" s="113"/>
      <c r="I77" s="113"/>
      <c r="J77" s="113"/>
      <c r="L77" s="113"/>
      <c r="M77" s="113"/>
      <c r="N77" s="113"/>
      <c r="P77" s="113"/>
      <c r="Q77" s="113"/>
      <c r="R77" s="113"/>
      <c r="T77" s="113"/>
      <c r="U77" s="113"/>
      <c r="V77" s="113"/>
    </row>
    <row r="78" customFormat="false" ht="25.5" hidden="false" customHeight="true" outlineLevel="0" collapsed="false">
      <c r="H78" s="113"/>
      <c r="I78" s="113"/>
      <c r="J78" s="113"/>
      <c r="L78" s="113"/>
      <c r="M78" s="113"/>
      <c r="N78" s="113"/>
      <c r="P78" s="113"/>
      <c r="Q78" s="113"/>
      <c r="R78" s="113"/>
      <c r="T78" s="113"/>
      <c r="U78" s="113"/>
      <c r="V78" s="113"/>
    </row>
    <row r="79" customFormat="false" ht="25.5" hidden="false" customHeight="true" outlineLevel="0" collapsed="false">
      <c r="H79" s="113"/>
      <c r="I79" s="113"/>
      <c r="J79" s="113"/>
      <c r="L79" s="113"/>
      <c r="M79" s="113"/>
      <c r="N79" s="113"/>
      <c r="P79" s="113"/>
      <c r="Q79" s="113"/>
      <c r="R79" s="113"/>
      <c r="T79" s="113"/>
      <c r="U79" s="113"/>
      <c r="V79" s="113"/>
    </row>
    <row r="80" customFormat="false" ht="25.5" hidden="false" customHeight="true" outlineLevel="0" collapsed="false">
      <c r="H80" s="113"/>
      <c r="I80" s="113"/>
      <c r="J80" s="113"/>
      <c r="L80" s="113"/>
      <c r="M80" s="113"/>
      <c r="N80" s="113"/>
      <c r="P80" s="113"/>
      <c r="Q80" s="113"/>
      <c r="R80" s="113"/>
      <c r="T80" s="113"/>
      <c r="U80" s="113"/>
      <c r="V80" s="113"/>
    </row>
    <row r="81" customFormat="false" ht="25.5" hidden="false" customHeight="true" outlineLevel="0" collapsed="false">
      <c r="H81" s="113"/>
      <c r="I81" s="113"/>
      <c r="J81" s="113"/>
      <c r="L81" s="113"/>
      <c r="M81" s="113"/>
      <c r="N81" s="113"/>
      <c r="P81" s="113"/>
      <c r="Q81" s="113"/>
      <c r="R81" s="113"/>
      <c r="T81" s="113"/>
      <c r="U81" s="113"/>
      <c r="V81" s="113"/>
    </row>
    <row r="82" customFormat="false" ht="25.5" hidden="false" customHeight="true" outlineLevel="0" collapsed="false">
      <c r="H82" s="113"/>
      <c r="I82" s="113"/>
      <c r="J82" s="113"/>
      <c r="L82" s="113"/>
      <c r="M82" s="113"/>
      <c r="N82" s="113"/>
      <c r="P82" s="113"/>
      <c r="Q82" s="113"/>
      <c r="R82" s="113"/>
      <c r="T82" s="113"/>
      <c r="U82" s="113"/>
      <c r="V82" s="113"/>
    </row>
    <row r="83" customFormat="false" ht="25.5" hidden="false" customHeight="true" outlineLevel="0" collapsed="false">
      <c r="H83" s="113"/>
      <c r="I83" s="113"/>
      <c r="J83" s="113"/>
      <c r="L83" s="113"/>
      <c r="M83" s="113"/>
      <c r="N83" s="113"/>
      <c r="P83" s="113"/>
      <c r="Q83" s="113"/>
      <c r="R83" s="113"/>
      <c r="T83" s="113"/>
      <c r="U83" s="113"/>
      <c r="V83" s="113"/>
    </row>
    <row r="84" customFormat="false" ht="25.5" hidden="false" customHeight="true" outlineLevel="0" collapsed="false">
      <c r="H84" s="113"/>
      <c r="I84" s="113"/>
      <c r="J84" s="113"/>
      <c r="L84" s="113"/>
      <c r="M84" s="113"/>
      <c r="N84" s="113"/>
      <c r="P84" s="113"/>
      <c r="Q84" s="113"/>
      <c r="R84" s="113"/>
      <c r="T84" s="113"/>
      <c r="U84" s="113"/>
      <c r="V84" s="113"/>
    </row>
    <row r="85" customFormat="false" ht="25.5" hidden="false" customHeight="true" outlineLevel="0" collapsed="false">
      <c r="H85" s="113"/>
      <c r="I85" s="113"/>
      <c r="J85" s="113"/>
      <c r="L85" s="113"/>
      <c r="M85" s="113"/>
      <c r="N85" s="113"/>
      <c r="P85" s="113"/>
      <c r="Q85" s="113"/>
      <c r="R85" s="113"/>
      <c r="T85" s="113"/>
      <c r="U85" s="113"/>
      <c r="V85" s="113"/>
    </row>
    <row r="86" customFormat="false" ht="25.5" hidden="false" customHeight="true" outlineLevel="0" collapsed="false">
      <c r="H86" s="113"/>
      <c r="I86" s="113"/>
      <c r="J86" s="113"/>
      <c r="L86" s="113"/>
      <c r="M86" s="113"/>
      <c r="N86" s="113"/>
      <c r="P86" s="113"/>
      <c r="Q86" s="113"/>
      <c r="R86" s="113"/>
      <c r="T86" s="113"/>
      <c r="U86" s="113"/>
      <c r="V86" s="113"/>
    </row>
    <row r="87" customFormat="false" ht="25.5" hidden="false" customHeight="true" outlineLevel="0" collapsed="false">
      <c r="H87" s="113"/>
      <c r="I87" s="113"/>
      <c r="J87" s="113"/>
      <c r="L87" s="113"/>
      <c r="M87" s="113"/>
      <c r="N87" s="113"/>
      <c r="P87" s="113"/>
      <c r="Q87" s="113"/>
      <c r="R87" s="113"/>
      <c r="T87" s="113"/>
      <c r="U87" s="113"/>
      <c r="V87" s="113"/>
    </row>
    <row r="88" customFormat="false" ht="25.5" hidden="false" customHeight="true" outlineLevel="0" collapsed="false">
      <c r="H88" s="113"/>
      <c r="I88" s="113"/>
      <c r="J88" s="113"/>
      <c r="L88" s="113"/>
      <c r="M88" s="113"/>
      <c r="N88" s="113"/>
      <c r="P88" s="113"/>
      <c r="Q88" s="113"/>
      <c r="R88" s="113"/>
      <c r="T88" s="113"/>
      <c r="U88" s="113"/>
      <c r="V88" s="113"/>
    </row>
    <row r="89" customFormat="false" ht="25.5" hidden="false" customHeight="true" outlineLevel="0" collapsed="false">
      <c r="H89" s="113"/>
      <c r="I89" s="113"/>
      <c r="J89" s="113"/>
      <c r="L89" s="113"/>
      <c r="M89" s="113"/>
      <c r="N89" s="113"/>
      <c r="P89" s="113"/>
      <c r="Q89" s="113"/>
      <c r="R89" s="113"/>
      <c r="T89" s="113"/>
      <c r="U89" s="113"/>
      <c r="V89" s="113"/>
    </row>
    <row r="90" customFormat="false" ht="25.5" hidden="false" customHeight="true" outlineLevel="0" collapsed="false">
      <c r="H90" s="113"/>
      <c r="I90" s="113"/>
      <c r="J90" s="113"/>
      <c r="L90" s="113"/>
      <c r="M90" s="113"/>
      <c r="N90" s="113"/>
      <c r="P90" s="113"/>
      <c r="Q90" s="113"/>
      <c r="R90" s="113"/>
      <c r="T90" s="113"/>
      <c r="U90" s="113"/>
      <c r="V90" s="113"/>
    </row>
    <row r="91" customFormat="false" ht="25.5" hidden="false" customHeight="true" outlineLevel="0" collapsed="false">
      <c r="H91" s="113"/>
      <c r="I91" s="113"/>
      <c r="J91" s="113"/>
      <c r="L91" s="113"/>
      <c r="M91" s="113"/>
      <c r="N91" s="113"/>
      <c r="P91" s="113"/>
      <c r="Q91" s="113"/>
      <c r="R91" s="113"/>
      <c r="T91" s="113"/>
      <c r="U91" s="113"/>
      <c r="V91" s="113"/>
    </row>
    <row r="92" customFormat="false" ht="25.5" hidden="false" customHeight="true" outlineLevel="0" collapsed="false">
      <c r="H92" s="113"/>
      <c r="I92" s="113"/>
      <c r="J92" s="113"/>
      <c r="L92" s="113"/>
      <c r="M92" s="113"/>
      <c r="N92" s="113"/>
      <c r="P92" s="113"/>
      <c r="Q92" s="113"/>
      <c r="R92" s="113"/>
      <c r="T92" s="113"/>
      <c r="U92" s="113"/>
      <c r="V92" s="113"/>
    </row>
    <row r="93" customFormat="false" ht="25.5" hidden="false" customHeight="true" outlineLevel="0" collapsed="false">
      <c r="H93" s="113"/>
      <c r="I93" s="113"/>
      <c r="J93" s="113"/>
      <c r="L93" s="113"/>
      <c r="M93" s="113"/>
      <c r="N93" s="113"/>
      <c r="P93" s="113"/>
      <c r="Q93" s="113"/>
      <c r="R93" s="113"/>
      <c r="T93" s="113"/>
      <c r="U93" s="113"/>
      <c r="V93" s="113"/>
    </row>
    <row r="94" customFormat="false" ht="25.5" hidden="false" customHeight="true" outlineLevel="0" collapsed="false">
      <c r="H94" s="113"/>
      <c r="I94" s="113"/>
      <c r="J94" s="113"/>
      <c r="L94" s="113"/>
      <c r="M94" s="113"/>
      <c r="N94" s="113"/>
      <c r="P94" s="113"/>
      <c r="Q94" s="113"/>
      <c r="R94" s="113"/>
      <c r="T94" s="113"/>
      <c r="U94" s="113"/>
      <c r="V94" s="113"/>
    </row>
    <row r="95" customFormat="false" ht="25.5" hidden="false" customHeight="true" outlineLevel="0" collapsed="false">
      <c r="H95" s="113"/>
      <c r="I95" s="113"/>
      <c r="J95" s="113"/>
      <c r="L95" s="113"/>
      <c r="M95" s="113"/>
      <c r="N95" s="113"/>
      <c r="P95" s="113"/>
      <c r="Q95" s="113"/>
      <c r="R95" s="113"/>
      <c r="T95" s="113"/>
      <c r="U95" s="113"/>
      <c r="V95" s="113"/>
    </row>
    <row r="96" customFormat="false" ht="25.5" hidden="false" customHeight="true" outlineLevel="0" collapsed="false">
      <c r="H96" s="113"/>
      <c r="I96" s="113"/>
      <c r="J96" s="113"/>
      <c r="L96" s="113"/>
      <c r="M96" s="113"/>
      <c r="N96" s="113"/>
      <c r="P96" s="113"/>
      <c r="Q96" s="113"/>
      <c r="R96" s="113"/>
      <c r="T96" s="113"/>
      <c r="U96" s="113"/>
      <c r="V96" s="113"/>
    </row>
    <row r="97" customFormat="false" ht="25.5" hidden="false" customHeight="true" outlineLevel="0" collapsed="false">
      <c r="H97" s="113"/>
      <c r="I97" s="113"/>
      <c r="J97" s="113"/>
      <c r="L97" s="113"/>
      <c r="M97" s="113"/>
      <c r="N97" s="113"/>
      <c r="P97" s="113"/>
      <c r="Q97" s="113"/>
      <c r="R97" s="113"/>
      <c r="T97" s="113"/>
      <c r="U97" s="113"/>
      <c r="V97" s="113"/>
    </row>
    <row r="98" customFormat="false" ht="25.5" hidden="false" customHeight="true" outlineLevel="0" collapsed="false">
      <c r="H98" s="113"/>
      <c r="I98" s="113"/>
      <c r="J98" s="113"/>
      <c r="L98" s="113"/>
      <c r="M98" s="113"/>
      <c r="N98" s="113"/>
      <c r="P98" s="113"/>
      <c r="Q98" s="113"/>
      <c r="R98" s="113"/>
      <c r="T98" s="113"/>
      <c r="U98" s="113"/>
      <c r="V98" s="113"/>
    </row>
    <row r="99" customFormat="false" ht="25.5" hidden="false" customHeight="true" outlineLevel="0" collapsed="false">
      <c r="H99" s="113"/>
      <c r="I99" s="113"/>
      <c r="J99" s="113"/>
      <c r="L99" s="113"/>
      <c r="M99" s="113"/>
      <c r="N99" s="113"/>
      <c r="P99" s="113"/>
      <c r="Q99" s="113"/>
      <c r="R99" s="113"/>
      <c r="T99" s="113"/>
      <c r="U99" s="113"/>
      <c r="V99" s="113"/>
    </row>
    <row r="100" customFormat="false" ht="25.5" hidden="false" customHeight="true" outlineLevel="0" collapsed="false">
      <c r="H100" s="113"/>
      <c r="I100" s="113"/>
      <c r="J100" s="113"/>
      <c r="L100" s="113"/>
      <c r="M100" s="113"/>
      <c r="N100" s="113"/>
      <c r="P100" s="113"/>
      <c r="Q100" s="113"/>
      <c r="R100" s="113"/>
      <c r="T100" s="113"/>
      <c r="U100" s="113"/>
      <c r="V100" s="113"/>
    </row>
    <row r="101" customFormat="false" ht="25.5" hidden="false" customHeight="true" outlineLevel="0" collapsed="false">
      <c r="H101" s="113"/>
      <c r="I101" s="113"/>
      <c r="J101" s="113"/>
      <c r="L101" s="113"/>
      <c r="M101" s="113"/>
      <c r="N101" s="113"/>
      <c r="P101" s="113"/>
      <c r="Q101" s="113"/>
      <c r="R101" s="113"/>
      <c r="T101" s="113"/>
      <c r="U101" s="113"/>
      <c r="V101" s="113"/>
    </row>
    <row r="102" customFormat="false" ht="25.5" hidden="false" customHeight="true" outlineLevel="0" collapsed="false">
      <c r="H102" s="113"/>
      <c r="I102" s="113"/>
      <c r="J102" s="113"/>
      <c r="L102" s="113"/>
      <c r="M102" s="113"/>
      <c r="N102" s="113"/>
      <c r="P102" s="113"/>
      <c r="Q102" s="113"/>
      <c r="R102" s="113"/>
      <c r="T102" s="113"/>
      <c r="U102" s="113"/>
      <c r="V102" s="113"/>
    </row>
    <row r="103" customFormat="false" ht="25.5" hidden="false" customHeight="true" outlineLevel="0" collapsed="false">
      <c r="H103" s="113"/>
      <c r="I103" s="113"/>
      <c r="J103" s="113"/>
      <c r="L103" s="113"/>
      <c r="M103" s="113"/>
      <c r="N103" s="113"/>
      <c r="P103" s="113"/>
      <c r="Q103" s="113"/>
      <c r="R103" s="113"/>
      <c r="T103" s="113"/>
      <c r="U103" s="113"/>
      <c r="V103" s="113"/>
    </row>
    <row r="104" customFormat="false" ht="15" hidden="false" customHeight="true" outlineLevel="0" collapsed="false">
      <c r="H104" s="113"/>
      <c r="I104" s="113"/>
      <c r="J104" s="113"/>
      <c r="L104" s="113"/>
      <c r="M104" s="113"/>
      <c r="N104" s="113"/>
      <c r="P104" s="113"/>
      <c r="Q104" s="113"/>
      <c r="R104" s="113"/>
      <c r="T104" s="113"/>
      <c r="U104" s="113"/>
      <c r="V104" s="113"/>
    </row>
    <row r="105" customFormat="false" ht="15" hidden="false" customHeight="true" outlineLevel="0" collapsed="false">
      <c r="H105" s="113"/>
      <c r="I105" s="113"/>
      <c r="J105" s="113"/>
      <c r="L105" s="113"/>
      <c r="M105" s="113"/>
      <c r="N105" s="113"/>
      <c r="P105" s="113"/>
      <c r="Q105" s="113"/>
      <c r="R105" s="113"/>
      <c r="T105" s="113"/>
      <c r="U105" s="113"/>
      <c r="V105" s="113"/>
    </row>
    <row r="106" customFormat="false" ht="15" hidden="false" customHeight="true" outlineLevel="0" collapsed="false">
      <c r="H106" s="113"/>
      <c r="I106" s="113"/>
      <c r="J106" s="113"/>
      <c r="L106" s="113"/>
      <c r="M106" s="113"/>
      <c r="N106" s="113"/>
      <c r="P106" s="113"/>
      <c r="Q106" s="113"/>
      <c r="R106" s="113"/>
      <c r="T106" s="113"/>
      <c r="U106" s="113"/>
      <c r="V106" s="113"/>
    </row>
    <row r="107" customFormat="false" ht="15" hidden="false" customHeight="true" outlineLevel="0" collapsed="false">
      <c r="H107" s="113"/>
      <c r="I107" s="113"/>
      <c r="J107" s="113"/>
      <c r="L107" s="113"/>
      <c r="M107" s="113"/>
      <c r="N107" s="113"/>
      <c r="P107" s="113"/>
      <c r="Q107" s="113"/>
      <c r="R107" s="113"/>
      <c r="T107" s="113"/>
      <c r="U107" s="113"/>
      <c r="V107" s="113"/>
    </row>
    <row r="108" customFormat="false" ht="15" hidden="false" customHeight="true" outlineLevel="0" collapsed="false">
      <c r="H108" s="113"/>
      <c r="I108" s="113"/>
      <c r="J108" s="113"/>
      <c r="L108" s="113"/>
      <c r="M108" s="113"/>
      <c r="N108" s="113"/>
      <c r="P108" s="113"/>
      <c r="Q108" s="113"/>
      <c r="R108" s="113"/>
      <c r="T108" s="113"/>
      <c r="U108" s="113"/>
      <c r="V108" s="113"/>
    </row>
    <row r="109" customFormat="false" ht="15" hidden="false" customHeight="true" outlineLevel="0" collapsed="false">
      <c r="H109" s="113"/>
      <c r="I109" s="113"/>
      <c r="J109" s="113"/>
      <c r="L109" s="113"/>
      <c r="M109" s="113"/>
      <c r="N109" s="113"/>
      <c r="P109" s="113"/>
      <c r="Q109" s="113"/>
      <c r="R109" s="113"/>
      <c r="T109" s="113"/>
      <c r="U109" s="113"/>
      <c r="V109" s="113"/>
    </row>
    <row r="110" customFormat="false" ht="15" hidden="false" customHeight="true" outlineLevel="0" collapsed="false">
      <c r="H110" s="113"/>
      <c r="I110" s="113"/>
      <c r="J110" s="113"/>
      <c r="L110" s="113"/>
      <c r="M110" s="113"/>
      <c r="N110" s="113"/>
      <c r="P110" s="113"/>
      <c r="Q110" s="113"/>
      <c r="R110" s="113"/>
      <c r="T110" s="113"/>
      <c r="U110" s="113"/>
      <c r="V110" s="113"/>
    </row>
    <row r="111" customFormat="false" ht="15" hidden="false" customHeight="true" outlineLevel="0" collapsed="false">
      <c r="H111" s="113"/>
      <c r="I111" s="113"/>
      <c r="J111" s="113"/>
      <c r="L111" s="113"/>
      <c r="M111" s="113"/>
      <c r="N111" s="113"/>
      <c r="P111" s="113"/>
      <c r="Q111" s="113"/>
      <c r="R111" s="113"/>
      <c r="T111" s="113"/>
      <c r="U111" s="113"/>
      <c r="V111" s="113"/>
    </row>
    <row r="112" customFormat="false" ht="15" hidden="false" customHeight="true" outlineLevel="0" collapsed="false">
      <c r="H112" s="113"/>
      <c r="I112" s="113"/>
      <c r="J112" s="113"/>
      <c r="L112" s="113"/>
      <c r="M112" s="113"/>
      <c r="N112" s="113"/>
      <c r="P112" s="113"/>
      <c r="Q112" s="113"/>
      <c r="R112" s="113"/>
      <c r="T112" s="113"/>
      <c r="U112" s="113"/>
      <c r="V112" s="113"/>
    </row>
    <row r="113" customFormat="false" ht="15" hidden="false" customHeight="true" outlineLevel="0" collapsed="false">
      <c r="H113" s="113"/>
      <c r="I113" s="113"/>
      <c r="J113" s="113"/>
      <c r="L113" s="113"/>
      <c r="M113" s="113"/>
      <c r="N113" s="113"/>
      <c r="P113" s="113"/>
      <c r="Q113" s="113"/>
      <c r="R113" s="113"/>
      <c r="T113" s="113"/>
      <c r="U113" s="113"/>
      <c r="V113" s="113"/>
    </row>
    <row r="114" customFormat="false" ht="15" hidden="false" customHeight="true" outlineLevel="0" collapsed="false">
      <c r="H114" s="113"/>
      <c r="I114" s="113"/>
      <c r="J114" s="113"/>
      <c r="L114" s="113"/>
      <c r="M114" s="113"/>
      <c r="N114" s="113"/>
      <c r="P114" s="113"/>
      <c r="Q114" s="113"/>
      <c r="R114" s="113"/>
      <c r="T114" s="113"/>
      <c r="U114" s="113"/>
      <c r="V114" s="113"/>
    </row>
    <row r="115" customFormat="false" ht="15" hidden="false" customHeight="true" outlineLevel="0" collapsed="false">
      <c r="H115" s="113"/>
      <c r="I115" s="113"/>
      <c r="J115" s="113"/>
      <c r="L115" s="113"/>
      <c r="M115" s="113"/>
      <c r="N115" s="113"/>
      <c r="P115" s="113"/>
      <c r="Q115" s="113"/>
      <c r="R115" s="113"/>
      <c r="T115" s="113"/>
      <c r="U115" s="113"/>
      <c r="V115" s="113"/>
    </row>
    <row r="116" customFormat="false" ht="15" hidden="false" customHeight="true" outlineLevel="0" collapsed="false">
      <c r="H116" s="113"/>
      <c r="I116" s="113"/>
      <c r="J116" s="113"/>
      <c r="L116" s="113"/>
      <c r="M116" s="113"/>
      <c r="N116" s="113"/>
      <c r="P116" s="113"/>
      <c r="Q116" s="113"/>
      <c r="R116" s="113"/>
      <c r="T116" s="113"/>
      <c r="U116" s="113"/>
      <c r="V116" s="113"/>
    </row>
    <row r="117" customFormat="false" ht="15" hidden="false" customHeight="true" outlineLevel="0" collapsed="false">
      <c r="H117" s="113"/>
      <c r="I117" s="113"/>
      <c r="J117" s="113"/>
      <c r="L117" s="113"/>
      <c r="M117" s="113"/>
      <c r="N117" s="113"/>
      <c r="P117" s="113"/>
      <c r="Q117" s="113"/>
      <c r="R117" s="113"/>
      <c r="T117" s="113"/>
      <c r="U117" s="113"/>
      <c r="V117" s="113"/>
    </row>
    <row r="118" customFormat="false" ht="15" hidden="false" customHeight="true" outlineLevel="0" collapsed="false">
      <c r="H118" s="113"/>
      <c r="I118" s="113"/>
      <c r="J118" s="113"/>
      <c r="L118" s="113"/>
      <c r="M118" s="113"/>
      <c r="N118" s="113"/>
      <c r="P118" s="113"/>
      <c r="Q118" s="113"/>
      <c r="R118" s="113"/>
      <c r="T118" s="113"/>
      <c r="U118" s="113"/>
      <c r="V118" s="113"/>
    </row>
    <row r="119" customFormat="false" ht="15" hidden="false" customHeight="true" outlineLevel="0" collapsed="false">
      <c r="H119" s="113"/>
      <c r="I119" s="113"/>
      <c r="J119" s="113"/>
      <c r="L119" s="113"/>
      <c r="M119" s="113"/>
      <c r="N119" s="113"/>
      <c r="P119" s="113"/>
      <c r="Q119" s="113"/>
      <c r="R119" s="113"/>
      <c r="T119" s="113"/>
      <c r="U119" s="113"/>
      <c r="V119" s="113"/>
    </row>
    <row r="120" customFormat="false" ht="15" hidden="false" customHeight="true" outlineLevel="0" collapsed="false">
      <c r="H120" s="113"/>
      <c r="I120" s="113"/>
      <c r="J120" s="113"/>
      <c r="L120" s="113"/>
      <c r="M120" s="113"/>
      <c r="N120" s="113"/>
      <c r="P120" s="113"/>
      <c r="Q120" s="113"/>
      <c r="R120" s="113"/>
      <c r="T120" s="113"/>
      <c r="U120" s="113"/>
      <c r="V120" s="113"/>
    </row>
    <row r="121" customFormat="false" ht="15" hidden="false" customHeight="true" outlineLevel="0" collapsed="false">
      <c r="H121" s="113"/>
      <c r="I121" s="113"/>
      <c r="J121" s="113"/>
      <c r="L121" s="113"/>
      <c r="M121" s="113"/>
      <c r="N121" s="113"/>
      <c r="P121" s="113"/>
      <c r="Q121" s="113"/>
      <c r="R121" s="113"/>
      <c r="T121" s="113"/>
      <c r="U121" s="113"/>
      <c r="V121" s="113"/>
    </row>
    <row r="122" customFormat="false" ht="15" hidden="false" customHeight="true" outlineLevel="0" collapsed="false">
      <c r="H122" s="113"/>
      <c r="I122" s="113"/>
      <c r="J122" s="113"/>
      <c r="L122" s="113"/>
      <c r="M122" s="113"/>
      <c r="N122" s="113"/>
      <c r="P122" s="113"/>
      <c r="Q122" s="113"/>
      <c r="R122" s="113"/>
      <c r="T122" s="113"/>
      <c r="U122" s="113"/>
      <c r="V122" s="113"/>
    </row>
    <row r="123" customFormat="false" ht="15" hidden="false" customHeight="true" outlineLevel="0" collapsed="false">
      <c r="H123" s="113"/>
      <c r="I123" s="113"/>
      <c r="J123" s="113"/>
      <c r="L123" s="113"/>
      <c r="M123" s="113"/>
      <c r="N123" s="113"/>
      <c r="P123" s="113"/>
      <c r="Q123" s="113"/>
      <c r="R123" s="113"/>
      <c r="T123" s="113"/>
      <c r="U123" s="113"/>
      <c r="V123" s="113"/>
    </row>
    <row r="124" customFormat="false" ht="15" hidden="false" customHeight="true" outlineLevel="0" collapsed="false">
      <c r="H124" s="113"/>
      <c r="I124" s="113"/>
      <c r="J124" s="113"/>
      <c r="L124" s="113"/>
      <c r="M124" s="113"/>
      <c r="N124" s="113"/>
      <c r="P124" s="113"/>
      <c r="Q124" s="113"/>
      <c r="R124" s="113"/>
      <c r="T124" s="113"/>
      <c r="U124" s="113"/>
      <c r="V124" s="113"/>
    </row>
    <row r="125" customFormat="false" ht="15" hidden="false" customHeight="true" outlineLevel="0" collapsed="false">
      <c r="H125" s="113"/>
      <c r="I125" s="113"/>
      <c r="J125" s="113"/>
      <c r="L125" s="113"/>
      <c r="M125" s="113"/>
      <c r="N125" s="113"/>
      <c r="P125" s="113"/>
      <c r="Q125" s="113"/>
      <c r="R125" s="113"/>
      <c r="T125" s="113"/>
      <c r="U125" s="113"/>
      <c r="V125" s="113"/>
    </row>
    <row r="126" customFormat="false" ht="15" hidden="false" customHeight="true" outlineLevel="0" collapsed="false">
      <c r="H126" s="113"/>
      <c r="I126" s="113"/>
      <c r="J126" s="113"/>
      <c r="L126" s="113"/>
      <c r="M126" s="113"/>
      <c r="N126" s="113"/>
      <c r="P126" s="113"/>
      <c r="Q126" s="113"/>
      <c r="R126" s="113"/>
      <c r="T126" s="113"/>
      <c r="U126" s="113"/>
      <c r="V126" s="113"/>
    </row>
    <row r="127" customFormat="false" ht="15" hidden="false" customHeight="true" outlineLevel="0" collapsed="false">
      <c r="H127" s="113"/>
      <c r="I127" s="113"/>
      <c r="J127" s="113"/>
      <c r="L127" s="113"/>
      <c r="M127" s="113"/>
      <c r="N127" s="113"/>
      <c r="P127" s="113"/>
      <c r="Q127" s="113"/>
      <c r="R127" s="113"/>
      <c r="T127" s="113"/>
      <c r="U127" s="113"/>
      <c r="V127" s="113"/>
    </row>
    <row r="128" customFormat="false" ht="15" hidden="false" customHeight="true" outlineLevel="0" collapsed="false">
      <c r="H128" s="113"/>
      <c r="I128" s="113"/>
      <c r="J128" s="113"/>
      <c r="L128" s="113"/>
      <c r="M128" s="113"/>
      <c r="N128" s="113"/>
      <c r="P128" s="113"/>
      <c r="Q128" s="113"/>
      <c r="R128" s="113"/>
      <c r="T128" s="113"/>
      <c r="U128" s="113"/>
      <c r="V128" s="113"/>
    </row>
    <row r="129" customFormat="false" ht="15" hidden="false" customHeight="true" outlineLevel="0" collapsed="false">
      <c r="H129" s="113"/>
      <c r="I129" s="113"/>
      <c r="J129" s="113"/>
      <c r="L129" s="113"/>
      <c r="M129" s="113"/>
      <c r="N129" s="113"/>
      <c r="P129" s="113"/>
      <c r="Q129" s="113"/>
      <c r="R129" s="113"/>
      <c r="T129" s="113"/>
      <c r="U129" s="113"/>
      <c r="V129" s="113"/>
    </row>
    <row r="130" customFormat="false" ht="15" hidden="false" customHeight="true" outlineLevel="0" collapsed="false">
      <c r="H130" s="113"/>
      <c r="I130" s="113"/>
      <c r="J130" s="113"/>
      <c r="L130" s="113"/>
      <c r="M130" s="113"/>
      <c r="N130" s="113"/>
      <c r="P130" s="113"/>
      <c r="Q130" s="113"/>
      <c r="R130" s="113"/>
      <c r="T130" s="113"/>
      <c r="U130" s="113"/>
      <c r="V130" s="113"/>
    </row>
    <row r="131" customFormat="false" ht="15" hidden="false" customHeight="true" outlineLevel="0" collapsed="false">
      <c r="H131" s="113"/>
      <c r="I131" s="113"/>
      <c r="J131" s="113"/>
      <c r="L131" s="113"/>
      <c r="M131" s="113"/>
      <c r="N131" s="113"/>
      <c r="P131" s="113"/>
      <c r="Q131" s="113"/>
      <c r="R131" s="113"/>
      <c r="T131" s="113"/>
      <c r="U131" s="113"/>
      <c r="V131" s="113"/>
    </row>
    <row r="132" customFormat="false" ht="15" hidden="false" customHeight="true" outlineLevel="0" collapsed="false">
      <c r="H132" s="113"/>
      <c r="I132" s="113"/>
      <c r="J132" s="113"/>
      <c r="L132" s="113"/>
      <c r="M132" s="113"/>
      <c r="N132" s="113"/>
      <c r="P132" s="113"/>
      <c r="Q132" s="113"/>
      <c r="R132" s="113"/>
      <c r="T132" s="113"/>
      <c r="U132" s="113"/>
      <c r="V132" s="113"/>
    </row>
    <row r="133" customFormat="false" ht="15" hidden="false" customHeight="true" outlineLevel="0" collapsed="false">
      <c r="H133" s="113"/>
      <c r="I133" s="113"/>
      <c r="J133" s="113"/>
      <c r="L133" s="113"/>
      <c r="M133" s="113"/>
      <c r="N133" s="113"/>
      <c r="P133" s="113"/>
      <c r="Q133" s="113"/>
      <c r="R133" s="113"/>
      <c r="T133" s="113"/>
      <c r="U133" s="113"/>
      <c r="V133" s="113"/>
    </row>
    <row r="134" customFormat="false" ht="15" hidden="false" customHeight="true" outlineLevel="0" collapsed="false">
      <c r="H134" s="113"/>
      <c r="I134" s="113"/>
      <c r="J134" s="113"/>
      <c r="L134" s="113"/>
      <c r="M134" s="113"/>
      <c r="N134" s="113"/>
      <c r="P134" s="113"/>
      <c r="Q134" s="113"/>
      <c r="R134" s="113"/>
      <c r="T134" s="113"/>
      <c r="U134" s="113"/>
      <c r="V134" s="113"/>
    </row>
    <row r="135" customFormat="false" ht="15" hidden="false" customHeight="true" outlineLevel="0" collapsed="false">
      <c r="H135" s="113"/>
      <c r="I135" s="113"/>
      <c r="J135" s="113"/>
      <c r="L135" s="113"/>
      <c r="M135" s="113"/>
      <c r="N135" s="113"/>
      <c r="P135" s="113"/>
      <c r="Q135" s="113"/>
      <c r="R135" s="113"/>
      <c r="T135" s="113"/>
      <c r="U135" s="113"/>
      <c r="V135" s="113"/>
    </row>
    <row r="136" customFormat="false" ht="15" hidden="false" customHeight="true" outlineLevel="0" collapsed="false">
      <c r="H136" s="113"/>
      <c r="I136" s="113"/>
      <c r="J136" s="113"/>
      <c r="L136" s="113"/>
      <c r="M136" s="113"/>
      <c r="N136" s="113"/>
      <c r="P136" s="113"/>
      <c r="Q136" s="113"/>
      <c r="R136" s="113"/>
      <c r="T136" s="113"/>
      <c r="U136" s="113"/>
      <c r="V136" s="113"/>
    </row>
    <row r="137" customFormat="false" ht="15" hidden="false" customHeight="true" outlineLevel="0" collapsed="false">
      <c r="H137" s="113"/>
      <c r="I137" s="113"/>
      <c r="J137" s="113"/>
      <c r="L137" s="113"/>
      <c r="M137" s="113"/>
      <c r="N137" s="113"/>
      <c r="P137" s="113"/>
      <c r="Q137" s="113"/>
      <c r="R137" s="113"/>
      <c r="T137" s="113"/>
      <c r="U137" s="113"/>
      <c r="V137" s="113"/>
    </row>
    <row r="138" customFormat="false" ht="15" hidden="false" customHeight="true" outlineLevel="0" collapsed="false">
      <c r="H138" s="113"/>
      <c r="I138" s="113"/>
      <c r="J138" s="113"/>
      <c r="L138" s="113"/>
      <c r="M138" s="113"/>
      <c r="N138" s="113"/>
      <c r="P138" s="113"/>
      <c r="Q138" s="113"/>
      <c r="R138" s="113"/>
      <c r="T138" s="113"/>
      <c r="U138" s="113"/>
      <c r="V138" s="113"/>
    </row>
    <row r="139" customFormat="false" ht="15" hidden="false" customHeight="true" outlineLevel="0" collapsed="false">
      <c r="H139" s="113"/>
      <c r="I139" s="113"/>
      <c r="J139" s="113"/>
      <c r="L139" s="113"/>
      <c r="M139" s="113"/>
      <c r="N139" s="113"/>
      <c r="P139" s="113"/>
      <c r="Q139" s="113"/>
      <c r="R139" s="113"/>
      <c r="T139" s="113"/>
      <c r="U139" s="113"/>
      <c r="V139" s="113"/>
    </row>
    <row r="140" customFormat="false" ht="15" hidden="false" customHeight="true" outlineLevel="0" collapsed="false">
      <c r="H140" s="113"/>
      <c r="I140" s="113"/>
      <c r="J140" s="113"/>
      <c r="L140" s="113"/>
      <c r="M140" s="113"/>
      <c r="N140" s="113"/>
      <c r="P140" s="113"/>
      <c r="Q140" s="113"/>
      <c r="R140" s="113"/>
      <c r="T140" s="113"/>
      <c r="U140" s="113"/>
      <c r="V140" s="113"/>
    </row>
    <row r="141" customFormat="false" ht="15" hidden="false" customHeight="true" outlineLevel="0" collapsed="false">
      <c r="H141" s="113"/>
      <c r="I141" s="113"/>
      <c r="J141" s="113"/>
      <c r="L141" s="113"/>
      <c r="M141" s="113"/>
      <c r="N141" s="113"/>
      <c r="P141" s="113"/>
      <c r="Q141" s="113"/>
      <c r="R141" s="113"/>
      <c r="T141" s="113"/>
      <c r="U141" s="113"/>
      <c r="V141" s="113"/>
    </row>
    <row r="142" customFormat="false" ht="15" hidden="false" customHeight="true" outlineLevel="0" collapsed="false">
      <c r="H142" s="113"/>
      <c r="I142" s="113"/>
      <c r="J142" s="113"/>
      <c r="L142" s="113"/>
      <c r="M142" s="113"/>
      <c r="N142" s="113"/>
      <c r="P142" s="113"/>
      <c r="Q142" s="113"/>
      <c r="R142" s="113"/>
      <c r="T142" s="113"/>
      <c r="U142" s="113"/>
      <c r="V142" s="113"/>
    </row>
    <row r="143" customFormat="false" ht="15" hidden="false" customHeight="true" outlineLevel="0" collapsed="false">
      <c r="H143" s="113"/>
      <c r="I143" s="113"/>
      <c r="J143" s="113"/>
      <c r="L143" s="113"/>
      <c r="M143" s="113"/>
      <c r="N143" s="113"/>
      <c r="P143" s="113"/>
      <c r="Q143" s="113"/>
      <c r="R143" s="113"/>
      <c r="T143" s="113"/>
      <c r="U143" s="113"/>
      <c r="V143" s="113"/>
    </row>
    <row r="144" customFormat="false" ht="15" hidden="false" customHeight="true" outlineLevel="0" collapsed="false">
      <c r="H144" s="113"/>
      <c r="I144" s="113"/>
      <c r="J144" s="113"/>
      <c r="L144" s="113"/>
      <c r="M144" s="113"/>
      <c r="N144" s="113"/>
      <c r="P144" s="113"/>
      <c r="Q144" s="113"/>
      <c r="R144" s="113"/>
      <c r="T144" s="113"/>
      <c r="U144" s="113"/>
      <c r="V144" s="113"/>
    </row>
    <row r="145" customFormat="false" ht="15" hidden="false" customHeight="true" outlineLevel="0" collapsed="false">
      <c r="H145" s="113"/>
      <c r="I145" s="113"/>
      <c r="J145" s="113"/>
      <c r="L145" s="113"/>
      <c r="M145" s="113"/>
      <c r="N145" s="113"/>
      <c r="P145" s="113"/>
      <c r="Q145" s="113"/>
      <c r="R145" s="113"/>
      <c r="T145" s="113"/>
      <c r="U145" s="113"/>
      <c r="V145" s="113"/>
    </row>
    <row r="146" customFormat="false" ht="15" hidden="false" customHeight="true" outlineLevel="0" collapsed="false">
      <c r="H146" s="113"/>
      <c r="I146" s="113"/>
      <c r="J146" s="113"/>
      <c r="L146" s="113"/>
      <c r="M146" s="113"/>
      <c r="N146" s="113"/>
      <c r="P146" s="113"/>
      <c r="Q146" s="113"/>
      <c r="R146" s="113"/>
      <c r="T146" s="113"/>
      <c r="U146" s="113"/>
      <c r="V146" s="113"/>
    </row>
    <row r="147" customFormat="false" ht="15" hidden="false" customHeight="true" outlineLevel="0" collapsed="false">
      <c r="H147" s="113"/>
      <c r="I147" s="113"/>
      <c r="J147" s="113"/>
      <c r="L147" s="113"/>
      <c r="M147" s="113"/>
      <c r="N147" s="113"/>
      <c r="P147" s="113"/>
      <c r="Q147" s="113"/>
      <c r="R147" s="113"/>
      <c r="T147" s="113"/>
      <c r="U147" s="113"/>
      <c r="V147" s="113"/>
    </row>
    <row r="148" customFormat="false" ht="15" hidden="false" customHeight="true" outlineLevel="0" collapsed="false">
      <c r="H148" s="113"/>
      <c r="I148" s="113"/>
      <c r="J148" s="113"/>
      <c r="L148" s="113"/>
      <c r="M148" s="113"/>
      <c r="N148" s="113"/>
      <c r="P148" s="113"/>
      <c r="Q148" s="113"/>
      <c r="R148" s="113"/>
      <c r="T148" s="113"/>
      <c r="U148" s="113"/>
      <c r="V148" s="113"/>
    </row>
    <row r="149" customFormat="false" ht="15" hidden="false" customHeight="true" outlineLevel="0" collapsed="false">
      <c r="H149" s="113"/>
      <c r="I149" s="113"/>
      <c r="J149" s="113"/>
      <c r="L149" s="113"/>
      <c r="M149" s="113"/>
      <c r="N149" s="113"/>
      <c r="P149" s="113"/>
      <c r="Q149" s="113"/>
      <c r="R149" s="113"/>
      <c r="T149" s="113"/>
      <c r="U149" s="113"/>
      <c r="V149" s="113"/>
    </row>
    <row r="150" customFormat="false" ht="15" hidden="false" customHeight="true" outlineLevel="0" collapsed="false">
      <c r="H150" s="113"/>
      <c r="I150" s="113"/>
      <c r="J150" s="113"/>
      <c r="L150" s="113"/>
      <c r="M150" s="113"/>
      <c r="N150" s="113"/>
      <c r="P150" s="113"/>
      <c r="Q150" s="113"/>
      <c r="R150" s="113"/>
      <c r="T150" s="113"/>
      <c r="U150" s="113"/>
      <c r="V150" s="113"/>
    </row>
    <row r="151" customFormat="false" ht="15" hidden="false" customHeight="true" outlineLevel="0" collapsed="false">
      <c r="H151" s="113"/>
      <c r="I151" s="113"/>
      <c r="J151" s="113"/>
      <c r="L151" s="113"/>
      <c r="M151" s="113"/>
      <c r="N151" s="113"/>
      <c r="P151" s="113"/>
      <c r="Q151" s="113"/>
      <c r="R151" s="113"/>
      <c r="T151" s="113"/>
      <c r="U151" s="113"/>
      <c r="V151" s="113"/>
    </row>
    <row r="152" customFormat="false" ht="15" hidden="false" customHeight="true" outlineLevel="0" collapsed="false">
      <c r="H152" s="113"/>
      <c r="I152" s="113"/>
      <c r="J152" s="113"/>
      <c r="L152" s="113"/>
      <c r="M152" s="113"/>
      <c r="N152" s="113"/>
      <c r="P152" s="113"/>
      <c r="Q152" s="113"/>
      <c r="R152" s="113"/>
      <c r="T152" s="113"/>
      <c r="U152" s="113"/>
      <c r="V152" s="113"/>
    </row>
    <row r="153" customFormat="false" ht="15" hidden="false" customHeight="true" outlineLevel="0" collapsed="false">
      <c r="H153" s="113"/>
      <c r="I153" s="113"/>
      <c r="J153" s="113"/>
      <c r="L153" s="113"/>
      <c r="M153" s="113"/>
      <c r="N153" s="113"/>
      <c r="P153" s="113"/>
      <c r="Q153" s="113"/>
      <c r="R153" s="113"/>
      <c r="T153" s="113"/>
      <c r="U153" s="113"/>
      <c r="V153" s="113"/>
    </row>
    <row r="154" customFormat="false" ht="15" hidden="false" customHeight="true" outlineLevel="0" collapsed="false">
      <c r="H154" s="113"/>
      <c r="I154" s="113"/>
      <c r="J154" s="113"/>
      <c r="L154" s="113"/>
      <c r="M154" s="113"/>
      <c r="N154" s="113"/>
      <c r="P154" s="113"/>
      <c r="Q154" s="113"/>
      <c r="R154" s="113"/>
      <c r="T154" s="113"/>
      <c r="U154" s="113"/>
      <c r="V154" s="113"/>
    </row>
    <row r="155" customFormat="false" ht="15" hidden="false" customHeight="true" outlineLevel="0" collapsed="false">
      <c r="H155" s="113"/>
      <c r="I155" s="113"/>
      <c r="J155" s="113"/>
      <c r="L155" s="113"/>
      <c r="M155" s="113"/>
      <c r="N155" s="113"/>
      <c r="P155" s="113"/>
      <c r="Q155" s="113"/>
      <c r="R155" s="113"/>
      <c r="T155" s="113"/>
      <c r="U155" s="113"/>
      <c r="V155" s="113"/>
    </row>
    <row r="156" customFormat="false" ht="15" hidden="false" customHeight="true" outlineLevel="0" collapsed="false">
      <c r="H156" s="113"/>
      <c r="I156" s="113"/>
      <c r="J156" s="113"/>
      <c r="L156" s="113"/>
      <c r="M156" s="113"/>
      <c r="N156" s="113"/>
      <c r="P156" s="113"/>
      <c r="Q156" s="113"/>
      <c r="R156" s="113"/>
      <c r="T156" s="113"/>
      <c r="U156" s="113"/>
      <c r="V156" s="113"/>
    </row>
    <row r="157" customFormat="false" ht="15" hidden="false" customHeight="true" outlineLevel="0" collapsed="false">
      <c r="H157" s="113"/>
      <c r="I157" s="113"/>
      <c r="J157" s="113"/>
      <c r="L157" s="113"/>
      <c r="M157" s="113"/>
      <c r="N157" s="113"/>
      <c r="P157" s="113"/>
      <c r="Q157" s="113"/>
      <c r="R157" s="113"/>
      <c r="T157" s="113"/>
      <c r="U157" s="113"/>
      <c r="V157" s="113"/>
    </row>
    <row r="158" customFormat="false" ht="15" hidden="false" customHeight="true" outlineLevel="0" collapsed="false">
      <c r="H158" s="113"/>
      <c r="I158" s="113"/>
      <c r="J158" s="113"/>
      <c r="L158" s="113"/>
      <c r="M158" s="113"/>
      <c r="N158" s="113"/>
      <c r="P158" s="113"/>
      <c r="Q158" s="113"/>
      <c r="R158" s="113"/>
      <c r="T158" s="113"/>
      <c r="U158" s="113"/>
      <c r="V158" s="113"/>
    </row>
    <row r="159" customFormat="false" ht="15" hidden="false" customHeight="true" outlineLevel="0" collapsed="false">
      <c r="H159" s="113"/>
      <c r="I159" s="113"/>
      <c r="J159" s="113"/>
      <c r="L159" s="113"/>
      <c r="M159" s="113"/>
      <c r="N159" s="113"/>
      <c r="P159" s="113"/>
      <c r="Q159" s="113"/>
      <c r="R159" s="113"/>
      <c r="T159" s="113"/>
      <c r="U159" s="113"/>
      <c r="V159" s="113"/>
    </row>
    <row r="160" customFormat="false" ht="15" hidden="false" customHeight="true" outlineLevel="0" collapsed="false">
      <c r="H160" s="113"/>
      <c r="I160" s="113"/>
      <c r="J160" s="113"/>
      <c r="L160" s="113"/>
      <c r="M160" s="113"/>
      <c r="N160" s="113"/>
      <c r="P160" s="113"/>
      <c r="Q160" s="113"/>
      <c r="R160" s="113"/>
      <c r="T160" s="113"/>
      <c r="U160" s="113"/>
      <c r="V160" s="113"/>
    </row>
    <row r="161" customFormat="false" ht="15" hidden="false" customHeight="true" outlineLevel="0" collapsed="false">
      <c r="H161" s="113"/>
      <c r="I161" s="113"/>
      <c r="J161" s="113"/>
      <c r="L161" s="113"/>
      <c r="M161" s="113"/>
      <c r="N161" s="113"/>
      <c r="P161" s="113"/>
      <c r="Q161" s="113"/>
      <c r="R161" s="113"/>
      <c r="T161" s="113"/>
      <c r="U161" s="113"/>
      <c r="V161" s="113"/>
    </row>
    <row r="162" customFormat="false" ht="15" hidden="false" customHeight="true" outlineLevel="0" collapsed="false">
      <c r="H162" s="113"/>
      <c r="I162" s="113"/>
      <c r="J162" s="113"/>
      <c r="L162" s="113"/>
      <c r="M162" s="113"/>
      <c r="N162" s="113"/>
      <c r="P162" s="113"/>
      <c r="Q162" s="113"/>
      <c r="R162" s="113"/>
      <c r="T162" s="113"/>
      <c r="U162" s="113"/>
      <c r="V162" s="113"/>
    </row>
    <row r="163" customFormat="false" ht="15" hidden="false" customHeight="true" outlineLevel="0" collapsed="false">
      <c r="H163" s="113"/>
      <c r="I163" s="113"/>
      <c r="J163" s="113"/>
      <c r="L163" s="113"/>
      <c r="M163" s="113"/>
      <c r="N163" s="113"/>
      <c r="P163" s="113"/>
      <c r="Q163" s="113"/>
      <c r="R163" s="113"/>
      <c r="T163" s="113"/>
      <c r="U163" s="113"/>
      <c r="V163" s="113"/>
    </row>
    <row r="164" customFormat="false" ht="15" hidden="false" customHeight="true" outlineLevel="0" collapsed="false">
      <c r="H164" s="113"/>
      <c r="I164" s="113"/>
      <c r="J164" s="113"/>
      <c r="L164" s="113"/>
      <c r="M164" s="113"/>
      <c r="N164" s="113"/>
      <c r="P164" s="113"/>
      <c r="Q164" s="113"/>
      <c r="R164" s="113"/>
      <c r="T164" s="113"/>
      <c r="U164" s="113"/>
      <c r="V164" s="113"/>
    </row>
    <row r="165" customFormat="false" ht="15" hidden="false" customHeight="true" outlineLevel="0" collapsed="false">
      <c r="H165" s="113"/>
      <c r="I165" s="113"/>
      <c r="J165" s="113"/>
      <c r="L165" s="113"/>
      <c r="M165" s="113"/>
      <c r="N165" s="113"/>
      <c r="P165" s="113"/>
      <c r="Q165" s="113"/>
      <c r="R165" s="113"/>
      <c r="T165" s="113"/>
      <c r="U165" s="113"/>
      <c r="V165" s="113"/>
    </row>
    <row r="166" customFormat="false" ht="15" hidden="false" customHeight="true" outlineLevel="0" collapsed="false">
      <c r="H166" s="113"/>
      <c r="I166" s="113"/>
      <c r="J166" s="113"/>
      <c r="L166" s="113"/>
      <c r="M166" s="113"/>
      <c r="N166" s="113"/>
      <c r="P166" s="113"/>
      <c r="Q166" s="113"/>
      <c r="R166" s="113"/>
      <c r="T166" s="113"/>
      <c r="U166" s="113"/>
      <c r="V166" s="113"/>
    </row>
    <row r="167" customFormat="false" ht="15" hidden="false" customHeight="true" outlineLevel="0" collapsed="false">
      <c r="H167" s="113"/>
      <c r="I167" s="113"/>
      <c r="J167" s="113"/>
      <c r="L167" s="113"/>
      <c r="M167" s="113"/>
      <c r="N167" s="113"/>
      <c r="P167" s="113"/>
      <c r="Q167" s="113"/>
      <c r="R167" s="113"/>
      <c r="T167" s="113"/>
      <c r="U167" s="113"/>
      <c r="V167" s="113"/>
    </row>
    <row r="168" customFormat="false" ht="15" hidden="false" customHeight="true" outlineLevel="0" collapsed="false">
      <c r="H168" s="113"/>
      <c r="I168" s="113"/>
      <c r="J168" s="113"/>
      <c r="L168" s="113"/>
      <c r="M168" s="113"/>
      <c r="N168" s="113"/>
      <c r="P168" s="113"/>
      <c r="Q168" s="113"/>
      <c r="R168" s="113"/>
      <c r="T168" s="113"/>
      <c r="U168" s="113"/>
      <c r="V168" s="113"/>
    </row>
    <row r="169" customFormat="false" ht="15" hidden="false" customHeight="true" outlineLevel="0" collapsed="false">
      <c r="H169" s="113"/>
      <c r="I169" s="113"/>
      <c r="J169" s="113"/>
      <c r="L169" s="113"/>
      <c r="M169" s="113"/>
      <c r="N169" s="113"/>
      <c r="P169" s="113"/>
      <c r="Q169" s="113"/>
      <c r="R169" s="113"/>
      <c r="T169" s="113"/>
      <c r="U169" s="113"/>
      <c r="V169" s="113"/>
    </row>
    <row r="170" customFormat="false" ht="15" hidden="false" customHeight="true" outlineLevel="0" collapsed="false">
      <c r="H170" s="113"/>
      <c r="I170" s="113"/>
      <c r="J170" s="113"/>
      <c r="L170" s="113"/>
      <c r="M170" s="113"/>
      <c r="N170" s="113"/>
      <c r="P170" s="113"/>
      <c r="Q170" s="113"/>
      <c r="R170" s="113"/>
      <c r="T170" s="113"/>
      <c r="U170" s="113"/>
      <c r="V170" s="113"/>
    </row>
    <row r="171" customFormat="false" ht="15" hidden="false" customHeight="true" outlineLevel="0" collapsed="false">
      <c r="H171" s="113"/>
      <c r="I171" s="113"/>
      <c r="J171" s="113"/>
      <c r="L171" s="113"/>
      <c r="M171" s="113"/>
      <c r="N171" s="113"/>
      <c r="P171" s="113"/>
      <c r="Q171" s="113"/>
      <c r="R171" s="113"/>
      <c r="T171" s="113"/>
      <c r="U171" s="113"/>
      <c r="V171" s="113"/>
    </row>
    <row r="172" customFormat="false" ht="15" hidden="false" customHeight="true" outlineLevel="0" collapsed="false">
      <c r="H172" s="113"/>
      <c r="I172" s="113"/>
      <c r="J172" s="113"/>
      <c r="L172" s="113"/>
      <c r="M172" s="113"/>
      <c r="N172" s="113"/>
      <c r="P172" s="113"/>
      <c r="Q172" s="113"/>
      <c r="R172" s="113"/>
      <c r="T172" s="113"/>
      <c r="U172" s="113"/>
      <c r="V172" s="113"/>
    </row>
    <row r="173" customFormat="false" ht="15" hidden="false" customHeight="true" outlineLevel="0" collapsed="false">
      <c r="H173" s="113"/>
      <c r="I173" s="113"/>
      <c r="J173" s="113"/>
      <c r="L173" s="113"/>
      <c r="M173" s="113"/>
      <c r="N173" s="113"/>
      <c r="P173" s="113"/>
      <c r="Q173" s="113"/>
      <c r="R173" s="113"/>
      <c r="T173" s="113"/>
      <c r="U173" s="113"/>
      <c r="V173" s="113"/>
    </row>
    <row r="174" customFormat="false" ht="15" hidden="false" customHeight="true" outlineLevel="0" collapsed="false">
      <c r="H174" s="113"/>
      <c r="I174" s="113"/>
      <c r="J174" s="113"/>
      <c r="L174" s="113"/>
      <c r="M174" s="113"/>
      <c r="N174" s="113"/>
      <c r="P174" s="113"/>
      <c r="Q174" s="113"/>
      <c r="R174" s="113"/>
      <c r="T174" s="113"/>
      <c r="U174" s="113"/>
      <c r="V174" s="113"/>
    </row>
    <row r="175" customFormat="false" ht="15" hidden="false" customHeight="true" outlineLevel="0" collapsed="false">
      <c r="H175" s="113"/>
      <c r="I175" s="113"/>
      <c r="J175" s="113"/>
      <c r="L175" s="113"/>
      <c r="M175" s="113"/>
      <c r="N175" s="113"/>
      <c r="P175" s="113"/>
      <c r="Q175" s="113"/>
      <c r="R175" s="113"/>
      <c r="T175" s="113"/>
      <c r="U175" s="113"/>
      <c r="V175" s="113"/>
    </row>
    <row r="176" customFormat="false" ht="15" hidden="false" customHeight="true" outlineLevel="0" collapsed="false">
      <c r="H176" s="113"/>
      <c r="I176" s="113"/>
      <c r="J176" s="113"/>
      <c r="L176" s="113"/>
      <c r="M176" s="113"/>
      <c r="N176" s="113"/>
      <c r="P176" s="113"/>
      <c r="Q176" s="113"/>
      <c r="R176" s="113"/>
      <c r="T176" s="113"/>
      <c r="U176" s="113"/>
      <c r="V176" s="113"/>
    </row>
    <row r="177" customFormat="false" ht="15" hidden="false" customHeight="true" outlineLevel="0" collapsed="false">
      <c r="H177" s="113"/>
      <c r="I177" s="113"/>
      <c r="J177" s="113"/>
      <c r="L177" s="113"/>
      <c r="M177" s="113"/>
      <c r="N177" s="113"/>
      <c r="P177" s="113"/>
      <c r="Q177" s="113"/>
      <c r="R177" s="113"/>
      <c r="T177" s="113"/>
      <c r="U177" s="113"/>
      <c r="V177" s="113"/>
    </row>
    <row r="178" customFormat="false" ht="15" hidden="false" customHeight="true" outlineLevel="0" collapsed="false">
      <c r="H178" s="113"/>
      <c r="I178" s="113"/>
      <c r="J178" s="113"/>
      <c r="L178" s="113"/>
      <c r="M178" s="113"/>
      <c r="N178" s="113"/>
      <c r="P178" s="113"/>
      <c r="Q178" s="113"/>
      <c r="R178" s="113"/>
      <c r="T178" s="113"/>
      <c r="U178" s="113"/>
      <c r="V178" s="113"/>
    </row>
    <row r="179" customFormat="false" ht="15" hidden="false" customHeight="true" outlineLevel="0" collapsed="false">
      <c r="H179" s="113"/>
      <c r="I179" s="113"/>
      <c r="J179" s="113"/>
      <c r="L179" s="113"/>
      <c r="M179" s="113"/>
      <c r="N179" s="113"/>
      <c r="P179" s="113"/>
      <c r="Q179" s="113"/>
      <c r="R179" s="113"/>
      <c r="T179" s="113"/>
      <c r="U179" s="113"/>
      <c r="V179" s="113"/>
    </row>
    <row r="180" customFormat="false" ht="15" hidden="false" customHeight="true" outlineLevel="0" collapsed="false">
      <c r="H180" s="113"/>
      <c r="I180" s="113"/>
      <c r="J180" s="113"/>
      <c r="L180" s="113"/>
      <c r="M180" s="113"/>
      <c r="N180" s="113"/>
      <c r="P180" s="113"/>
      <c r="Q180" s="113"/>
      <c r="R180" s="113"/>
      <c r="T180" s="113"/>
      <c r="U180" s="113"/>
      <c r="V180" s="113"/>
    </row>
    <row r="181" customFormat="false" ht="15" hidden="false" customHeight="true" outlineLevel="0" collapsed="false">
      <c r="H181" s="113"/>
      <c r="I181" s="113"/>
      <c r="J181" s="113"/>
      <c r="L181" s="113"/>
      <c r="M181" s="113"/>
      <c r="N181" s="113"/>
      <c r="P181" s="113"/>
      <c r="Q181" s="113"/>
      <c r="R181" s="113"/>
      <c r="T181" s="113"/>
      <c r="U181" s="113"/>
      <c r="V181" s="113"/>
    </row>
    <row r="182" customFormat="false" ht="15" hidden="false" customHeight="true" outlineLevel="0" collapsed="false">
      <c r="H182" s="113"/>
      <c r="I182" s="113"/>
      <c r="J182" s="113"/>
      <c r="L182" s="113"/>
      <c r="M182" s="113"/>
      <c r="N182" s="113"/>
      <c r="P182" s="113"/>
      <c r="Q182" s="113"/>
      <c r="R182" s="113"/>
      <c r="T182" s="113"/>
      <c r="U182" s="113"/>
      <c r="V182" s="113"/>
    </row>
    <row r="183" customFormat="false" ht="15" hidden="false" customHeight="true" outlineLevel="0" collapsed="false">
      <c r="H183" s="113"/>
      <c r="I183" s="113"/>
      <c r="J183" s="113"/>
      <c r="L183" s="113"/>
      <c r="M183" s="113"/>
      <c r="N183" s="113"/>
      <c r="P183" s="113"/>
      <c r="Q183" s="113"/>
      <c r="R183" s="113"/>
      <c r="T183" s="113"/>
      <c r="U183" s="113"/>
      <c r="V183" s="113"/>
    </row>
    <row r="184" customFormat="false" ht="15" hidden="false" customHeight="true" outlineLevel="0" collapsed="false">
      <c r="H184" s="113"/>
      <c r="I184" s="113"/>
      <c r="J184" s="113"/>
      <c r="L184" s="113"/>
      <c r="M184" s="113"/>
      <c r="N184" s="113"/>
      <c r="P184" s="113"/>
      <c r="Q184" s="113"/>
      <c r="R184" s="113"/>
      <c r="T184" s="113"/>
      <c r="U184" s="113"/>
      <c r="V184" s="113"/>
    </row>
    <row r="185" customFormat="false" ht="15" hidden="false" customHeight="true" outlineLevel="0" collapsed="false">
      <c r="H185" s="113"/>
      <c r="I185" s="113"/>
      <c r="J185" s="113"/>
      <c r="L185" s="113"/>
      <c r="M185" s="113"/>
      <c r="N185" s="113"/>
      <c r="P185" s="113"/>
      <c r="Q185" s="113"/>
      <c r="R185" s="113"/>
      <c r="T185" s="113"/>
      <c r="U185" s="113"/>
      <c r="V185" s="113"/>
    </row>
    <row r="186" customFormat="false" ht="15" hidden="false" customHeight="true" outlineLevel="0" collapsed="false">
      <c r="H186" s="113"/>
      <c r="I186" s="113"/>
      <c r="J186" s="113"/>
      <c r="L186" s="113"/>
      <c r="M186" s="113"/>
      <c r="N186" s="113"/>
      <c r="P186" s="113"/>
      <c r="Q186" s="113"/>
      <c r="R186" s="113"/>
      <c r="T186" s="113"/>
      <c r="U186" s="113"/>
      <c r="V186" s="113"/>
    </row>
    <row r="187" customFormat="false" ht="15" hidden="false" customHeight="true" outlineLevel="0" collapsed="false">
      <c r="H187" s="113"/>
      <c r="I187" s="113"/>
      <c r="J187" s="113"/>
      <c r="L187" s="113"/>
      <c r="M187" s="113"/>
      <c r="N187" s="113"/>
      <c r="P187" s="113"/>
      <c r="Q187" s="113"/>
      <c r="R187" s="113"/>
      <c r="T187" s="113"/>
      <c r="U187" s="113"/>
      <c r="V187" s="113"/>
    </row>
    <row r="188" customFormat="false" ht="15" hidden="false" customHeight="true" outlineLevel="0" collapsed="false">
      <c r="H188" s="113"/>
      <c r="I188" s="113"/>
      <c r="J188" s="113"/>
      <c r="L188" s="113"/>
      <c r="M188" s="113"/>
      <c r="N188" s="113"/>
      <c r="P188" s="113"/>
      <c r="Q188" s="113"/>
      <c r="R188" s="113"/>
      <c r="T188" s="113"/>
      <c r="U188" s="113"/>
      <c r="V188" s="113"/>
    </row>
    <row r="189" customFormat="false" ht="15" hidden="false" customHeight="true" outlineLevel="0" collapsed="false">
      <c r="H189" s="113"/>
      <c r="I189" s="113"/>
      <c r="J189" s="113"/>
      <c r="L189" s="113"/>
      <c r="M189" s="113"/>
      <c r="N189" s="113"/>
      <c r="P189" s="113"/>
      <c r="Q189" s="113"/>
      <c r="R189" s="113"/>
      <c r="T189" s="113"/>
      <c r="U189" s="113"/>
      <c r="V189" s="113"/>
    </row>
    <row r="190" customFormat="false" ht="15" hidden="false" customHeight="true" outlineLevel="0" collapsed="false">
      <c r="H190" s="113"/>
      <c r="I190" s="113"/>
      <c r="J190" s="113"/>
      <c r="L190" s="113"/>
      <c r="M190" s="113"/>
      <c r="N190" s="113"/>
      <c r="P190" s="113"/>
      <c r="Q190" s="113"/>
      <c r="R190" s="113"/>
      <c r="T190" s="113"/>
      <c r="U190" s="113"/>
      <c r="V190" s="113"/>
    </row>
    <row r="191" customFormat="false" ht="15" hidden="false" customHeight="true" outlineLevel="0" collapsed="false">
      <c r="H191" s="113"/>
      <c r="I191" s="113"/>
      <c r="J191" s="113"/>
      <c r="L191" s="113"/>
      <c r="M191" s="113"/>
      <c r="N191" s="113"/>
      <c r="P191" s="113"/>
      <c r="Q191" s="113"/>
      <c r="R191" s="113"/>
      <c r="T191" s="113"/>
      <c r="U191" s="113"/>
      <c r="V191" s="113"/>
    </row>
    <row r="192" customFormat="false" ht="15" hidden="false" customHeight="true" outlineLevel="0" collapsed="false">
      <c r="H192" s="113"/>
      <c r="I192" s="113"/>
      <c r="J192" s="113"/>
      <c r="L192" s="113"/>
      <c r="M192" s="113"/>
      <c r="N192" s="113"/>
      <c r="P192" s="113"/>
      <c r="Q192" s="113"/>
      <c r="R192" s="113"/>
      <c r="T192" s="113"/>
      <c r="U192" s="113"/>
      <c r="V192" s="113"/>
    </row>
    <row r="193" customFormat="false" ht="15" hidden="false" customHeight="true" outlineLevel="0" collapsed="false">
      <c r="H193" s="113"/>
      <c r="I193" s="113"/>
      <c r="J193" s="113"/>
      <c r="L193" s="113"/>
      <c r="M193" s="113"/>
      <c r="N193" s="113"/>
      <c r="P193" s="113"/>
      <c r="Q193" s="113"/>
      <c r="R193" s="113"/>
      <c r="T193" s="113"/>
      <c r="U193" s="113"/>
      <c r="V193" s="113"/>
    </row>
    <row r="194" customFormat="false" ht="15" hidden="false" customHeight="true" outlineLevel="0" collapsed="false">
      <c r="H194" s="113"/>
      <c r="I194" s="113"/>
      <c r="J194" s="113"/>
      <c r="L194" s="113"/>
      <c r="M194" s="113"/>
      <c r="N194" s="113"/>
      <c r="P194" s="113"/>
      <c r="Q194" s="113"/>
      <c r="R194" s="113"/>
      <c r="T194" s="113"/>
      <c r="U194" s="113"/>
      <c r="V194" s="113"/>
    </row>
    <row r="195" customFormat="false" ht="15" hidden="false" customHeight="true" outlineLevel="0" collapsed="false">
      <c r="H195" s="113"/>
      <c r="I195" s="113"/>
      <c r="J195" s="113"/>
      <c r="L195" s="113"/>
      <c r="M195" s="113"/>
      <c r="N195" s="113"/>
      <c r="P195" s="113"/>
      <c r="Q195" s="113"/>
      <c r="R195" s="113"/>
      <c r="T195" s="113"/>
      <c r="U195" s="113"/>
      <c r="V195" s="113"/>
    </row>
    <row r="196" customFormat="false" ht="15" hidden="false" customHeight="true" outlineLevel="0" collapsed="false">
      <c r="H196" s="113"/>
      <c r="I196" s="113"/>
      <c r="J196" s="113"/>
      <c r="L196" s="113"/>
      <c r="M196" s="113"/>
      <c r="N196" s="113"/>
      <c r="P196" s="113"/>
      <c r="Q196" s="113"/>
      <c r="R196" s="113"/>
      <c r="T196" s="113"/>
      <c r="U196" s="113"/>
      <c r="V196" s="113"/>
    </row>
    <row r="197" customFormat="false" ht="15" hidden="false" customHeight="true" outlineLevel="0" collapsed="false">
      <c r="H197" s="113"/>
      <c r="I197" s="113"/>
      <c r="J197" s="113"/>
      <c r="L197" s="113"/>
      <c r="M197" s="113"/>
      <c r="N197" s="113"/>
      <c r="P197" s="113"/>
      <c r="Q197" s="113"/>
      <c r="R197" s="113"/>
      <c r="T197" s="113"/>
      <c r="U197" s="113"/>
      <c r="V197" s="113"/>
    </row>
    <row r="198" customFormat="false" ht="15" hidden="false" customHeight="true" outlineLevel="0" collapsed="false">
      <c r="H198" s="113"/>
      <c r="I198" s="113"/>
      <c r="J198" s="113"/>
      <c r="L198" s="113"/>
      <c r="M198" s="113"/>
      <c r="N198" s="113"/>
      <c r="P198" s="113"/>
      <c r="Q198" s="113"/>
      <c r="R198" s="113"/>
      <c r="T198" s="113"/>
      <c r="U198" s="113"/>
      <c r="V198" s="113"/>
    </row>
    <row r="199" customFormat="false" ht="15" hidden="false" customHeight="true" outlineLevel="0" collapsed="false">
      <c r="H199" s="113"/>
      <c r="I199" s="113"/>
      <c r="J199" s="113"/>
      <c r="L199" s="113"/>
      <c r="M199" s="113"/>
      <c r="N199" s="113"/>
      <c r="P199" s="113"/>
      <c r="Q199" s="113"/>
      <c r="R199" s="113"/>
      <c r="T199" s="113"/>
      <c r="U199" s="113"/>
      <c r="V199" s="113"/>
    </row>
    <row r="200" customFormat="false" ht="15" hidden="false" customHeight="true" outlineLevel="0" collapsed="false">
      <c r="H200" s="113"/>
      <c r="I200" s="113"/>
      <c r="J200" s="113"/>
      <c r="L200" s="113"/>
      <c r="M200" s="113"/>
      <c r="N200" s="113"/>
      <c r="P200" s="113"/>
      <c r="Q200" s="113"/>
      <c r="R200" s="113"/>
      <c r="T200" s="113"/>
      <c r="U200" s="113"/>
      <c r="V200" s="113"/>
    </row>
    <row r="201" customFormat="false" ht="15" hidden="false" customHeight="true" outlineLevel="0" collapsed="false">
      <c r="H201" s="113"/>
      <c r="I201" s="113"/>
      <c r="J201" s="113"/>
      <c r="L201" s="113"/>
      <c r="M201" s="113"/>
      <c r="N201" s="113"/>
      <c r="P201" s="113"/>
      <c r="Q201" s="113"/>
      <c r="R201" s="113"/>
      <c r="T201" s="113"/>
      <c r="U201" s="113"/>
      <c r="V201" s="113"/>
    </row>
    <row r="202" customFormat="false" ht="15" hidden="false" customHeight="true" outlineLevel="0" collapsed="false">
      <c r="H202" s="113"/>
      <c r="I202" s="113"/>
      <c r="J202" s="113"/>
      <c r="L202" s="113"/>
      <c r="M202" s="113"/>
      <c r="N202" s="113"/>
      <c r="P202" s="113"/>
      <c r="Q202" s="113"/>
      <c r="R202" s="113"/>
      <c r="T202" s="113"/>
      <c r="U202" s="113"/>
      <c r="V202" s="113"/>
    </row>
    <row r="203" customFormat="false" ht="15" hidden="false" customHeight="true" outlineLevel="0" collapsed="false">
      <c r="H203" s="113"/>
      <c r="I203" s="113"/>
      <c r="J203" s="113"/>
      <c r="L203" s="113"/>
      <c r="M203" s="113"/>
      <c r="N203" s="113"/>
      <c r="P203" s="113"/>
      <c r="Q203" s="113"/>
      <c r="R203" s="113"/>
      <c r="T203" s="113"/>
      <c r="U203" s="113"/>
      <c r="V203" s="113"/>
    </row>
    <row r="204" customFormat="false" ht="15" hidden="false" customHeight="true" outlineLevel="0" collapsed="false">
      <c r="H204" s="113"/>
      <c r="I204" s="113"/>
      <c r="J204" s="113"/>
      <c r="L204" s="113"/>
      <c r="M204" s="113"/>
      <c r="N204" s="113"/>
      <c r="P204" s="113"/>
      <c r="Q204" s="113"/>
      <c r="R204" s="113"/>
      <c r="T204" s="113"/>
      <c r="U204" s="113"/>
      <c r="V204" s="113"/>
    </row>
    <row r="205" customFormat="false" ht="15" hidden="false" customHeight="true" outlineLevel="0" collapsed="false">
      <c r="H205" s="113"/>
      <c r="I205" s="113"/>
      <c r="J205" s="113"/>
      <c r="L205" s="113"/>
      <c r="M205" s="113"/>
      <c r="N205" s="113"/>
      <c r="P205" s="113"/>
      <c r="Q205" s="113"/>
      <c r="R205" s="113"/>
      <c r="T205" s="113"/>
      <c r="U205" s="113"/>
      <c r="V205" s="113"/>
    </row>
    <row r="206" customFormat="false" ht="15" hidden="false" customHeight="true" outlineLevel="0" collapsed="false">
      <c r="H206" s="113"/>
      <c r="I206" s="113"/>
      <c r="J206" s="113"/>
      <c r="L206" s="113"/>
      <c r="M206" s="113"/>
      <c r="N206" s="113"/>
      <c r="P206" s="113"/>
      <c r="Q206" s="113"/>
      <c r="R206" s="113"/>
      <c r="T206" s="113"/>
      <c r="U206" s="113"/>
      <c r="V206" s="113"/>
    </row>
    <row r="207" customFormat="false" ht="15" hidden="false" customHeight="true" outlineLevel="0" collapsed="false">
      <c r="H207" s="113"/>
      <c r="I207" s="113"/>
      <c r="J207" s="113"/>
      <c r="L207" s="113"/>
      <c r="M207" s="113"/>
      <c r="N207" s="113"/>
      <c r="P207" s="113"/>
      <c r="Q207" s="113"/>
      <c r="R207" s="113"/>
      <c r="T207" s="113"/>
      <c r="U207" s="113"/>
      <c r="V207" s="113"/>
    </row>
    <row r="208" customFormat="false" ht="15" hidden="false" customHeight="true" outlineLevel="0" collapsed="false">
      <c r="H208" s="113"/>
      <c r="I208" s="113"/>
      <c r="J208" s="113"/>
      <c r="L208" s="113"/>
      <c r="M208" s="113"/>
      <c r="N208" s="113"/>
      <c r="P208" s="113"/>
      <c r="Q208" s="113"/>
      <c r="R208" s="113"/>
      <c r="T208" s="113"/>
      <c r="U208" s="113"/>
      <c r="V208" s="113"/>
    </row>
    <row r="209" customFormat="false" ht="15" hidden="false" customHeight="true" outlineLevel="0" collapsed="false">
      <c r="H209" s="113"/>
      <c r="I209" s="113"/>
      <c r="J209" s="113"/>
      <c r="L209" s="113"/>
      <c r="M209" s="113"/>
      <c r="N209" s="113"/>
      <c r="P209" s="113"/>
      <c r="Q209" s="113"/>
      <c r="R209" s="113"/>
      <c r="T209" s="113"/>
      <c r="U209" s="113"/>
      <c r="V209" s="113"/>
    </row>
    <row r="210" customFormat="false" ht="15" hidden="false" customHeight="true" outlineLevel="0" collapsed="false">
      <c r="H210" s="113"/>
      <c r="I210" s="113"/>
      <c r="J210" s="113"/>
      <c r="L210" s="113"/>
      <c r="M210" s="113"/>
      <c r="N210" s="113"/>
      <c r="P210" s="113"/>
      <c r="Q210" s="113"/>
      <c r="R210" s="113"/>
      <c r="T210" s="113"/>
      <c r="U210" s="113"/>
      <c r="V210" s="113"/>
    </row>
    <row r="211" customFormat="false" ht="15" hidden="false" customHeight="true" outlineLevel="0" collapsed="false">
      <c r="H211" s="113"/>
      <c r="I211" s="113"/>
      <c r="J211" s="113"/>
      <c r="L211" s="113"/>
      <c r="M211" s="113"/>
      <c r="N211" s="113"/>
      <c r="P211" s="113"/>
      <c r="Q211" s="113"/>
      <c r="R211" s="113"/>
      <c r="T211" s="113"/>
      <c r="U211" s="113"/>
      <c r="V211" s="113"/>
    </row>
    <row r="212" customFormat="false" ht="15" hidden="false" customHeight="true" outlineLevel="0" collapsed="false">
      <c r="H212" s="113"/>
      <c r="I212" s="113"/>
      <c r="J212" s="113"/>
      <c r="L212" s="113"/>
      <c r="M212" s="113"/>
      <c r="N212" s="113"/>
      <c r="P212" s="113"/>
      <c r="Q212" s="113"/>
      <c r="R212" s="113"/>
      <c r="T212" s="113"/>
      <c r="U212" s="113"/>
      <c r="V212" s="113"/>
    </row>
    <row r="213" customFormat="false" ht="15" hidden="false" customHeight="true" outlineLevel="0" collapsed="false">
      <c r="H213" s="113"/>
      <c r="I213" s="113"/>
      <c r="J213" s="113"/>
      <c r="L213" s="113"/>
      <c r="M213" s="113"/>
      <c r="N213" s="113"/>
      <c r="P213" s="113"/>
      <c r="Q213" s="113"/>
      <c r="R213" s="113"/>
      <c r="T213" s="113"/>
      <c r="U213" s="113"/>
      <c r="V213" s="113"/>
    </row>
    <row r="214" customFormat="false" ht="15" hidden="false" customHeight="true" outlineLevel="0" collapsed="false">
      <c r="H214" s="113"/>
      <c r="I214" s="113"/>
      <c r="J214" s="113"/>
      <c r="L214" s="113"/>
      <c r="M214" s="113"/>
      <c r="N214" s="113"/>
      <c r="P214" s="113"/>
      <c r="Q214" s="113"/>
      <c r="R214" s="113"/>
      <c r="T214" s="113"/>
      <c r="U214" s="113"/>
      <c r="V214" s="113"/>
    </row>
    <row r="215" customFormat="false" ht="15" hidden="false" customHeight="true" outlineLevel="0" collapsed="false">
      <c r="H215" s="113"/>
      <c r="I215" s="113"/>
      <c r="J215" s="113"/>
      <c r="L215" s="113"/>
      <c r="M215" s="113"/>
      <c r="N215" s="113"/>
      <c r="P215" s="113"/>
      <c r="Q215" s="113"/>
      <c r="R215" s="113"/>
      <c r="T215" s="113"/>
      <c r="U215" s="113"/>
      <c r="V215" s="113"/>
    </row>
    <row r="216" customFormat="false" ht="15" hidden="false" customHeight="true" outlineLevel="0" collapsed="false">
      <c r="H216" s="113"/>
      <c r="I216" s="113"/>
      <c r="J216" s="113"/>
      <c r="L216" s="113"/>
      <c r="M216" s="113"/>
      <c r="N216" s="113"/>
      <c r="P216" s="113"/>
      <c r="Q216" s="113"/>
      <c r="R216" s="113"/>
      <c r="T216" s="113"/>
      <c r="U216" s="113"/>
      <c r="V216" s="113"/>
    </row>
    <row r="217" customFormat="false" ht="15" hidden="false" customHeight="true" outlineLevel="0" collapsed="false">
      <c r="H217" s="113"/>
      <c r="I217" s="113"/>
      <c r="J217" s="113"/>
      <c r="L217" s="113"/>
      <c r="M217" s="113"/>
      <c r="N217" s="113"/>
      <c r="P217" s="113"/>
      <c r="Q217" s="113"/>
      <c r="R217" s="113"/>
      <c r="T217" s="113"/>
      <c r="U217" s="113"/>
      <c r="V217" s="113"/>
    </row>
    <row r="218" customFormat="false" ht="15" hidden="false" customHeight="true" outlineLevel="0" collapsed="false">
      <c r="H218" s="113"/>
      <c r="I218" s="113"/>
      <c r="J218" s="113"/>
      <c r="L218" s="113"/>
      <c r="M218" s="113"/>
      <c r="N218" s="113"/>
      <c r="P218" s="113"/>
      <c r="Q218" s="113"/>
      <c r="R218" s="113"/>
      <c r="T218" s="113"/>
      <c r="U218" s="113"/>
      <c r="V218" s="113"/>
    </row>
    <row r="219" customFormat="false" ht="15" hidden="false" customHeight="true" outlineLevel="0" collapsed="false">
      <c r="H219" s="113"/>
      <c r="I219" s="113"/>
      <c r="J219" s="113"/>
      <c r="L219" s="113"/>
      <c r="M219" s="113"/>
      <c r="N219" s="113"/>
      <c r="P219" s="113"/>
      <c r="Q219" s="113"/>
      <c r="R219" s="113"/>
      <c r="T219" s="113"/>
      <c r="U219" s="113"/>
      <c r="V219" s="113"/>
    </row>
    <row r="220" customFormat="false" ht="15" hidden="false" customHeight="true" outlineLevel="0" collapsed="false">
      <c r="H220" s="113"/>
      <c r="I220" s="113"/>
      <c r="J220" s="113"/>
      <c r="L220" s="113"/>
      <c r="M220" s="113"/>
      <c r="N220" s="113"/>
      <c r="P220" s="113"/>
      <c r="Q220" s="113"/>
      <c r="R220" s="113"/>
      <c r="T220" s="113"/>
      <c r="U220" s="113"/>
      <c r="V220" s="113"/>
    </row>
    <row r="221" customFormat="false" ht="15" hidden="false" customHeight="true" outlineLevel="0" collapsed="false">
      <c r="H221" s="113"/>
      <c r="I221" s="113"/>
      <c r="J221" s="113"/>
      <c r="L221" s="113"/>
      <c r="M221" s="113"/>
      <c r="N221" s="113"/>
      <c r="P221" s="113"/>
      <c r="Q221" s="113"/>
      <c r="R221" s="113"/>
      <c r="T221" s="113"/>
      <c r="U221" s="113"/>
      <c r="V221" s="113"/>
    </row>
    <row r="222" customFormat="false" ht="15" hidden="false" customHeight="true" outlineLevel="0" collapsed="false">
      <c r="H222" s="113"/>
      <c r="I222" s="113"/>
      <c r="J222" s="113"/>
      <c r="L222" s="113"/>
      <c r="M222" s="113"/>
      <c r="N222" s="113"/>
      <c r="P222" s="113"/>
      <c r="Q222" s="113"/>
      <c r="R222" s="113"/>
      <c r="T222" s="113"/>
      <c r="U222" s="113"/>
      <c r="V222" s="113"/>
    </row>
    <row r="223" customFormat="false" ht="15" hidden="false" customHeight="true" outlineLevel="0" collapsed="false">
      <c r="H223" s="113"/>
      <c r="I223" s="113"/>
      <c r="J223" s="113"/>
      <c r="L223" s="113"/>
      <c r="M223" s="113"/>
      <c r="N223" s="113"/>
      <c r="P223" s="113"/>
      <c r="Q223" s="113"/>
      <c r="R223" s="113"/>
      <c r="T223" s="113"/>
      <c r="U223" s="113"/>
      <c r="V223" s="113"/>
    </row>
    <row r="224" customFormat="false" ht="15" hidden="false" customHeight="true" outlineLevel="0" collapsed="false">
      <c r="H224" s="113"/>
      <c r="I224" s="113"/>
      <c r="J224" s="113"/>
      <c r="L224" s="113"/>
      <c r="M224" s="113"/>
      <c r="N224" s="113"/>
      <c r="P224" s="113"/>
      <c r="Q224" s="113"/>
      <c r="R224" s="113"/>
      <c r="T224" s="113"/>
      <c r="U224" s="113"/>
      <c r="V224" s="113"/>
    </row>
    <row r="225" customFormat="false" ht="15" hidden="false" customHeight="true" outlineLevel="0" collapsed="false">
      <c r="H225" s="113"/>
      <c r="I225" s="113"/>
      <c r="J225" s="113"/>
      <c r="L225" s="113"/>
      <c r="M225" s="113"/>
      <c r="N225" s="113"/>
      <c r="P225" s="113"/>
      <c r="Q225" s="113"/>
      <c r="R225" s="113"/>
      <c r="T225" s="113"/>
      <c r="U225" s="113"/>
      <c r="V225" s="113"/>
    </row>
    <row r="226" customFormat="false" ht="15" hidden="false" customHeight="true" outlineLevel="0" collapsed="false">
      <c r="H226" s="113"/>
      <c r="I226" s="113"/>
      <c r="J226" s="113"/>
      <c r="L226" s="113"/>
      <c r="M226" s="113"/>
      <c r="N226" s="113"/>
      <c r="P226" s="113"/>
      <c r="Q226" s="113"/>
      <c r="R226" s="113"/>
      <c r="T226" s="113"/>
      <c r="U226" s="113"/>
      <c r="V226" s="113"/>
    </row>
    <row r="227" customFormat="false" ht="15" hidden="false" customHeight="true" outlineLevel="0" collapsed="false">
      <c r="H227" s="113"/>
      <c r="I227" s="113"/>
      <c r="J227" s="113"/>
      <c r="L227" s="113"/>
      <c r="M227" s="113"/>
      <c r="N227" s="113"/>
      <c r="P227" s="113"/>
      <c r="Q227" s="113"/>
      <c r="R227" s="113"/>
      <c r="T227" s="113"/>
      <c r="U227" s="113"/>
      <c r="V227" s="113"/>
    </row>
    <row r="228" customFormat="false" ht="15" hidden="false" customHeight="true" outlineLevel="0" collapsed="false">
      <c r="H228" s="113"/>
      <c r="I228" s="113"/>
      <c r="J228" s="113"/>
      <c r="L228" s="113"/>
      <c r="M228" s="113"/>
      <c r="N228" s="113"/>
      <c r="P228" s="113"/>
      <c r="Q228" s="113"/>
      <c r="R228" s="113"/>
      <c r="T228" s="113"/>
      <c r="U228" s="113"/>
      <c r="V228" s="113"/>
    </row>
    <row r="229" customFormat="false" ht="15" hidden="false" customHeight="true" outlineLevel="0" collapsed="false">
      <c r="H229" s="113"/>
      <c r="I229" s="113"/>
      <c r="J229" s="113"/>
      <c r="L229" s="113"/>
      <c r="M229" s="113"/>
      <c r="N229" s="113"/>
      <c r="P229" s="113"/>
      <c r="Q229" s="113"/>
      <c r="R229" s="113"/>
      <c r="T229" s="113"/>
      <c r="U229" s="113"/>
      <c r="V229" s="113"/>
    </row>
    <row r="230" customFormat="false" ht="15" hidden="false" customHeight="true" outlineLevel="0" collapsed="false">
      <c r="H230" s="113"/>
      <c r="I230" s="113"/>
      <c r="J230" s="113"/>
      <c r="L230" s="113"/>
      <c r="M230" s="113"/>
      <c r="N230" s="113"/>
      <c r="P230" s="113"/>
      <c r="Q230" s="113"/>
      <c r="R230" s="113"/>
      <c r="T230" s="113"/>
      <c r="U230" s="113"/>
      <c r="V230" s="113"/>
    </row>
    <row r="231" customFormat="false" ht="15" hidden="false" customHeight="true" outlineLevel="0" collapsed="false">
      <c r="H231" s="113"/>
      <c r="I231" s="113"/>
      <c r="J231" s="113"/>
      <c r="L231" s="113"/>
      <c r="M231" s="113"/>
      <c r="N231" s="113"/>
      <c r="P231" s="113"/>
      <c r="Q231" s="113"/>
      <c r="R231" s="113"/>
      <c r="T231" s="113"/>
      <c r="U231" s="113"/>
      <c r="V231" s="113"/>
    </row>
    <row r="232" customFormat="false" ht="15" hidden="false" customHeight="true" outlineLevel="0" collapsed="false">
      <c r="H232" s="113"/>
      <c r="I232" s="113"/>
      <c r="J232" s="113"/>
      <c r="L232" s="113"/>
      <c r="M232" s="113"/>
      <c r="N232" s="113"/>
      <c r="P232" s="113"/>
      <c r="Q232" s="113"/>
      <c r="R232" s="113"/>
      <c r="T232" s="113"/>
      <c r="U232" s="113"/>
      <c r="V232" s="113"/>
    </row>
    <row r="233" customFormat="false" ht="15" hidden="false" customHeight="true" outlineLevel="0" collapsed="false">
      <c r="H233" s="113"/>
      <c r="I233" s="113"/>
      <c r="J233" s="113"/>
      <c r="L233" s="113"/>
      <c r="M233" s="113"/>
      <c r="N233" s="113"/>
      <c r="P233" s="113"/>
      <c r="Q233" s="113"/>
      <c r="R233" s="113"/>
      <c r="T233" s="113"/>
      <c r="U233" s="113"/>
      <c r="V233" s="113"/>
    </row>
    <row r="234" customFormat="false" ht="15" hidden="false" customHeight="true" outlineLevel="0" collapsed="false">
      <c r="H234" s="113"/>
      <c r="I234" s="113"/>
      <c r="J234" s="113"/>
      <c r="L234" s="113"/>
      <c r="M234" s="113"/>
      <c r="N234" s="113"/>
      <c r="P234" s="113"/>
      <c r="Q234" s="113"/>
      <c r="R234" s="113"/>
      <c r="T234" s="113"/>
      <c r="U234" s="113"/>
      <c r="V234" s="113"/>
    </row>
    <row r="235" customFormat="false" ht="15" hidden="false" customHeight="true" outlineLevel="0" collapsed="false">
      <c r="H235" s="113"/>
      <c r="I235" s="113"/>
      <c r="J235" s="113"/>
      <c r="L235" s="113"/>
      <c r="M235" s="113"/>
      <c r="N235" s="113"/>
      <c r="P235" s="113"/>
      <c r="Q235" s="113"/>
      <c r="R235" s="113"/>
      <c r="T235" s="113"/>
      <c r="U235" s="113"/>
      <c r="V235" s="113"/>
    </row>
    <row r="236" customFormat="false" ht="15" hidden="false" customHeight="true" outlineLevel="0" collapsed="false">
      <c r="H236" s="113"/>
      <c r="I236" s="113"/>
      <c r="J236" s="113"/>
      <c r="L236" s="113"/>
      <c r="M236" s="113"/>
      <c r="N236" s="113"/>
      <c r="P236" s="113"/>
      <c r="Q236" s="113"/>
      <c r="R236" s="113"/>
      <c r="T236" s="113"/>
      <c r="U236" s="113"/>
      <c r="V236" s="113"/>
    </row>
    <row r="237" customFormat="false" ht="15" hidden="false" customHeight="true" outlineLevel="0" collapsed="false">
      <c r="H237" s="113"/>
      <c r="I237" s="113"/>
      <c r="J237" s="113"/>
      <c r="L237" s="113"/>
      <c r="M237" s="113"/>
      <c r="N237" s="113"/>
      <c r="P237" s="113"/>
      <c r="Q237" s="113"/>
      <c r="R237" s="113"/>
      <c r="T237" s="113"/>
      <c r="U237" s="113"/>
      <c r="V237" s="113"/>
    </row>
    <row r="238" customFormat="false" ht="15" hidden="false" customHeight="true" outlineLevel="0" collapsed="false">
      <c r="H238" s="113"/>
      <c r="I238" s="113"/>
      <c r="J238" s="113"/>
      <c r="L238" s="113"/>
      <c r="M238" s="113"/>
      <c r="N238" s="113"/>
      <c r="P238" s="113"/>
      <c r="Q238" s="113"/>
      <c r="R238" s="113"/>
      <c r="T238" s="113"/>
      <c r="U238" s="113"/>
      <c r="V238" s="113"/>
    </row>
    <row r="239" customFormat="false" ht="15" hidden="false" customHeight="true" outlineLevel="0" collapsed="false">
      <c r="H239" s="113"/>
      <c r="I239" s="113"/>
      <c r="J239" s="113"/>
      <c r="L239" s="113"/>
      <c r="M239" s="113"/>
      <c r="N239" s="113"/>
      <c r="P239" s="113"/>
      <c r="Q239" s="113"/>
      <c r="R239" s="113"/>
      <c r="T239" s="113"/>
      <c r="U239" s="113"/>
      <c r="V239" s="113"/>
    </row>
    <row r="240" customFormat="false" ht="15" hidden="false" customHeight="true" outlineLevel="0" collapsed="false">
      <c r="H240" s="113"/>
      <c r="I240" s="113"/>
      <c r="J240" s="113"/>
      <c r="L240" s="113"/>
      <c r="M240" s="113"/>
      <c r="N240" s="113"/>
      <c r="P240" s="113"/>
      <c r="Q240" s="113"/>
      <c r="R240" s="113"/>
      <c r="T240" s="113"/>
      <c r="U240" s="113"/>
      <c r="V240" s="113"/>
    </row>
    <row r="241" customFormat="false" ht="15" hidden="false" customHeight="true" outlineLevel="0" collapsed="false">
      <c r="H241" s="113"/>
      <c r="I241" s="113"/>
      <c r="J241" s="113"/>
      <c r="L241" s="113"/>
      <c r="M241" s="113"/>
      <c r="N241" s="113"/>
      <c r="P241" s="113"/>
      <c r="Q241" s="113"/>
      <c r="R241" s="113"/>
      <c r="T241" s="113"/>
      <c r="U241" s="113"/>
      <c r="V241" s="113"/>
    </row>
    <row r="242" customFormat="false" ht="15" hidden="false" customHeight="true" outlineLevel="0" collapsed="false">
      <c r="H242" s="113"/>
      <c r="I242" s="113"/>
      <c r="J242" s="113"/>
      <c r="L242" s="113"/>
      <c r="M242" s="113"/>
      <c r="N242" s="113"/>
      <c r="P242" s="113"/>
      <c r="Q242" s="113"/>
      <c r="R242" s="113"/>
      <c r="T242" s="113"/>
      <c r="U242" s="113"/>
      <c r="V242" s="113"/>
    </row>
    <row r="243" customFormat="false" ht="15" hidden="false" customHeight="true" outlineLevel="0" collapsed="false">
      <c r="H243" s="113"/>
      <c r="I243" s="113"/>
      <c r="J243" s="113"/>
      <c r="L243" s="113"/>
      <c r="M243" s="113"/>
      <c r="N243" s="113"/>
      <c r="P243" s="113"/>
      <c r="Q243" s="113"/>
      <c r="R243" s="113"/>
      <c r="T243" s="113"/>
      <c r="U243" s="113"/>
      <c r="V243" s="113"/>
    </row>
    <row r="244" customFormat="false" ht="15" hidden="false" customHeight="true" outlineLevel="0" collapsed="false">
      <c r="H244" s="113"/>
      <c r="I244" s="113"/>
      <c r="J244" s="113"/>
      <c r="L244" s="113"/>
      <c r="M244" s="113"/>
      <c r="N244" s="113"/>
      <c r="P244" s="113"/>
      <c r="Q244" s="113"/>
      <c r="R244" s="113"/>
      <c r="T244" s="113"/>
      <c r="U244" s="113"/>
      <c r="V244" s="113"/>
    </row>
    <row r="245" customFormat="false" ht="15" hidden="false" customHeight="true" outlineLevel="0" collapsed="false">
      <c r="H245" s="113"/>
      <c r="I245" s="113"/>
      <c r="J245" s="113"/>
      <c r="L245" s="113"/>
      <c r="M245" s="113"/>
      <c r="N245" s="113"/>
      <c r="P245" s="113"/>
      <c r="Q245" s="113"/>
      <c r="R245" s="113"/>
      <c r="T245" s="113"/>
      <c r="U245" s="113"/>
      <c r="V245" s="113"/>
    </row>
    <row r="246" customFormat="false" ht="15" hidden="false" customHeight="true" outlineLevel="0" collapsed="false">
      <c r="H246" s="113"/>
      <c r="I246" s="113"/>
      <c r="J246" s="113"/>
      <c r="L246" s="113"/>
      <c r="M246" s="113"/>
      <c r="N246" s="113"/>
      <c r="P246" s="113"/>
      <c r="Q246" s="113"/>
      <c r="R246" s="113"/>
      <c r="T246" s="113"/>
      <c r="U246" s="113"/>
      <c r="V246" s="113"/>
    </row>
    <row r="247" customFormat="false" ht="15" hidden="false" customHeight="true" outlineLevel="0" collapsed="false">
      <c r="H247" s="113"/>
      <c r="I247" s="113"/>
      <c r="J247" s="113"/>
      <c r="L247" s="113"/>
      <c r="M247" s="113"/>
      <c r="N247" s="113"/>
      <c r="P247" s="113"/>
      <c r="Q247" s="113"/>
      <c r="R247" s="113"/>
      <c r="T247" s="113"/>
      <c r="U247" s="113"/>
      <c r="V247" s="113"/>
    </row>
    <row r="248" customFormat="false" ht="15" hidden="false" customHeight="true" outlineLevel="0" collapsed="false">
      <c r="H248" s="113"/>
      <c r="I248" s="113"/>
      <c r="J248" s="113"/>
      <c r="L248" s="113"/>
      <c r="M248" s="113"/>
      <c r="N248" s="113"/>
      <c r="P248" s="113"/>
      <c r="Q248" s="113"/>
      <c r="R248" s="113"/>
      <c r="T248" s="113"/>
      <c r="U248" s="113"/>
      <c r="V248" s="113"/>
    </row>
    <row r="249" customFormat="false" ht="15" hidden="false" customHeight="true" outlineLevel="0" collapsed="false">
      <c r="H249" s="113"/>
      <c r="I249" s="113"/>
      <c r="J249" s="113"/>
      <c r="L249" s="113"/>
      <c r="M249" s="113"/>
      <c r="N249" s="113"/>
      <c r="P249" s="113"/>
      <c r="Q249" s="113"/>
      <c r="R249" s="113"/>
      <c r="T249" s="113"/>
      <c r="U249" s="113"/>
      <c r="V249" s="113"/>
    </row>
    <row r="250" customFormat="false" ht="15" hidden="false" customHeight="true" outlineLevel="0" collapsed="false">
      <c r="H250" s="113"/>
      <c r="I250" s="113"/>
      <c r="J250" s="113"/>
      <c r="L250" s="113"/>
      <c r="M250" s="113"/>
      <c r="N250" s="113"/>
      <c r="P250" s="113"/>
      <c r="Q250" s="113"/>
      <c r="R250" s="113"/>
      <c r="T250" s="113"/>
      <c r="U250" s="113"/>
      <c r="V250" s="113"/>
    </row>
    <row r="251" customFormat="false" ht="15" hidden="false" customHeight="true" outlineLevel="0" collapsed="false">
      <c r="H251" s="113"/>
      <c r="I251" s="113"/>
      <c r="J251" s="113"/>
      <c r="L251" s="113"/>
      <c r="M251" s="113"/>
      <c r="N251" s="113"/>
      <c r="P251" s="113"/>
      <c r="Q251" s="113"/>
      <c r="R251" s="113"/>
      <c r="T251" s="113"/>
      <c r="U251" s="113"/>
      <c r="V251" s="113"/>
    </row>
    <row r="252" customFormat="false" ht="15" hidden="false" customHeight="true" outlineLevel="0" collapsed="false">
      <c r="H252" s="113"/>
      <c r="I252" s="113"/>
      <c r="J252" s="113"/>
      <c r="L252" s="113"/>
      <c r="M252" s="113"/>
      <c r="N252" s="113"/>
      <c r="P252" s="113"/>
      <c r="Q252" s="113"/>
      <c r="R252" s="113"/>
      <c r="T252" s="113"/>
      <c r="U252" s="113"/>
      <c r="V252" s="113"/>
    </row>
    <row r="253" customFormat="false" ht="15" hidden="false" customHeight="true" outlineLevel="0" collapsed="false">
      <c r="H253" s="113"/>
      <c r="I253" s="113"/>
      <c r="J253" s="113"/>
      <c r="L253" s="113"/>
      <c r="M253" s="113"/>
      <c r="N253" s="113"/>
      <c r="P253" s="113"/>
      <c r="Q253" s="113"/>
      <c r="R253" s="113"/>
      <c r="T253" s="113"/>
      <c r="U253" s="113"/>
      <c r="V253" s="113"/>
    </row>
    <row r="254" customFormat="false" ht="15" hidden="false" customHeight="true" outlineLevel="0" collapsed="false">
      <c r="H254" s="113"/>
      <c r="I254" s="113"/>
      <c r="J254" s="113"/>
      <c r="L254" s="113"/>
      <c r="M254" s="113"/>
      <c r="N254" s="113"/>
      <c r="P254" s="113"/>
      <c r="Q254" s="113"/>
      <c r="R254" s="113"/>
      <c r="T254" s="113"/>
      <c r="U254" s="113"/>
      <c r="V254" s="113"/>
    </row>
    <row r="255" customFormat="false" ht="15" hidden="false" customHeight="true" outlineLevel="0" collapsed="false">
      <c r="H255" s="113"/>
      <c r="I255" s="113"/>
      <c r="J255" s="113"/>
      <c r="L255" s="113"/>
      <c r="M255" s="113"/>
      <c r="N255" s="113"/>
      <c r="P255" s="113"/>
      <c r="Q255" s="113"/>
      <c r="R255" s="113"/>
      <c r="T255" s="113"/>
      <c r="U255" s="113"/>
      <c r="V255" s="113"/>
    </row>
    <row r="256" customFormat="false" ht="15" hidden="false" customHeight="true" outlineLevel="0" collapsed="false">
      <c r="H256" s="113"/>
      <c r="I256" s="113"/>
      <c r="J256" s="113"/>
      <c r="L256" s="113"/>
      <c r="M256" s="113"/>
      <c r="N256" s="113"/>
      <c r="P256" s="113"/>
      <c r="Q256" s="113"/>
      <c r="R256" s="113"/>
      <c r="T256" s="113"/>
      <c r="U256" s="113"/>
      <c r="V256" s="113"/>
    </row>
    <row r="257" customFormat="false" ht="15" hidden="false" customHeight="true" outlineLevel="0" collapsed="false">
      <c r="H257" s="113"/>
      <c r="I257" s="113"/>
      <c r="J257" s="113"/>
      <c r="L257" s="113"/>
      <c r="M257" s="113"/>
      <c r="N257" s="113"/>
      <c r="P257" s="113"/>
      <c r="Q257" s="113"/>
      <c r="R257" s="113"/>
      <c r="T257" s="113"/>
      <c r="U257" s="113"/>
      <c r="V257" s="113"/>
    </row>
    <row r="258" customFormat="false" ht="15" hidden="false" customHeight="true" outlineLevel="0" collapsed="false">
      <c r="H258" s="113"/>
      <c r="I258" s="113"/>
      <c r="J258" s="113"/>
      <c r="L258" s="113"/>
      <c r="M258" s="113"/>
      <c r="N258" s="113"/>
      <c r="P258" s="113"/>
      <c r="Q258" s="113"/>
      <c r="R258" s="113"/>
      <c r="T258" s="113"/>
      <c r="U258" s="113"/>
      <c r="V258" s="113"/>
    </row>
    <row r="259" customFormat="false" ht="15" hidden="false" customHeight="true" outlineLevel="0" collapsed="false">
      <c r="H259" s="113"/>
      <c r="I259" s="113"/>
      <c r="J259" s="113"/>
      <c r="L259" s="113"/>
      <c r="M259" s="113"/>
      <c r="N259" s="113"/>
      <c r="P259" s="113"/>
      <c r="Q259" s="113"/>
      <c r="R259" s="113"/>
      <c r="T259" s="113"/>
      <c r="U259" s="113"/>
      <c r="V259" s="113"/>
    </row>
    <row r="260" customFormat="false" ht="15" hidden="false" customHeight="true" outlineLevel="0" collapsed="false">
      <c r="H260" s="113"/>
      <c r="I260" s="113"/>
      <c r="J260" s="113"/>
      <c r="L260" s="113"/>
      <c r="M260" s="113"/>
      <c r="N260" s="113"/>
      <c r="P260" s="113"/>
      <c r="Q260" s="113"/>
      <c r="R260" s="113"/>
      <c r="T260" s="113"/>
      <c r="U260" s="113"/>
      <c r="V260" s="113"/>
    </row>
    <row r="261" customFormat="false" ht="15" hidden="false" customHeight="true" outlineLevel="0" collapsed="false">
      <c r="H261" s="113"/>
      <c r="I261" s="113"/>
      <c r="J261" s="113"/>
      <c r="L261" s="113"/>
      <c r="M261" s="113"/>
      <c r="N261" s="113"/>
      <c r="P261" s="113"/>
      <c r="Q261" s="113"/>
      <c r="R261" s="113"/>
      <c r="T261" s="113"/>
      <c r="U261" s="113"/>
      <c r="V261" s="113"/>
    </row>
    <row r="262" customFormat="false" ht="15" hidden="false" customHeight="true" outlineLevel="0" collapsed="false">
      <c r="H262" s="113"/>
      <c r="I262" s="113"/>
      <c r="J262" s="113"/>
      <c r="L262" s="113"/>
      <c r="M262" s="113"/>
      <c r="N262" s="113"/>
      <c r="P262" s="113"/>
      <c r="Q262" s="113"/>
      <c r="R262" s="113"/>
      <c r="T262" s="113"/>
      <c r="U262" s="113"/>
      <c r="V262" s="113"/>
    </row>
    <row r="263" customFormat="false" ht="15" hidden="false" customHeight="true" outlineLevel="0" collapsed="false">
      <c r="H263" s="113"/>
      <c r="I263" s="113"/>
      <c r="J263" s="113"/>
      <c r="L263" s="113"/>
      <c r="M263" s="113"/>
      <c r="N263" s="113"/>
      <c r="P263" s="113"/>
      <c r="Q263" s="113"/>
      <c r="R263" s="113"/>
      <c r="T263" s="113"/>
      <c r="U263" s="113"/>
      <c r="V263" s="113"/>
    </row>
    <row r="264" customFormat="false" ht="15" hidden="false" customHeight="true" outlineLevel="0" collapsed="false">
      <c r="H264" s="113"/>
      <c r="I264" s="113"/>
      <c r="J264" s="113"/>
      <c r="L264" s="113"/>
      <c r="M264" s="113"/>
      <c r="N264" s="113"/>
      <c r="P264" s="113"/>
      <c r="Q264" s="113"/>
      <c r="R264" s="113"/>
      <c r="T264" s="113"/>
      <c r="U264" s="113"/>
      <c r="V264" s="113"/>
    </row>
    <row r="265" customFormat="false" ht="15" hidden="false" customHeight="true" outlineLevel="0" collapsed="false">
      <c r="H265" s="113"/>
      <c r="I265" s="113"/>
      <c r="J265" s="113"/>
      <c r="L265" s="113"/>
      <c r="M265" s="113"/>
      <c r="N265" s="113"/>
      <c r="P265" s="113"/>
      <c r="Q265" s="113"/>
      <c r="R265" s="113"/>
      <c r="T265" s="113"/>
      <c r="U265" s="113"/>
      <c r="V265" s="113"/>
    </row>
    <row r="266" customFormat="false" ht="15" hidden="false" customHeight="true" outlineLevel="0" collapsed="false">
      <c r="H266" s="113"/>
      <c r="I266" s="113"/>
      <c r="J266" s="113"/>
      <c r="L266" s="113"/>
      <c r="M266" s="113"/>
      <c r="N266" s="113"/>
      <c r="P266" s="113"/>
      <c r="Q266" s="113"/>
      <c r="R266" s="113"/>
      <c r="T266" s="113"/>
      <c r="U266" s="113"/>
      <c r="V266" s="113"/>
    </row>
    <row r="267" customFormat="false" ht="15" hidden="false" customHeight="true" outlineLevel="0" collapsed="false">
      <c r="H267" s="113"/>
      <c r="I267" s="113"/>
      <c r="J267" s="113"/>
      <c r="L267" s="113"/>
      <c r="M267" s="113"/>
      <c r="N267" s="113"/>
      <c r="P267" s="113"/>
      <c r="Q267" s="113"/>
      <c r="R267" s="113"/>
      <c r="T267" s="113"/>
      <c r="U267" s="113"/>
      <c r="V267" s="113"/>
    </row>
    <row r="268" customFormat="false" ht="15" hidden="false" customHeight="true" outlineLevel="0" collapsed="false">
      <c r="H268" s="113"/>
      <c r="I268" s="113"/>
      <c r="J268" s="113"/>
      <c r="L268" s="113"/>
      <c r="M268" s="113"/>
      <c r="N268" s="113"/>
      <c r="P268" s="113"/>
      <c r="Q268" s="113"/>
      <c r="R268" s="113"/>
      <c r="T268" s="113"/>
      <c r="U268" s="113"/>
      <c r="V268" s="113"/>
    </row>
    <row r="269" customFormat="false" ht="15" hidden="false" customHeight="true" outlineLevel="0" collapsed="false">
      <c r="H269" s="113"/>
      <c r="I269" s="113"/>
      <c r="J269" s="113"/>
      <c r="L269" s="113"/>
      <c r="M269" s="113"/>
      <c r="N269" s="113"/>
      <c r="P269" s="113"/>
      <c r="Q269" s="113"/>
      <c r="R269" s="113"/>
      <c r="T269" s="113"/>
      <c r="U269" s="113"/>
      <c r="V269" s="113"/>
    </row>
    <row r="270" customFormat="false" ht="15" hidden="false" customHeight="true" outlineLevel="0" collapsed="false">
      <c r="H270" s="113"/>
      <c r="I270" s="113"/>
      <c r="J270" s="113"/>
      <c r="L270" s="113"/>
      <c r="M270" s="113"/>
      <c r="N270" s="113"/>
      <c r="P270" s="113"/>
      <c r="Q270" s="113"/>
      <c r="R270" s="113"/>
      <c r="T270" s="113"/>
      <c r="U270" s="113"/>
      <c r="V270" s="113"/>
    </row>
    <row r="271" customFormat="false" ht="15" hidden="false" customHeight="true" outlineLevel="0" collapsed="false">
      <c r="H271" s="113"/>
      <c r="I271" s="113"/>
      <c r="J271" s="113"/>
      <c r="L271" s="113"/>
      <c r="M271" s="113"/>
      <c r="N271" s="113"/>
      <c r="P271" s="113"/>
      <c r="Q271" s="113"/>
      <c r="R271" s="113"/>
      <c r="T271" s="113"/>
      <c r="U271" s="113"/>
      <c r="V271" s="113"/>
    </row>
    <row r="272" customFormat="false" ht="15" hidden="false" customHeight="true" outlineLevel="0" collapsed="false">
      <c r="H272" s="113"/>
      <c r="I272" s="113"/>
      <c r="J272" s="113"/>
      <c r="L272" s="113"/>
      <c r="M272" s="113"/>
      <c r="N272" s="113"/>
      <c r="P272" s="113"/>
      <c r="Q272" s="113"/>
      <c r="R272" s="113"/>
      <c r="T272" s="113"/>
      <c r="U272" s="113"/>
      <c r="V272" s="113"/>
    </row>
    <row r="273" customFormat="false" ht="15" hidden="false" customHeight="true" outlineLevel="0" collapsed="false">
      <c r="H273" s="113"/>
      <c r="I273" s="113"/>
      <c r="J273" s="113"/>
      <c r="L273" s="113"/>
      <c r="M273" s="113"/>
      <c r="N273" s="113"/>
      <c r="P273" s="113"/>
      <c r="Q273" s="113"/>
      <c r="R273" s="113"/>
      <c r="T273" s="113"/>
      <c r="U273" s="113"/>
      <c r="V273" s="113"/>
    </row>
    <row r="274" customFormat="false" ht="15" hidden="false" customHeight="true" outlineLevel="0" collapsed="false">
      <c r="H274" s="113"/>
      <c r="I274" s="113"/>
      <c r="J274" s="113"/>
      <c r="L274" s="113"/>
      <c r="M274" s="113"/>
      <c r="N274" s="113"/>
      <c r="P274" s="113"/>
      <c r="Q274" s="113"/>
      <c r="R274" s="113"/>
      <c r="T274" s="113"/>
      <c r="U274" s="113"/>
      <c r="V274" s="113"/>
    </row>
    <row r="275" customFormat="false" ht="15" hidden="false" customHeight="true" outlineLevel="0" collapsed="false">
      <c r="H275" s="113"/>
      <c r="I275" s="113"/>
      <c r="J275" s="113"/>
      <c r="L275" s="113"/>
      <c r="M275" s="113"/>
      <c r="N275" s="113"/>
      <c r="P275" s="113"/>
      <c r="Q275" s="113"/>
      <c r="R275" s="113"/>
      <c r="T275" s="113"/>
      <c r="U275" s="113"/>
      <c r="V275" s="113"/>
    </row>
    <row r="276" customFormat="false" ht="15" hidden="false" customHeight="true" outlineLevel="0" collapsed="false">
      <c r="H276" s="113"/>
      <c r="I276" s="113"/>
      <c r="J276" s="113"/>
      <c r="L276" s="113"/>
      <c r="M276" s="113"/>
      <c r="N276" s="113"/>
      <c r="P276" s="113"/>
      <c r="Q276" s="113"/>
      <c r="R276" s="113"/>
      <c r="T276" s="113"/>
      <c r="U276" s="113"/>
      <c r="V276" s="113"/>
    </row>
    <row r="277" customFormat="false" ht="15" hidden="false" customHeight="true" outlineLevel="0" collapsed="false">
      <c r="H277" s="113"/>
      <c r="I277" s="113"/>
      <c r="J277" s="113"/>
      <c r="L277" s="113"/>
      <c r="M277" s="113"/>
      <c r="N277" s="113"/>
      <c r="P277" s="113"/>
      <c r="Q277" s="113"/>
      <c r="R277" s="113"/>
      <c r="T277" s="113"/>
      <c r="U277" s="113"/>
      <c r="V277" s="113"/>
    </row>
    <row r="278" customFormat="false" ht="15" hidden="false" customHeight="true" outlineLevel="0" collapsed="false">
      <c r="H278" s="113"/>
      <c r="I278" s="113"/>
      <c r="J278" s="113"/>
      <c r="L278" s="113"/>
      <c r="M278" s="113"/>
      <c r="N278" s="113"/>
      <c r="P278" s="113"/>
      <c r="Q278" s="113"/>
      <c r="R278" s="113"/>
      <c r="T278" s="113"/>
      <c r="U278" s="113"/>
      <c r="V278" s="113"/>
    </row>
    <row r="279" customFormat="false" ht="15" hidden="false" customHeight="true" outlineLevel="0" collapsed="false">
      <c r="H279" s="113"/>
      <c r="I279" s="113"/>
      <c r="J279" s="113"/>
      <c r="L279" s="113"/>
      <c r="M279" s="113"/>
      <c r="N279" s="113"/>
      <c r="P279" s="113"/>
      <c r="Q279" s="113"/>
      <c r="R279" s="113"/>
      <c r="T279" s="113"/>
      <c r="U279" s="113"/>
      <c r="V279" s="113"/>
    </row>
    <row r="280" customFormat="false" ht="15" hidden="false" customHeight="true" outlineLevel="0" collapsed="false">
      <c r="H280" s="113"/>
      <c r="I280" s="113"/>
      <c r="J280" s="113"/>
      <c r="L280" s="113"/>
      <c r="M280" s="113"/>
      <c r="N280" s="113"/>
      <c r="P280" s="113"/>
      <c r="Q280" s="113"/>
      <c r="R280" s="113"/>
      <c r="T280" s="113"/>
      <c r="U280" s="113"/>
      <c r="V280" s="113"/>
    </row>
    <row r="281" customFormat="false" ht="15" hidden="false" customHeight="true" outlineLevel="0" collapsed="false">
      <c r="H281" s="113"/>
      <c r="I281" s="113"/>
      <c r="J281" s="113"/>
      <c r="L281" s="113"/>
      <c r="M281" s="113"/>
      <c r="N281" s="113"/>
      <c r="P281" s="113"/>
      <c r="Q281" s="113"/>
      <c r="R281" s="113"/>
      <c r="T281" s="113"/>
      <c r="U281" s="113"/>
      <c r="V281" s="113"/>
    </row>
    <row r="282" customFormat="false" ht="15" hidden="false" customHeight="true" outlineLevel="0" collapsed="false">
      <c r="H282" s="113"/>
      <c r="I282" s="113"/>
      <c r="J282" s="113"/>
      <c r="L282" s="113"/>
      <c r="M282" s="113"/>
      <c r="N282" s="113"/>
      <c r="P282" s="113"/>
      <c r="Q282" s="113"/>
      <c r="R282" s="113"/>
      <c r="T282" s="113"/>
      <c r="U282" s="113"/>
      <c r="V282" s="113"/>
    </row>
    <row r="283" customFormat="false" ht="15" hidden="false" customHeight="true" outlineLevel="0" collapsed="false">
      <c r="H283" s="113"/>
      <c r="I283" s="113"/>
      <c r="J283" s="113"/>
      <c r="L283" s="113"/>
      <c r="M283" s="113"/>
      <c r="N283" s="113"/>
      <c r="P283" s="113"/>
      <c r="Q283" s="113"/>
      <c r="R283" s="113"/>
      <c r="T283" s="113"/>
      <c r="U283" s="113"/>
      <c r="V283" s="113"/>
    </row>
    <row r="284" customFormat="false" ht="15" hidden="false" customHeight="true" outlineLevel="0" collapsed="false">
      <c r="H284" s="113"/>
      <c r="I284" s="113"/>
      <c r="J284" s="113"/>
      <c r="L284" s="113"/>
      <c r="M284" s="113"/>
      <c r="N284" s="113"/>
      <c r="P284" s="113"/>
      <c r="Q284" s="113"/>
      <c r="R284" s="113"/>
      <c r="T284" s="113"/>
      <c r="U284" s="113"/>
      <c r="V284" s="113"/>
    </row>
    <row r="285" customFormat="false" ht="15" hidden="false" customHeight="true" outlineLevel="0" collapsed="false">
      <c r="H285" s="113"/>
      <c r="I285" s="113"/>
      <c r="J285" s="113"/>
      <c r="L285" s="113"/>
      <c r="M285" s="113"/>
      <c r="N285" s="113"/>
      <c r="P285" s="113"/>
      <c r="Q285" s="113"/>
      <c r="R285" s="113"/>
      <c r="T285" s="113"/>
      <c r="U285" s="113"/>
      <c r="V285" s="113"/>
    </row>
    <row r="286" customFormat="false" ht="15" hidden="false" customHeight="true" outlineLevel="0" collapsed="false">
      <c r="H286" s="113"/>
      <c r="I286" s="113"/>
      <c r="J286" s="113"/>
      <c r="L286" s="113"/>
      <c r="M286" s="113"/>
      <c r="N286" s="113"/>
      <c r="P286" s="113"/>
      <c r="Q286" s="113"/>
      <c r="R286" s="113"/>
      <c r="T286" s="113"/>
      <c r="U286" s="113"/>
      <c r="V286" s="113"/>
    </row>
    <row r="287" customFormat="false" ht="15" hidden="false" customHeight="true" outlineLevel="0" collapsed="false">
      <c r="H287" s="113"/>
      <c r="I287" s="113"/>
      <c r="J287" s="113"/>
      <c r="L287" s="113"/>
      <c r="M287" s="113"/>
      <c r="N287" s="113"/>
      <c r="P287" s="113"/>
      <c r="Q287" s="113"/>
      <c r="R287" s="113"/>
      <c r="T287" s="113"/>
      <c r="U287" s="113"/>
      <c r="V287" s="113"/>
    </row>
    <row r="288" customFormat="false" ht="15" hidden="false" customHeight="true" outlineLevel="0" collapsed="false">
      <c r="H288" s="113"/>
      <c r="I288" s="113"/>
      <c r="J288" s="113"/>
      <c r="L288" s="113"/>
      <c r="M288" s="113"/>
      <c r="N288" s="113"/>
      <c r="P288" s="113"/>
      <c r="Q288" s="113"/>
      <c r="R288" s="113"/>
      <c r="T288" s="113"/>
      <c r="U288" s="113"/>
      <c r="V288" s="113"/>
    </row>
    <row r="289" customFormat="false" ht="15" hidden="false" customHeight="true" outlineLevel="0" collapsed="false">
      <c r="H289" s="113"/>
      <c r="I289" s="113"/>
      <c r="J289" s="113"/>
      <c r="L289" s="113"/>
      <c r="M289" s="113"/>
      <c r="N289" s="113"/>
      <c r="P289" s="113"/>
      <c r="Q289" s="113"/>
      <c r="R289" s="113"/>
      <c r="T289" s="113"/>
      <c r="U289" s="113"/>
      <c r="V289" s="113"/>
    </row>
    <row r="290" customFormat="false" ht="15" hidden="false" customHeight="true" outlineLevel="0" collapsed="false">
      <c r="H290" s="113"/>
      <c r="I290" s="113"/>
      <c r="J290" s="113"/>
      <c r="L290" s="113"/>
      <c r="M290" s="113"/>
      <c r="N290" s="113"/>
      <c r="P290" s="113"/>
      <c r="Q290" s="113"/>
      <c r="R290" s="113"/>
      <c r="T290" s="113"/>
      <c r="U290" s="113"/>
      <c r="V290" s="113"/>
    </row>
    <row r="291" customFormat="false" ht="15" hidden="false" customHeight="true" outlineLevel="0" collapsed="false">
      <c r="H291" s="113"/>
      <c r="I291" s="113"/>
      <c r="J291" s="113"/>
      <c r="L291" s="113"/>
      <c r="M291" s="113"/>
      <c r="N291" s="113"/>
      <c r="P291" s="113"/>
      <c r="Q291" s="113"/>
      <c r="R291" s="113"/>
      <c r="T291" s="113"/>
      <c r="U291" s="113"/>
      <c r="V291" s="113"/>
    </row>
    <row r="292" customFormat="false" ht="15" hidden="false" customHeight="true" outlineLevel="0" collapsed="false">
      <c r="H292" s="113"/>
      <c r="I292" s="113"/>
      <c r="J292" s="113"/>
      <c r="L292" s="113"/>
      <c r="M292" s="113"/>
      <c r="N292" s="113"/>
      <c r="P292" s="113"/>
      <c r="Q292" s="113"/>
      <c r="R292" s="113"/>
      <c r="T292" s="113"/>
      <c r="U292" s="113"/>
      <c r="V292" s="113"/>
    </row>
    <row r="293" customFormat="false" ht="15" hidden="false" customHeight="true" outlineLevel="0" collapsed="false">
      <c r="H293" s="113"/>
      <c r="I293" s="113"/>
      <c r="J293" s="113"/>
      <c r="L293" s="113"/>
      <c r="M293" s="113"/>
      <c r="N293" s="113"/>
      <c r="P293" s="113"/>
      <c r="Q293" s="113"/>
      <c r="R293" s="113"/>
      <c r="T293" s="113"/>
      <c r="U293" s="113"/>
      <c r="V293" s="113"/>
    </row>
    <row r="294" customFormat="false" ht="15" hidden="false" customHeight="true" outlineLevel="0" collapsed="false">
      <c r="H294" s="113"/>
      <c r="I294" s="113"/>
      <c r="J294" s="113"/>
      <c r="L294" s="113"/>
      <c r="M294" s="113"/>
      <c r="N294" s="113"/>
      <c r="P294" s="113"/>
      <c r="Q294" s="113"/>
      <c r="R294" s="113"/>
      <c r="T294" s="113"/>
      <c r="U294" s="113"/>
      <c r="V294" s="113"/>
    </row>
    <row r="295" customFormat="false" ht="15" hidden="false" customHeight="true" outlineLevel="0" collapsed="false">
      <c r="H295" s="113"/>
      <c r="I295" s="113"/>
      <c r="J295" s="113"/>
      <c r="L295" s="113"/>
      <c r="M295" s="113"/>
      <c r="N295" s="113"/>
      <c r="P295" s="113"/>
      <c r="Q295" s="113"/>
      <c r="R295" s="113"/>
      <c r="T295" s="113"/>
      <c r="U295" s="113"/>
      <c r="V295" s="113"/>
    </row>
    <row r="296" customFormat="false" ht="15" hidden="false" customHeight="true" outlineLevel="0" collapsed="false">
      <c r="H296" s="113"/>
      <c r="I296" s="113"/>
      <c r="J296" s="113"/>
      <c r="L296" s="113"/>
      <c r="M296" s="113"/>
      <c r="N296" s="113"/>
      <c r="P296" s="113"/>
      <c r="Q296" s="113"/>
      <c r="R296" s="113"/>
      <c r="T296" s="113"/>
      <c r="U296" s="113"/>
      <c r="V296" s="113"/>
    </row>
    <row r="297" customFormat="false" ht="15" hidden="false" customHeight="true" outlineLevel="0" collapsed="false">
      <c r="H297" s="113"/>
      <c r="I297" s="113"/>
      <c r="J297" s="113"/>
      <c r="L297" s="113"/>
      <c r="M297" s="113"/>
      <c r="N297" s="113"/>
      <c r="P297" s="113"/>
      <c r="Q297" s="113"/>
      <c r="R297" s="113"/>
      <c r="T297" s="113"/>
      <c r="U297" s="113"/>
      <c r="V297" s="113"/>
    </row>
    <row r="298" customFormat="false" ht="15" hidden="false" customHeight="true" outlineLevel="0" collapsed="false">
      <c r="H298" s="113"/>
      <c r="I298" s="113"/>
      <c r="J298" s="113"/>
      <c r="L298" s="113"/>
      <c r="M298" s="113"/>
      <c r="N298" s="113"/>
      <c r="P298" s="113"/>
      <c r="Q298" s="113"/>
      <c r="R298" s="113"/>
      <c r="T298" s="113"/>
      <c r="U298" s="113"/>
      <c r="V298" s="113"/>
    </row>
    <row r="299" customFormat="false" ht="15" hidden="false" customHeight="true" outlineLevel="0" collapsed="false">
      <c r="H299" s="113"/>
      <c r="I299" s="113"/>
      <c r="J299" s="113"/>
      <c r="L299" s="113"/>
      <c r="M299" s="113"/>
      <c r="N299" s="113"/>
      <c r="P299" s="113"/>
      <c r="Q299" s="113"/>
      <c r="R299" s="113"/>
      <c r="T299" s="113"/>
      <c r="U299" s="113"/>
      <c r="V299" s="113"/>
    </row>
    <row r="300" customFormat="false" ht="15" hidden="false" customHeight="true" outlineLevel="0" collapsed="false">
      <c r="H300" s="113"/>
      <c r="I300" s="113"/>
      <c r="J300" s="113"/>
      <c r="L300" s="113"/>
      <c r="M300" s="113"/>
      <c r="N300" s="113"/>
      <c r="P300" s="113"/>
      <c r="Q300" s="113"/>
      <c r="R300" s="113"/>
      <c r="T300" s="113"/>
      <c r="U300" s="113"/>
      <c r="V300" s="113"/>
    </row>
    <row r="301" customFormat="false" ht="15" hidden="false" customHeight="true" outlineLevel="0" collapsed="false">
      <c r="H301" s="113"/>
      <c r="I301" s="113"/>
      <c r="J301" s="113"/>
      <c r="L301" s="113"/>
      <c r="M301" s="113"/>
      <c r="N301" s="113"/>
      <c r="P301" s="113"/>
      <c r="Q301" s="113"/>
      <c r="R301" s="113"/>
      <c r="T301" s="113"/>
      <c r="U301" s="113"/>
      <c r="V301" s="113"/>
    </row>
    <row r="302" customFormat="false" ht="15" hidden="false" customHeight="true" outlineLevel="0" collapsed="false">
      <c r="H302" s="113"/>
      <c r="I302" s="113"/>
      <c r="J302" s="113"/>
      <c r="L302" s="113"/>
      <c r="M302" s="113"/>
      <c r="N302" s="113"/>
      <c r="P302" s="113"/>
      <c r="Q302" s="113"/>
      <c r="R302" s="113"/>
      <c r="T302" s="113"/>
      <c r="U302" s="113"/>
      <c r="V302" s="113"/>
    </row>
    <row r="303" customFormat="false" ht="15" hidden="false" customHeight="true" outlineLevel="0" collapsed="false">
      <c r="H303" s="113"/>
      <c r="I303" s="113"/>
      <c r="J303" s="113"/>
      <c r="L303" s="113"/>
      <c r="M303" s="113"/>
      <c r="N303" s="113"/>
      <c r="P303" s="113"/>
      <c r="Q303" s="113"/>
      <c r="R303" s="113"/>
      <c r="T303" s="113"/>
      <c r="U303" s="113"/>
      <c r="V303" s="113"/>
    </row>
    <row r="304" customFormat="false" ht="15" hidden="false" customHeight="true" outlineLevel="0" collapsed="false">
      <c r="H304" s="113"/>
      <c r="I304" s="113"/>
      <c r="J304" s="113"/>
      <c r="L304" s="113"/>
      <c r="M304" s="113"/>
      <c r="N304" s="113"/>
      <c r="P304" s="113"/>
      <c r="Q304" s="113"/>
      <c r="R304" s="113"/>
      <c r="T304" s="113"/>
      <c r="U304" s="113"/>
      <c r="V304" s="113"/>
    </row>
    <row r="305" customFormat="false" ht="15" hidden="false" customHeight="true" outlineLevel="0" collapsed="false">
      <c r="H305" s="113"/>
      <c r="I305" s="113"/>
      <c r="J305" s="113"/>
      <c r="L305" s="113"/>
      <c r="M305" s="113"/>
      <c r="N305" s="113"/>
      <c r="P305" s="113"/>
      <c r="Q305" s="113"/>
      <c r="R305" s="113"/>
      <c r="T305" s="113"/>
      <c r="U305" s="113"/>
      <c r="V305" s="113"/>
    </row>
    <row r="306" customFormat="false" ht="15" hidden="false" customHeight="true" outlineLevel="0" collapsed="false">
      <c r="H306" s="113"/>
      <c r="I306" s="113"/>
      <c r="J306" s="113"/>
      <c r="L306" s="113"/>
      <c r="M306" s="113"/>
      <c r="N306" s="113"/>
      <c r="P306" s="113"/>
      <c r="Q306" s="113"/>
      <c r="R306" s="113"/>
      <c r="T306" s="113"/>
      <c r="U306" s="113"/>
      <c r="V306" s="113"/>
    </row>
    <row r="307" customFormat="false" ht="15" hidden="false" customHeight="true" outlineLevel="0" collapsed="false">
      <c r="H307" s="113"/>
      <c r="I307" s="113"/>
      <c r="J307" s="113"/>
      <c r="L307" s="113"/>
      <c r="M307" s="113"/>
      <c r="N307" s="113"/>
      <c r="P307" s="113"/>
      <c r="Q307" s="113"/>
      <c r="R307" s="113"/>
      <c r="T307" s="113"/>
      <c r="U307" s="113"/>
      <c r="V307" s="113"/>
    </row>
    <row r="308" customFormat="false" ht="15" hidden="false" customHeight="true" outlineLevel="0" collapsed="false">
      <c r="H308" s="113"/>
      <c r="I308" s="113"/>
      <c r="J308" s="113"/>
      <c r="L308" s="113"/>
      <c r="M308" s="113"/>
      <c r="N308" s="113"/>
      <c r="P308" s="113"/>
      <c r="Q308" s="113"/>
      <c r="R308" s="113"/>
      <c r="T308" s="113"/>
      <c r="U308" s="113"/>
      <c r="V308" s="113"/>
    </row>
    <row r="309" customFormat="false" ht="15" hidden="false" customHeight="true" outlineLevel="0" collapsed="false">
      <c r="H309" s="113"/>
      <c r="I309" s="113"/>
      <c r="J309" s="113"/>
      <c r="L309" s="113"/>
      <c r="M309" s="113"/>
      <c r="N309" s="113"/>
      <c r="P309" s="113"/>
      <c r="Q309" s="113"/>
      <c r="R309" s="113"/>
      <c r="T309" s="113"/>
      <c r="U309" s="113"/>
      <c r="V309" s="113"/>
    </row>
    <row r="310" customFormat="false" ht="15" hidden="false" customHeight="true" outlineLevel="0" collapsed="false">
      <c r="H310" s="113"/>
      <c r="I310" s="113"/>
      <c r="J310" s="113"/>
      <c r="L310" s="113"/>
      <c r="M310" s="113"/>
      <c r="N310" s="113"/>
      <c r="P310" s="113"/>
      <c r="Q310" s="113"/>
      <c r="R310" s="113"/>
      <c r="T310" s="113"/>
      <c r="U310" s="113"/>
      <c r="V310" s="113"/>
    </row>
    <row r="311" customFormat="false" ht="15" hidden="false" customHeight="true" outlineLevel="0" collapsed="false">
      <c r="H311" s="113"/>
      <c r="I311" s="113"/>
      <c r="J311" s="113"/>
      <c r="L311" s="113"/>
      <c r="M311" s="113"/>
      <c r="N311" s="113"/>
      <c r="P311" s="113"/>
      <c r="Q311" s="113"/>
      <c r="R311" s="113"/>
      <c r="T311" s="113"/>
      <c r="U311" s="113"/>
      <c r="V311" s="113"/>
    </row>
    <row r="312" customFormat="false" ht="15" hidden="false" customHeight="true" outlineLevel="0" collapsed="false">
      <c r="H312" s="113"/>
      <c r="I312" s="113"/>
      <c r="J312" s="113"/>
      <c r="L312" s="113"/>
      <c r="M312" s="113"/>
      <c r="N312" s="113"/>
      <c r="P312" s="113"/>
      <c r="Q312" s="113"/>
      <c r="R312" s="113"/>
      <c r="T312" s="113"/>
      <c r="U312" s="113"/>
      <c r="V312" s="113"/>
    </row>
    <row r="313" customFormat="false" ht="15" hidden="false" customHeight="true" outlineLevel="0" collapsed="false">
      <c r="H313" s="113"/>
      <c r="I313" s="113"/>
      <c r="J313" s="113"/>
      <c r="L313" s="113"/>
      <c r="M313" s="113"/>
      <c r="N313" s="113"/>
      <c r="P313" s="113"/>
      <c r="Q313" s="113"/>
      <c r="R313" s="113"/>
      <c r="T313" s="113"/>
      <c r="U313" s="113"/>
      <c r="V313" s="113"/>
    </row>
    <row r="314" customFormat="false" ht="15" hidden="false" customHeight="true" outlineLevel="0" collapsed="false">
      <c r="H314" s="113"/>
      <c r="I314" s="113"/>
      <c r="J314" s="113"/>
      <c r="L314" s="113"/>
      <c r="M314" s="113"/>
      <c r="N314" s="113"/>
      <c r="P314" s="113"/>
      <c r="Q314" s="113"/>
      <c r="R314" s="113"/>
      <c r="T314" s="113"/>
      <c r="U314" s="113"/>
      <c r="V314" s="113"/>
    </row>
    <row r="315" customFormat="false" ht="15" hidden="false" customHeight="true" outlineLevel="0" collapsed="false">
      <c r="H315" s="113"/>
      <c r="I315" s="113"/>
      <c r="J315" s="113"/>
      <c r="L315" s="113"/>
      <c r="M315" s="113"/>
      <c r="N315" s="113"/>
      <c r="P315" s="113"/>
      <c r="Q315" s="113"/>
      <c r="R315" s="113"/>
      <c r="T315" s="113"/>
      <c r="U315" s="113"/>
      <c r="V315" s="113"/>
    </row>
    <row r="316" customFormat="false" ht="15" hidden="false" customHeight="true" outlineLevel="0" collapsed="false">
      <c r="H316" s="113"/>
      <c r="I316" s="113"/>
      <c r="J316" s="113"/>
      <c r="L316" s="113"/>
      <c r="M316" s="113"/>
      <c r="N316" s="113"/>
      <c r="P316" s="113"/>
      <c r="Q316" s="113"/>
      <c r="R316" s="113"/>
      <c r="T316" s="113"/>
      <c r="U316" s="113"/>
      <c r="V316" s="113"/>
    </row>
    <row r="317" customFormat="false" ht="15" hidden="false" customHeight="true" outlineLevel="0" collapsed="false">
      <c r="H317" s="113"/>
      <c r="I317" s="113"/>
      <c r="J317" s="113"/>
      <c r="L317" s="113"/>
      <c r="M317" s="113"/>
      <c r="N317" s="113"/>
      <c r="P317" s="113"/>
      <c r="Q317" s="113"/>
      <c r="R317" s="113"/>
      <c r="T317" s="113"/>
      <c r="U317" s="113"/>
      <c r="V317" s="113"/>
    </row>
    <row r="318" customFormat="false" ht="15" hidden="false" customHeight="true" outlineLevel="0" collapsed="false">
      <c r="H318" s="113"/>
      <c r="I318" s="113"/>
      <c r="J318" s="113"/>
      <c r="L318" s="113"/>
      <c r="M318" s="113"/>
      <c r="N318" s="113"/>
      <c r="P318" s="113"/>
      <c r="Q318" s="113"/>
      <c r="R318" s="113"/>
      <c r="T318" s="113"/>
      <c r="U318" s="113"/>
      <c r="V318" s="113"/>
    </row>
    <row r="319" customFormat="false" ht="15" hidden="false" customHeight="true" outlineLevel="0" collapsed="false">
      <c r="H319" s="113"/>
      <c r="I319" s="113"/>
      <c r="J319" s="113"/>
      <c r="L319" s="113"/>
      <c r="M319" s="113"/>
      <c r="N319" s="113"/>
      <c r="P319" s="113"/>
      <c r="Q319" s="113"/>
      <c r="R319" s="113"/>
      <c r="T319" s="113"/>
      <c r="U319" s="113"/>
      <c r="V319" s="113"/>
    </row>
    <row r="320" customFormat="false" ht="15" hidden="false" customHeight="true" outlineLevel="0" collapsed="false">
      <c r="H320" s="113"/>
      <c r="I320" s="113"/>
      <c r="J320" s="113"/>
      <c r="L320" s="113"/>
      <c r="M320" s="113"/>
      <c r="N320" s="113"/>
      <c r="P320" s="113"/>
      <c r="Q320" s="113"/>
      <c r="R320" s="113"/>
      <c r="T320" s="113"/>
      <c r="U320" s="113"/>
      <c r="V320" s="113"/>
    </row>
    <row r="321" customFormat="false" ht="15" hidden="false" customHeight="true" outlineLevel="0" collapsed="false">
      <c r="H321" s="113"/>
      <c r="I321" s="113"/>
      <c r="J321" s="113"/>
      <c r="L321" s="113"/>
      <c r="M321" s="113"/>
      <c r="N321" s="113"/>
      <c r="P321" s="113"/>
      <c r="Q321" s="113"/>
      <c r="R321" s="113"/>
      <c r="T321" s="113"/>
      <c r="U321" s="113"/>
      <c r="V321" s="113"/>
    </row>
    <row r="322" customFormat="false" ht="15" hidden="false" customHeight="true" outlineLevel="0" collapsed="false">
      <c r="H322" s="113"/>
      <c r="I322" s="113"/>
      <c r="J322" s="113"/>
      <c r="L322" s="113"/>
      <c r="M322" s="113"/>
      <c r="N322" s="113"/>
      <c r="P322" s="113"/>
      <c r="Q322" s="113"/>
      <c r="R322" s="113"/>
      <c r="T322" s="113"/>
      <c r="U322" s="113"/>
      <c r="V322" s="113"/>
    </row>
    <row r="323" customFormat="false" ht="15" hidden="false" customHeight="true" outlineLevel="0" collapsed="false">
      <c r="H323" s="113"/>
      <c r="I323" s="113"/>
      <c r="J323" s="113"/>
      <c r="L323" s="113"/>
      <c r="M323" s="113"/>
      <c r="N323" s="113"/>
      <c r="P323" s="113"/>
      <c r="Q323" s="113"/>
      <c r="R323" s="113"/>
      <c r="T323" s="113"/>
      <c r="U323" s="113"/>
      <c r="V323" s="113"/>
    </row>
    <row r="324" customFormat="false" ht="15" hidden="false" customHeight="true" outlineLevel="0" collapsed="false">
      <c r="H324" s="113"/>
      <c r="I324" s="113"/>
      <c r="J324" s="113"/>
      <c r="L324" s="113"/>
      <c r="M324" s="113"/>
      <c r="N324" s="113"/>
      <c r="P324" s="113"/>
      <c r="Q324" s="113"/>
      <c r="R324" s="113"/>
      <c r="T324" s="113"/>
      <c r="U324" s="113"/>
      <c r="V324" s="113"/>
    </row>
    <row r="325" customFormat="false" ht="15" hidden="false" customHeight="true" outlineLevel="0" collapsed="false">
      <c r="H325" s="113"/>
      <c r="I325" s="113"/>
      <c r="J325" s="113"/>
      <c r="L325" s="113"/>
      <c r="M325" s="113"/>
      <c r="N325" s="113"/>
      <c r="P325" s="113"/>
      <c r="Q325" s="113"/>
      <c r="R325" s="113"/>
      <c r="T325" s="113"/>
      <c r="U325" s="113"/>
      <c r="V325" s="113"/>
    </row>
    <row r="326" customFormat="false" ht="15" hidden="false" customHeight="true" outlineLevel="0" collapsed="false">
      <c r="H326" s="113"/>
      <c r="I326" s="113"/>
      <c r="J326" s="113"/>
      <c r="L326" s="113"/>
      <c r="M326" s="113"/>
      <c r="N326" s="113"/>
      <c r="P326" s="113"/>
      <c r="Q326" s="113"/>
      <c r="R326" s="113"/>
      <c r="T326" s="113"/>
      <c r="U326" s="113"/>
      <c r="V326" s="113"/>
    </row>
    <row r="327" customFormat="false" ht="15" hidden="false" customHeight="true" outlineLevel="0" collapsed="false">
      <c r="H327" s="113"/>
      <c r="I327" s="113"/>
      <c r="J327" s="113"/>
      <c r="L327" s="113"/>
      <c r="M327" s="113"/>
      <c r="N327" s="113"/>
      <c r="P327" s="113"/>
      <c r="Q327" s="113"/>
      <c r="R327" s="113"/>
      <c r="T327" s="113"/>
      <c r="U327" s="113"/>
      <c r="V327" s="113"/>
    </row>
    <row r="328" customFormat="false" ht="15" hidden="false" customHeight="true" outlineLevel="0" collapsed="false">
      <c r="H328" s="113"/>
      <c r="I328" s="113"/>
      <c r="J328" s="113"/>
      <c r="L328" s="113"/>
      <c r="M328" s="113"/>
      <c r="N328" s="113"/>
      <c r="P328" s="113"/>
      <c r="Q328" s="113"/>
      <c r="R328" s="113"/>
      <c r="T328" s="113"/>
      <c r="U328" s="113"/>
      <c r="V328" s="113"/>
    </row>
    <row r="329" customFormat="false" ht="15" hidden="false" customHeight="true" outlineLevel="0" collapsed="false">
      <c r="H329" s="113"/>
      <c r="I329" s="113"/>
      <c r="J329" s="113"/>
      <c r="L329" s="113"/>
      <c r="M329" s="113"/>
      <c r="N329" s="113"/>
      <c r="P329" s="113"/>
      <c r="Q329" s="113"/>
      <c r="R329" s="113"/>
      <c r="T329" s="113"/>
      <c r="U329" s="113"/>
      <c r="V329" s="113"/>
    </row>
    <row r="330" customFormat="false" ht="15" hidden="false" customHeight="true" outlineLevel="0" collapsed="false">
      <c r="H330" s="113"/>
      <c r="I330" s="113"/>
      <c r="J330" s="113"/>
      <c r="L330" s="113"/>
      <c r="M330" s="113"/>
      <c r="N330" s="113"/>
      <c r="P330" s="113"/>
      <c r="Q330" s="113"/>
      <c r="R330" s="113"/>
      <c r="T330" s="113"/>
      <c r="U330" s="113"/>
      <c r="V330" s="113"/>
    </row>
    <row r="331" customFormat="false" ht="15" hidden="false" customHeight="true" outlineLevel="0" collapsed="false">
      <c r="H331" s="113"/>
      <c r="I331" s="113"/>
      <c r="J331" s="113"/>
      <c r="L331" s="113"/>
      <c r="M331" s="113"/>
      <c r="N331" s="113"/>
      <c r="P331" s="113"/>
      <c r="Q331" s="113"/>
      <c r="R331" s="113"/>
      <c r="T331" s="113"/>
      <c r="U331" s="113"/>
      <c r="V331" s="113"/>
    </row>
    <row r="332" customFormat="false" ht="15" hidden="false" customHeight="true" outlineLevel="0" collapsed="false">
      <c r="H332" s="113"/>
      <c r="I332" s="113"/>
      <c r="J332" s="113"/>
      <c r="L332" s="113"/>
      <c r="M332" s="113"/>
      <c r="N332" s="113"/>
      <c r="P332" s="113"/>
      <c r="Q332" s="113"/>
      <c r="R332" s="113"/>
      <c r="T332" s="113"/>
      <c r="U332" s="113"/>
      <c r="V332" s="113"/>
    </row>
    <row r="333" customFormat="false" ht="15" hidden="false" customHeight="true" outlineLevel="0" collapsed="false">
      <c r="H333" s="113"/>
      <c r="I333" s="113"/>
      <c r="J333" s="113"/>
      <c r="L333" s="113"/>
      <c r="M333" s="113"/>
      <c r="N333" s="113"/>
      <c r="P333" s="113"/>
      <c r="Q333" s="113"/>
      <c r="R333" s="113"/>
      <c r="T333" s="113"/>
      <c r="U333" s="113"/>
      <c r="V333" s="113"/>
    </row>
    <row r="334" customFormat="false" ht="15" hidden="false" customHeight="true" outlineLevel="0" collapsed="false">
      <c r="H334" s="113"/>
      <c r="I334" s="113"/>
      <c r="J334" s="113"/>
      <c r="L334" s="113"/>
      <c r="M334" s="113"/>
      <c r="N334" s="113"/>
      <c r="P334" s="113"/>
      <c r="Q334" s="113"/>
      <c r="R334" s="113"/>
      <c r="T334" s="113"/>
      <c r="U334" s="113"/>
      <c r="V334" s="113"/>
    </row>
    <row r="335" customFormat="false" ht="15" hidden="false" customHeight="true" outlineLevel="0" collapsed="false">
      <c r="H335" s="113"/>
      <c r="I335" s="113"/>
      <c r="J335" s="113"/>
      <c r="L335" s="113"/>
      <c r="M335" s="113"/>
      <c r="N335" s="113"/>
      <c r="P335" s="113"/>
      <c r="Q335" s="113"/>
      <c r="R335" s="113"/>
      <c r="T335" s="113"/>
      <c r="U335" s="113"/>
      <c r="V335" s="113"/>
    </row>
    <row r="336" customFormat="false" ht="15" hidden="false" customHeight="true" outlineLevel="0" collapsed="false">
      <c r="H336" s="113"/>
      <c r="I336" s="113"/>
      <c r="J336" s="113"/>
      <c r="L336" s="113"/>
      <c r="M336" s="113"/>
      <c r="N336" s="113"/>
      <c r="P336" s="113"/>
      <c r="Q336" s="113"/>
      <c r="R336" s="113"/>
      <c r="T336" s="113"/>
      <c r="U336" s="113"/>
      <c r="V336" s="113"/>
    </row>
    <row r="337" customFormat="false" ht="15" hidden="false" customHeight="true" outlineLevel="0" collapsed="false">
      <c r="H337" s="113"/>
      <c r="I337" s="113"/>
      <c r="J337" s="113"/>
      <c r="L337" s="113"/>
      <c r="M337" s="113"/>
      <c r="N337" s="113"/>
      <c r="P337" s="113"/>
      <c r="Q337" s="113"/>
      <c r="R337" s="113"/>
      <c r="T337" s="113"/>
      <c r="U337" s="113"/>
      <c r="V337" s="113"/>
    </row>
    <row r="338" customFormat="false" ht="15" hidden="false" customHeight="true" outlineLevel="0" collapsed="false">
      <c r="H338" s="113"/>
      <c r="I338" s="113"/>
      <c r="J338" s="113"/>
      <c r="L338" s="113"/>
      <c r="M338" s="113"/>
      <c r="N338" s="113"/>
      <c r="P338" s="113"/>
      <c r="Q338" s="113"/>
      <c r="R338" s="113"/>
      <c r="T338" s="113"/>
      <c r="U338" s="113"/>
      <c r="V338" s="113"/>
    </row>
    <row r="339" customFormat="false" ht="15" hidden="false" customHeight="true" outlineLevel="0" collapsed="false">
      <c r="H339" s="113"/>
      <c r="I339" s="113"/>
      <c r="J339" s="113"/>
      <c r="L339" s="113"/>
      <c r="M339" s="113"/>
      <c r="N339" s="113"/>
      <c r="P339" s="113"/>
      <c r="Q339" s="113"/>
      <c r="R339" s="113"/>
      <c r="T339" s="113"/>
      <c r="U339" s="113"/>
      <c r="V339" s="113"/>
    </row>
    <row r="340" customFormat="false" ht="15" hidden="false" customHeight="true" outlineLevel="0" collapsed="false">
      <c r="H340" s="113"/>
      <c r="I340" s="113"/>
      <c r="J340" s="113"/>
      <c r="L340" s="113"/>
      <c r="M340" s="113"/>
      <c r="N340" s="113"/>
      <c r="P340" s="113"/>
      <c r="Q340" s="113"/>
      <c r="R340" s="113"/>
      <c r="T340" s="113"/>
      <c r="U340" s="113"/>
      <c r="V340" s="113"/>
    </row>
    <row r="341" customFormat="false" ht="15" hidden="false" customHeight="true" outlineLevel="0" collapsed="false">
      <c r="H341" s="113"/>
      <c r="I341" s="113"/>
      <c r="J341" s="113"/>
      <c r="L341" s="113"/>
      <c r="M341" s="113"/>
      <c r="N341" s="113"/>
      <c r="P341" s="113"/>
      <c r="Q341" s="113"/>
      <c r="R341" s="113"/>
      <c r="T341" s="113"/>
      <c r="U341" s="113"/>
      <c r="V341" s="113"/>
    </row>
    <row r="342" customFormat="false" ht="15" hidden="false" customHeight="true" outlineLevel="0" collapsed="false">
      <c r="H342" s="113"/>
      <c r="I342" s="113"/>
      <c r="J342" s="113"/>
      <c r="L342" s="113"/>
      <c r="M342" s="113"/>
      <c r="N342" s="113"/>
      <c r="P342" s="113"/>
      <c r="Q342" s="113"/>
      <c r="R342" s="113"/>
      <c r="T342" s="113"/>
      <c r="U342" s="113"/>
      <c r="V342" s="113"/>
    </row>
    <row r="343" customFormat="false" ht="15" hidden="false" customHeight="true" outlineLevel="0" collapsed="false">
      <c r="H343" s="113"/>
      <c r="I343" s="113"/>
      <c r="J343" s="113"/>
      <c r="L343" s="113"/>
      <c r="M343" s="113"/>
      <c r="N343" s="113"/>
      <c r="P343" s="113"/>
      <c r="Q343" s="113"/>
      <c r="R343" s="113"/>
      <c r="T343" s="113"/>
      <c r="U343" s="113"/>
      <c r="V343" s="113"/>
    </row>
    <row r="344" customFormat="false" ht="15" hidden="false" customHeight="true" outlineLevel="0" collapsed="false">
      <c r="H344" s="113"/>
      <c r="I344" s="113"/>
      <c r="J344" s="113"/>
      <c r="L344" s="113"/>
      <c r="M344" s="113"/>
      <c r="N344" s="113"/>
      <c r="P344" s="113"/>
      <c r="Q344" s="113"/>
      <c r="R344" s="113"/>
      <c r="T344" s="113"/>
      <c r="U344" s="113"/>
      <c r="V344" s="113"/>
    </row>
    <row r="345" customFormat="false" ht="15" hidden="false" customHeight="true" outlineLevel="0" collapsed="false">
      <c r="H345" s="113"/>
      <c r="I345" s="113"/>
      <c r="J345" s="113"/>
      <c r="L345" s="113"/>
      <c r="M345" s="113"/>
      <c r="N345" s="113"/>
      <c r="P345" s="113"/>
      <c r="Q345" s="113"/>
      <c r="R345" s="113"/>
      <c r="T345" s="113"/>
      <c r="U345" s="113"/>
      <c r="V345" s="113"/>
    </row>
    <row r="346" customFormat="false" ht="15" hidden="false" customHeight="true" outlineLevel="0" collapsed="false">
      <c r="H346" s="113"/>
      <c r="I346" s="113"/>
      <c r="J346" s="113"/>
      <c r="L346" s="113"/>
      <c r="M346" s="113"/>
      <c r="N346" s="113"/>
      <c r="P346" s="113"/>
      <c r="Q346" s="113"/>
      <c r="R346" s="113"/>
      <c r="T346" s="113"/>
      <c r="U346" s="113"/>
      <c r="V346" s="113"/>
    </row>
    <row r="347" customFormat="false" ht="15" hidden="false" customHeight="true" outlineLevel="0" collapsed="false">
      <c r="H347" s="113"/>
      <c r="I347" s="113"/>
      <c r="J347" s="113"/>
      <c r="L347" s="113"/>
      <c r="M347" s="113"/>
      <c r="N347" s="113"/>
      <c r="P347" s="113"/>
      <c r="Q347" s="113"/>
      <c r="R347" s="113"/>
      <c r="T347" s="113"/>
      <c r="U347" s="113"/>
      <c r="V347" s="113"/>
    </row>
    <row r="348" customFormat="false" ht="15" hidden="false" customHeight="true" outlineLevel="0" collapsed="false">
      <c r="H348" s="113"/>
      <c r="I348" s="113"/>
      <c r="J348" s="113"/>
      <c r="L348" s="113"/>
      <c r="M348" s="113"/>
      <c r="N348" s="113"/>
      <c r="P348" s="113"/>
      <c r="Q348" s="113"/>
      <c r="R348" s="113"/>
      <c r="T348" s="113"/>
      <c r="U348" s="113"/>
      <c r="V348" s="113"/>
    </row>
    <row r="349" customFormat="false" ht="15" hidden="false" customHeight="true" outlineLevel="0" collapsed="false">
      <c r="H349" s="113"/>
      <c r="I349" s="113"/>
      <c r="J349" s="113"/>
      <c r="L349" s="113"/>
      <c r="M349" s="113"/>
      <c r="N349" s="113"/>
      <c r="P349" s="113"/>
      <c r="Q349" s="113"/>
      <c r="R349" s="113"/>
      <c r="T349" s="113"/>
      <c r="U349" s="113"/>
      <c r="V349" s="113"/>
    </row>
    <row r="350" customFormat="false" ht="15" hidden="false" customHeight="true" outlineLevel="0" collapsed="false">
      <c r="H350" s="113"/>
      <c r="I350" s="113"/>
      <c r="J350" s="113"/>
      <c r="L350" s="113"/>
      <c r="M350" s="113"/>
      <c r="N350" s="113"/>
      <c r="P350" s="113"/>
      <c r="Q350" s="113"/>
      <c r="R350" s="113"/>
      <c r="T350" s="113"/>
      <c r="U350" s="113"/>
      <c r="V350" s="113"/>
    </row>
    <row r="351" customFormat="false" ht="15" hidden="false" customHeight="true" outlineLevel="0" collapsed="false">
      <c r="H351" s="113"/>
      <c r="I351" s="113"/>
      <c r="J351" s="113"/>
      <c r="L351" s="113"/>
      <c r="M351" s="113"/>
      <c r="N351" s="113"/>
      <c r="P351" s="113"/>
      <c r="Q351" s="113"/>
      <c r="R351" s="113"/>
      <c r="T351" s="113"/>
      <c r="U351" s="113"/>
      <c r="V351" s="113"/>
    </row>
    <row r="352" customFormat="false" ht="15" hidden="false" customHeight="true" outlineLevel="0" collapsed="false">
      <c r="H352" s="113"/>
      <c r="I352" s="113"/>
      <c r="J352" s="113"/>
      <c r="L352" s="113"/>
      <c r="M352" s="113"/>
      <c r="N352" s="113"/>
      <c r="P352" s="113"/>
      <c r="Q352" s="113"/>
      <c r="R352" s="113"/>
      <c r="T352" s="113"/>
      <c r="U352" s="113"/>
      <c r="V352" s="113"/>
    </row>
    <row r="353" customFormat="false" ht="15" hidden="false" customHeight="true" outlineLevel="0" collapsed="false">
      <c r="H353" s="113"/>
      <c r="I353" s="113"/>
      <c r="J353" s="113"/>
      <c r="L353" s="113"/>
      <c r="M353" s="113"/>
      <c r="N353" s="113"/>
      <c r="P353" s="113"/>
      <c r="Q353" s="113"/>
      <c r="R353" s="113"/>
      <c r="T353" s="113"/>
      <c r="U353" s="113"/>
      <c r="V353" s="113"/>
    </row>
    <row r="354" customFormat="false" ht="15" hidden="false" customHeight="true" outlineLevel="0" collapsed="false">
      <c r="H354" s="113"/>
      <c r="I354" s="113"/>
      <c r="J354" s="113"/>
      <c r="L354" s="113"/>
      <c r="M354" s="113"/>
      <c r="N354" s="113"/>
      <c r="P354" s="113"/>
      <c r="Q354" s="113"/>
      <c r="R354" s="113"/>
      <c r="T354" s="113"/>
      <c r="U354" s="113"/>
      <c r="V354" s="113"/>
    </row>
    <row r="355" customFormat="false" ht="15" hidden="false" customHeight="true" outlineLevel="0" collapsed="false">
      <c r="H355" s="113"/>
      <c r="I355" s="113"/>
      <c r="J355" s="113"/>
      <c r="L355" s="113"/>
      <c r="M355" s="113"/>
      <c r="N355" s="113"/>
      <c r="P355" s="113"/>
      <c r="Q355" s="113"/>
      <c r="R355" s="113"/>
      <c r="T355" s="113"/>
      <c r="U355" s="113"/>
      <c r="V355" s="113"/>
    </row>
    <row r="356" customFormat="false" ht="15" hidden="false" customHeight="true" outlineLevel="0" collapsed="false">
      <c r="H356" s="113"/>
      <c r="I356" s="113"/>
      <c r="J356" s="113"/>
      <c r="L356" s="113"/>
      <c r="M356" s="113"/>
      <c r="N356" s="113"/>
      <c r="P356" s="113"/>
      <c r="Q356" s="113"/>
      <c r="R356" s="113"/>
      <c r="T356" s="113"/>
      <c r="U356" s="113"/>
      <c r="V356" s="113"/>
    </row>
    <row r="357" customFormat="false" ht="15" hidden="false" customHeight="true" outlineLevel="0" collapsed="false">
      <c r="H357" s="113"/>
      <c r="I357" s="113"/>
      <c r="J357" s="113"/>
      <c r="L357" s="113"/>
      <c r="M357" s="113"/>
      <c r="N357" s="113"/>
      <c r="P357" s="113"/>
      <c r="Q357" s="113"/>
      <c r="R357" s="113"/>
      <c r="T357" s="113"/>
      <c r="U357" s="113"/>
      <c r="V357" s="113"/>
    </row>
    <row r="358" customFormat="false" ht="15" hidden="false" customHeight="true" outlineLevel="0" collapsed="false">
      <c r="H358" s="113"/>
      <c r="I358" s="113"/>
      <c r="J358" s="113"/>
      <c r="L358" s="113"/>
      <c r="M358" s="113"/>
      <c r="N358" s="113"/>
      <c r="P358" s="113"/>
      <c r="Q358" s="113"/>
      <c r="R358" s="113"/>
      <c r="T358" s="113"/>
      <c r="U358" s="113"/>
      <c r="V358" s="113"/>
    </row>
    <row r="359" customFormat="false" ht="15" hidden="false" customHeight="true" outlineLevel="0" collapsed="false">
      <c r="H359" s="113"/>
      <c r="I359" s="113"/>
      <c r="J359" s="113"/>
      <c r="L359" s="113"/>
      <c r="M359" s="113"/>
      <c r="N359" s="113"/>
      <c r="P359" s="113"/>
      <c r="Q359" s="113"/>
      <c r="R359" s="113"/>
      <c r="T359" s="113"/>
      <c r="U359" s="113"/>
      <c r="V359" s="113"/>
    </row>
    <row r="360" customFormat="false" ht="15" hidden="false" customHeight="true" outlineLevel="0" collapsed="false">
      <c r="H360" s="113"/>
      <c r="I360" s="113"/>
      <c r="J360" s="113"/>
      <c r="L360" s="113"/>
      <c r="M360" s="113"/>
      <c r="N360" s="113"/>
      <c r="P360" s="113"/>
      <c r="Q360" s="113"/>
      <c r="R360" s="113"/>
      <c r="T360" s="113"/>
      <c r="U360" s="113"/>
      <c r="V360" s="113"/>
    </row>
    <row r="361" customFormat="false" ht="15" hidden="false" customHeight="true" outlineLevel="0" collapsed="false">
      <c r="H361" s="113"/>
      <c r="I361" s="113"/>
      <c r="J361" s="113"/>
      <c r="L361" s="113"/>
      <c r="M361" s="113"/>
      <c r="N361" s="113"/>
      <c r="P361" s="113"/>
      <c r="Q361" s="113"/>
      <c r="R361" s="113"/>
      <c r="T361" s="113"/>
      <c r="U361" s="113"/>
      <c r="V361" s="113"/>
    </row>
    <row r="362" customFormat="false" ht="15" hidden="false" customHeight="true" outlineLevel="0" collapsed="false">
      <c r="H362" s="113"/>
      <c r="I362" s="113"/>
      <c r="J362" s="113"/>
      <c r="L362" s="113"/>
      <c r="M362" s="113"/>
      <c r="N362" s="113"/>
      <c r="P362" s="113"/>
      <c r="Q362" s="113"/>
      <c r="R362" s="113"/>
      <c r="T362" s="113"/>
      <c r="U362" s="113"/>
      <c r="V362" s="113"/>
    </row>
    <row r="363" customFormat="false" ht="15" hidden="false" customHeight="true" outlineLevel="0" collapsed="false">
      <c r="H363" s="113"/>
      <c r="I363" s="113"/>
      <c r="J363" s="113"/>
      <c r="L363" s="113"/>
      <c r="M363" s="113"/>
      <c r="N363" s="113"/>
      <c r="P363" s="113"/>
      <c r="Q363" s="113"/>
      <c r="R363" s="113"/>
      <c r="T363" s="113"/>
      <c r="U363" s="113"/>
      <c r="V363" s="113"/>
    </row>
    <row r="364" customFormat="false" ht="15" hidden="false" customHeight="true" outlineLevel="0" collapsed="false">
      <c r="H364" s="113"/>
      <c r="I364" s="113"/>
      <c r="J364" s="113"/>
      <c r="L364" s="113"/>
      <c r="M364" s="113"/>
      <c r="N364" s="113"/>
      <c r="P364" s="113"/>
      <c r="Q364" s="113"/>
      <c r="R364" s="113"/>
      <c r="T364" s="113"/>
      <c r="U364" s="113"/>
      <c r="V364" s="113"/>
    </row>
    <row r="365" customFormat="false" ht="15" hidden="false" customHeight="true" outlineLevel="0" collapsed="false">
      <c r="H365" s="113"/>
      <c r="I365" s="113"/>
      <c r="J365" s="113"/>
      <c r="L365" s="113"/>
      <c r="M365" s="113"/>
      <c r="N365" s="113"/>
      <c r="P365" s="113"/>
      <c r="Q365" s="113"/>
      <c r="R365" s="113"/>
      <c r="T365" s="113"/>
      <c r="U365" s="113"/>
      <c r="V365" s="113"/>
    </row>
    <row r="366" customFormat="false" ht="15" hidden="false" customHeight="true" outlineLevel="0" collapsed="false">
      <c r="H366" s="113"/>
      <c r="I366" s="113"/>
      <c r="J366" s="113"/>
      <c r="L366" s="113"/>
      <c r="M366" s="113"/>
      <c r="N366" s="113"/>
      <c r="P366" s="113"/>
      <c r="Q366" s="113"/>
      <c r="R366" s="113"/>
      <c r="T366" s="113"/>
      <c r="U366" s="113"/>
      <c r="V366" s="113"/>
    </row>
    <row r="367" customFormat="false" ht="15" hidden="false" customHeight="true" outlineLevel="0" collapsed="false">
      <c r="H367" s="113"/>
      <c r="I367" s="113"/>
      <c r="J367" s="113"/>
      <c r="L367" s="113"/>
      <c r="M367" s="113"/>
      <c r="N367" s="113"/>
      <c r="P367" s="113"/>
      <c r="Q367" s="113"/>
      <c r="R367" s="113"/>
      <c r="T367" s="113"/>
      <c r="U367" s="113"/>
      <c r="V367" s="113"/>
    </row>
    <row r="368" customFormat="false" ht="15" hidden="false" customHeight="true" outlineLevel="0" collapsed="false">
      <c r="H368" s="113"/>
      <c r="I368" s="113"/>
      <c r="J368" s="113"/>
      <c r="L368" s="113"/>
      <c r="M368" s="113"/>
      <c r="N368" s="113"/>
      <c r="P368" s="113"/>
      <c r="Q368" s="113"/>
      <c r="R368" s="113"/>
      <c r="T368" s="113"/>
      <c r="U368" s="113"/>
      <c r="V368" s="113"/>
    </row>
    <row r="369" customFormat="false" ht="15" hidden="false" customHeight="true" outlineLevel="0" collapsed="false">
      <c r="H369" s="113"/>
      <c r="I369" s="113"/>
      <c r="J369" s="113"/>
      <c r="L369" s="113"/>
      <c r="M369" s="113"/>
      <c r="N369" s="113"/>
      <c r="P369" s="113"/>
      <c r="Q369" s="113"/>
      <c r="R369" s="113"/>
      <c r="T369" s="113"/>
      <c r="U369" s="113"/>
      <c r="V369" s="113"/>
    </row>
    <row r="370" customFormat="false" ht="15" hidden="false" customHeight="true" outlineLevel="0" collapsed="false">
      <c r="H370" s="113"/>
      <c r="I370" s="113"/>
      <c r="J370" s="113"/>
      <c r="L370" s="113"/>
      <c r="M370" s="113"/>
      <c r="N370" s="113"/>
      <c r="P370" s="113"/>
      <c r="Q370" s="113"/>
      <c r="R370" s="113"/>
      <c r="T370" s="113"/>
      <c r="U370" s="113"/>
      <c r="V370" s="113"/>
    </row>
    <row r="371" customFormat="false" ht="15" hidden="false" customHeight="true" outlineLevel="0" collapsed="false">
      <c r="H371" s="113"/>
      <c r="I371" s="113"/>
      <c r="J371" s="113"/>
      <c r="L371" s="113"/>
      <c r="M371" s="113"/>
      <c r="N371" s="113"/>
      <c r="P371" s="113"/>
      <c r="Q371" s="113"/>
      <c r="R371" s="113"/>
      <c r="T371" s="113"/>
      <c r="U371" s="113"/>
      <c r="V371" s="113"/>
    </row>
    <row r="372" customFormat="false" ht="15" hidden="false" customHeight="true" outlineLevel="0" collapsed="false">
      <c r="H372" s="113"/>
      <c r="I372" s="113"/>
      <c r="J372" s="113"/>
      <c r="L372" s="113"/>
      <c r="M372" s="113"/>
      <c r="N372" s="113"/>
      <c r="P372" s="113"/>
      <c r="Q372" s="113"/>
      <c r="R372" s="113"/>
      <c r="T372" s="113"/>
      <c r="U372" s="113"/>
      <c r="V372" s="113"/>
    </row>
    <row r="373" customFormat="false" ht="15" hidden="false" customHeight="true" outlineLevel="0" collapsed="false">
      <c r="H373" s="113"/>
      <c r="I373" s="113"/>
      <c r="J373" s="113"/>
      <c r="L373" s="113"/>
      <c r="M373" s="113"/>
      <c r="N373" s="113"/>
      <c r="P373" s="113"/>
      <c r="Q373" s="113"/>
      <c r="R373" s="113"/>
      <c r="T373" s="113"/>
      <c r="U373" s="113"/>
      <c r="V373" s="113"/>
    </row>
    <row r="374" customFormat="false" ht="15" hidden="false" customHeight="true" outlineLevel="0" collapsed="false">
      <c r="H374" s="113"/>
      <c r="I374" s="113"/>
      <c r="J374" s="113"/>
      <c r="L374" s="113"/>
      <c r="M374" s="113"/>
      <c r="N374" s="113"/>
      <c r="P374" s="113"/>
      <c r="Q374" s="113"/>
      <c r="R374" s="113"/>
      <c r="T374" s="113"/>
      <c r="U374" s="113"/>
      <c r="V374" s="113"/>
    </row>
    <row r="375" customFormat="false" ht="15" hidden="false" customHeight="true" outlineLevel="0" collapsed="false">
      <c r="H375" s="113"/>
      <c r="I375" s="113"/>
      <c r="J375" s="113"/>
      <c r="L375" s="113"/>
      <c r="M375" s="113"/>
      <c r="N375" s="113"/>
      <c r="P375" s="113"/>
      <c r="Q375" s="113"/>
      <c r="R375" s="113"/>
      <c r="T375" s="113"/>
      <c r="U375" s="113"/>
      <c r="V375" s="113"/>
    </row>
    <row r="376" customFormat="false" ht="15" hidden="false" customHeight="true" outlineLevel="0" collapsed="false">
      <c r="H376" s="113"/>
      <c r="I376" s="113"/>
      <c r="J376" s="113"/>
      <c r="L376" s="113"/>
      <c r="M376" s="113"/>
      <c r="N376" s="113"/>
      <c r="P376" s="113"/>
      <c r="Q376" s="113"/>
      <c r="R376" s="113"/>
      <c r="T376" s="113"/>
      <c r="U376" s="113"/>
      <c r="V376" s="113"/>
    </row>
    <row r="377" customFormat="false" ht="15" hidden="false" customHeight="true" outlineLevel="0" collapsed="false">
      <c r="H377" s="113"/>
      <c r="I377" s="113"/>
      <c r="J377" s="113"/>
      <c r="L377" s="113"/>
      <c r="M377" s="113"/>
      <c r="N377" s="113"/>
      <c r="P377" s="113"/>
      <c r="Q377" s="113"/>
      <c r="R377" s="113"/>
      <c r="T377" s="113"/>
      <c r="U377" s="113"/>
      <c r="V377" s="113"/>
    </row>
    <row r="378" customFormat="false" ht="15" hidden="false" customHeight="true" outlineLevel="0" collapsed="false">
      <c r="H378" s="113"/>
      <c r="I378" s="113"/>
      <c r="J378" s="113"/>
      <c r="L378" s="113"/>
      <c r="M378" s="113"/>
      <c r="N378" s="113"/>
      <c r="P378" s="113"/>
      <c r="Q378" s="113"/>
      <c r="R378" s="113"/>
      <c r="T378" s="113"/>
      <c r="U378" s="113"/>
      <c r="V378" s="113"/>
    </row>
    <row r="379" customFormat="false" ht="15" hidden="false" customHeight="true" outlineLevel="0" collapsed="false">
      <c r="H379" s="113"/>
      <c r="I379" s="113"/>
      <c r="J379" s="113"/>
      <c r="L379" s="113"/>
      <c r="M379" s="113"/>
      <c r="N379" s="113"/>
      <c r="P379" s="113"/>
      <c r="Q379" s="113"/>
      <c r="R379" s="113"/>
      <c r="T379" s="113"/>
      <c r="U379" s="113"/>
      <c r="V379" s="113"/>
    </row>
    <row r="380" customFormat="false" ht="15" hidden="false" customHeight="true" outlineLevel="0" collapsed="false">
      <c r="H380" s="113"/>
      <c r="I380" s="113"/>
      <c r="J380" s="113"/>
      <c r="L380" s="113"/>
      <c r="M380" s="113"/>
      <c r="N380" s="113"/>
      <c r="P380" s="113"/>
      <c r="Q380" s="113"/>
      <c r="R380" s="113"/>
      <c r="T380" s="113"/>
      <c r="U380" s="113"/>
      <c r="V380" s="113"/>
    </row>
    <row r="381" customFormat="false" ht="15" hidden="false" customHeight="true" outlineLevel="0" collapsed="false">
      <c r="H381" s="113"/>
      <c r="I381" s="113"/>
      <c r="J381" s="113"/>
      <c r="L381" s="113"/>
      <c r="M381" s="113"/>
      <c r="N381" s="113"/>
      <c r="P381" s="113"/>
      <c r="Q381" s="113"/>
      <c r="R381" s="113"/>
      <c r="T381" s="113"/>
      <c r="U381" s="113"/>
      <c r="V381" s="113"/>
    </row>
    <row r="382" customFormat="false" ht="15" hidden="false" customHeight="true" outlineLevel="0" collapsed="false">
      <c r="H382" s="113"/>
      <c r="I382" s="113"/>
      <c r="J382" s="113"/>
      <c r="L382" s="113"/>
      <c r="M382" s="113"/>
      <c r="N382" s="113"/>
      <c r="P382" s="113"/>
      <c r="Q382" s="113"/>
      <c r="R382" s="113"/>
      <c r="T382" s="113"/>
      <c r="U382" s="113"/>
      <c r="V382" s="113"/>
    </row>
    <row r="383" customFormat="false" ht="15" hidden="false" customHeight="true" outlineLevel="0" collapsed="false">
      <c r="H383" s="113"/>
      <c r="I383" s="113"/>
      <c r="J383" s="113"/>
      <c r="L383" s="113"/>
      <c r="M383" s="113"/>
      <c r="N383" s="113"/>
      <c r="P383" s="113"/>
      <c r="Q383" s="113"/>
      <c r="R383" s="113"/>
      <c r="T383" s="113"/>
      <c r="U383" s="113"/>
      <c r="V383" s="113"/>
    </row>
    <row r="384" customFormat="false" ht="15" hidden="false" customHeight="true" outlineLevel="0" collapsed="false">
      <c r="H384" s="113"/>
      <c r="I384" s="113"/>
      <c r="J384" s="113"/>
      <c r="L384" s="113"/>
      <c r="M384" s="113"/>
      <c r="N384" s="113"/>
      <c r="P384" s="113"/>
      <c r="Q384" s="113"/>
      <c r="R384" s="113"/>
      <c r="T384" s="113"/>
      <c r="U384" s="113"/>
      <c r="V384" s="113"/>
    </row>
    <row r="385" customFormat="false" ht="15" hidden="false" customHeight="true" outlineLevel="0" collapsed="false">
      <c r="H385" s="113"/>
      <c r="I385" s="113"/>
      <c r="J385" s="113"/>
      <c r="L385" s="113"/>
      <c r="M385" s="113"/>
      <c r="N385" s="113"/>
      <c r="P385" s="113"/>
      <c r="Q385" s="113"/>
      <c r="R385" s="113"/>
      <c r="T385" s="113"/>
      <c r="U385" s="113"/>
      <c r="V385" s="113"/>
    </row>
    <row r="386" customFormat="false" ht="15" hidden="false" customHeight="true" outlineLevel="0" collapsed="false">
      <c r="H386" s="113"/>
      <c r="I386" s="113"/>
      <c r="J386" s="113"/>
      <c r="L386" s="113"/>
      <c r="M386" s="113"/>
      <c r="N386" s="113"/>
      <c r="P386" s="113"/>
      <c r="Q386" s="113"/>
      <c r="R386" s="113"/>
      <c r="T386" s="113"/>
      <c r="U386" s="113"/>
      <c r="V386" s="113"/>
    </row>
    <row r="387" customFormat="false" ht="15" hidden="false" customHeight="true" outlineLevel="0" collapsed="false">
      <c r="H387" s="113"/>
      <c r="I387" s="113"/>
      <c r="J387" s="113"/>
      <c r="L387" s="113"/>
      <c r="M387" s="113"/>
      <c r="N387" s="113"/>
      <c r="P387" s="113"/>
      <c r="Q387" s="113"/>
      <c r="R387" s="113"/>
      <c r="T387" s="113"/>
      <c r="U387" s="113"/>
      <c r="V387" s="113"/>
    </row>
    <row r="388" customFormat="false" ht="15" hidden="false" customHeight="true" outlineLevel="0" collapsed="false">
      <c r="H388" s="113"/>
      <c r="I388" s="113"/>
      <c r="J388" s="113"/>
      <c r="L388" s="113"/>
      <c r="M388" s="113"/>
      <c r="N388" s="113"/>
      <c r="P388" s="113"/>
      <c r="Q388" s="113"/>
      <c r="R388" s="113"/>
      <c r="T388" s="113"/>
      <c r="U388" s="113"/>
      <c r="V388" s="113"/>
    </row>
    <row r="389" customFormat="false" ht="15" hidden="false" customHeight="true" outlineLevel="0" collapsed="false">
      <c r="H389" s="113"/>
      <c r="I389" s="113"/>
      <c r="J389" s="113"/>
      <c r="L389" s="113"/>
      <c r="M389" s="113"/>
      <c r="N389" s="113"/>
      <c r="P389" s="113"/>
      <c r="Q389" s="113"/>
      <c r="R389" s="113"/>
      <c r="T389" s="113"/>
      <c r="U389" s="113"/>
      <c r="V389" s="113"/>
    </row>
    <row r="390" customFormat="false" ht="15" hidden="false" customHeight="true" outlineLevel="0" collapsed="false">
      <c r="H390" s="113"/>
      <c r="I390" s="113"/>
      <c r="J390" s="113"/>
      <c r="L390" s="113"/>
      <c r="M390" s="113"/>
      <c r="N390" s="113"/>
      <c r="P390" s="113"/>
      <c r="Q390" s="113"/>
      <c r="R390" s="113"/>
      <c r="T390" s="113"/>
      <c r="U390" s="113"/>
      <c r="V390" s="113"/>
    </row>
    <row r="391" customFormat="false" ht="15" hidden="false" customHeight="true" outlineLevel="0" collapsed="false">
      <c r="H391" s="113"/>
      <c r="I391" s="113"/>
      <c r="J391" s="113"/>
      <c r="L391" s="113"/>
      <c r="M391" s="113"/>
      <c r="N391" s="113"/>
      <c r="P391" s="113"/>
      <c r="Q391" s="113"/>
      <c r="R391" s="113"/>
      <c r="T391" s="113"/>
      <c r="U391" s="113"/>
      <c r="V391" s="113"/>
    </row>
    <row r="392" customFormat="false" ht="15" hidden="false" customHeight="true" outlineLevel="0" collapsed="false">
      <c r="H392" s="113"/>
      <c r="I392" s="113"/>
      <c r="J392" s="113"/>
      <c r="L392" s="113"/>
      <c r="M392" s="113"/>
      <c r="N392" s="113"/>
      <c r="P392" s="113"/>
      <c r="Q392" s="113"/>
      <c r="R392" s="113"/>
      <c r="T392" s="113"/>
      <c r="U392" s="113"/>
      <c r="V392" s="113"/>
    </row>
    <row r="393" customFormat="false" ht="15" hidden="false" customHeight="true" outlineLevel="0" collapsed="false">
      <c r="H393" s="113"/>
      <c r="I393" s="113"/>
      <c r="J393" s="113"/>
      <c r="L393" s="113"/>
      <c r="M393" s="113"/>
      <c r="N393" s="113"/>
      <c r="P393" s="113"/>
      <c r="Q393" s="113"/>
      <c r="R393" s="113"/>
      <c r="T393" s="113"/>
      <c r="U393" s="113"/>
      <c r="V393" s="113"/>
    </row>
    <row r="394" customFormat="false" ht="15" hidden="false" customHeight="true" outlineLevel="0" collapsed="false">
      <c r="H394" s="113"/>
      <c r="I394" s="113"/>
      <c r="J394" s="113"/>
      <c r="L394" s="113"/>
      <c r="M394" s="113"/>
      <c r="N394" s="113"/>
      <c r="P394" s="113"/>
      <c r="Q394" s="113"/>
      <c r="R394" s="113"/>
      <c r="T394" s="113"/>
      <c r="U394" s="113"/>
      <c r="V394" s="113"/>
    </row>
    <row r="395" customFormat="false" ht="15" hidden="false" customHeight="true" outlineLevel="0" collapsed="false">
      <c r="H395" s="113"/>
      <c r="I395" s="113"/>
      <c r="J395" s="113"/>
      <c r="L395" s="113"/>
      <c r="M395" s="113"/>
      <c r="N395" s="113"/>
      <c r="P395" s="113"/>
      <c r="Q395" s="113"/>
      <c r="R395" s="113"/>
      <c r="T395" s="113"/>
      <c r="U395" s="113"/>
      <c r="V395" s="113"/>
    </row>
    <row r="396" customFormat="false" ht="15" hidden="false" customHeight="true" outlineLevel="0" collapsed="false">
      <c r="H396" s="113"/>
      <c r="I396" s="113"/>
      <c r="J396" s="113"/>
      <c r="L396" s="113"/>
      <c r="M396" s="113"/>
      <c r="N396" s="113"/>
      <c r="P396" s="113"/>
      <c r="Q396" s="113"/>
      <c r="R396" s="113"/>
      <c r="T396" s="113"/>
      <c r="U396" s="113"/>
      <c r="V396" s="113"/>
    </row>
    <row r="397" customFormat="false" ht="15" hidden="false" customHeight="true" outlineLevel="0" collapsed="false">
      <c r="H397" s="113"/>
      <c r="I397" s="113"/>
      <c r="J397" s="113"/>
      <c r="L397" s="113"/>
      <c r="M397" s="113"/>
      <c r="N397" s="113"/>
      <c r="P397" s="113"/>
      <c r="Q397" s="113"/>
      <c r="R397" s="113"/>
      <c r="T397" s="113"/>
      <c r="U397" s="113"/>
      <c r="V397" s="113"/>
    </row>
    <row r="398" customFormat="false" ht="15" hidden="false" customHeight="true" outlineLevel="0" collapsed="false">
      <c r="H398" s="113"/>
      <c r="I398" s="113"/>
      <c r="J398" s="113"/>
      <c r="L398" s="113"/>
      <c r="M398" s="113"/>
      <c r="N398" s="113"/>
      <c r="P398" s="113"/>
      <c r="Q398" s="113"/>
      <c r="R398" s="113"/>
      <c r="T398" s="113"/>
      <c r="U398" s="113"/>
      <c r="V398" s="113"/>
    </row>
    <row r="399" customFormat="false" ht="15" hidden="false" customHeight="true" outlineLevel="0" collapsed="false">
      <c r="H399" s="113"/>
      <c r="I399" s="113"/>
      <c r="J399" s="113"/>
      <c r="L399" s="113"/>
      <c r="M399" s="113"/>
      <c r="N399" s="113"/>
      <c r="P399" s="113"/>
      <c r="Q399" s="113"/>
      <c r="R399" s="113"/>
      <c r="T399" s="113"/>
      <c r="U399" s="113"/>
      <c r="V399" s="113"/>
    </row>
    <row r="400" customFormat="false" ht="15" hidden="false" customHeight="true" outlineLevel="0" collapsed="false">
      <c r="H400" s="113"/>
      <c r="I400" s="113"/>
      <c r="J400" s="113"/>
      <c r="L400" s="113"/>
      <c r="M400" s="113"/>
      <c r="N400" s="113"/>
      <c r="P400" s="113"/>
      <c r="Q400" s="113"/>
      <c r="R400" s="113"/>
      <c r="T400" s="113"/>
      <c r="U400" s="113"/>
      <c r="V400" s="113"/>
    </row>
    <row r="401" customFormat="false" ht="15" hidden="false" customHeight="true" outlineLevel="0" collapsed="false">
      <c r="H401" s="113"/>
      <c r="I401" s="113"/>
      <c r="J401" s="113"/>
      <c r="L401" s="113"/>
      <c r="M401" s="113"/>
      <c r="N401" s="113"/>
      <c r="P401" s="113"/>
      <c r="Q401" s="113"/>
      <c r="R401" s="113"/>
      <c r="T401" s="113"/>
      <c r="U401" s="113"/>
      <c r="V401" s="113"/>
    </row>
    <row r="402" customFormat="false" ht="15" hidden="false" customHeight="true" outlineLevel="0" collapsed="false">
      <c r="H402" s="113"/>
      <c r="I402" s="113"/>
      <c r="J402" s="113"/>
      <c r="L402" s="113"/>
      <c r="M402" s="113"/>
      <c r="N402" s="113"/>
      <c r="P402" s="113"/>
      <c r="Q402" s="113"/>
      <c r="R402" s="113"/>
      <c r="T402" s="113"/>
      <c r="U402" s="113"/>
      <c r="V402" s="113"/>
    </row>
    <row r="403" customFormat="false" ht="15" hidden="false" customHeight="true" outlineLevel="0" collapsed="false">
      <c r="H403" s="113"/>
      <c r="I403" s="113"/>
      <c r="J403" s="113"/>
      <c r="L403" s="113"/>
      <c r="M403" s="113"/>
      <c r="N403" s="113"/>
      <c r="P403" s="113"/>
      <c r="Q403" s="113"/>
      <c r="R403" s="113"/>
      <c r="T403" s="113"/>
      <c r="U403" s="113"/>
      <c r="V403" s="113"/>
    </row>
    <row r="404" customFormat="false" ht="15" hidden="false" customHeight="true" outlineLevel="0" collapsed="false">
      <c r="H404" s="113"/>
      <c r="I404" s="113"/>
      <c r="J404" s="113"/>
      <c r="L404" s="113"/>
      <c r="M404" s="113"/>
      <c r="N404" s="113"/>
      <c r="P404" s="113"/>
      <c r="Q404" s="113"/>
      <c r="R404" s="113"/>
      <c r="T404" s="113"/>
      <c r="U404" s="113"/>
      <c r="V404" s="113"/>
    </row>
    <row r="405" customFormat="false" ht="15" hidden="false" customHeight="true" outlineLevel="0" collapsed="false">
      <c r="H405" s="113"/>
      <c r="I405" s="113"/>
      <c r="J405" s="113"/>
      <c r="L405" s="113"/>
      <c r="M405" s="113"/>
      <c r="N405" s="113"/>
      <c r="P405" s="113"/>
      <c r="Q405" s="113"/>
      <c r="R405" s="113"/>
      <c r="T405" s="113"/>
      <c r="U405" s="113"/>
      <c r="V405" s="113"/>
    </row>
    <row r="406" customFormat="false" ht="15" hidden="false" customHeight="true" outlineLevel="0" collapsed="false">
      <c r="H406" s="113"/>
      <c r="I406" s="113"/>
      <c r="J406" s="113"/>
      <c r="L406" s="113"/>
      <c r="M406" s="113"/>
      <c r="N406" s="113"/>
      <c r="P406" s="113"/>
      <c r="Q406" s="113"/>
      <c r="R406" s="113"/>
      <c r="T406" s="113"/>
      <c r="U406" s="113"/>
      <c r="V406" s="113"/>
    </row>
    <row r="407" customFormat="false" ht="15" hidden="false" customHeight="true" outlineLevel="0" collapsed="false">
      <c r="H407" s="113"/>
      <c r="I407" s="113"/>
      <c r="J407" s="113"/>
      <c r="L407" s="113"/>
      <c r="M407" s="113"/>
      <c r="N407" s="113"/>
      <c r="P407" s="113"/>
      <c r="Q407" s="113"/>
      <c r="R407" s="113"/>
      <c r="T407" s="113"/>
      <c r="U407" s="113"/>
      <c r="V407" s="113"/>
    </row>
    <row r="408" customFormat="false" ht="15" hidden="false" customHeight="true" outlineLevel="0" collapsed="false">
      <c r="H408" s="113"/>
      <c r="I408" s="113"/>
      <c r="J408" s="113"/>
      <c r="L408" s="113"/>
      <c r="M408" s="113"/>
      <c r="N408" s="113"/>
      <c r="P408" s="113"/>
      <c r="Q408" s="113"/>
      <c r="R408" s="113"/>
      <c r="T408" s="113"/>
      <c r="U408" s="113"/>
      <c r="V408" s="113"/>
    </row>
    <row r="409" customFormat="false" ht="15" hidden="false" customHeight="true" outlineLevel="0" collapsed="false">
      <c r="H409" s="113"/>
      <c r="I409" s="113"/>
      <c r="J409" s="113"/>
      <c r="L409" s="113"/>
      <c r="M409" s="113"/>
      <c r="N409" s="113"/>
      <c r="P409" s="113"/>
      <c r="Q409" s="113"/>
      <c r="R409" s="113"/>
      <c r="T409" s="113"/>
      <c r="U409" s="113"/>
      <c r="V409" s="113"/>
    </row>
    <row r="410" customFormat="false" ht="15" hidden="false" customHeight="true" outlineLevel="0" collapsed="false">
      <c r="H410" s="113"/>
      <c r="I410" s="113"/>
      <c r="J410" s="113"/>
      <c r="L410" s="113"/>
      <c r="M410" s="113"/>
      <c r="N410" s="113"/>
      <c r="P410" s="113"/>
      <c r="Q410" s="113"/>
      <c r="R410" s="113"/>
      <c r="T410" s="113"/>
      <c r="U410" s="113"/>
      <c r="V410" s="113"/>
    </row>
    <row r="411" customFormat="false" ht="15" hidden="false" customHeight="true" outlineLevel="0" collapsed="false">
      <c r="H411" s="113"/>
      <c r="I411" s="113"/>
      <c r="J411" s="113"/>
      <c r="L411" s="113"/>
      <c r="M411" s="113"/>
      <c r="N411" s="113"/>
      <c r="P411" s="113"/>
      <c r="Q411" s="113"/>
      <c r="R411" s="113"/>
      <c r="T411" s="113"/>
      <c r="U411" s="113"/>
      <c r="V411" s="113"/>
    </row>
    <row r="412" customFormat="false" ht="15" hidden="false" customHeight="true" outlineLevel="0" collapsed="false">
      <c r="H412" s="113"/>
      <c r="I412" s="113"/>
      <c r="J412" s="113"/>
      <c r="L412" s="113"/>
      <c r="M412" s="113"/>
      <c r="N412" s="113"/>
      <c r="P412" s="113"/>
      <c r="Q412" s="113"/>
      <c r="R412" s="113"/>
      <c r="T412" s="113"/>
      <c r="U412" s="113"/>
      <c r="V412" s="113"/>
    </row>
    <row r="413" customFormat="false" ht="15" hidden="false" customHeight="true" outlineLevel="0" collapsed="false">
      <c r="H413" s="113"/>
      <c r="I413" s="113"/>
      <c r="J413" s="113"/>
      <c r="L413" s="113"/>
      <c r="M413" s="113"/>
      <c r="N413" s="113"/>
      <c r="P413" s="113"/>
      <c r="Q413" s="113"/>
      <c r="R413" s="113"/>
      <c r="T413" s="113"/>
      <c r="U413" s="113"/>
      <c r="V413" s="113"/>
    </row>
    <row r="414" customFormat="false" ht="15" hidden="false" customHeight="true" outlineLevel="0" collapsed="false">
      <c r="H414" s="113"/>
      <c r="I414" s="113"/>
      <c r="J414" s="113"/>
      <c r="L414" s="113"/>
      <c r="M414" s="113"/>
      <c r="N414" s="113"/>
      <c r="P414" s="113"/>
      <c r="Q414" s="113"/>
      <c r="R414" s="113"/>
      <c r="T414" s="113"/>
      <c r="U414" s="113"/>
      <c r="V414" s="113"/>
    </row>
    <row r="415" customFormat="false" ht="15" hidden="false" customHeight="true" outlineLevel="0" collapsed="false">
      <c r="H415" s="113"/>
      <c r="I415" s="113"/>
      <c r="J415" s="113"/>
      <c r="L415" s="113"/>
      <c r="M415" s="113"/>
      <c r="N415" s="113"/>
      <c r="P415" s="113"/>
      <c r="Q415" s="113"/>
      <c r="R415" s="113"/>
      <c r="T415" s="113"/>
      <c r="U415" s="113"/>
      <c r="V415" s="113"/>
    </row>
    <row r="416" customFormat="false" ht="15" hidden="false" customHeight="true" outlineLevel="0" collapsed="false">
      <c r="H416" s="113"/>
      <c r="I416" s="113"/>
      <c r="J416" s="113"/>
      <c r="L416" s="113"/>
      <c r="M416" s="113"/>
      <c r="N416" s="113"/>
      <c r="P416" s="113"/>
      <c r="Q416" s="113"/>
      <c r="R416" s="113"/>
      <c r="T416" s="113"/>
      <c r="U416" s="113"/>
      <c r="V416" s="113"/>
    </row>
    <row r="417" customFormat="false" ht="15" hidden="false" customHeight="true" outlineLevel="0" collapsed="false">
      <c r="H417" s="113"/>
      <c r="I417" s="113"/>
      <c r="J417" s="113"/>
      <c r="L417" s="113"/>
      <c r="M417" s="113"/>
      <c r="N417" s="113"/>
      <c r="P417" s="113"/>
      <c r="Q417" s="113"/>
      <c r="R417" s="113"/>
      <c r="T417" s="113"/>
      <c r="U417" s="113"/>
      <c r="V417" s="113"/>
    </row>
    <row r="418" customFormat="false" ht="15" hidden="false" customHeight="true" outlineLevel="0" collapsed="false">
      <c r="H418" s="113"/>
      <c r="I418" s="113"/>
      <c r="J418" s="113"/>
      <c r="L418" s="113"/>
      <c r="M418" s="113"/>
      <c r="N418" s="113"/>
      <c r="P418" s="113"/>
      <c r="Q418" s="113"/>
      <c r="R418" s="113"/>
      <c r="T418" s="113"/>
      <c r="U418" s="113"/>
      <c r="V418" s="113"/>
    </row>
    <row r="419" customFormat="false" ht="15" hidden="false" customHeight="true" outlineLevel="0" collapsed="false">
      <c r="H419" s="113"/>
      <c r="I419" s="113"/>
      <c r="J419" s="113"/>
      <c r="L419" s="113"/>
      <c r="M419" s="113"/>
      <c r="N419" s="113"/>
      <c r="P419" s="113"/>
      <c r="Q419" s="113"/>
      <c r="R419" s="113"/>
      <c r="T419" s="113"/>
      <c r="U419" s="113"/>
      <c r="V419" s="113"/>
    </row>
    <row r="420" customFormat="false" ht="15" hidden="false" customHeight="true" outlineLevel="0" collapsed="false">
      <c r="H420" s="113"/>
      <c r="I420" s="113"/>
      <c r="J420" s="113"/>
      <c r="L420" s="113"/>
      <c r="M420" s="113"/>
      <c r="N420" s="113"/>
      <c r="P420" s="113"/>
      <c r="Q420" s="113"/>
      <c r="R420" s="113"/>
      <c r="T420" s="113"/>
      <c r="U420" s="113"/>
      <c r="V420" s="113"/>
    </row>
    <row r="421" customFormat="false" ht="15" hidden="false" customHeight="true" outlineLevel="0" collapsed="false">
      <c r="H421" s="113"/>
      <c r="I421" s="113"/>
      <c r="J421" s="113"/>
      <c r="L421" s="113"/>
      <c r="M421" s="113"/>
      <c r="N421" s="113"/>
      <c r="P421" s="113"/>
      <c r="Q421" s="113"/>
      <c r="R421" s="113"/>
      <c r="T421" s="113"/>
      <c r="U421" s="113"/>
      <c r="V421" s="113"/>
    </row>
    <row r="422" customFormat="false" ht="15" hidden="false" customHeight="true" outlineLevel="0" collapsed="false">
      <c r="H422" s="113"/>
      <c r="I422" s="113"/>
      <c r="J422" s="113"/>
      <c r="L422" s="113"/>
      <c r="M422" s="113"/>
      <c r="N422" s="113"/>
      <c r="P422" s="113"/>
      <c r="Q422" s="113"/>
      <c r="R422" s="113"/>
      <c r="T422" s="113"/>
      <c r="U422" s="113"/>
      <c r="V422" s="113"/>
    </row>
    <row r="423" customFormat="false" ht="15" hidden="false" customHeight="true" outlineLevel="0" collapsed="false">
      <c r="H423" s="113"/>
      <c r="I423" s="113"/>
      <c r="J423" s="113"/>
      <c r="L423" s="113"/>
      <c r="M423" s="113"/>
      <c r="N423" s="113"/>
      <c r="P423" s="113"/>
      <c r="Q423" s="113"/>
      <c r="R423" s="113"/>
      <c r="T423" s="113"/>
      <c r="U423" s="113"/>
      <c r="V423" s="113"/>
    </row>
    <row r="424" customFormat="false" ht="15" hidden="false" customHeight="true" outlineLevel="0" collapsed="false">
      <c r="H424" s="113"/>
      <c r="I424" s="113"/>
      <c r="J424" s="113"/>
      <c r="L424" s="113"/>
      <c r="M424" s="113"/>
      <c r="N424" s="113"/>
      <c r="P424" s="113"/>
      <c r="Q424" s="113"/>
      <c r="R424" s="113"/>
      <c r="T424" s="113"/>
      <c r="U424" s="113"/>
      <c r="V424" s="113"/>
    </row>
    <row r="425" customFormat="false" ht="15" hidden="false" customHeight="true" outlineLevel="0" collapsed="false">
      <c r="H425" s="113"/>
      <c r="I425" s="113"/>
      <c r="J425" s="113"/>
      <c r="L425" s="113"/>
      <c r="M425" s="113"/>
      <c r="N425" s="113"/>
      <c r="P425" s="113"/>
      <c r="Q425" s="113"/>
      <c r="R425" s="113"/>
      <c r="T425" s="113"/>
      <c r="U425" s="113"/>
      <c r="V425" s="113"/>
    </row>
    <row r="426" customFormat="false" ht="15" hidden="false" customHeight="true" outlineLevel="0" collapsed="false">
      <c r="H426" s="113"/>
      <c r="I426" s="113"/>
      <c r="J426" s="113"/>
      <c r="L426" s="113"/>
      <c r="M426" s="113"/>
      <c r="N426" s="113"/>
      <c r="P426" s="113"/>
      <c r="Q426" s="113"/>
      <c r="R426" s="113"/>
      <c r="T426" s="113"/>
      <c r="U426" s="113"/>
      <c r="V426" s="113"/>
    </row>
    <row r="427" customFormat="false" ht="15" hidden="false" customHeight="true" outlineLevel="0" collapsed="false">
      <c r="H427" s="113"/>
      <c r="I427" s="113"/>
      <c r="J427" s="113"/>
      <c r="L427" s="113"/>
      <c r="M427" s="113"/>
      <c r="N427" s="113"/>
      <c r="P427" s="113"/>
      <c r="Q427" s="113"/>
      <c r="R427" s="113"/>
      <c r="T427" s="113"/>
      <c r="U427" s="113"/>
      <c r="V427" s="113"/>
    </row>
    <row r="428" customFormat="false" ht="15" hidden="false" customHeight="true" outlineLevel="0" collapsed="false">
      <c r="H428" s="113"/>
      <c r="I428" s="113"/>
      <c r="J428" s="113"/>
      <c r="L428" s="113"/>
      <c r="M428" s="113"/>
      <c r="N428" s="113"/>
      <c r="P428" s="113"/>
      <c r="Q428" s="113"/>
      <c r="R428" s="113"/>
      <c r="T428" s="113"/>
      <c r="U428" s="113"/>
      <c r="V428" s="113"/>
    </row>
    <row r="429" customFormat="false" ht="15" hidden="false" customHeight="true" outlineLevel="0" collapsed="false">
      <c r="H429" s="113"/>
      <c r="I429" s="113"/>
      <c r="J429" s="113"/>
      <c r="L429" s="113"/>
      <c r="M429" s="113"/>
      <c r="N429" s="113"/>
      <c r="P429" s="113"/>
      <c r="Q429" s="113"/>
      <c r="R429" s="113"/>
      <c r="T429" s="113"/>
      <c r="U429" s="113"/>
      <c r="V429" s="113"/>
    </row>
    <row r="430" customFormat="false" ht="15" hidden="false" customHeight="true" outlineLevel="0" collapsed="false">
      <c r="H430" s="113"/>
      <c r="I430" s="113"/>
      <c r="J430" s="113"/>
      <c r="L430" s="113"/>
      <c r="M430" s="113"/>
      <c r="N430" s="113"/>
      <c r="P430" s="113"/>
      <c r="Q430" s="113"/>
      <c r="R430" s="113"/>
      <c r="T430" s="113"/>
      <c r="U430" s="113"/>
      <c r="V430" s="113"/>
    </row>
    <row r="431" customFormat="false" ht="15" hidden="false" customHeight="true" outlineLevel="0" collapsed="false">
      <c r="H431" s="113"/>
      <c r="I431" s="113"/>
      <c r="J431" s="113"/>
      <c r="L431" s="113"/>
      <c r="M431" s="113"/>
      <c r="N431" s="113"/>
      <c r="P431" s="113"/>
      <c r="Q431" s="113"/>
      <c r="R431" s="113"/>
      <c r="T431" s="113"/>
      <c r="U431" s="113"/>
      <c r="V431" s="113"/>
    </row>
    <row r="432" customFormat="false" ht="15" hidden="false" customHeight="true" outlineLevel="0" collapsed="false">
      <c r="H432" s="113"/>
      <c r="I432" s="113"/>
      <c r="J432" s="113"/>
      <c r="L432" s="113"/>
      <c r="M432" s="113"/>
      <c r="N432" s="113"/>
      <c r="P432" s="113"/>
      <c r="Q432" s="113"/>
      <c r="R432" s="113"/>
      <c r="T432" s="113"/>
      <c r="U432" s="113"/>
      <c r="V432" s="113"/>
    </row>
    <row r="433" customFormat="false" ht="15" hidden="false" customHeight="true" outlineLevel="0" collapsed="false">
      <c r="H433" s="113"/>
      <c r="I433" s="113"/>
      <c r="J433" s="113"/>
      <c r="L433" s="113"/>
      <c r="M433" s="113"/>
      <c r="N433" s="113"/>
      <c r="P433" s="113"/>
      <c r="Q433" s="113"/>
      <c r="R433" s="113"/>
      <c r="T433" s="113"/>
      <c r="U433" s="113"/>
      <c r="V433" s="113"/>
    </row>
    <row r="434" customFormat="false" ht="15" hidden="false" customHeight="true" outlineLevel="0" collapsed="false">
      <c r="H434" s="113"/>
      <c r="I434" s="113"/>
      <c r="J434" s="113"/>
      <c r="L434" s="113"/>
      <c r="M434" s="113"/>
      <c r="N434" s="113"/>
      <c r="P434" s="113"/>
      <c r="Q434" s="113"/>
      <c r="R434" s="113"/>
      <c r="T434" s="113"/>
      <c r="U434" s="113"/>
      <c r="V434" s="113"/>
    </row>
    <row r="435" customFormat="false" ht="15" hidden="false" customHeight="true" outlineLevel="0" collapsed="false">
      <c r="H435" s="113"/>
      <c r="I435" s="113"/>
      <c r="J435" s="113"/>
      <c r="L435" s="113"/>
      <c r="M435" s="113"/>
      <c r="N435" s="113"/>
      <c r="P435" s="113"/>
      <c r="Q435" s="113"/>
      <c r="R435" s="113"/>
      <c r="T435" s="113"/>
      <c r="U435" s="113"/>
      <c r="V435" s="113"/>
    </row>
    <row r="436" customFormat="false" ht="15" hidden="false" customHeight="true" outlineLevel="0" collapsed="false">
      <c r="H436" s="113"/>
      <c r="I436" s="113"/>
      <c r="J436" s="113"/>
      <c r="L436" s="113"/>
      <c r="M436" s="113"/>
      <c r="N436" s="113"/>
      <c r="P436" s="113"/>
      <c r="Q436" s="113"/>
      <c r="R436" s="113"/>
      <c r="T436" s="113"/>
      <c r="U436" s="113"/>
      <c r="V436" s="113"/>
    </row>
    <row r="437" customFormat="false" ht="15" hidden="false" customHeight="true" outlineLevel="0" collapsed="false">
      <c r="H437" s="113"/>
      <c r="I437" s="113"/>
      <c r="J437" s="113"/>
      <c r="L437" s="113"/>
      <c r="M437" s="113"/>
      <c r="N437" s="113"/>
      <c r="P437" s="113"/>
      <c r="Q437" s="113"/>
      <c r="R437" s="113"/>
      <c r="T437" s="113"/>
      <c r="U437" s="113"/>
      <c r="V437" s="113"/>
    </row>
    <row r="438" customFormat="false" ht="15" hidden="false" customHeight="true" outlineLevel="0" collapsed="false">
      <c r="H438" s="113"/>
      <c r="I438" s="113"/>
      <c r="J438" s="113"/>
      <c r="L438" s="113"/>
      <c r="M438" s="113"/>
      <c r="N438" s="113"/>
      <c r="P438" s="113"/>
      <c r="Q438" s="113"/>
      <c r="R438" s="113"/>
      <c r="T438" s="113"/>
      <c r="U438" s="113"/>
      <c r="V438" s="113"/>
    </row>
    <row r="439" customFormat="false" ht="15" hidden="false" customHeight="true" outlineLevel="0" collapsed="false">
      <c r="H439" s="113"/>
      <c r="I439" s="113"/>
      <c r="J439" s="113"/>
      <c r="L439" s="113"/>
      <c r="M439" s="113"/>
      <c r="N439" s="113"/>
      <c r="P439" s="113"/>
      <c r="Q439" s="113"/>
      <c r="R439" s="113"/>
      <c r="T439" s="113"/>
      <c r="U439" s="113"/>
      <c r="V439" s="113"/>
    </row>
    <row r="440" customFormat="false" ht="15" hidden="false" customHeight="true" outlineLevel="0" collapsed="false">
      <c r="H440" s="113"/>
      <c r="I440" s="113"/>
      <c r="J440" s="113"/>
      <c r="L440" s="113"/>
      <c r="M440" s="113"/>
      <c r="N440" s="113"/>
      <c r="P440" s="113"/>
      <c r="Q440" s="113"/>
      <c r="R440" s="113"/>
      <c r="T440" s="113"/>
      <c r="U440" s="113"/>
      <c r="V440" s="113"/>
    </row>
    <row r="441" customFormat="false" ht="15" hidden="false" customHeight="true" outlineLevel="0" collapsed="false">
      <c r="H441" s="113"/>
      <c r="I441" s="113"/>
      <c r="J441" s="113"/>
      <c r="L441" s="113"/>
      <c r="M441" s="113"/>
      <c r="N441" s="113"/>
      <c r="P441" s="113"/>
      <c r="Q441" s="113"/>
      <c r="R441" s="113"/>
      <c r="T441" s="113"/>
      <c r="U441" s="113"/>
      <c r="V441" s="113"/>
    </row>
    <row r="442" customFormat="false" ht="15" hidden="false" customHeight="true" outlineLevel="0" collapsed="false">
      <c r="H442" s="113"/>
      <c r="I442" s="113"/>
      <c r="J442" s="113"/>
      <c r="L442" s="113"/>
      <c r="M442" s="113"/>
      <c r="N442" s="113"/>
      <c r="P442" s="113"/>
      <c r="Q442" s="113"/>
      <c r="R442" s="113"/>
      <c r="T442" s="113"/>
      <c r="U442" s="113"/>
      <c r="V442" s="113"/>
    </row>
    <row r="443" customFormat="false" ht="15" hidden="false" customHeight="true" outlineLevel="0" collapsed="false">
      <c r="H443" s="113"/>
      <c r="I443" s="113"/>
      <c r="J443" s="113"/>
      <c r="L443" s="113"/>
      <c r="M443" s="113"/>
      <c r="N443" s="113"/>
      <c r="P443" s="113"/>
      <c r="Q443" s="113"/>
      <c r="R443" s="113"/>
      <c r="T443" s="113"/>
      <c r="U443" s="113"/>
      <c r="V443" s="113"/>
    </row>
    <row r="444" customFormat="false" ht="15" hidden="false" customHeight="true" outlineLevel="0" collapsed="false">
      <c r="H444" s="113"/>
      <c r="I444" s="113"/>
      <c r="J444" s="113"/>
      <c r="L444" s="113"/>
      <c r="M444" s="113"/>
      <c r="N444" s="113"/>
      <c r="P444" s="113"/>
      <c r="Q444" s="113"/>
      <c r="R444" s="113"/>
      <c r="T444" s="113"/>
      <c r="U444" s="113"/>
      <c r="V444" s="113"/>
    </row>
    <row r="445" customFormat="false" ht="15" hidden="false" customHeight="true" outlineLevel="0" collapsed="false">
      <c r="H445" s="113"/>
      <c r="I445" s="113"/>
      <c r="J445" s="113"/>
      <c r="L445" s="113"/>
      <c r="M445" s="113"/>
      <c r="N445" s="113"/>
      <c r="P445" s="113"/>
      <c r="Q445" s="113"/>
      <c r="R445" s="113"/>
      <c r="T445" s="113"/>
      <c r="U445" s="113"/>
      <c r="V445" s="113"/>
    </row>
    <row r="446" customFormat="false" ht="15" hidden="false" customHeight="true" outlineLevel="0" collapsed="false">
      <c r="H446" s="113"/>
      <c r="I446" s="113"/>
      <c r="J446" s="113"/>
      <c r="L446" s="113"/>
      <c r="M446" s="113"/>
      <c r="N446" s="113"/>
      <c r="P446" s="113"/>
      <c r="Q446" s="113"/>
      <c r="R446" s="113"/>
      <c r="T446" s="113"/>
      <c r="U446" s="113"/>
      <c r="V446" s="113"/>
    </row>
    <row r="447" customFormat="false" ht="15" hidden="false" customHeight="true" outlineLevel="0" collapsed="false">
      <c r="H447" s="113"/>
      <c r="I447" s="113"/>
      <c r="J447" s="113"/>
      <c r="L447" s="113"/>
      <c r="M447" s="113"/>
      <c r="N447" s="113"/>
      <c r="P447" s="113"/>
      <c r="Q447" s="113"/>
      <c r="R447" s="113"/>
      <c r="T447" s="113"/>
      <c r="U447" s="113"/>
      <c r="V447" s="113"/>
    </row>
    <row r="448" customFormat="false" ht="15" hidden="false" customHeight="true" outlineLevel="0" collapsed="false">
      <c r="H448" s="113"/>
      <c r="I448" s="113"/>
      <c r="J448" s="113"/>
      <c r="L448" s="113"/>
      <c r="M448" s="113"/>
      <c r="N448" s="113"/>
      <c r="P448" s="113"/>
      <c r="Q448" s="113"/>
      <c r="R448" s="113"/>
      <c r="T448" s="113"/>
      <c r="U448" s="113"/>
      <c r="V448" s="113"/>
    </row>
    <row r="449" customFormat="false" ht="15" hidden="false" customHeight="true" outlineLevel="0" collapsed="false">
      <c r="H449" s="113"/>
      <c r="I449" s="113"/>
      <c r="J449" s="113"/>
      <c r="L449" s="113"/>
      <c r="M449" s="113"/>
      <c r="N449" s="113"/>
      <c r="P449" s="113"/>
      <c r="Q449" s="113"/>
      <c r="R449" s="113"/>
      <c r="T449" s="113"/>
      <c r="U449" s="113"/>
      <c r="V449" s="113"/>
    </row>
    <row r="450" customFormat="false" ht="15" hidden="false" customHeight="true" outlineLevel="0" collapsed="false">
      <c r="H450" s="113"/>
      <c r="I450" s="113"/>
      <c r="J450" s="113"/>
      <c r="L450" s="113"/>
      <c r="M450" s="113"/>
      <c r="N450" s="113"/>
      <c r="P450" s="113"/>
      <c r="Q450" s="113"/>
      <c r="R450" s="113"/>
      <c r="T450" s="113"/>
      <c r="U450" s="113"/>
      <c r="V450" s="113"/>
    </row>
    <row r="451" customFormat="false" ht="15" hidden="false" customHeight="true" outlineLevel="0" collapsed="false">
      <c r="H451" s="113"/>
      <c r="I451" s="113"/>
      <c r="J451" s="113"/>
      <c r="L451" s="113"/>
      <c r="M451" s="113"/>
      <c r="N451" s="113"/>
      <c r="P451" s="113"/>
      <c r="Q451" s="113"/>
      <c r="R451" s="113"/>
      <c r="T451" s="113"/>
      <c r="U451" s="113"/>
      <c r="V451" s="113"/>
    </row>
    <row r="452" customFormat="false" ht="15" hidden="false" customHeight="true" outlineLevel="0" collapsed="false">
      <c r="H452" s="113"/>
      <c r="I452" s="113"/>
      <c r="J452" s="113"/>
      <c r="L452" s="113"/>
      <c r="M452" s="113"/>
      <c r="N452" s="113"/>
      <c r="P452" s="113"/>
      <c r="Q452" s="113"/>
      <c r="R452" s="113"/>
      <c r="T452" s="113"/>
      <c r="U452" s="113"/>
      <c r="V452" s="113"/>
    </row>
    <row r="453" customFormat="false" ht="15" hidden="false" customHeight="true" outlineLevel="0" collapsed="false">
      <c r="H453" s="113"/>
      <c r="I453" s="113"/>
      <c r="J453" s="113"/>
      <c r="L453" s="113"/>
      <c r="M453" s="113"/>
      <c r="N453" s="113"/>
      <c r="P453" s="113"/>
      <c r="Q453" s="113"/>
      <c r="R453" s="113"/>
      <c r="T453" s="113"/>
      <c r="U453" s="113"/>
      <c r="V453" s="113"/>
    </row>
    <row r="454" customFormat="false" ht="15" hidden="false" customHeight="true" outlineLevel="0" collapsed="false">
      <c r="H454" s="113"/>
      <c r="I454" s="113"/>
      <c r="J454" s="113"/>
      <c r="L454" s="113"/>
      <c r="M454" s="113"/>
      <c r="N454" s="113"/>
      <c r="P454" s="113"/>
      <c r="Q454" s="113"/>
      <c r="R454" s="113"/>
      <c r="T454" s="113"/>
      <c r="U454" s="113"/>
      <c r="V454" s="113"/>
    </row>
    <row r="455" customFormat="false" ht="15" hidden="false" customHeight="true" outlineLevel="0" collapsed="false">
      <c r="H455" s="113"/>
      <c r="I455" s="113"/>
      <c r="J455" s="113"/>
      <c r="L455" s="113"/>
      <c r="M455" s="113"/>
      <c r="N455" s="113"/>
      <c r="P455" s="113"/>
      <c r="Q455" s="113"/>
      <c r="R455" s="113"/>
      <c r="T455" s="113"/>
      <c r="U455" s="113"/>
      <c r="V455" s="113"/>
    </row>
    <row r="456" customFormat="false" ht="15" hidden="false" customHeight="true" outlineLevel="0" collapsed="false">
      <c r="H456" s="113"/>
      <c r="I456" s="113"/>
      <c r="J456" s="113"/>
      <c r="L456" s="113"/>
      <c r="M456" s="113"/>
      <c r="N456" s="113"/>
      <c r="P456" s="113"/>
      <c r="Q456" s="113"/>
      <c r="R456" s="113"/>
      <c r="T456" s="113"/>
      <c r="U456" s="113"/>
      <c r="V456" s="113"/>
    </row>
    <row r="457" customFormat="false" ht="15" hidden="false" customHeight="true" outlineLevel="0" collapsed="false">
      <c r="H457" s="113"/>
      <c r="I457" s="113"/>
      <c r="J457" s="113"/>
      <c r="L457" s="113"/>
      <c r="M457" s="113"/>
      <c r="N457" s="113"/>
      <c r="P457" s="113"/>
      <c r="Q457" s="113"/>
      <c r="R457" s="113"/>
      <c r="T457" s="113"/>
      <c r="U457" s="113"/>
      <c r="V457" s="113"/>
    </row>
    <row r="458" customFormat="false" ht="15" hidden="false" customHeight="true" outlineLevel="0" collapsed="false">
      <c r="H458" s="113"/>
      <c r="I458" s="113"/>
      <c r="J458" s="113"/>
      <c r="L458" s="113"/>
      <c r="M458" s="113"/>
      <c r="N458" s="113"/>
      <c r="P458" s="113"/>
      <c r="Q458" s="113"/>
      <c r="R458" s="113"/>
      <c r="T458" s="113"/>
      <c r="U458" s="113"/>
      <c r="V458" s="113"/>
    </row>
    <row r="459" customFormat="false" ht="15" hidden="false" customHeight="true" outlineLevel="0" collapsed="false">
      <c r="H459" s="113"/>
      <c r="I459" s="113"/>
      <c r="J459" s="113"/>
      <c r="L459" s="113"/>
      <c r="M459" s="113"/>
      <c r="N459" s="113"/>
      <c r="P459" s="113"/>
      <c r="Q459" s="113"/>
      <c r="R459" s="113"/>
      <c r="T459" s="113"/>
      <c r="U459" s="113"/>
      <c r="V459" s="113"/>
    </row>
    <row r="460" customFormat="false" ht="15" hidden="false" customHeight="true" outlineLevel="0" collapsed="false">
      <c r="H460" s="113"/>
      <c r="I460" s="113"/>
      <c r="J460" s="113"/>
      <c r="L460" s="113"/>
      <c r="M460" s="113"/>
      <c r="N460" s="113"/>
      <c r="P460" s="113"/>
      <c r="Q460" s="113"/>
      <c r="R460" s="113"/>
      <c r="T460" s="113"/>
      <c r="U460" s="113"/>
      <c r="V460" s="113"/>
    </row>
    <row r="461" customFormat="false" ht="15" hidden="false" customHeight="true" outlineLevel="0" collapsed="false">
      <c r="H461" s="113"/>
      <c r="I461" s="113"/>
      <c r="J461" s="113"/>
      <c r="L461" s="113"/>
      <c r="M461" s="113"/>
      <c r="N461" s="113"/>
      <c r="P461" s="113"/>
      <c r="Q461" s="113"/>
      <c r="R461" s="113"/>
      <c r="T461" s="113"/>
      <c r="U461" s="113"/>
      <c r="V461" s="113"/>
    </row>
    <row r="462" customFormat="false" ht="15" hidden="false" customHeight="true" outlineLevel="0" collapsed="false">
      <c r="H462" s="113"/>
      <c r="I462" s="113"/>
      <c r="J462" s="113"/>
      <c r="L462" s="113"/>
      <c r="M462" s="113"/>
      <c r="N462" s="113"/>
      <c r="P462" s="113"/>
      <c r="Q462" s="113"/>
      <c r="R462" s="113"/>
      <c r="T462" s="113"/>
      <c r="U462" s="113"/>
      <c r="V462" s="113"/>
    </row>
    <row r="463" customFormat="false" ht="15" hidden="false" customHeight="true" outlineLevel="0" collapsed="false">
      <c r="H463" s="113"/>
      <c r="I463" s="113"/>
      <c r="J463" s="113"/>
      <c r="L463" s="113"/>
      <c r="M463" s="113"/>
      <c r="N463" s="113"/>
      <c r="P463" s="113"/>
      <c r="Q463" s="113"/>
      <c r="R463" s="113"/>
      <c r="T463" s="113"/>
      <c r="U463" s="113"/>
      <c r="V463" s="113"/>
    </row>
    <row r="464" customFormat="false" ht="15" hidden="false" customHeight="true" outlineLevel="0" collapsed="false">
      <c r="H464" s="113"/>
      <c r="I464" s="113"/>
      <c r="J464" s="113"/>
      <c r="L464" s="113"/>
      <c r="M464" s="113"/>
      <c r="N464" s="113"/>
      <c r="P464" s="113"/>
      <c r="Q464" s="113"/>
      <c r="R464" s="113"/>
      <c r="T464" s="113"/>
      <c r="U464" s="113"/>
      <c r="V464" s="113"/>
    </row>
    <row r="465" customFormat="false" ht="15" hidden="false" customHeight="true" outlineLevel="0" collapsed="false">
      <c r="H465" s="113"/>
      <c r="I465" s="113"/>
      <c r="J465" s="113"/>
      <c r="L465" s="113"/>
      <c r="M465" s="113"/>
      <c r="N465" s="113"/>
      <c r="P465" s="113"/>
      <c r="Q465" s="113"/>
      <c r="R465" s="113"/>
      <c r="T465" s="113"/>
      <c r="U465" s="113"/>
      <c r="V465" s="113"/>
    </row>
    <row r="466" customFormat="false" ht="15" hidden="false" customHeight="true" outlineLevel="0" collapsed="false">
      <c r="H466" s="113"/>
      <c r="I466" s="113"/>
      <c r="J466" s="113"/>
      <c r="L466" s="113"/>
      <c r="M466" s="113"/>
      <c r="N466" s="113"/>
      <c r="P466" s="113"/>
      <c r="Q466" s="113"/>
      <c r="R466" s="113"/>
      <c r="T466" s="113"/>
      <c r="U466" s="113"/>
      <c r="V466" s="113"/>
    </row>
    <row r="467" customFormat="false" ht="15" hidden="false" customHeight="true" outlineLevel="0" collapsed="false">
      <c r="H467" s="113"/>
      <c r="I467" s="113"/>
      <c r="J467" s="113"/>
      <c r="L467" s="113"/>
      <c r="M467" s="113"/>
      <c r="N467" s="113"/>
      <c r="P467" s="113"/>
      <c r="Q467" s="113"/>
      <c r="R467" s="113"/>
      <c r="T467" s="113"/>
      <c r="U467" s="113"/>
      <c r="V467" s="113"/>
    </row>
    <row r="468" customFormat="false" ht="15" hidden="false" customHeight="true" outlineLevel="0" collapsed="false">
      <c r="H468" s="113"/>
      <c r="I468" s="113"/>
      <c r="J468" s="113"/>
      <c r="L468" s="113"/>
      <c r="M468" s="113"/>
      <c r="N468" s="113"/>
      <c r="P468" s="113"/>
      <c r="Q468" s="113"/>
      <c r="R468" s="113"/>
      <c r="T468" s="113"/>
      <c r="U468" s="113"/>
      <c r="V468" s="113"/>
    </row>
    <row r="469" customFormat="false" ht="15" hidden="false" customHeight="true" outlineLevel="0" collapsed="false">
      <c r="H469" s="113"/>
      <c r="I469" s="113"/>
      <c r="J469" s="113"/>
      <c r="L469" s="113"/>
      <c r="M469" s="113"/>
      <c r="N469" s="113"/>
      <c r="P469" s="113"/>
      <c r="Q469" s="113"/>
      <c r="R469" s="113"/>
      <c r="T469" s="113"/>
      <c r="U469" s="113"/>
      <c r="V469" s="113"/>
    </row>
    <row r="470" customFormat="false" ht="15" hidden="false" customHeight="true" outlineLevel="0" collapsed="false">
      <c r="H470" s="113"/>
      <c r="I470" s="113"/>
      <c r="J470" s="113"/>
      <c r="L470" s="113"/>
      <c r="M470" s="113"/>
      <c r="N470" s="113"/>
      <c r="P470" s="113"/>
      <c r="Q470" s="113"/>
      <c r="R470" s="113"/>
      <c r="T470" s="113"/>
      <c r="U470" s="113"/>
      <c r="V470" s="113"/>
    </row>
    <row r="471" customFormat="false" ht="15" hidden="false" customHeight="true" outlineLevel="0" collapsed="false">
      <c r="H471" s="113"/>
      <c r="I471" s="113"/>
      <c r="J471" s="113"/>
      <c r="L471" s="113"/>
      <c r="M471" s="113"/>
      <c r="N471" s="113"/>
      <c r="P471" s="113"/>
      <c r="Q471" s="113"/>
      <c r="R471" s="113"/>
      <c r="T471" s="113"/>
      <c r="U471" s="113"/>
      <c r="V471" s="113"/>
    </row>
    <row r="472" customFormat="false" ht="15" hidden="false" customHeight="true" outlineLevel="0" collapsed="false">
      <c r="H472" s="113"/>
      <c r="I472" s="113"/>
      <c r="J472" s="113"/>
      <c r="L472" s="113"/>
      <c r="M472" s="113"/>
      <c r="N472" s="113"/>
      <c r="P472" s="113"/>
      <c r="Q472" s="113"/>
      <c r="R472" s="113"/>
      <c r="T472" s="113"/>
      <c r="U472" s="113"/>
      <c r="V472" s="113"/>
    </row>
    <row r="473" customFormat="false" ht="15" hidden="false" customHeight="true" outlineLevel="0" collapsed="false">
      <c r="H473" s="113"/>
      <c r="I473" s="113"/>
      <c r="J473" s="113"/>
      <c r="L473" s="113"/>
      <c r="M473" s="113"/>
      <c r="N473" s="113"/>
      <c r="P473" s="113"/>
      <c r="Q473" s="113"/>
      <c r="R473" s="113"/>
      <c r="T473" s="113"/>
      <c r="U473" s="113"/>
      <c r="V473" s="113"/>
    </row>
    <row r="474" customFormat="false" ht="15" hidden="false" customHeight="true" outlineLevel="0" collapsed="false">
      <c r="H474" s="113"/>
      <c r="I474" s="113"/>
      <c r="J474" s="113"/>
      <c r="L474" s="113"/>
      <c r="M474" s="113"/>
      <c r="N474" s="113"/>
      <c r="P474" s="113"/>
      <c r="Q474" s="113"/>
      <c r="R474" s="113"/>
      <c r="T474" s="113"/>
      <c r="U474" s="113"/>
      <c r="V474" s="113"/>
    </row>
    <row r="475" customFormat="false" ht="15" hidden="false" customHeight="true" outlineLevel="0" collapsed="false">
      <c r="H475" s="113"/>
      <c r="I475" s="113"/>
      <c r="J475" s="113"/>
      <c r="L475" s="113"/>
      <c r="M475" s="113"/>
      <c r="N475" s="113"/>
      <c r="P475" s="113"/>
      <c r="Q475" s="113"/>
      <c r="R475" s="113"/>
      <c r="T475" s="113"/>
      <c r="U475" s="113"/>
      <c r="V475" s="113"/>
    </row>
    <row r="476" customFormat="false" ht="15" hidden="false" customHeight="true" outlineLevel="0" collapsed="false">
      <c r="H476" s="113"/>
      <c r="I476" s="113"/>
      <c r="J476" s="113"/>
      <c r="L476" s="113"/>
      <c r="M476" s="113"/>
      <c r="N476" s="113"/>
      <c r="P476" s="113"/>
      <c r="Q476" s="113"/>
      <c r="R476" s="113"/>
      <c r="T476" s="113"/>
      <c r="U476" s="113"/>
      <c r="V476" s="113"/>
    </row>
    <row r="477" customFormat="false" ht="15" hidden="false" customHeight="true" outlineLevel="0" collapsed="false">
      <c r="H477" s="113"/>
      <c r="I477" s="113"/>
      <c r="J477" s="113"/>
      <c r="L477" s="113"/>
      <c r="M477" s="113"/>
      <c r="N477" s="113"/>
      <c r="P477" s="113"/>
      <c r="Q477" s="113"/>
      <c r="R477" s="113"/>
      <c r="T477" s="113"/>
      <c r="U477" s="113"/>
      <c r="V477" s="113"/>
    </row>
    <row r="478" customFormat="false" ht="15" hidden="false" customHeight="true" outlineLevel="0" collapsed="false">
      <c r="H478" s="113"/>
      <c r="I478" s="113"/>
      <c r="J478" s="113"/>
      <c r="L478" s="113"/>
      <c r="M478" s="113"/>
      <c r="N478" s="113"/>
      <c r="P478" s="113"/>
      <c r="Q478" s="113"/>
      <c r="R478" s="113"/>
      <c r="T478" s="113"/>
      <c r="U478" s="113"/>
      <c r="V478" s="113"/>
    </row>
    <row r="479" customFormat="false" ht="15" hidden="false" customHeight="true" outlineLevel="0" collapsed="false">
      <c r="H479" s="113"/>
      <c r="I479" s="113"/>
      <c r="J479" s="113"/>
      <c r="L479" s="113"/>
      <c r="M479" s="113"/>
      <c r="N479" s="113"/>
      <c r="P479" s="113"/>
      <c r="Q479" s="113"/>
      <c r="R479" s="113"/>
      <c r="T479" s="113"/>
      <c r="U479" s="113"/>
      <c r="V479" s="113"/>
    </row>
    <row r="480" customFormat="false" ht="15" hidden="false" customHeight="true" outlineLevel="0" collapsed="false">
      <c r="H480" s="113"/>
      <c r="I480" s="113"/>
      <c r="J480" s="113"/>
      <c r="L480" s="113"/>
      <c r="M480" s="113"/>
      <c r="N480" s="113"/>
      <c r="P480" s="113"/>
      <c r="Q480" s="113"/>
      <c r="R480" s="113"/>
      <c r="T480" s="113"/>
      <c r="U480" s="113"/>
      <c r="V480" s="113"/>
    </row>
    <row r="481" customFormat="false" ht="15" hidden="false" customHeight="true" outlineLevel="0" collapsed="false">
      <c r="H481" s="113"/>
      <c r="I481" s="113"/>
      <c r="J481" s="113"/>
      <c r="L481" s="113"/>
      <c r="M481" s="113"/>
      <c r="N481" s="113"/>
      <c r="P481" s="113"/>
      <c r="Q481" s="113"/>
      <c r="R481" s="113"/>
      <c r="T481" s="113"/>
      <c r="U481" s="113"/>
      <c r="V481" s="113"/>
    </row>
    <row r="482" customFormat="false" ht="15" hidden="false" customHeight="true" outlineLevel="0" collapsed="false">
      <c r="H482" s="113"/>
      <c r="I482" s="113"/>
      <c r="J482" s="113"/>
      <c r="L482" s="113"/>
      <c r="M482" s="113"/>
      <c r="N482" s="113"/>
      <c r="P482" s="113"/>
      <c r="Q482" s="113"/>
      <c r="R482" s="113"/>
      <c r="T482" s="113"/>
      <c r="U482" s="113"/>
      <c r="V482" s="113"/>
    </row>
    <row r="483" customFormat="false" ht="15" hidden="false" customHeight="true" outlineLevel="0" collapsed="false">
      <c r="H483" s="113"/>
      <c r="I483" s="113"/>
      <c r="J483" s="113"/>
      <c r="L483" s="113"/>
      <c r="M483" s="113"/>
      <c r="N483" s="113"/>
      <c r="P483" s="113"/>
      <c r="Q483" s="113"/>
      <c r="R483" s="113"/>
      <c r="T483" s="113"/>
      <c r="U483" s="113"/>
      <c r="V483" s="113"/>
    </row>
    <row r="484" customFormat="false" ht="15" hidden="false" customHeight="true" outlineLevel="0" collapsed="false">
      <c r="H484" s="113"/>
      <c r="I484" s="113"/>
      <c r="J484" s="113"/>
      <c r="L484" s="113"/>
      <c r="M484" s="113"/>
      <c r="N484" s="113"/>
      <c r="P484" s="113"/>
      <c r="Q484" s="113"/>
      <c r="R484" s="113"/>
      <c r="T484" s="113"/>
      <c r="U484" s="113"/>
      <c r="V484" s="113"/>
    </row>
    <row r="485" customFormat="false" ht="15" hidden="false" customHeight="true" outlineLevel="0" collapsed="false">
      <c r="H485" s="113"/>
      <c r="I485" s="113"/>
      <c r="J485" s="113"/>
      <c r="L485" s="113"/>
      <c r="M485" s="113"/>
      <c r="N485" s="113"/>
      <c r="P485" s="113"/>
      <c r="Q485" s="113"/>
      <c r="R485" s="113"/>
      <c r="T485" s="113"/>
      <c r="U485" s="113"/>
      <c r="V485" s="113"/>
    </row>
    <row r="486" customFormat="false" ht="15" hidden="false" customHeight="true" outlineLevel="0" collapsed="false">
      <c r="H486" s="113"/>
      <c r="I486" s="113"/>
      <c r="J486" s="113"/>
      <c r="L486" s="113"/>
      <c r="M486" s="113"/>
      <c r="N486" s="113"/>
      <c r="P486" s="113"/>
      <c r="Q486" s="113"/>
      <c r="R486" s="113"/>
      <c r="T486" s="113"/>
      <c r="U486" s="113"/>
      <c r="V486" s="113"/>
    </row>
    <row r="487" customFormat="false" ht="15" hidden="false" customHeight="true" outlineLevel="0" collapsed="false">
      <c r="H487" s="113"/>
      <c r="I487" s="113"/>
      <c r="J487" s="113"/>
      <c r="L487" s="113"/>
      <c r="M487" s="113"/>
      <c r="N487" s="113"/>
      <c r="P487" s="113"/>
      <c r="Q487" s="113"/>
      <c r="R487" s="113"/>
      <c r="T487" s="113"/>
      <c r="U487" s="113"/>
      <c r="V487" s="113"/>
    </row>
    <row r="488" customFormat="false" ht="15" hidden="false" customHeight="true" outlineLevel="0" collapsed="false">
      <c r="H488" s="113"/>
      <c r="I488" s="113"/>
      <c r="J488" s="113"/>
      <c r="L488" s="113"/>
      <c r="M488" s="113"/>
      <c r="N488" s="113"/>
      <c r="P488" s="113"/>
      <c r="Q488" s="113"/>
      <c r="R488" s="113"/>
      <c r="T488" s="113"/>
      <c r="U488" s="113"/>
      <c r="V488" s="113"/>
    </row>
    <row r="489" customFormat="false" ht="15" hidden="false" customHeight="true" outlineLevel="0" collapsed="false">
      <c r="H489" s="113"/>
      <c r="I489" s="113"/>
      <c r="J489" s="113"/>
      <c r="L489" s="113"/>
      <c r="M489" s="113"/>
      <c r="N489" s="113"/>
      <c r="P489" s="113"/>
      <c r="Q489" s="113"/>
      <c r="R489" s="113"/>
      <c r="T489" s="113"/>
      <c r="U489" s="113"/>
      <c r="V489" s="113"/>
    </row>
    <row r="490" customFormat="false" ht="15" hidden="false" customHeight="true" outlineLevel="0" collapsed="false">
      <c r="H490" s="113"/>
      <c r="I490" s="113"/>
      <c r="J490" s="113"/>
      <c r="L490" s="113"/>
      <c r="M490" s="113"/>
      <c r="N490" s="113"/>
      <c r="P490" s="113"/>
      <c r="Q490" s="113"/>
      <c r="R490" s="113"/>
      <c r="T490" s="113"/>
      <c r="U490" s="113"/>
      <c r="V490" s="113"/>
    </row>
    <row r="491" customFormat="false" ht="15" hidden="false" customHeight="true" outlineLevel="0" collapsed="false">
      <c r="H491" s="113"/>
      <c r="I491" s="113"/>
      <c r="J491" s="113"/>
      <c r="L491" s="113"/>
      <c r="M491" s="113"/>
      <c r="N491" s="113"/>
      <c r="P491" s="113"/>
      <c r="Q491" s="113"/>
      <c r="R491" s="113"/>
      <c r="T491" s="113"/>
      <c r="U491" s="113"/>
      <c r="V491" s="113"/>
    </row>
    <row r="492" customFormat="false" ht="15" hidden="false" customHeight="true" outlineLevel="0" collapsed="false">
      <c r="H492" s="113"/>
      <c r="I492" s="113"/>
      <c r="J492" s="113"/>
      <c r="L492" s="113"/>
      <c r="M492" s="113"/>
      <c r="N492" s="113"/>
      <c r="P492" s="113"/>
      <c r="Q492" s="113"/>
      <c r="R492" s="113"/>
      <c r="T492" s="113"/>
      <c r="U492" s="113"/>
      <c r="V492" s="113"/>
    </row>
    <row r="493" customFormat="false" ht="15" hidden="false" customHeight="true" outlineLevel="0" collapsed="false">
      <c r="H493" s="113"/>
      <c r="I493" s="113"/>
      <c r="J493" s="113"/>
      <c r="L493" s="113"/>
      <c r="M493" s="113"/>
      <c r="N493" s="113"/>
      <c r="P493" s="113"/>
      <c r="Q493" s="113"/>
      <c r="R493" s="113"/>
      <c r="T493" s="113"/>
      <c r="U493" s="113"/>
      <c r="V493" s="113"/>
    </row>
    <row r="494" customFormat="false" ht="15" hidden="false" customHeight="true" outlineLevel="0" collapsed="false">
      <c r="H494" s="113"/>
      <c r="I494" s="113"/>
      <c r="J494" s="113"/>
      <c r="L494" s="113"/>
      <c r="M494" s="113"/>
      <c r="N494" s="113"/>
      <c r="P494" s="113"/>
      <c r="Q494" s="113"/>
      <c r="R494" s="113"/>
      <c r="T494" s="113"/>
      <c r="U494" s="113"/>
      <c r="V494" s="113"/>
    </row>
    <row r="495" customFormat="false" ht="15" hidden="false" customHeight="true" outlineLevel="0" collapsed="false">
      <c r="H495" s="113"/>
      <c r="I495" s="113"/>
      <c r="J495" s="113"/>
      <c r="L495" s="113"/>
      <c r="M495" s="113"/>
      <c r="N495" s="113"/>
      <c r="P495" s="113"/>
      <c r="Q495" s="113"/>
      <c r="R495" s="113"/>
      <c r="T495" s="113"/>
      <c r="U495" s="113"/>
      <c r="V495" s="113"/>
    </row>
    <row r="496" customFormat="false" ht="15" hidden="false" customHeight="true" outlineLevel="0" collapsed="false">
      <c r="H496" s="113"/>
      <c r="I496" s="113"/>
      <c r="J496" s="113"/>
      <c r="L496" s="113"/>
      <c r="M496" s="113"/>
      <c r="N496" s="113"/>
      <c r="P496" s="113"/>
      <c r="Q496" s="113"/>
      <c r="R496" s="113"/>
      <c r="T496" s="113"/>
      <c r="U496" s="113"/>
      <c r="V496" s="113"/>
    </row>
    <row r="497" customFormat="false" ht="15" hidden="false" customHeight="true" outlineLevel="0" collapsed="false">
      <c r="H497" s="113"/>
      <c r="I497" s="113"/>
      <c r="J497" s="113"/>
      <c r="L497" s="113"/>
      <c r="M497" s="113"/>
      <c r="N497" s="113"/>
      <c r="P497" s="113"/>
      <c r="Q497" s="113"/>
      <c r="R497" s="113"/>
      <c r="T497" s="113"/>
      <c r="U497" s="113"/>
      <c r="V497" s="113"/>
    </row>
    <row r="498" customFormat="false" ht="15" hidden="false" customHeight="true" outlineLevel="0" collapsed="false">
      <c r="H498" s="113"/>
      <c r="I498" s="113"/>
      <c r="J498" s="113"/>
      <c r="L498" s="113"/>
      <c r="M498" s="113"/>
      <c r="N498" s="113"/>
      <c r="P498" s="113"/>
      <c r="Q498" s="113"/>
      <c r="R498" s="113"/>
      <c r="T498" s="113"/>
      <c r="U498" s="113"/>
      <c r="V498" s="113"/>
    </row>
    <row r="499" customFormat="false" ht="15" hidden="false" customHeight="true" outlineLevel="0" collapsed="false">
      <c r="H499" s="113"/>
      <c r="I499" s="113"/>
      <c r="J499" s="113"/>
      <c r="L499" s="113"/>
      <c r="M499" s="113"/>
      <c r="N499" s="113"/>
      <c r="P499" s="113"/>
      <c r="Q499" s="113"/>
      <c r="R499" s="113"/>
      <c r="T499" s="113"/>
      <c r="U499" s="113"/>
      <c r="V499" s="113"/>
    </row>
    <row r="500" customFormat="false" ht="15" hidden="false" customHeight="true" outlineLevel="0" collapsed="false">
      <c r="H500" s="113"/>
      <c r="I500" s="113"/>
      <c r="J500" s="113"/>
      <c r="L500" s="113"/>
      <c r="M500" s="113"/>
      <c r="N500" s="113"/>
      <c r="P500" s="113"/>
      <c r="Q500" s="113"/>
      <c r="R500" s="113"/>
      <c r="T500" s="113"/>
      <c r="U500" s="113"/>
      <c r="V500" s="113"/>
    </row>
    <row r="501" customFormat="false" ht="15" hidden="false" customHeight="true" outlineLevel="0" collapsed="false">
      <c r="H501" s="113"/>
      <c r="I501" s="113"/>
      <c r="J501" s="113"/>
      <c r="L501" s="113"/>
      <c r="M501" s="113"/>
      <c r="N501" s="113"/>
      <c r="P501" s="113"/>
      <c r="Q501" s="113"/>
      <c r="R501" s="113"/>
      <c r="T501" s="113"/>
      <c r="U501" s="113"/>
      <c r="V501" s="113"/>
    </row>
    <row r="502" customFormat="false" ht="15" hidden="false" customHeight="true" outlineLevel="0" collapsed="false">
      <c r="H502" s="113"/>
      <c r="I502" s="113"/>
      <c r="J502" s="113"/>
      <c r="L502" s="113"/>
      <c r="M502" s="113"/>
      <c r="N502" s="113"/>
      <c r="P502" s="113"/>
      <c r="Q502" s="113"/>
      <c r="R502" s="113"/>
      <c r="T502" s="113"/>
      <c r="U502" s="113"/>
      <c r="V502" s="113"/>
    </row>
    <row r="503" customFormat="false" ht="15" hidden="false" customHeight="true" outlineLevel="0" collapsed="false">
      <c r="H503" s="113"/>
      <c r="I503" s="113"/>
      <c r="J503" s="113"/>
      <c r="L503" s="113"/>
      <c r="M503" s="113"/>
      <c r="N503" s="113"/>
      <c r="P503" s="113"/>
      <c r="Q503" s="113"/>
      <c r="R503" s="113"/>
      <c r="T503" s="113"/>
      <c r="U503" s="113"/>
      <c r="V503" s="113"/>
    </row>
    <row r="504" customFormat="false" ht="15" hidden="false" customHeight="true" outlineLevel="0" collapsed="false">
      <c r="H504" s="113"/>
      <c r="I504" s="113"/>
      <c r="J504" s="113"/>
      <c r="L504" s="113"/>
      <c r="M504" s="113"/>
      <c r="N504" s="113"/>
      <c r="P504" s="113"/>
      <c r="Q504" s="113"/>
      <c r="R504" s="113"/>
      <c r="T504" s="113"/>
      <c r="U504" s="113"/>
      <c r="V504" s="113"/>
    </row>
    <row r="505" customFormat="false" ht="15" hidden="false" customHeight="true" outlineLevel="0" collapsed="false">
      <c r="H505" s="113"/>
      <c r="I505" s="113"/>
      <c r="J505" s="113"/>
      <c r="L505" s="113"/>
      <c r="M505" s="113"/>
      <c r="N505" s="113"/>
      <c r="P505" s="113"/>
      <c r="Q505" s="113"/>
      <c r="R505" s="113"/>
      <c r="T505" s="113"/>
      <c r="U505" s="113"/>
      <c r="V505" s="113"/>
    </row>
    <row r="506" customFormat="false" ht="15" hidden="false" customHeight="true" outlineLevel="0" collapsed="false">
      <c r="H506" s="113"/>
      <c r="I506" s="113"/>
      <c r="J506" s="113"/>
      <c r="L506" s="113"/>
      <c r="M506" s="113"/>
      <c r="N506" s="113"/>
      <c r="P506" s="113"/>
      <c r="Q506" s="113"/>
      <c r="R506" s="113"/>
      <c r="T506" s="113"/>
      <c r="U506" s="113"/>
      <c r="V506" s="113"/>
    </row>
    <row r="507" customFormat="false" ht="15" hidden="false" customHeight="true" outlineLevel="0" collapsed="false">
      <c r="H507" s="113"/>
      <c r="I507" s="113"/>
      <c r="J507" s="113"/>
      <c r="L507" s="113"/>
      <c r="M507" s="113"/>
      <c r="N507" s="113"/>
      <c r="P507" s="113"/>
      <c r="Q507" s="113"/>
      <c r="R507" s="113"/>
      <c r="T507" s="113"/>
      <c r="U507" s="113"/>
      <c r="V507" s="113"/>
    </row>
    <row r="508" customFormat="false" ht="15" hidden="false" customHeight="true" outlineLevel="0" collapsed="false">
      <c r="H508" s="113"/>
      <c r="I508" s="113"/>
      <c r="J508" s="113"/>
      <c r="L508" s="113"/>
      <c r="M508" s="113"/>
      <c r="N508" s="113"/>
      <c r="P508" s="113"/>
      <c r="Q508" s="113"/>
      <c r="R508" s="113"/>
      <c r="T508" s="113"/>
      <c r="U508" s="113"/>
      <c r="V508" s="113"/>
    </row>
    <row r="509" customFormat="false" ht="15" hidden="false" customHeight="true" outlineLevel="0" collapsed="false">
      <c r="H509" s="113"/>
      <c r="I509" s="113"/>
      <c r="J509" s="113"/>
      <c r="L509" s="113"/>
      <c r="M509" s="113"/>
      <c r="N509" s="113"/>
      <c r="P509" s="113"/>
      <c r="Q509" s="113"/>
      <c r="R509" s="113"/>
      <c r="T509" s="113"/>
      <c r="U509" s="113"/>
      <c r="V509" s="113"/>
    </row>
    <row r="510" customFormat="false" ht="15" hidden="false" customHeight="true" outlineLevel="0" collapsed="false">
      <c r="H510" s="113"/>
      <c r="I510" s="113"/>
      <c r="J510" s="113"/>
      <c r="L510" s="113"/>
      <c r="M510" s="113"/>
      <c r="N510" s="113"/>
      <c r="P510" s="113"/>
      <c r="Q510" s="113"/>
      <c r="R510" s="113"/>
      <c r="T510" s="113"/>
      <c r="U510" s="113"/>
      <c r="V510" s="113"/>
    </row>
    <row r="511" customFormat="false" ht="15" hidden="false" customHeight="true" outlineLevel="0" collapsed="false">
      <c r="H511" s="113"/>
      <c r="I511" s="113"/>
      <c r="J511" s="113"/>
      <c r="L511" s="113"/>
      <c r="M511" s="113"/>
      <c r="N511" s="113"/>
      <c r="P511" s="113"/>
      <c r="Q511" s="113"/>
      <c r="R511" s="113"/>
      <c r="T511" s="113"/>
      <c r="U511" s="113"/>
      <c r="V511" s="113"/>
    </row>
    <row r="512" customFormat="false" ht="15" hidden="false" customHeight="true" outlineLevel="0" collapsed="false">
      <c r="H512" s="113"/>
      <c r="I512" s="113"/>
      <c r="J512" s="113"/>
      <c r="L512" s="113"/>
      <c r="M512" s="113"/>
      <c r="N512" s="113"/>
      <c r="P512" s="113"/>
      <c r="Q512" s="113"/>
      <c r="R512" s="113"/>
      <c r="T512" s="113"/>
      <c r="U512" s="113"/>
      <c r="V512" s="113"/>
    </row>
    <row r="513" customFormat="false" ht="15" hidden="false" customHeight="true" outlineLevel="0" collapsed="false">
      <c r="H513" s="113"/>
      <c r="I513" s="113"/>
      <c r="J513" s="113"/>
      <c r="L513" s="113"/>
      <c r="M513" s="113"/>
      <c r="N513" s="113"/>
      <c r="P513" s="113"/>
      <c r="Q513" s="113"/>
      <c r="R513" s="113"/>
      <c r="T513" s="113"/>
      <c r="U513" s="113"/>
      <c r="V513" s="113"/>
    </row>
    <row r="514" customFormat="false" ht="15" hidden="false" customHeight="true" outlineLevel="0" collapsed="false">
      <c r="H514" s="113"/>
      <c r="I514" s="113"/>
      <c r="J514" s="113"/>
      <c r="L514" s="113"/>
      <c r="M514" s="113"/>
      <c r="N514" s="113"/>
      <c r="P514" s="113"/>
      <c r="Q514" s="113"/>
      <c r="R514" s="113"/>
      <c r="T514" s="113"/>
      <c r="U514" s="113"/>
      <c r="V514" s="113"/>
    </row>
    <row r="515" customFormat="false" ht="15" hidden="false" customHeight="true" outlineLevel="0" collapsed="false">
      <c r="H515" s="113"/>
      <c r="I515" s="113"/>
      <c r="J515" s="113"/>
      <c r="L515" s="113"/>
      <c r="M515" s="113"/>
      <c r="N515" s="113"/>
      <c r="P515" s="113"/>
      <c r="Q515" s="113"/>
      <c r="R515" s="113"/>
      <c r="T515" s="113"/>
      <c r="U515" s="113"/>
      <c r="V515" s="113"/>
    </row>
    <row r="516" customFormat="false" ht="15" hidden="false" customHeight="true" outlineLevel="0" collapsed="false">
      <c r="H516" s="113"/>
      <c r="I516" s="113"/>
      <c r="J516" s="113"/>
      <c r="L516" s="113"/>
      <c r="M516" s="113"/>
      <c r="N516" s="113"/>
      <c r="P516" s="113"/>
      <c r="Q516" s="113"/>
      <c r="R516" s="113"/>
      <c r="T516" s="113"/>
      <c r="U516" s="113"/>
      <c r="V516" s="113"/>
    </row>
    <row r="517" customFormat="false" ht="15" hidden="false" customHeight="true" outlineLevel="0" collapsed="false">
      <c r="H517" s="113"/>
      <c r="I517" s="113"/>
      <c r="J517" s="113"/>
      <c r="L517" s="113"/>
      <c r="M517" s="113"/>
      <c r="N517" s="113"/>
      <c r="P517" s="113"/>
      <c r="Q517" s="113"/>
      <c r="R517" s="113"/>
      <c r="T517" s="113"/>
      <c r="U517" s="113"/>
      <c r="V517" s="113"/>
    </row>
    <row r="518" customFormat="false" ht="15" hidden="false" customHeight="true" outlineLevel="0" collapsed="false">
      <c r="H518" s="113"/>
      <c r="I518" s="113"/>
      <c r="J518" s="113"/>
      <c r="L518" s="113"/>
      <c r="M518" s="113"/>
      <c r="N518" s="113"/>
      <c r="P518" s="113"/>
      <c r="Q518" s="113"/>
      <c r="R518" s="113"/>
      <c r="T518" s="113"/>
      <c r="U518" s="113"/>
      <c r="V518" s="113"/>
    </row>
    <row r="519" customFormat="false" ht="15" hidden="false" customHeight="true" outlineLevel="0" collapsed="false">
      <c r="H519" s="113"/>
      <c r="I519" s="113"/>
      <c r="J519" s="113"/>
      <c r="L519" s="113"/>
      <c r="M519" s="113"/>
      <c r="N519" s="113"/>
      <c r="P519" s="113"/>
      <c r="Q519" s="113"/>
      <c r="R519" s="113"/>
      <c r="T519" s="113"/>
      <c r="U519" s="113"/>
      <c r="V519" s="113"/>
    </row>
    <row r="520" customFormat="false" ht="15" hidden="false" customHeight="true" outlineLevel="0" collapsed="false">
      <c r="H520" s="113"/>
      <c r="I520" s="113"/>
      <c r="J520" s="113"/>
      <c r="L520" s="113"/>
      <c r="M520" s="113"/>
      <c r="N520" s="113"/>
      <c r="P520" s="113"/>
      <c r="Q520" s="113"/>
      <c r="R520" s="113"/>
      <c r="T520" s="113"/>
      <c r="U520" s="113"/>
      <c r="V520" s="113"/>
    </row>
    <row r="521" customFormat="false" ht="15" hidden="false" customHeight="true" outlineLevel="0" collapsed="false">
      <c r="H521" s="113"/>
      <c r="I521" s="113"/>
      <c r="J521" s="113"/>
      <c r="L521" s="113"/>
      <c r="M521" s="113"/>
      <c r="N521" s="113"/>
      <c r="P521" s="113"/>
      <c r="Q521" s="113"/>
      <c r="R521" s="113"/>
      <c r="T521" s="113"/>
      <c r="U521" s="113"/>
      <c r="V521" s="113"/>
    </row>
    <row r="522" customFormat="false" ht="15" hidden="false" customHeight="true" outlineLevel="0" collapsed="false">
      <c r="H522" s="113"/>
      <c r="I522" s="113"/>
      <c r="J522" s="113"/>
      <c r="L522" s="113"/>
      <c r="M522" s="113"/>
      <c r="N522" s="113"/>
      <c r="P522" s="113"/>
      <c r="Q522" s="113"/>
      <c r="R522" s="113"/>
      <c r="T522" s="113"/>
      <c r="U522" s="113"/>
      <c r="V522" s="113"/>
    </row>
    <row r="523" customFormat="false" ht="15" hidden="false" customHeight="true" outlineLevel="0" collapsed="false">
      <c r="H523" s="113"/>
      <c r="I523" s="113"/>
      <c r="J523" s="113"/>
      <c r="L523" s="113"/>
      <c r="M523" s="113"/>
      <c r="N523" s="113"/>
      <c r="P523" s="113"/>
      <c r="Q523" s="113"/>
      <c r="R523" s="113"/>
      <c r="T523" s="113"/>
      <c r="U523" s="113"/>
      <c r="V523" s="113"/>
    </row>
    <row r="524" customFormat="false" ht="15" hidden="false" customHeight="true" outlineLevel="0" collapsed="false">
      <c r="H524" s="113"/>
      <c r="I524" s="113"/>
      <c r="J524" s="113"/>
      <c r="L524" s="113"/>
      <c r="M524" s="113"/>
      <c r="N524" s="113"/>
      <c r="P524" s="113"/>
      <c r="Q524" s="113"/>
      <c r="R524" s="113"/>
      <c r="T524" s="113"/>
      <c r="U524" s="113"/>
      <c r="V524" s="113"/>
    </row>
    <row r="525" customFormat="false" ht="15" hidden="false" customHeight="true" outlineLevel="0" collapsed="false">
      <c r="H525" s="113"/>
      <c r="I525" s="113"/>
      <c r="J525" s="113"/>
      <c r="L525" s="113"/>
      <c r="M525" s="113"/>
      <c r="N525" s="113"/>
      <c r="P525" s="113"/>
      <c r="Q525" s="113"/>
      <c r="R525" s="113"/>
      <c r="T525" s="113"/>
      <c r="U525" s="113"/>
      <c r="V525" s="113"/>
    </row>
    <row r="526" customFormat="false" ht="15" hidden="false" customHeight="true" outlineLevel="0" collapsed="false">
      <c r="H526" s="113"/>
      <c r="I526" s="113"/>
      <c r="J526" s="113"/>
      <c r="L526" s="113"/>
      <c r="M526" s="113"/>
      <c r="N526" s="113"/>
      <c r="P526" s="113"/>
      <c r="Q526" s="113"/>
      <c r="R526" s="113"/>
      <c r="T526" s="113"/>
      <c r="U526" s="113"/>
      <c r="V526" s="113"/>
    </row>
    <row r="527" customFormat="false" ht="15" hidden="false" customHeight="true" outlineLevel="0" collapsed="false">
      <c r="H527" s="113"/>
      <c r="I527" s="113"/>
      <c r="J527" s="113"/>
      <c r="L527" s="113"/>
      <c r="M527" s="113"/>
      <c r="N527" s="113"/>
      <c r="P527" s="113"/>
      <c r="Q527" s="113"/>
      <c r="R527" s="113"/>
      <c r="T527" s="113"/>
      <c r="U527" s="113"/>
      <c r="V527" s="113"/>
    </row>
    <row r="528" customFormat="false" ht="15" hidden="false" customHeight="true" outlineLevel="0" collapsed="false">
      <c r="H528" s="113"/>
      <c r="I528" s="113"/>
      <c r="J528" s="113"/>
      <c r="L528" s="113"/>
      <c r="M528" s="113"/>
      <c r="N528" s="113"/>
      <c r="P528" s="113"/>
      <c r="Q528" s="113"/>
      <c r="R528" s="113"/>
      <c r="T528" s="113"/>
      <c r="U528" s="113"/>
      <c r="V528" s="113"/>
    </row>
    <row r="529" customFormat="false" ht="15" hidden="false" customHeight="true" outlineLevel="0" collapsed="false">
      <c r="H529" s="113"/>
      <c r="I529" s="113"/>
      <c r="J529" s="113"/>
      <c r="L529" s="113"/>
      <c r="M529" s="113"/>
      <c r="N529" s="113"/>
      <c r="P529" s="113"/>
      <c r="Q529" s="113"/>
      <c r="R529" s="113"/>
      <c r="T529" s="113"/>
      <c r="U529" s="113"/>
      <c r="V529" s="113"/>
    </row>
    <row r="530" customFormat="false" ht="15" hidden="false" customHeight="true" outlineLevel="0" collapsed="false">
      <c r="H530" s="113"/>
      <c r="I530" s="113"/>
      <c r="J530" s="113"/>
      <c r="L530" s="113"/>
      <c r="M530" s="113"/>
      <c r="N530" s="113"/>
      <c r="P530" s="113"/>
      <c r="Q530" s="113"/>
      <c r="R530" s="113"/>
      <c r="T530" s="113"/>
      <c r="U530" s="113"/>
      <c r="V530" s="113"/>
    </row>
    <row r="531" customFormat="false" ht="15" hidden="false" customHeight="true" outlineLevel="0" collapsed="false">
      <c r="H531" s="113"/>
      <c r="I531" s="113"/>
      <c r="J531" s="113"/>
      <c r="L531" s="113"/>
      <c r="M531" s="113"/>
      <c r="N531" s="113"/>
      <c r="P531" s="113"/>
      <c r="Q531" s="113"/>
      <c r="R531" s="113"/>
      <c r="T531" s="113"/>
      <c r="U531" s="113"/>
      <c r="V531" s="113"/>
    </row>
    <row r="532" customFormat="false" ht="15" hidden="false" customHeight="true" outlineLevel="0" collapsed="false">
      <c r="H532" s="113"/>
      <c r="I532" s="113"/>
      <c r="J532" s="113"/>
      <c r="L532" s="113"/>
      <c r="M532" s="113"/>
      <c r="N532" s="113"/>
      <c r="P532" s="113"/>
      <c r="Q532" s="113"/>
      <c r="R532" s="113"/>
      <c r="T532" s="113"/>
      <c r="U532" s="113"/>
      <c r="V532" s="113"/>
    </row>
    <row r="533" customFormat="false" ht="15" hidden="false" customHeight="true" outlineLevel="0" collapsed="false">
      <c r="H533" s="113"/>
      <c r="I533" s="113"/>
      <c r="J533" s="113"/>
      <c r="L533" s="113"/>
      <c r="M533" s="113"/>
      <c r="N533" s="113"/>
      <c r="P533" s="113"/>
      <c r="Q533" s="113"/>
      <c r="R533" s="113"/>
      <c r="T533" s="113"/>
      <c r="U533" s="113"/>
      <c r="V533" s="113"/>
    </row>
    <row r="534" customFormat="false" ht="15" hidden="false" customHeight="true" outlineLevel="0" collapsed="false">
      <c r="H534" s="113"/>
      <c r="I534" s="113"/>
      <c r="J534" s="113"/>
      <c r="L534" s="113"/>
      <c r="M534" s="113"/>
      <c r="N534" s="113"/>
      <c r="P534" s="113"/>
      <c r="Q534" s="113"/>
      <c r="R534" s="113"/>
      <c r="T534" s="113"/>
      <c r="U534" s="113"/>
      <c r="V534" s="113"/>
    </row>
    <row r="535" customFormat="false" ht="15" hidden="false" customHeight="true" outlineLevel="0" collapsed="false">
      <c r="H535" s="113"/>
      <c r="I535" s="113"/>
      <c r="J535" s="113"/>
      <c r="L535" s="113"/>
      <c r="M535" s="113"/>
      <c r="N535" s="113"/>
      <c r="P535" s="113"/>
      <c r="Q535" s="113"/>
      <c r="R535" s="113"/>
      <c r="T535" s="113"/>
      <c r="U535" s="113"/>
      <c r="V535" s="113"/>
    </row>
    <row r="536" customFormat="false" ht="15" hidden="false" customHeight="true" outlineLevel="0" collapsed="false">
      <c r="H536" s="113"/>
      <c r="I536" s="113"/>
      <c r="J536" s="113"/>
      <c r="L536" s="113"/>
      <c r="M536" s="113"/>
      <c r="N536" s="113"/>
      <c r="P536" s="113"/>
      <c r="Q536" s="113"/>
      <c r="R536" s="113"/>
      <c r="T536" s="113"/>
      <c r="U536" s="113"/>
      <c r="V536" s="113"/>
    </row>
    <row r="537" customFormat="false" ht="15" hidden="false" customHeight="true" outlineLevel="0" collapsed="false">
      <c r="H537" s="113"/>
      <c r="I537" s="113"/>
      <c r="J537" s="113"/>
      <c r="L537" s="113"/>
      <c r="M537" s="113"/>
      <c r="N537" s="113"/>
      <c r="P537" s="113"/>
      <c r="Q537" s="113"/>
      <c r="R537" s="113"/>
      <c r="T537" s="113"/>
      <c r="U537" s="113"/>
      <c r="V537" s="113"/>
    </row>
    <row r="538" customFormat="false" ht="15" hidden="false" customHeight="true" outlineLevel="0" collapsed="false">
      <c r="H538" s="113"/>
      <c r="I538" s="113"/>
      <c r="J538" s="113"/>
      <c r="L538" s="113"/>
      <c r="M538" s="113"/>
      <c r="N538" s="113"/>
      <c r="P538" s="113"/>
      <c r="Q538" s="113"/>
      <c r="R538" s="113"/>
      <c r="T538" s="113"/>
      <c r="U538" s="113"/>
      <c r="V538" s="113"/>
    </row>
    <row r="539" customFormat="false" ht="15" hidden="false" customHeight="true" outlineLevel="0" collapsed="false">
      <c r="H539" s="113"/>
      <c r="I539" s="113"/>
      <c r="J539" s="113"/>
      <c r="L539" s="113"/>
      <c r="M539" s="113"/>
      <c r="N539" s="113"/>
      <c r="P539" s="113"/>
      <c r="Q539" s="113"/>
      <c r="R539" s="113"/>
      <c r="T539" s="113"/>
      <c r="U539" s="113"/>
      <c r="V539" s="113"/>
    </row>
    <row r="540" customFormat="false" ht="15" hidden="false" customHeight="true" outlineLevel="0" collapsed="false">
      <c r="H540" s="113"/>
      <c r="I540" s="113"/>
      <c r="J540" s="113"/>
      <c r="L540" s="113"/>
      <c r="M540" s="113"/>
      <c r="N540" s="113"/>
      <c r="P540" s="113"/>
      <c r="Q540" s="113"/>
      <c r="R540" s="113"/>
      <c r="T540" s="113"/>
      <c r="U540" s="113"/>
      <c r="V540" s="113"/>
    </row>
    <row r="541" customFormat="false" ht="15" hidden="false" customHeight="true" outlineLevel="0" collapsed="false">
      <c r="H541" s="113"/>
      <c r="I541" s="113"/>
      <c r="J541" s="113"/>
      <c r="L541" s="113"/>
      <c r="M541" s="113"/>
      <c r="N541" s="113"/>
      <c r="P541" s="113"/>
      <c r="Q541" s="113"/>
      <c r="R541" s="113"/>
      <c r="T541" s="113"/>
      <c r="U541" s="113"/>
      <c r="V541" s="113"/>
    </row>
    <row r="542" customFormat="false" ht="15" hidden="false" customHeight="true" outlineLevel="0" collapsed="false">
      <c r="H542" s="113"/>
      <c r="I542" s="113"/>
      <c r="J542" s="113"/>
      <c r="L542" s="113"/>
      <c r="M542" s="113"/>
      <c r="N542" s="113"/>
      <c r="P542" s="113"/>
      <c r="Q542" s="113"/>
      <c r="R542" s="113"/>
      <c r="T542" s="113"/>
      <c r="U542" s="113"/>
      <c r="V542" s="113"/>
    </row>
    <row r="543" customFormat="false" ht="15" hidden="false" customHeight="true" outlineLevel="0" collapsed="false">
      <c r="H543" s="113"/>
      <c r="I543" s="113"/>
      <c r="J543" s="113"/>
      <c r="L543" s="113"/>
      <c r="M543" s="113"/>
      <c r="N543" s="113"/>
      <c r="P543" s="113"/>
      <c r="Q543" s="113"/>
      <c r="R543" s="113"/>
      <c r="T543" s="113"/>
      <c r="U543" s="113"/>
      <c r="V543" s="113"/>
    </row>
    <row r="544" customFormat="false" ht="15" hidden="false" customHeight="true" outlineLevel="0" collapsed="false">
      <c r="H544" s="113"/>
      <c r="I544" s="113"/>
      <c r="J544" s="113"/>
      <c r="L544" s="113"/>
      <c r="M544" s="113"/>
      <c r="N544" s="113"/>
      <c r="P544" s="113"/>
      <c r="Q544" s="113"/>
      <c r="R544" s="113"/>
      <c r="T544" s="113"/>
      <c r="U544" s="113"/>
      <c r="V544" s="113"/>
    </row>
    <row r="545" customFormat="false" ht="15" hidden="false" customHeight="true" outlineLevel="0" collapsed="false">
      <c r="H545" s="113"/>
      <c r="I545" s="113"/>
      <c r="J545" s="113"/>
      <c r="L545" s="113"/>
      <c r="M545" s="113"/>
      <c r="N545" s="113"/>
      <c r="P545" s="113"/>
      <c r="Q545" s="113"/>
      <c r="R545" s="113"/>
      <c r="T545" s="113"/>
      <c r="U545" s="113"/>
      <c r="V545" s="113"/>
    </row>
    <row r="546" customFormat="false" ht="15" hidden="false" customHeight="true" outlineLevel="0" collapsed="false">
      <c r="H546" s="113"/>
      <c r="I546" s="113"/>
      <c r="J546" s="113"/>
      <c r="L546" s="113"/>
      <c r="M546" s="113"/>
      <c r="N546" s="113"/>
      <c r="P546" s="113"/>
      <c r="Q546" s="113"/>
      <c r="R546" s="113"/>
      <c r="T546" s="113"/>
      <c r="U546" s="113"/>
      <c r="V546" s="113"/>
    </row>
    <row r="547" customFormat="false" ht="15" hidden="false" customHeight="true" outlineLevel="0" collapsed="false">
      <c r="H547" s="113"/>
      <c r="I547" s="113"/>
      <c r="J547" s="113"/>
      <c r="L547" s="113"/>
      <c r="M547" s="113"/>
      <c r="N547" s="113"/>
      <c r="P547" s="113"/>
      <c r="Q547" s="113"/>
      <c r="R547" s="113"/>
      <c r="T547" s="113"/>
      <c r="U547" s="113"/>
      <c r="V547" s="113"/>
    </row>
    <row r="548" customFormat="false" ht="15" hidden="false" customHeight="true" outlineLevel="0" collapsed="false">
      <c r="H548" s="113"/>
      <c r="I548" s="113"/>
      <c r="J548" s="113"/>
      <c r="L548" s="113"/>
      <c r="M548" s="113"/>
      <c r="N548" s="113"/>
      <c r="P548" s="113"/>
      <c r="Q548" s="113"/>
      <c r="R548" s="113"/>
      <c r="T548" s="113"/>
      <c r="U548" s="113"/>
      <c r="V548" s="113"/>
    </row>
    <row r="549" customFormat="false" ht="15" hidden="false" customHeight="true" outlineLevel="0" collapsed="false">
      <c r="H549" s="113"/>
      <c r="I549" s="113"/>
      <c r="J549" s="113"/>
      <c r="L549" s="113"/>
      <c r="M549" s="113"/>
      <c r="N549" s="113"/>
      <c r="P549" s="113"/>
      <c r="Q549" s="113"/>
      <c r="R549" s="113"/>
      <c r="T549" s="113"/>
      <c r="U549" s="113"/>
      <c r="V549" s="113"/>
    </row>
    <row r="550" customFormat="false" ht="15" hidden="false" customHeight="true" outlineLevel="0" collapsed="false">
      <c r="H550" s="113"/>
      <c r="I550" s="113"/>
      <c r="J550" s="113"/>
      <c r="L550" s="113"/>
      <c r="M550" s="113"/>
      <c r="N550" s="113"/>
      <c r="P550" s="113"/>
      <c r="Q550" s="113"/>
      <c r="R550" s="113"/>
      <c r="T550" s="113"/>
      <c r="U550" s="113"/>
      <c r="V550" s="113"/>
    </row>
    <row r="551" customFormat="false" ht="15" hidden="false" customHeight="true" outlineLevel="0" collapsed="false">
      <c r="H551" s="113"/>
      <c r="I551" s="113"/>
      <c r="J551" s="113"/>
      <c r="L551" s="113"/>
      <c r="M551" s="113"/>
      <c r="N551" s="113"/>
      <c r="P551" s="113"/>
      <c r="Q551" s="113"/>
      <c r="R551" s="113"/>
      <c r="T551" s="113"/>
      <c r="U551" s="113"/>
      <c r="V551" s="113"/>
    </row>
    <row r="552" customFormat="false" ht="15" hidden="false" customHeight="true" outlineLevel="0" collapsed="false">
      <c r="H552" s="113"/>
      <c r="I552" s="113"/>
      <c r="J552" s="113"/>
      <c r="L552" s="113"/>
      <c r="M552" s="113"/>
      <c r="N552" s="113"/>
      <c r="P552" s="113"/>
      <c r="Q552" s="113"/>
      <c r="R552" s="113"/>
      <c r="T552" s="113"/>
      <c r="U552" s="113"/>
      <c r="V552" s="113"/>
    </row>
    <row r="553" customFormat="false" ht="15" hidden="false" customHeight="true" outlineLevel="0" collapsed="false">
      <c r="H553" s="113"/>
      <c r="I553" s="113"/>
      <c r="J553" s="113"/>
      <c r="L553" s="113"/>
      <c r="M553" s="113"/>
      <c r="N553" s="113"/>
      <c r="P553" s="113"/>
      <c r="Q553" s="113"/>
      <c r="R553" s="113"/>
      <c r="T553" s="113"/>
      <c r="U553" s="113"/>
      <c r="V553" s="113"/>
    </row>
    <row r="554" customFormat="false" ht="15" hidden="false" customHeight="true" outlineLevel="0" collapsed="false">
      <c r="H554" s="113"/>
      <c r="I554" s="113"/>
      <c r="J554" s="113"/>
      <c r="L554" s="113"/>
      <c r="M554" s="113"/>
      <c r="N554" s="113"/>
      <c r="P554" s="113"/>
      <c r="Q554" s="113"/>
      <c r="R554" s="113"/>
      <c r="T554" s="113"/>
      <c r="U554" s="113"/>
      <c r="V554" s="113"/>
    </row>
    <row r="555" customFormat="false" ht="15" hidden="false" customHeight="true" outlineLevel="0" collapsed="false">
      <c r="H555" s="113"/>
      <c r="I555" s="113"/>
      <c r="J555" s="113"/>
      <c r="L555" s="113"/>
      <c r="M555" s="113"/>
      <c r="N555" s="113"/>
      <c r="P555" s="113"/>
      <c r="Q555" s="113"/>
      <c r="R555" s="113"/>
      <c r="T555" s="113"/>
      <c r="U555" s="113"/>
      <c r="V555" s="113"/>
    </row>
    <row r="556" customFormat="false" ht="15" hidden="false" customHeight="true" outlineLevel="0" collapsed="false">
      <c r="H556" s="113"/>
      <c r="I556" s="113"/>
      <c r="J556" s="113"/>
      <c r="L556" s="113"/>
      <c r="M556" s="113"/>
      <c r="N556" s="113"/>
      <c r="P556" s="113"/>
      <c r="Q556" s="113"/>
      <c r="R556" s="113"/>
      <c r="T556" s="113"/>
      <c r="U556" s="113"/>
      <c r="V556" s="113"/>
    </row>
    <row r="557" customFormat="false" ht="15" hidden="false" customHeight="true" outlineLevel="0" collapsed="false">
      <c r="H557" s="113"/>
      <c r="I557" s="113"/>
      <c r="J557" s="113"/>
      <c r="L557" s="113"/>
      <c r="M557" s="113"/>
      <c r="N557" s="113"/>
      <c r="P557" s="113"/>
      <c r="Q557" s="113"/>
      <c r="R557" s="113"/>
      <c r="T557" s="113"/>
      <c r="U557" s="113"/>
      <c r="V557" s="113"/>
    </row>
    <row r="558" customFormat="false" ht="15" hidden="false" customHeight="true" outlineLevel="0" collapsed="false">
      <c r="H558" s="113"/>
      <c r="I558" s="113"/>
      <c r="J558" s="113"/>
      <c r="L558" s="113"/>
      <c r="M558" s="113"/>
      <c r="N558" s="113"/>
      <c r="P558" s="113"/>
      <c r="Q558" s="113"/>
      <c r="R558" s="113"/>
      <c r="T558" s="113"/>
      <c r="U558" s="113"/>
      <c r="V558" s="113"/>
    </row>
    <row r="559" customFormat="false" ht="15" hidden="false" customHeight="true" outlineLevel="0" collapsed="false">
      <c r="H559" s="113"/>
      <c r="I559" s="113"/>
      <c r="J559" s="113"/>
      <c r="L559" s="113"/>
      <c r="M559" s="113"/>
      <c r="N559" s="113"/>
      <c r="P559" s="113"/>
      <c r="Q559" s="113"/>
      <c r="R559" s="113"/>
      <c r="T559" s="113"/>
      <c r="U559" s="113"/>
      <c r="V559" s="113"/>
    </row>
    <row r="560" customFormat="false" ht="15" hidden="false" customHeight="true" outlineLevel="0" collapsed="false">
      <c r="H560" s="113"/>
      <c r="I560" s="113"/>
      <c r="J560" s="113"/>
      <c r="L560" s="113"/>
      <c r="M560" s="113"/>
      <c r="N560" s="113"/>
      <c r="P560" s="113"/>
      <c r="Q560" s="113"/>
      <c r="R560" s="113"/>
      <c r="T560" s="113"/>
      <c r="U560" s="113"/>
      <c r="V560" s="113"/>
    </row>
    <row r="561" customFormat="false" ht="15" hidden="false" customHeight="true" outlineLevel="0" collapsed="false">
      <c r="H561" s="113"/>
      <c r="I561" s="113"/>
      <c r="J561" s="113"/>
      <c r="L561" s="113"/>
      <c r="M561" s="113"/>
      <c r="N561" s="113"/>
      <c r="P561" s="113"/>
      <c r="Q561" s="113"/>
      <c r="R561" s="113"/>
      <c r="T561" s="113"/>
      <c r="U561" s="113"/>
      <c r="V561" s="113"/>
    </row>
    <row r="562" customFormat="false" ht="15" hidden="false" customHeight="true" outlineLevel="0" collapsed="false">
      <c r="H562" s="113"/>
      <c r="I562" s="113"/>
      <c r="J562" s="113"/>
      <c r="L562" s="113"/>
      <c r="M562" s="113"/>
      <c r="N562" s="113"/>
      <c r="P562" s="113"/>
      <c r="Q562" s="113"/>
      <c r="R562" s="113"/>
      <c r="T562" s="113"/>
      <c r="U562" s="113"/>
      <c r="V562" s="113"/>
    </row>
    <row r="563" customFormat="false" ht="15" hidden="false" customHeight="true" outlineLevel="0" collapsed="false">
      <c r="H563" s="113"/>
      <c r="I563" s="113"/>
      <c r="J563" s="113"/>
      <c r="L563" s="113"/>
      <c r="M563" s="113"/>
      <c r="N563" s="113"/>
      <c r="P563" s="113"/>
      <c r="Q563" s="113"/>
      <c r="R563" s="113"/>
      <c r="T563" s="113"/>
      <c r="U563" s="113"/>
      <c r="V563" s="113"/>
    </row>
    <row r="564" customFormat="false" ht="15" hidden="false" customHeight="true" outlineLevel="0" collapsed="false">
      <c r="H564" s="113"/>
      <c r="I564" s="113"/>
      <c r="J564" s="113"/>
      <c r="L564" s="113"/>
      <c r="M564" s="113"/>
      <c r="N564" s="113"/>
      <c r="P564" s="113"/>
      <c r="Q564" s="113"/>
      <c r="R564" s="113"/>
      <c r="T564" s="113"/>
      <c r="U564" s="113"/>
      <c r="V564" s="113"/>
    </row>
    <row r="565" customFormat="false" ht="15" hidden="false" customHeight="true" outlineLevel="0" collapsed="false">
      <c r="H565" s="113"/>
      <c r="I565" s="113"/>
      <c r="J565" s="113"/>
      <c r="L565" s="113"/>
      <c r="M565" s="113"/>
      <c r="N565" s="113"/>
      <c r="P565" s="113"/>
      <c r="Q565" s="113"/>
      <c r="R565" s="113"/>
      <c r="T565" s="113"/>
      <c r="U565" s="113"/>
      <c r="V565" s="113"/>
    </row>
    <row r="566" customFormat="false" ht="15" hidden="false" customHeight="true" outlineLevel="0" collapsed="false">
      <c r="H566" s="113"/>
      <c r="I566" s="113"/>
      <c r="J566" s="113"/>
      <c r="L566" s="113"/>
      <c r="M566" s="113"/>
      <c r="N566" s="113"/>
      <c r="P566" s="113"/>
      <c r="Q566" s="113"/>
      <c r="R566" s="113"/>
      <c r="T566" s="113"/>
      <c r="U566" s="113"/>
      <c r="V566" s="113"/>
    </row>
    <row r="567" customFormat="false" ht="15" hidden="false" customHeight="true" outlineLevel="0" collapsed="false">
      <c r="H567" s="113"/>
      <c r="I567" s="113"/>
      <c r="J567" s="113"/>
      <c r="L567" s="113"/>
      <c r="M567" s="113"/>
      <c r="N567" s="113"/>
      <c r="P567" s="113"/>
      <c r="Q567" s="113"/>
      <c r="R567" s="113"/>
      <c r="T567" s="113"/>
      <c r="U567" s="113"/>
      <c r="V567" s="113"/>
    </row>
    <row r="568" customFormat="false" ht="15" hidden="false" customHeight="true" outlineLevel="0" collapsed="false">
      <c r="H568" s="113"/>
      <c r="I568" s="113"/>
      <c r="J568" s="113"/>
      <c r="L568" s="113"/>
      <c r="M568" s="113"/>
      <c r="N568" s="113"/>
      <c r="P568" s="113"/>
      <c r="Q568" s="113"/>
      <c r="R568" s="113"/>
      <c r="T568" s="113"/>
      <c r="U568" s="113"/>
      <c r="V568" s="113"/>
    </row>
    <row r="569" customFormat="false" ht="15" hidden="false" customHeight="true" outlineLevel="0" collapsed="false">
      <c r="H569" s="113"/>
      <c r="I569" s="113"/>
      <c r="J569" s="113"/>
      <c r="L569" s="113"/>
      <c r="M569" s="113"/>
      <c r="N569" s="113"/>
      <c r="P569" s="113"/>
      <c r="Q569" s="113"/>
      <c r="R569" s="113"/>
      <c r="T569" s="113"/>
      <c r="U569" s="113"/>
      <c r="V569" s="113"/>
    </row>
    <row r="570" customFormat="false" ht="15" hidden="false" customHeight="true" outlineLevel="0" collapsed="false">
      <c r="H570" s="113"/>
      <c r="I570" s="113"/>
      <c r="J570" s="113"/>
      <c r="L570" s="113"/>
      <c r="M570" s="113"/>
      <c r="N570" s="113"/>
      <c r="P570" s="113"/>
      <c r="Q570" s="113"/>
      <c r="R570" s="113"/>
      <c r="T570" s="113"/>
      <c r="U570" s="113"/>
      <c r="V570" s="113"/>
    </row>
    <row r="571" customFormat="false" ht="15" hidden="false" customHeight="true" outlineLevel="0" collapsed="false">
      <c r="H571" s="113"/>
      <c r="I571" s="113"/>
      <c r="J571" s="113"/>
      <c r="L571" s="113"/>
      <c r="M571" s="113"/>
      <c r="N571" s="113"/>
      <c r="P571" s="113"/>
      <c r="Q571" s="113"/>
      <c r="R571" s="113"/>
      <c r="T571" s="113"/>
      <c r="U571" s="113"/>
      <c r="V571" s="113"/>
    </row>
    <row r="572" customFormat="false" ht="15" hidden="false" customHeight="true" outlineLevel="0" collapsed="false">
      <c r="H572" s="113"/>
      <c r="I572" s="113"/>
      <c r="J572" s="113"/>
      <c r="L572" s="113"/>
      <c r="M572" s="113"/>
      <c r="N572" s="113"/>
      <c r="P572" s="113"/>
      <c r="Q572" s="113"/>
      <c r="R572" s="113"/>
      <c r="T572" s="113"/>
      <c r="U572" s="113"/>
      <c r="V572" s="113"/>
    </row>
    <row r="573" customFormat="false" ht="15" hidden="false" customHeight="true" outlineLevel="0" collapsed="false">
      <c r="H573" s="113"/>
      <c r="I573" s="113"/>
      <c r="J573" s="113"/>
      <c r="L573" s="113"/>
      <c r="M573" s="113"/>
      <c r="N573" s="113"/>
      <c r="P573" s="113"/>
      <c r="Q573" s="113"/>
      <c r="R573" s="113"/>
      <c r="T573" s="113"/>
      <c r="U573" s="113"/>
      <c r="V573" s="113"/>
    </row>
    <row r="574" customFormat="false" ht="15" hidden="false" customHeight="true" outlineLevel="0" collapsed="false">
      <c r="H574" s="113"/>
      <c r="I574" s="113"/>
      <c r="J574" s="113"/>
      <c r="L574" s="113"/>
      <c r="M574" s="113"/>
      <c r="N574" s="113"/>
      <c r="P574" s="113"/>
      <c r="Q574" s="113"/>
      <c r="R574" s="113"/>
      <c r="T574" s="113"/>
      <c r="U574" s="113"/>
      <c r="V574" s="113"/>
    </row>
    <row r="575" customFormat="false" ht="15" hidden="false" customHeight="true" outlineLevel="0" collapsed="false">
      <c r="H575" s="113"/>
      <c r="I575" s="113"/>
      <c r="J575" s="113"/>
      <c r="L575" s="113"/>
      <c r="M575" s="113"/>
      <c r="N575" s="113"/>
      <c r="P575" s="113"/>
      <c r="Q575" s="113"/>
      <c r="R575" s="113"/>
      <c r="T575" s="113"/>
      <c r="U575" s="113"/>
      <c r="V575" s="113"/>
    </row>
    <row r="576" customFormat="false" ht="15" hidden="false" customHeight="true" outlineLevel="0" collapsed="false">
      <c r="H576" s="113"/>
      <c r="I576" s="113"/>
      <c r="J576" s="113"/>
      <c r="L576" s="113"/>
      <c r="M576" s="113"/>
      <c r="N576" s="113"/>
      <c r="P576" s="113"/>
      <c r="Q576" s="113"/>
      <c r="R576" s="113"/>
      <c r="T576" s="113"/>
      <c r="U576" s="113"/>
      <c r="V576" s="113"/>
    </row>
    <row r="577" customFormat="false" ht="15" hidden="false" customHeight="true" outlineLevel="0" collapsed="false">
      <c r="H577" s="113"/>
      <c r="I577" s="113"/>
      <c r="J577" s="113"/>
      <c r="L577" s="113"/>
      <c r="M577" s="113"/>
      <c r="N577" s="113"/>
      <c r="P577" s="113"/>
      <c r="Q577" s="113"/>
      <c r="R577" s="113"/>
      <c r="T577" s="113"/>
      <c r="U577" s="113"/>
      <c r="V577" s="113"/>
    </row>
    <row r="578" customFormat="false" ht="15" hidden="false" customHeight="true" outlineLevel="0" collapsed="false">
      <c r="H578" s="113"/>
      <c r="I578" s="113"/>
      <c r="J578" s="113"/>
      <c r="L578" s="113"/>
      <c r="M578" s="113"/>
      <c r="N578" s="113"/>
      <c r="P578" s="113"/>
      <c r="Q578" s="113"/>
      <c r="R578" s="113"/>
      <c r="T578" s="113"/>
      <c r="U578" s="113"/>
      <c r="V578" s="113"/>
    </row>
    <row r="579" customFormat="false" ht="15" hidden="false" customHeight="true" outlineLevel="0" collapsed="false">
      <c r="H579" s="113"/>
      <c r="I579" s="113"/>
      <c r="J579" s="113"/>
      <c r="L579" s="113"/>
      <c r="M579" s="113"/>
      <c r="N579" s="113"/>
      <c r="P579" s="113"/>
      <c r="Q579" s="113"/>
      <c r="R579" s="113"/>
      <c r="T579" s="113"/>
      <c r="U579" s="113"/>
      <c r="V579" s="113"/>
    </row>
    <row r="580" customFormat="false" ht="15" hidden="false" customHeight="true" outlineLevel="0" collapsed="false">
      <c r="H580" s="113"/>
      <c r="I580" s="113"/>
      <c r="J580" s="113"/>
      <c r="L580" s="113"/>
      <c r="M580" s="113"/>
      <c r="N580" s="113"/>
      <c r="P580" s="113"/>
      <c r="Q580" s="113"/>
      <c r="R580" s="113"/>
      <c r="T580" s="113"/>
      <c r="U580" s="113"/>
      <c r="V580" s="113"/>
    </row>
    <row r="581" customFormat="false" ht="15" hidden="false" customHeight="true" outlineLevel="0" collapsed="false">
      <c r="H581" s="113"/>
      <c r="I581" s="113"/>
      <c r="J581" s="113"/>
      <c r="L581" s="113"/>
      <c r="M581" s="113"/>
      <c r="N581" s="113"/>
      <c r="P581" s="113"/>
      <c r="Q581" s="113"/>
      <c r="R581" s="113"/>
      <c r="T581" s="113"/>
      <c r="U581" s="113"/>
      <c r="V581" s="113"/>
    </row>
    <row r="582" customFormat="false" ht="15" hidden="false" customHeight="true" outlineLevel="0" collapsed="false">
      <c r="H582" s="113"/>
      <c r="I582" s="113"/>
      <c r="J582" s="113"/>
      <c r="L582" s="113"/>
      <c r="M582" s="113"/>
      <c r="N582" s="113"/>
      <c r="P582" s="113"/>
      <c r="Q582" s="113"/>
      <c r="R582" s="113"/>
      <c r="T582" s="113"/>
      <c r="U582" s="113"/>
      <c r="V582" s="113"/>
    </row>
    <row r="583" customFormat="false" ht="15" hidden="false" customHeight="true" outlineLevel="0" collapsed="false">
      <c r="H583" s="113"/>
      <c r="I583" s="113"/>
      <c r="J583" s="113"/>
      <c r="L583" s="113"/>
      <c r="M583" s="113"/>
      <c r="N583" s="113"/>
      <c r="P583" s="113"/>
      <c r="Q583" s="113"/>
      <c r="R583" s="113"/>
      <c r="T583" s="113"/>
      <c r="U583" s="113"/>
      <c r="V583" s="113"/>
    </row>
    <row r="584" customFormat="false" ht="15" hidden="false" customHeight="true" outlineLevel="0" collapsed="false">
      <c r="H584" s="113"/>
      <c r="I584" s="113"/>
      <c r="J584" s="113"/>
      <c r="L584" s="113"/>
      <c r="M584" s="113"/>
      <c r="N584" s="113"/>
      <c r="P584" s="113"/>
      <c r="Q584" s="113"/>
      <c r="R584" s="113"/>
      <c r="T584" s="113"/>
      <c r="U584" s="113"/>
      <c r="V584" s="113"/>
    </row>
    <row r="585" customFormat="false" ht="15" hidden="false" customHeight="true" outlineLevel="0" collapsed="false">
      <c r="H585" s="113"/>
      <c r="I585" s="113"/>
      <c r="J585" s="113"/>
      <c r="L585" s="113"/>
      <c r="M585" s="113"/>
      <c r="N585" s="113"/>
      <c r="P585" s="113"/>
      <c r="Q585" s="113"/>
      <c r="R585" s="113"/>
      <c r="T585" s="113"/>
      <c r="U585" s="113"/>
      <c r="V585" s="113"/>
    </row>
    <row r="586" customFormat="false" ht="15" hidden="false" customHeight="true" outlineLevel="0" collapsed="false">
      <c r="H586" s="113"/>
      <c r="I586" s="113"/>
      <c r="J586" s="113"/>
      <c r="L586" s="113"/>
      <c r="M586" s="113"/>
      <c r="N586" s="113"/>
      <c r="P586" s="113"/>
      <c r="Q586" s="113"/>
      <c r="R586" s="113"/>
      <c r="T586" s="113"/>
      <c r="U586" s="113"/>
      <c r="V586" s="113"/>
    </row>
    <row r="587" customFormat="false" ht="15" hidden="false" customHeight="true" outlineLevel="0" collapsed="false">
      <c r="H587" s="113"/>
      <c r="I587" s="113"/>
      <c r="J587" s="113"/>
      <c r="L587" s="113"/>
      <c r="M587" s="113"/>
      <c r="N587" s="113"/>
      <c r="P587" s="113"/>
      <c r="Q587" s="113"/>
      <c r="R587" s="113"/>
      <c r="T587" s="113"/>
      <c r="U587" s="113"/>
      <c r="V587" s="113"/>
    </row>
    <row r="588" customFormat="false" ht="15" hidden="false" customHeight="true" outlineLevel="0" collapsed="false">
      <c r="H588" s="113"/>
      <c r="I588" s="113"/>
      <c r="J588" s="113"/>
      <c r="L588" s="113"/>
      <c r="M588" s="113"/>
      <c r="N588" s="113"/>
      <c r="P588" s="113"/>
      <c r="Q588" s="113"/>
      <c r="R588" s="113"/>
      <c r="T588" s="113"/>
      <c r="U588" s="113"/>
      <c r="V588" s="113"/>
    </row>
    <row r="589" customFormat="false" ht="15" hidden="false" customHeight="true" outlineLevel="0" collapsed="false">
      <c r="H589" s="113"/>
      <c r="I589" s="113"/>
      <c r="J589" s="113"/>
      <c r="L589" s="113"/>
      <c r="M589" s="113"/>
      <c r="N589" s="113"/>
      <c r="P589" s="113"/>
      <c r="Q589" s="113"/>
      <c r="R589" s="113"/>
      <c r="T589" s="113"/>
      <c r="U589" s="113"/>
      <c r="V589" s="113"/>
    </row>
    <row r="590" customFormat="false" ht="15" hidden="false" customHeight="true" outlineLevel="0" collapsed="false">
      <c r="H590" s="113"/>
      <c r="I590" s="113"/>
      <c r="J590" s="113"/>
      <c r="L590" s="113"/>
      <c r="M590" s="113"/>
      <c r="N590" s="113"/>
      <c r="P590" s="113"/>
      <c r="Q590" s="113"/>
      <c r="R590" s="113"/>
      <c r="T590" s="113"/>
      <c r="U590" s="113"/>
      <c r="V590" s="113"/>
    </row>
    <row r="591" customFormat="false" ht="15" hidden="false" customHeight="true" outlineLevel="0" collapsed="false">
      <c r="H591" s="113"/>
      <c r="I591" s="113"/>
      <c r="J591" s="113"/>
      <c r="L591" s="113"/>
      <c r="M591" s="113"/>
      <c r="N591" s="113"/>
      <c r="P591" s="113"/>
      <c r="Q591" s="113"/>
      <c r="R591" s="113"/>
      <c r="T591" s="113"/>
      <c r="U591" s="113"/>
      <c r="V591" s="113"/>
    </row>
    <row r="592" customFormat="false" ht="15" hidden="false" customHeight="true" outlineLevel="0" collapsed="false">
      <c r="H592" s="113"/>
      <c r="I592" s="113"/>
      <c r="J592" s="113"/>
      <c r="L592" s="113"/>
      <c r="M592" s="113"/>
      <c r="N592" s="113"/>
      <c r="P592" s="113"/>
      <c r="Q592" s="113"/>
      <c r="R592" s="113"/>
      <c r="T592" s="113"/>
      <c r="U592" s="113"/>
      <c r="V592" s="113"/>
    </row>
    <row r="593" customFormat="false" ht="15" hidden="false" customHeight="true" outlineLevel="0" collapsed="false">
      <c r="H593" s="113"/>
      <c r="I593" s="113"/>
      <c r="J593" s="113"/>
      <c r="L593" s="113"/>
      <c r="M593" s="113"/>
      <c r="N593" s="113"/>
      <c r="P593" s="113"/>
      <c r="Q593" s="113"/>
      <c r="R593" s="113"/>
      <c r="T593" s="113"/>
      <c r="U593" s="113"/>
      <c r="V593" s="113"/>
    </row>
    <row r="594" customFormat="false" ht="15" hidden="false" customHeight="true" outlineLevel="0" collapsed="false">
      <c r="H594" s="113"/>
      <c r="I594" s="113"/>
      <c r="J594" s="113"/>
      <c r="L594" s="113"/>
      <c r="M594" s="113"/>
      <c r="N594" s="113"/>
      <c r="P594" s="113"/>
      <c r="Q594" s="113"/>
      <c r="R594" s="113"/>
      <c r="T594" s="113"/>
      <c r="U594" s="113"/>
      <c r="V594" s="113"/>
    </row>
    <row r="595" customFormat="false" ht="15" hidden="false" customHeight="true" outlineLevel="0" collapsed="false">
      <c r="H595" s="113"/>
      <c r="I595" s="113"/>
      <c r="J595" s="113"/>
      <c r="L595" s="113"/>
      <c r="M595" s="113"/>
      <c r="N595" s="113"/>
      <c r="P595" s="113"/>
      <c r="Q595" s="113"/>
      <c r="R595" s="113"/>
      <c r="T595" s="113"/>
      <c r="U595" s="113"/>
      <c r="V595" s="113"/>
    </row>
    <row r="596" customFormat="false" ht="15" hidden="false" customHeight="true" outlineLevel="0" collapsed="false">
      <c r="H596" s="113"/>
      <c r="I596" s="113"/>
      <c r="J596" s="113"/>
      <c r="L596" s="113"/>
      <c r="M596" s="113"/>
      <c r="N596" s="113"/>
      <c r="P596" s="113"/>
      <c r="Q596" s="113"/>
      <c r="R596" s="113"/>
      <c r="T596" s="113"/>
      <c r="U596" s="113"/>
      <c r="V596" s="113"/>
    </row>
    <row r="597" customFormat="false" ht="15" hidden="false" customHeight="true" outlineLevel="0" collapsed="false">
      <c r="H597" s="113"/>
      <c r="I597" s="113"/>
      <c r="J597" s="113"/>
      <c r="L597" s="113"/>
      <c r="M597" s="113"/>
      <c r="N597" s="113"/>
      <c r="P597" s="113"/>
      <c r="Q597" s="113"/>
      <c r="R597" s="113"/>
      <c r="T597" s="113"/>
      <c r="U597" s="113"/>
      <c r="V597" s="113"/>
    </row>
    <row r="598" customFormat="false" ht="15" hidden="false" customHeight="true" outlineLevel="0" collapsed="false">
      <c r="H598" s="113"/>
      <c r="I598" s="113"/>
      <c r="J598" s="113"/>
      <c r="L598" s="113"/>
      <c r="M598" s="113"/>
      <c r="N598" s="113"/>
      <c r="P598" s="113"/>
      <c r="Q598" s="113"/>
      <c r="R598" s="113"/>
      <c r="T598" s="113"/>
      <c r="U598" s="113"/>
      <c r="V598" s="113"/>
    </row>
    <row r="599" customFormat="false" ht="15" hidden="false" customHeight="true" outlineLevel="0" collapsed="false">
      <c r="H599" s="113"/>
      <c r="I599" s="113"/>
      <c r="J599" s="113"/>
      <c r="L599" s="113"/>
      <c r="M599" s="113"/>
      <c r="N599" s="113"/>
      <c r="P599" s="113"/>
      <c r="Q599" s="113"/>
      <c r="R599" s="113"/>
      <c r="T599" s="113"/>
      <c r="U599" s="113"/>
      <c r="V599" s="113"/>
    </row>
    <row r="600" customFormat="false" ht="15" hidden="false" customHeight="true" outlineLevel="0" collapsed="false">
      <c r="H600" s="113"/>
      <c r="I600" s="113"/>
      <c r="J600" s="113"/>
      <c r="L600" s="113"/>
      <c r="M600" s="113"/>
      <c r="N600" s="113"/>
      <c r="P600" s="113"/>
      <c r="Q600" s="113"/>
      <c r="R600" s="113"/>
      <c r="T600" s="113"/>
      <c r="U600" s="113"/>
      <c r="V600" s="113"/>
    </row>
    <row r="601" customFormat="false" ht="15" hidden="false" customHeight="true" outlineLevel="0" collapsed="false">
      <c r="H601" s="113"/>
      <c r="I601" s="113"/>
      <c r="J601" s="113"/>
      <c r="L601" s="113"/>
      <c r="M601" s="113"/>
      <c r="N601" s="113"/>
      <c r="P601" s="113"/>
      <c r="Q601" s="113"/>
      <c r="R601" s="113"/>
      <c r="T601" s="113"/>
      <c r="U601" s="113"/>
      <c r="V601" s="113"/>
    </row>
    <row r="602" customFormat="false" ht="15" hidden="false" customHeight="true" outlineLevel="0" collapsed="false">
      <c r="H602" s="113"/>
      <c r="I602" s="113"/>
      <c r="J602" s="113"/>
      <c r="L602" s="113"/>
      <c r="M602" s="113"/>
      <c r="N602" s="113"/>
      <c r="P602" s="113"/>
      <c r="Q602" s="113"/>
      <c r="R602" s="113"/>
      <c r="T602" s="113"/>
      <c r="U602" s="113"/>
      <c r="V602" s="113"/>
    </row>
    <row r="603" customFormat="false" ht="15" hidden="false" customHeight="true" outlineLevel="0" collapsed="false">
      <c r="H603" s="113"/>
      <c r="I603" s="113"/>
      <c r="J603" s="113"/>
      <c r="L603" s="113"/>
      <c r="M603" s="113"/>
      <c r="N603" s="113"/>
      <c r="P603" s="113"/>
      <c r="Q603" s="113"/>
      <c r="R603" s="113"/>
      <c r="T603" s="113"/>
      <c r="U603" s="113"/>
      <c r="V603" s="113"/>
    </row>
    <row r="604" customFormat="false" ht="15" hidden="false" customHeight="true" outlineLevel="0" collapsed="false">
      <c r="H604" s="113"/>
      <c r="I604" s="113"/>
      <c r="J604" s="113"/>
      <c r="L604" s="113"/>
      <c r="M604" s="113"/>
      <c r="N604" s="113"/>
      <c r="P604" s="113"/>
      <c r="Q604" s="113"/>
      <c r="R604" s="113"/>
      <c r="T604" s="113"/>
      <c r="U604" s="113"/>
      <c r="V604" s="113"/>
    </row>
    <row r="605" customFormat="false" ht="15" hidden="false" customHeight="true" outlineLevel="0" collapsed="false">
      <c r="H605" s="113"/>
      <c r="I605" s="113"/>
      <c r="J605" s="113"/>
      <c r="L605" s="113"/>
      <c r="M605" s="113"/>
      <c r="N605" s="113"/>
      <c r="P605" s="113"/>
      <c r="Q605" s="113"/>
      <c r="R605" s="113"/>
      <c r="T605" s="113"/>
      <c r="U605" s="113"/>
      <c r="V605" s="113"/>
    </row>
    <row r="606" customFormat="false" ht="15" hidden="false" customHeight="true" outlineLevel="0" collapsed="false">
      <c r="H606" s="113"/>
      <c r="I606" s="113"/>
      <c r="J606" s="113"/>
      <c r="L606" s="113"/>
      <c r="M606" s="113"/>
      <c r="N606" s="113"/>
      <c r="P606" s="113"/>
      <c r="Q606" s="113"/>
      <c r="R606" s="113"/>
      <c r="T606" s="113"/>
      <c r="U606" s="113"/>
      <c r="V606" s="113"/>
    </row>
    <row r="607" customFormat="false" ht="15" hidden="false" customHeight="true" outlineLevel="0" collapsed="false">
      <c r="H607" s="113"/>
      <c r="I607" s="113"/>
      <c r="J607" s="113"/>
      <c r="L607" s="113"/>
      <c r="M607" s="113"/>
      <c r="N607" s="113"/>
      <c r="P607" s="113"/>
      <c r="Q607" s="113"/>
      <c r="R607" s="113"/>
      <c r="T607" s="113"/>
      <c r="U607" s="113"/>
      <c r="V607" s="113"/>
    </row>
    <row r="608" customFormat="false" ht="15" hidden="false" customHeight="true" outlineLevel="0" collapsed="false">
      <c r="H608" s="113"/>
      <c r="I608" s="113"/>
      <c r="J608" s="113"/>
      <c r="L608" s="113"/>
      <c r="M608" s="113"/>
      <c r="N608" s="113"/>
      <c r="P608" s="113"/>
      <c r="Q608" s="113"/>
      <c r="R608" s="113"/>
      <c r="T608" s="113"/>
      <c r="U608" s="113"/>
      <c r="V608" s="113"/>
    </row>
    <row r="609" customFormat="false" ht="15" hidden="false" customHeight="true" outlineLevel="0" collapsed="false">
      <c r="H609" s="113"/>
      <c r="I609" s="113"/>
      <c r="J609" s="113"/>
      <c r="L609" s="113"/>
      <c r="M609" s="113"/>
      <c r="N609" s="113"/>
      <c r="P609" s="113"/>
      <c r="Q609" s="113"/>
      <c r="R609" s="113"/>
      <c r="T609" s="113"/>
      <c r="U609" s="113"/>
      <c r="V609" s="113"/>
    </row>
    <row r="610" customFormat="false" ht="15" hidden="false" customHeight="true" outlineLevel="0" collapsed="false">
      <c r="H610" s="113"/>
      <c r="I610" s="113"/>
      <c r="J610" s="113"/>
      <c r="L610" s="113"/>
      <c r="M610" s="113"/>
      <c r="N610" s="113"/>
      <c r="P610" s="113"/>
      <c r="Q610" s="113"/>
      <c r="R610" s="113"/>
      <c r="T610" s="113"/>
      <c r="U610" s="113"/>
      <c r="V610" s="113"/>
    </row>
    <row r="611" customFormat="false" ht="15" hidden="false" customHeight="true" outlineLevel="0" collapsed="false">
      <c r="H611" s="113"/>
      <c r="I611" s="113"/>
      <c r="J611" s="113"/>
      <c r="L611" s="113"/>
      <c r="M611" s="113"/>
      <c r="N611" s="113"/>
      <c r="P611" s="113"/>
      <c r="Q611" s="113"/>
      <c r="R611" s="113"/>
      <c r="T611" s="113"/>
      <c r="U611" s="113"/>
      <c r="V611" s="113"/>
    </row>
    <row r="612" customFormat="false" ht="15" hidden="false" customHeight="true" outlineLevel="0" collapsed="false">
      <c r="H612" s="113"/>
      <c r="I612" s="113"/>
      <c r="J612" s="113"/>
      <c r="L612" s="113"/>
      <c r="M612" s="113"/>
      <c r="N612" s="113"/>
      <c r="P612" s="113"/>
      <c r="Q612" s="113"/>
      <c r="R612" s="113"/>
      <c r="T612" s="113"/>
      <c r="U612" s="113"/>
      <c r="V612" s="113"/>
    </row>
    <row r="613" customFormat="false" ht="15" hidden="false" customHeight="true" outlineLevel="0" collapsed="false">
      <c r="H613" s="113"/>
      <c r="I613" s="113"/>
      <c r="J613" s="113"/>
      <c r="L613" s="113"/>
      <c r="M613" s="113"/>
      <c r="N613" s="113"/>
      <c r="P613" s="113"/>
      <c r="Q613" s="113"/>
      <c r="R613" s="113"/>
      <c r="T613" s="113"/>
      <c r="U613" s="113"/>
      <c r="V613" s="113"/>
    </row>
    <row r="614" customFormat="false" ht="15" hidden="false" customHeight="true" outlineLevel="0" collapsed="false">
      <c r="H614" s="113"/>
      <c r="I614" s="113"/>
      <c r="J614" s="113"/>
      <c r="L614" s="113"/>
      <c r="M614" s="113"/>
      <c r="N614" s="113"/>
      <c r="P614" s="113"/>
      <c r="Q614" s="113"/>
      <c r="R614" s="113"/>
      <c r="T614" s="113"/>
      <c r="U614" s="113"/>
      <c r="V614" s="113"/>
    </row>
    <row r="615" customFormat="false" ht="15" hidden="false" customHeight="true" outlineLevel="0" collapsed="false">
      <c r="H615" s="113"/>
      <c r="I615" s="113"/>
      <c r="J615" s="113"/>
      <c r="L615" s="113"/>
      <c r="M615" s="113"/>
      <c r="N615" s="113"/>
      <c r="P615" s="113"/>
      <c r="Q615" s="113"/>
      <c r="R615" s="113"/>
      <c r="T615" s="113"/>
      <c r="U615" s="113"/>
      <c r="V615" s="113"/>
    </row>
    <row r="616" customFormat="false" ht="15" hidden="false" customHeight="true" outlineLevel="0" collapsed="false">
      <c r="H616" s="113"/>
      <c r="I616" s="113"/>
      <c r="J616" s="113"/>
      <c r="L616" s="113"/>
      <c r="M616" s="113"/>
      <c r="N616" s="113"/>
      <c r="P616" s="113"/>
      <c r="Q616" s="113"/>
      <c r="R616" s="113"/>
      <c r="T616" s="113"/>
      <c r="U616" s="113"/>
      <c r="V616" s="113"/>
    </row>
    <row r="617" customFormat="false" ht="15" hidden="false" customHeight="true" outlineLevel="0" collapsed="false">
      <c r="H617" s="113"/>
      <c r="I617" s="113"/>
      <c r="J617" s="113"/>
      <c r="L617" s="113"/>
      <c r="M617" s="113"/>
      <c r="N617" s="113"/>
      <c r="P617" s="113"/>
      <c r="Q617" s="113"/>
      <c r="R617" s="113"/>
      <c r="T617" s="113"/>
      <c r="U617" s="113"/>
      <c r="V617" s="113"/>
    </row>
    <row r="618" customFormat="false" ht="15" hidden="false" customHeight="true" outlineLevel="0" collapsed="false">
      <c r="H618" s="113"/>
      <c r="I618" s="113"/>
      <c r="J618" s="113"/>
      <c r="L618" s="113"/>
      <c r="M618" s="113"/>
      <c r="N618" s="113"/>
      <c r="P618" s="113"/>
      <c r="Q618" s="113"/>
      <c r="R618" s="113"/>
      <c r="T618" s="113"/>
      <c r="U618" s="113"/>
      <c r="V618" s="113"/>
    </row>
    <row r="619" customFormat="false" ht="15" hidden="false" customHeight="true" outlineLevel="0" collapsed="false">
      <c r="H619" s="113"/>
      <c r="I619" s="113"/>
      <c r="J619" s="113"/>
      <c r="L619" s="113"/>
      <c r="M619" s="113"/>
      <c r="N619" s="113"/>
      <c r="P619" s="113"/>
      <c r="Q619" s="113"/>
      <c r="R619" s="113"/>
      <c r="T619" s="113"/>
      <c r="U619" s="113"/>
      <c r="V619" s="113"/>
    </row>
    <row r="620" customFormat="false" ht="15" hidden="false" customHeight="true" outlineLevel="0" collapsed="false">
      <c r="H620" s="113"/>
      <c r="I620" s="113"/>
      <c r="J620" s="113"/>
      <c r="L620" s="113"/>
      <c r="M620" s="113"/>
      <c r="N620" s="113"/>
      <c r="P620" s="113"/>
      <c r="Q620" s="113"/>
      <c r="R620" s="113"/>
      <c r="T620" s="113"/>
      <c r="U620" s="113"/>
      <c r="V620" s="113"/>
    </row>
    <row r="621" customFormat="false" ht="15" hidden="false" customHeight="true" outlineLevel="0" collapsed="false">
      <c r="H621" s="113"/>
      <c r="I621" s="113"/>
      <c r="J621" s="113"/>
      <c r="L621" s="113"/>
      <c r="M621" s="113"/>
      <c r="N621" s="113"/>
      <c r="P621" s="113"/>
      <c r="Q621" s="113"/>
      <c r="R621" s="113"/>
      <c r="T621" s="113"/>
      <c r="U621" s="113"/>
      <c r="V621" s="113"/>
    </row>
    <row r="622" customFormat="false" ht="15" hidden="false" customHeight="true" outlineLevel="0" collapsed="false">
      <c r="H622" s="113"/>
      <c r="I622" s="113"/>
      <c r="J622" s="113"/>
      <c r="L622" s="113"/>
      <c r="M622" s="113"/>
      <c r="N622" s="113"/>
      <c r="P622" s="113"/>
      <c r="Q622" s="113"/>
      <c r="R622" s="113"/>
      <c r="T622" s="113"/>
      <c r="U622" s="113"/>
      <c r="V622" s="113"/>
    </row>
    <row r="623" customFormat="false" ht="15" hidden="false" customHeight="true" outlineLevel="0" collapsed="false">
      <c r="H623" s="113"/>
      <c r="I623" s="113"/>
      <c r="J623" s="113"/>
      <c r="L623" s="113"/>
      <c r="M623" s="113"/>
      <c r="N623" s="113"/>
      <c r="P623" s="113"/>
      <c r="Q623" s="113"/>
      <c r="R623" s="113"/>
      <c r="T623" s="113"/>
      <c r="U623" s="113"/>
      <c r="V623" s="113"/>
    </row>
    <row r="624" customFormat="false" ht="15" hidden="false" customHeight="true" outlineLevel="0" collapsed="false">
      <c r="H624" s="113"/>
      <c r="I624" s="113"/>
      <c r="J624" s="113"/>
      <c r="L624" s="113"/>
      <c r="M624" s="113"/>
      <c r="N624" s="113"/>
      <c r="P624" s="113"/>
      <c r="Q624" s="113"/>
      <c r="R624" s="113"/>
      <c r="T624" s="113"/>
      <c r="U624" s="113"/>
      <c r="V624" s="113"/>
    </row>
    <row r="625" customFormat="false" ht="15" hidden="false" customHeight="true" outlineLevel="0" collapsed="false">
      <c r="H625" s="113"/>
      <c r="I625" s="113"/>
      <c r="J625" s="113"/>
      <c r="L625" s="113"/>
      <c r="M625" s="113"/>
      <c r="N625" s="113"/>
      <c r="P625" s="113"/>
      <c r="Q625" s="113"/>
      <c r="R625" s="113"/>
      <c r="T625" s="113"/>
      <c r="U625" s="113"/>
      <c r="V625" s="113"/>
    </row>
    <row r="626" customFormat="false" ht="15" hidden="false" customHeight="true" outlineLevel="0" collapsed="false">
      <c r="H626" s="113"/>
      <c r="I626" s="113"/>
      <c r="J626" s="113"/>
      <c r="L626" s="113"/>
      <c r="M626" s="113"/>
      <c r="N626" s="113"/>
      <c r="P626" s="113"/>
      <c r="Q626" s="113"/>
      <c r="R626" s="113"/>
      <c r="T626" s="113"/>
      <c r="U626" s="113"/>
      <c r="V626" s="113"/>
    </row>
    <row r="627" customFormat="false" ht="15" hidden="false" customHeight="true" outlineLevel="0" collapsed="false">
      <c r="H627" s="113"/>
      <c r="I627" s="113"/>
      <c r="J627" s="113"/>
      <c r="L627" s="113"/>
      <c r="M627" s="113"/>
      <c r="N627" s="113"/>
      <c r="P627" s="113"/>
      <c r="Q627" s="113"/>
      <c r="R627" s="113"/>
      <c r="T627" s="113"/>
      <c r="U627" s="113"/>
      <c r="V627" s="113"/>
    </row>
    <row r="628" customFormat="false" ht="15" hidden="false" customHeight="true" outlineLevel="0" collapsed="false">
      <c r="H628" s="113"/>
      <c r="I628" s="113"/>
      <c r="J628" s="113"/>
      <c r="L628" s="113"/>
      <c r="M628" s="113"/>
      <c r="N628" s="113"/>
      <c r="P628" s="113"/>
      <c r="Q628" s="113"/>
      <c r="R628" s="113"/>
      <c r="T628" s="113"/>
      <c r="U628" s="113"/>
      <c r="V628" s="113"/>
    </row>
    <row r="629" customFormat="false" ht="15" hidden="false" customHeight="true" outlineLevel="0" collapsed="false">
      <c r="H629" s="113"/>
      <c r="I629" s="113"/>
      <c r="J629" s="113"/>
      <c r="L629" s="113"/>
      <c r="M629" s="113"/>
      <c r="N629" s="113"/>
      <c r="P629" s="113"/>
      <c r="Q629" s="113"/>
      <c r="R629" s="113"/>
      <c r="T629" s="113"/>
      <c r="U629" s="113"/>
      <c r="V629" s="113"/>
    </row>
    <row r="630" customFormat="false" ht="15" hidden="false" customHeight="true" outlineLevel="0" collapsed="false">
      <c r="H630" s="113"/>
      <c r="I630" s="113"/>
      <c r="J630" s="113"/>
      <c r="L630" s="113"/>
      <c r="M630" s="113"/>
      <c r="N630" s="113"/>
      <c r="P630" s="113"/>
      <c r="Q630" s="113"/>
      <c r="R630" s="113"/>
      <c r="T630" s="113"/>
      <c r="U630" s="113"/>
      <c r="V630" s="113"/>
    </row>
    <row r="631" customFormat="false" ht="15" hidden="false" customHeight="true" outlineLevel="0" collapsed="false">
      <c r="H631" s="113"/>
      <c r="I631" s="113"/>
      <c r="J631" s="113"/>
      <c r="L631" s="113"/>
      <c r="M631" s="113"/>
      <c r="N631" s="113"/>
      <c r="P631" s="113"/>
      <c r="Q631" s="113"/>
      <c r="R631" s="113"/>
      <c r="T631" s="113"/>
      <c r="U631" s="113"/>
      <c r="V631" s="113"/>
    </row>
    <row r="632" customFormat="false" ht="15" hidden="false" customHeight="true" outlineLevel="0" collapsed="false">
      <c r="H632" s="113"/>
      <c r="I632" s="113"/>
      <c r="J632" s="113"/>
      <c r="L632" s="113"/>
      <c r="M632" s="113"/>
      <c r="N632" s="113"/>
      <c r="P632" s="113"/>
      <c r="Q632" s="113"/>
      <c r="R632" s="113"/>
      <c r="T632" s="113"/>
      <c r="U632" s="113"/>
      <c r="V632" s="113"/>
    </row>
    <row r="633" customFormat="false" ht="15" hidden="false" customHeight="true" outlineLevel="0" collapsed="false">
      <c r="H633" s="113"/>
      <c r="I633" s="113"/>
      <c r="J633" s="113"/>
      <c r="L633" s="113"/>
      <c r="M633" s="113"/>
      <c r="N633" s="113"/>
      <c r="P633" s="113"/>
      <c r="Q633" s="113"/>
      <c r="R633" s="113"/>
      <c r="T633" s="113"/>
      <c r="U633" s="113"/>
      <c r="V633" s="113"/>
    </row>
    <row r="634" customFormat="false" ht="15" hidden="false" customHeight="true" outlineLevel="0" collapsed="false">
      <c r="H634" s="113"/>
      <c r="I634" s="113"/>
      <c r="J634" s="113"/>
      <c r="L634" s="113"/>
      <c r="M634" s="113"/>
      <c r="N634" s="113"/>
      <c r="P634" s="113"/>
      <c r="Q634" s="113"/>
      <c r="R634" s="113"/>
      <c r="T634" s="113"/>
      <c r="U634" s="113"/>
      <c r="V634" s="113"/>
    </row>
    <row r="635" customFormat="false" ht="15" hidden="false" customHeight="true" outlineLevel="0" collapsed="false">
      <c r="H635" s="113"/>
      <c r="I635" s="113"/>
      <c r="J635" s="113"/>
      <c r="L635" s="113"/>
      <c r="M635" s="113"/>
      <c r="N635" s="113"/>
      <c r="P635" s="113"/>
      <c r="Q635" s="113"/>
      <c r="R635" s="113"/>
      <c r="T635" s="113"/>
      <c r="U635" s="113"/>
      <c r="V635" s="113"/>
    </row>
    <row r="636" customFormat="false" ht="15" hidden="false" customHeight="true" outlineLevel="0" collapsed="false">
      <c r="H636" s="113"/>
      <c r="I636" s="113"/>
      <c r="J636" s="113"/>
      <c r="L636" s="113"/>
      <c r="M636" s="113"/>
      <c r="N636" s="113"/>
      <c r="P636" s="113"/>
      <c r="Q636" s="113"/>
      <c r="R636" s="113"/>
      <c r="T636" s="113"/>
      <c r="U636" s="113"/>
      <c r="V636" s="113"/>
    </row>
    <row r="637" customFormat="false" ht="15" hidden="false" customHeight="true" outlineLevel="0" collapsed="false">
      <c r="H637" s="113"/>
      <c r="I637" s="113"/>
      <c r="J637" s="113"/>
      <c r="L637" s="113"/>
      <c r="M637" s="113"/>
      <c r="N637" s="113"/>
      <c r="P637" s="113"/>
      <c r="Q637" s="113"/>
      <c r="R637" s="113"/>
      <c r="T637" s="113"/>
      <c r="U637" s="113"/>
      <c r="V637" s="113"/>
    </row>
    <row r="638" customFormat="false" ht="15" hidden="false" customHeight="true" outlineLevel="0" collapsed="false">
      <c r="H638" s="113"/>
      <c r="I638" s="113"/>
      <c r="J638" s="113"/>
      <c r="L638" s="113"/>
      <c r="M638" s="113"/>
      <c r="N638" s="113"/>
      <c r="P638" s="113"/>
      <c r="Q638" s="113"/>
      <c r="R638" s="113"/>
      <c r="T638" s="113"/>
      <c r="U638" s="113"/>
      <c r="V638" s="113"/>
    </row>
    <row r="639" customFormat="false" ht="15" hidden="false" customHeight="true" outlineLevel="0" collapsed="false">
      <c r="H639" s="113"/>
      <c r="I639" s="113"/>
      <c r="J639" s="113"/>
      <c r="L639" s="113"/>
      <c r="M639" s="113"/>
      <c r="N639" s="113"/>
      <c r="P639" s="113"/>
      <c r="Q639" s="113"/>
      <c r="R639" s="113"/>
      <c r="T639" s="113"/>
      <c r="U639" s="113"/>
      <c r="V639" s="113"/>
    </row>
    <row r="640" customFormat="false" ht="15" hidden="false" customHeight="true" outlineLevel="0" collapsed="false">
      <c r="H640" s="113"/>
      <c r="I640" s="113"/>
      <c r="J640" s="113"/>
      <c r="L640" s="113"/>
      <c r="M640" s="113"/>
      <c r="N640" s="113"/>
      <c r="P640" s="113"/>
      <c r="Q640" s="113"/>
      <c r="R640" s="113"/>
      <c r="T640" s="113"/>
      <c r="U640" s="113"/>
      <c r="V640" s="113"/>
    </row>
    <row r="641" customFormat="false" ht="15" hidden="false" customHeight="true" outlineLevel="0" collapsed="false">
      <c r="H641" s="113"/>
      <c r="I641" s="113"/>
      <c r="J641" s="113"/>
      <c r="L641" s="113"/>
      <c r="M641" s="113"/>
      <c r="N641" s="113"/>
      <c r="P641" s="113"/>
      <c r="Q641" s="113"/>
      <c r="R641" s="113"/>
      <c r="T641" s="113"/>
      <c r="U641" s="113"/>
      <c r="V641" s="113"/>
    </row>
    <row r="642" customFormat="false" ht="15" hidden="false" customHeight="true" outlineLevel="0" collapsed="false">
      <c r="H642" s="113"/>
      <c r="I642" s="113"/>
      <c r="J642" s="113"/>
      <c r="L642" s="113"/>
      <c r="M642" s="113"/>
      <c r="N642" s="113"/>
      <c r="P642" s="113"/>
      <c r="Q642" s="113"/>
      <c r="R642" s="113"/>
      <c r="T642" s="113"/>
      <c r="U642" s="113"/>
      <c r="V642" s="113"/>
    </row>
    <row r="643" customFormat="false" ht="15" hidden="false" customHeight="true" outlineLevel="0" collapsed="false">
      <c r="H643" s="113"/>
      <c r="I643" s="113"/>
      <c r="J643" s="113"/>
      <c r="L643" s="113"/>
      <c r="M643" s="113"/>
      <c r="N643" s="113"/>
      <c r="P643" s="113"/>
      <c r="Q643" s="113"/>
      <c r="R643" s="113"/>
      <c r="T643" s="113"/>
      <c r="U643" s="113"/>
      <c r="V643" s="113"/>
    </row>
    <row r="644" customFormat="false" ht="15" hidden="false" customHeight="true" outlineLevel="0" collapsed="false">
      <c r="H644" s="113"/>
      <c r="I644" s="113"/>
      <c r="J644" s="113"/>
      <c r="L644" s="113"/>
      <c r="M644" s="113"/>
      <c r="N644" s="113"/>
      <c r="P644" s="113"/>
      <c r="Q644" s="113"/>
      <c r="R644" s="113"/>
      <c r="T644" s="113"/>
      <c r="U644" s="113"/>
      <c r="V644" s="113"/>
    </row>
    <row r="645" customFormat="false" ht="15" hidden="false" customHeight="true" outlineLevel="0" collapsed="false">
      <c r="H645" s="113"/>
      <c r="I645" s="113"/>
      <c r="J645" s="113"/>
      <c r="L645" s="113"/>
      <c r="M645" s="113"/>
      <c r="N645" s="113"/>
      <c r="P645" s="113"/>
      <c r="Q645" s="113"/>
      <c r="R645" s="113"/>
      <c r="T645" s="113"/>
      <c r="U645" s="113"/>
      <c r="V645" s="113"/>
    </row>
    <row r="646" customFormat="false" ht="15" hidden="false" customHeight="true" outlineLevel="0" collapsed="false">
      <c r="H646" s="113"/>
      <c r="I646" s="113"/>
      <c r="J646" s="113"/>
      <c r="L646" s="113"/>
      <c r="M646" s="113"/>
      <c r="N646" s="113"/>
      <c r="P646" s="113"/>
      <c r="Q646" s="113"/>
      <c r="R646" s="113"/>
      <c r="T646" s="113"/>
      <c r="U646" s="113"/>
      <c r="V646" s="113"/>
    </row>
    <row r="647" customFormat="false" ht="15" hidden="false" customHeight="true" outlineLevel="0" collapsed="false">
      <c r="H647" s="113"/>
      <c r="I647" s="113"/>
      <c r="J647" s="113"/>
      <c r="L647" s="113"/>
      <c r="M647" s="113"/>
      <c r="N647" s="113"/>
      <c r="P647" s="113"/>
      <c r="Q647" s="113"/>
      <c r="R647" s="113"/>
      <c r="T647" s="113"/>
      <c r="U647" s="113"/>
      <c r="V647" s="113"/>
    </row>
    <row r="648" customFormat="false" ht="15" hidden="false" customHeight="true" outlineLevel="0" collapsed="false">
      <c r="H648" s="113"/>
      <c r="I648" s="113"/>
      <c r="J648" s="113"/>
      <c r="L648" s="113"/>
      <c r="M648" s="113"/>
      <c r="N648" s="113"/>
      <c r="P648" s="113"/>
      <c r="Q648" s="113"/>
      <c r="R648" s="113"/>
      <c r="T648" s="113"/>
      <c r="U648" s="113"/>
      <c r="V648" s="113"/>
    </row>
    <row r="649" customFormat="false" ht="15" hidden="false" customHeight="true" outlineLevel="0" collapsed="false">
      <c r="H649" s="113"/>
      <c r="I649" s="113"/>
      <c r="J649" s="113"/>
      <c r="L649" s="113"/>
      <c r="M649" s="113"/>
      <c r="N649" s="113"/>
      <c r="P649" s="113"/>
      <c r="Q649" s="113"/>
      <c r="R649" s="113"/>
      <c r="T649" s="113"/>
      <c r="U649" s="113"/>
      <c r="V649" s="113"/>
    </row>
    <row r="650" customFormat="false" ht="15" hidden="false" customHeight="true" outlineLevel="0" collapsed="false">
      <c r="H650" s="113"/>
      <c r="I650" s="113"/>
      <c r="J650" s="113"/>
      <c r="L650" s="113"/>
      <c r="M650" s="113"/>
      <c r="N650" s="113"/>
      <c r="P650" s="113"/>
      <c r="Q650" s="113"/>
      <c r="R650" s="113"/>
      <c r="T650" s="113"/>
      <c r="U650" s="113"/>
      <c r="V650" s="113"/>
    </row>
    <row r="651" customFormat="false" ht="15" hidden="false" customHeight="true" outlineLevel="0" collapsed="false">
      <c r="H651" s="113"/>
      <c r="I651" s="113"/>
      <c r="J651" s="113"/>
      <c r="L651" s="113"/>
      <c r="M651" s="113"/>
      <c r="N651" s="113"/>
      <c r="P651" s="113"/>
      <c r="Q651" s="113"/>
      <c r="R651" s="113"/>
      <c r="T651" s="113"/>
      <c r="U651" s="113"/>
      <c r="V651" s="113"/>
    </row>
    <row r="652" customFormat="false" ht="15" hidden="false" customHeight="true" outlineLevel="0" collapsed="false">
      <c r="H652" s="113"/>
      <c r="I652" s="113"/>
      <c r="J652" s="113"/>
      <c r="L652" s="113"/>
      <c r="M652" s="113"/>
      <c r="N652" s="113"/>
      <c r="P652" s="113"/>
      <c r="Q652" s="113"/>
      <c r="R652" s="113"/>
      <c r="T652" s="113"/>
      <c r="U652" s="113"/>
      <c r="V652" s="113"/>
    </row>
    <row r="653" customFormat="false" ht="15" hidden="false" customHeight="true" outlineLevel="0" collapsed="false">
      <c r="H653" s="113"/>
      <c r="I653" s="113"/>
      <c r="J653" s="113"/>
      <c r="L653" s="113"/>
      <c r="M653" s="113"/>
      <c r="N653" s="113"/>
      <c r="P653" s="113"/>
      <c r="Q653" s="113"/>
      <c r="R653" s="113"/>
      <c r="T653" s="113"/>
      <c r="U653" s="113"/>
      <c r="V653" s="113"/>
    </row>
    <row r="654" customFormat="false" ht="15" hidden="false" customHeight="true" outlineLevel="0" collapsed="false">
      <c r="H654" s="113"/>
      <c r="I654" s="113"/>
      <c r="J654" s="113"/>
      <c r="L654" s="113"/>
      <c r="M654" s="113"/>
      <c r="N654" s="113"/>
      <c r="P654" s="113"/>
      <c r="Q654" s="113"/>
      <c r="R654" s="113"/>
      <c r="T654" s="113"/>
      <c r="U654" s="113"/>
      <c r="V654" s="113"/>
    </row>
    <row r="655" customFormat="false" ht="15" hidden="false" customHeight="true" outlineLevel="0" collapsed="false">
      <c r="H655" s="113"/>
      <c r="I655" s="113"/>
      <c r="J655" s="113"/>
      <c r="L655" s="113"/>
      <c r="M655" s="113"/>
      <c r="N655" s="113"/>
      <c r="P655" s="113"/>
      <c r="Q655" s="113"/>
      <c r="R655" s="113"/>
      <c r="T655" s="113"/>
      <c r="U655" s="113"/>
      <c r="V655" s="113"/>
    </row>
    <row r="656" customFormat="false" ht="15" hidden="false" customHeight="true" outlineLevel="0" collapsed="false">
      <c r="H656" s="113"/>
      <c r="I656" s="113"/>
      <c r="J656" s="113"/>
      <c r="L656" s="113"/>
      <c r="M656" s="113"/>
      <c r="N656" s="113"/>
      <c r="P656" s="113"/>
      <c r="Q656" s="113"/>
      <c r="R656" s="113"/>
      <c r="T656" s="113"/>
      <c r="U656" s="113"/>
      <c r="V656" s="113"/>
    </row>
    <row r="657" customFormat="false" ht="15" hidden="false" customHeight="true" outlineLevel="0" collapsed="false">
      <c r="H657" s="113"/>
      <c r="I657" s="113"/>
      <c r="J657" s="113"/>
      <c r="L657" s="113"/>
      <c r="M657" s="113"/>
      <c r="N657" s="113"/>
      <c r="P657" s="113"/>
      <c r="Q657" s="113"/>
      <c r="R657" s="113"/>
      <c r="T657" s="113"/>
      <c r="U657" s="113"/>
      <c r="V657" s="113"/>
    </row>
    <row r="658" customFormat="false" ht="15" hidden="false" customHeight="true" outlineLevel="0" collapsed="false">
      <c r="H658" s="113"/>
      <c r="I658" s="113"/>
      <c r="J658" s="113"/>
      <c r="L658" s="113"/>
      <c r="M658" s="113"/>
      <c r="N658" s="113"/>
      <c r="P658" s="113"/>
      <c r="Q658" s="113"/>
      <c r="R658" s="113"/>
      <c r="T658" s="113"/>
      <c r="U658" s="113"/>
      <c r="V658" s="113"/>
    </row>
    <row r="659" customFormat="false" ht="15" hidden="false" customHeight="true" outlineLevel="0" collapsed="false">
      <c r="H659" s="113"/>
      <c r="I659" s="113"/>
      <c r="J659" s="113"/>
      <c r="L659" s="113"/>
      <c r="M659" s="113"/>
      <c r="N659" s="113"/>
      <c r="P659" s="113"/>
      <c r="Q659" s="113"/>
      <c r="R659" s="113"/>
      <c r="T659" s="113"/>
      <c r="U659" s="113"/>
      <c r="V659" s="113"/>
    </row>
    <row r="660" customFormat="false" ht="15" hidden="false" customHeight="true" outlineLevel="0" collapsed="false">
      <c r="H660" s="113"/>
      <c r="I660" s="113"/>
      <c r="J660" s="113"/>
      <c r="L660" s="113"/>
      <c r="M660" s="113"/>
      <c r="N660" s="113"/>
      <c r="P660" s="113"/>
      <c r="Q660" s="113"/>
      <c r="R660" s="113"/>
      <c r="T660" s="113"/>
      <c r="U660" s="113"/>
      <c r="V660" s="113"/>
    </row>
    <row r="661" customFormat="false" ht="15" hidden="false" customHeight="true" outlineLevel="0" collapsed="false"/>
    <row r="662" customFormat="false" ht="15" hidden="false" customHeight="true" outlineLevel="0" collapsed="false"/>
    <row r="663" customFormat="false" ht="15" hidden="false" customHeight="true" outlineLevel="0" collapsed="false"/>
    <row r="664" customFormat="false" ht="15" hidden="false" customHeight="true" outlineLevel="0" collapsed="false"/>
    <row r="665" customFormat="false" ht="15" hidden="false" customHeight="true" outlineLevel="0" collapsed="false"/>
    <row r="666" customFormat="false" ht="15" hidden="false" customHeight="true" outlineLevel="0" collapsed="false"/>
    <row r="667" customFormat="false" ht="15" hidden="false" customHeight="true" outlineLevel="0" collapsed="false"/>
    <row r="668" customFormat="false" ht="15" hidden="false" customHeight="true" outlineLevel="0" collapsed="false"/>
    <row r="669" customFormat="false" ht="15" hidden="false" customHeight="true" outlineLevel="0" collapsed="false"/>
    <row r="670" customFormat="false" ht="15" hidden="false" customHeight="true" outlineLevel="0" collapsed="false"/>
    <row r="671" customFormat="false" ht="15" hidden="false" customHeight="true" outlineLevel="0" collapsed="false"/>
    <row r="672" customFormat="false" ht="15" hidden="false" customHeight="true" outlineLevel="0" collapsed="false"/>
    <row r="673" customFormat="false" ht="15" hidden="false" customHeight="true" outlineLevel="0" collapsed="false"/>
    <row r="674" customFormat="false" ht="15" hidden="false" customHeight="true" outlineLevel="0" collapsed="false"/>
    <row r="675" customFormat="false" ht="15" hidden="false" customHeight="true" outlineLevel="0" collapsed="false"/>
    <row r="676" customFormat="false" ht="15" hidden="false" customHeight="true" outlineLevel="0" collapsed="false"/>
    <row r="677" customFormat="false" ht="15" hidden="false" customHeight="true" outlineLevel="0" collapsed="false"/>
    <row r="678" customFormat="false" ht="15" hidden="false" customHeight="true" outlineLevel="0" collapsed="false"/>
    <row r="679" customFormat="false" ht="15" hidden="false" customHeight="true" outlineLevel="0" collapsed="false"/>
    <row r="680" customFormat="false" ht="15" hidden="false" customHeight="true" outlineLevel="0" collapsed="false"/>
    <row r="681" customFormat="false" ht="15" hidden="false" customHeight="true" outlineLevel="0" collapsed="false"/>
    <row r="682" customFormat="false" ht="15" hidden="false" customHeight="true" outlineLevel="0" collapsed="false"/>
    <row r="683" customFormat="false" ht="15" hidden="false" customHeight="true" outlineLevel="0" collapsed="false"/>
    <row r="684" customFormat="false" ht="15" hidden="false" customHeight="true" outlineLevel="0" collapsed="false"/>
    <row r="685" customFormat="false" ht="15" hidden="false" customHeight="true" outlineLevel="0" collapsed="false"/>
    <row r="686" customFormat="false" ht="15" hidden="false" customHeight="true" outlineLevel="0" collapsed="false"/>
    <row r="687" customFormat="false" ht="15" hidden="false" customHeight="true" outlineLevel="0" collapsed="false"/>
    <row r="688" customFormat="false" ht="15" hidden="false" customHeight="true" outlineLevel="0" collapsed="false"/>
    <row r="689" customFormat="false" ht="15" hidden="false" customHeight="true" outlineLevel="0" collapsed="false"/>
    <row r="690" customFormat="false" ht="15" hidden="false" customHeight="true" outlineLevel="0" collapsed="false"/>
    <row r="691" customFormat="false" ht="15" hidden="false" customHeight="true" outlineLevel="0" collapsed="false"/>
    <row r="692" customFormat="false" ht="15" hidden="false" customHeight="true" outlineLevel="0" collapsed="false"/>
    <row r="693" customFormat="false" ht="15" hidden="false" customHeight="true" outlineLevel="0" collapsed="false"/>
    <row r="694" customFormat="false" ht="15" hidden="false" customHeight="true" outlineLevel="0" collapsed="false"/>
    <row r="695" customFormat="false" ht="15" hidden="false" customHeight="true" outlineLevel="0" collapsed="false"/>
  </sheetData>
  <mergeCells count="62">
    <mergeCell ref="A7:Y7"/>
    <mergeCell ref="B9:I9"/>
    <mergeCell ref="K9:R9"/>
    <mergeCell ref="B10:C10"/>
    <mergeCell ref="D10:E10"/>
    <mergeCell ref="F10:G10"/>
    <mergeCell ref="H10:I10"/>
    <mergeCell ref="K10:L10"/>
    <mergeCell ref="M10:N10"/>
    <mergeCell ref="O10:P10"/>
    <mergeCell ref="Q10:R10"/>
    <mergeCell ref="B11:C11"/>
    <mergeCell ref="D11:E11"/>
    <mergeCell ref="F11:G11"/>
    <mergeCell ref="H11:I11"/>
    <mergeCell ref="K11:L11"/>
    <mergeCell ref="M11:N11"/>
    <mergeCell ref="O11:P11"/>
    <mergeCell ref="Q11:R11"/>
    <mergeCell ref="B12:C13"/>
    <mergeCell ref="D12:E13"/>
    <mergeCell ref="F12:G13"/>
    <mergeCell ref="H12:I13"/>
    <mergeCell ref="K12:L13"/>
    <mergeCell ref="M12:N13"/>
    <mergeCell ref="O12:P13"/>
    <mergeCell ref="Q12:R13"/>
    <mergeCell ref="B14:C14"/>
    <mergeCell ref="D14:E14"/>
    <mergeCell ref="F14:G14"/>
    <mergeCell ref="H14:I14"/>
    <mergeCell ref="K14:L14"/>
    <mergeCell ref="M14:N14"/>
    <mergeCell ref="O14:P14"/>
    <mergeCell ref="Q14:R14"/>
    <mergeCell ref="B16:R16"/>
    <mergeCell ref="B17:D17"/>
    <mergeCell ref="E17:G17"/>
    <mergeCell ref="I17:K17"/>
    <mergeCell ref="M17:O17"/>
    <mergeCell ref="Q17:S17"/>
    <mergeCell ref="B18:D18"/>
    <mergeCell ref="E18:G18"/>
    <mergeCell ref="I18:K18"/>
    <mergeCell ref="M18:O18"/>
    <mergeCell ref="Q18:S18"/>
    <mergeCell ref="B19:D20"/>
    <mergeCell ref="E19:G20"/>
    <mergeCell ref="I19:K20"/>
    <mergeCell ref="M19:O20"/>
    <mergeCell ref="Q19:S20"/>
    <mergeCell ref="B21:D21"/>
    <mergeCell ref="E21:G21"/>
    <mergeCell ref="I21:K21"/>
    <mergeCell ref="M21:O21"/>
    <mergeCell ref="Q21:S21"/>
    <mergeCell ref="B22:D22"/>
    <mergeCell ref="E22:G22"/>
    <mergeCell ref="I22:K22"/>
    <mergeCell ref="M22:O22"/>
    <mergeCell ref="Q22:S22"/>
    <mergeCell ref="B23:S23"/>
  </mergeCells>
  <conditionalFormatting sqref="X36:X103">
    <cfRule type="expression" priority="2" aboveAverage="0" equalAverage="0" bottom="0" percent="0" rank="0" text="" dxfId="0">
      <formula>$Y36="✓ On Target"</formula>
    </cfRule>
    <cfRule type="expression" priority="3" aboveAverage="0" equalAverage="0" bottom="0" percent="0" rank="0" text="" dxfId="1">
      <formula>$Y36="✗ Off Target"</formula>
    </cfRule>
    <cfRule type="expression" priority="4" aboveAverage="0" equalAverage="0" bottom="0" percent="0" rank="0" text="" dxfId="2">
      <formula>$Y36="— No Data"</formula>
    </cfRule>
  </conditionalFormatting>
  <conditionalFormatting sqref="Y36:Y103">
    <cfRule type="expression" priority="5" aboveAverage="0" equalAverage="0" bottom="0" percent="0" rank="0" text="" dxfId="0">
      <formula>Y36="✓ On Target"</formula>
    </cfRule>
    <cfRule type="expression" priority="6" aboveAverage="0" equalAverage="0" bottom="0" percent="0" rank="0" text="" dxfId="1">
      <formula>Y36="✗ Off Target"</formula>
    </cfRule>
    <cfRule type="expression" priority="7" aboveAverage="0" equalAverage="0" bottom="0" percent="0" rank="0" text="" dxfId="2">
      <formula>Y36="— No Data"</formula>
    </cfRule>
  </conditionalFormatting>
  <conditionalFormatting sqref="H36:W103">
    <cfRule type="expression" priority="8" aboveAverage="0" equalAverage="0" bottom="0" percent="0" rank="0" text="" dxfId="0">
      <formula>AND(ISNUMBER(H36),ISNUMBER($G36),OR(AND($D36="P",H36&gt;=$G36),AND($D36="N",H36&lt;=$G36)))</formula>
    </cfRule>
    <cfRule type="expression" priority="9" aboveAverage="0" equalAverage="0" bottom="0" percent="0" rank="0" text="" dxfId="1">
      <formula>AND(ISNUMBER(H36),ISNUMBER($G36),OR(AND($D36="P",H36&lt;$G36),AND($D36="N",H36&gt;$G36)))</formula>
    </cfRule>
  </conditionalFormatting>
  <conditionalFormatting sqref="Y36:Y99">
    <cfRule type="expression" priority="10" aboveAverage="0" equalAverage="0" bottom="0" percent="0" rank="0" text="" dxfId="3">
      <formula>Y36="⊘ Non Target"</formula>
    </cfRule>
  </conditionalFormatting>
  <conditionalFormatting sqref="X36:X99">
    <cfRule type="expression" priority="11" aboveAverage="0" equalAverage="0" bottom="0" percent="0" rank="0" text="" dxfId="3">
      <formula>$Y36="⊘ Non Target"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02"/>
  <sheetViews>
    <sheetView showFormulas="false" showGridLines="fals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H58" activeCellId="0" sqref="H58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8"/>
    <col collapsed="false" customWidth="true" hidden="false" outlineLevel="0" max="3" min="3" style="1" width="13"/>
    <col collapsed="false" customWidth="true" hidden="true" outlineLevel="0" max="4" min="4" style="1" width="3"/>
    <col collapsed="false" customWidth="true" hidden="false" outlineLevel="0" max="5" min="5" style="1" width="9"/>
    <col collapsed="false" customWidth="true" hidden="false" outlineLevel="0" max="7" min="6" style="1" width="10"/>
    <col collapsed="false" customWidth="true" hidden="false" outlineLevel="0" max="10" min="8" style="1" width="7"/>
    <col collapsed="false" customWidth="true" hidden="false" outlineLevel="0" max="11" min="11" style="1" width="8"/>
    <col collapsed="false" customWidth="true" hidden="false" outlineLevel="0" max="14" min="12" style="1" width="7"/>
    <col collapsed="false" customWidth="true" hidden="false" outlineLevel="0" max="15" min="15" style="1" width="8"/>
    <col collapsed="false" customWidth="true" hidden="false" outlineLevel="0" max="18" min="16" style="1" width="7"/>
    <col collapsed="false" customWidth="true" hidden="false" outlineLevel="0" max="19" min="19" style="1" width="8"/>
    <col collapsed="false" customWidth="true" hidden="false" outlineLevel="0" max="22" min="20" style="1" width="7"/>
    <col collapsed="false" customWidth="true" hidden="false" outlineLevel="0" max="23" min="23" style="1" width="8"/>
    <col collapsed="false" customWidth="true" hidden="false" outlineLevel="0" max="24" min="24" style="1" width="10"/>
    <col collapsed="false" customWidth="true" hidden="false" outlineLevel="0" max="25" min="25" style="1" width="14"/>
    <col collapsed="false" customWidth="true" hidden="false" outlineLevel="0" max="26" min="26" style="1" width="16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30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30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30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2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21.75" hidden="false" customHeight="true" outlineLevel="0" collapsed="false">
      <c r="A7" s="3" t="s">
        <v>547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9" customFormat="false" ht="24" hidden="false" customHeight="true" outlineLevel="0" collapsed="false">
      <c r="B9" s="159" t="s">
        <v>486</v>
      </c>
      <c r="C9" s="159"/>
      <c r="D9" s="159"/>
      <c r="E9" s="159"/>
      <c r="F9" s="159"/>
      <c r="G9" s="159"/>
      <c r="H9" s="159"/>
      <c r="I9" s="159"/>
      <c r="K9" s="159" t="s">
        <v>487</v>
      </c>
      <c r="L9" s="159"/>
      <c r="M9" s="159"/>
      <c r="N9" s="159"/>
      <c r="O9" s="159"/>
      <c r="P9" s="159"/>
      <c r="Q9" s="159"/>
      <c r="R9" s="159"/>
    </row>
    <row r="10" customFormat="false" ht="6" hidden="false" customHeight="true" outlineLevel="0" collapsed="false">
      <c r="B10" s="4"/>
      <c r="C10" s="4"/>
      <c r="D10" s="5"/>
      <c r="E10" s="5"/>
      <c r="F10" s="6"/>
      <c r="G10" s="6"/>
      <c r="H10" s="7"/>
      <c r="I10" s="7"/>
      <c r="K10" s="4"/>
      <c r="L10" s="4"/>
      <c r="M10" s="5"/>
      <c r="N10" s="5"/>
      <c r="O10" s="6"/>
      <c r="P10" s="6"/>
      <c r="Q10" s="7"/>
      <c r="R10" s="7"/>
    </row>
    <row r="11" customFormat="false" ht="19.5" hidden="false" customHeight="true" outlineLevel="0" collapsed="false">
      <c r="B11" s="9" t="s">
        <v>488</v>
      </c>
      <c r="C11" s="9"/>
      <c r="D11" s="9" t="s">
        <v>489</v>
      </c>
      <c r="E11" s="9"/>
      <c r="F11" s="9" t="s">
        <v>490</v>
      </c>
      <c r="G11" s="9"/>
      <c r="H11" s="9" t="s">
        <v>248</v>
      </c>
      <c r="I11" s="9"/>
      <c r="K11" s="9" t="s">
        <v>488</v>
      </c>
      <c r="L11" s="9"/>
      <c r="M11" s="9" t="s">
        <v>489</v>
      </c>
      <c r="N11" s="9"/>
      <c r="O11" s="9" t="s">
        <v>490</v>
      </c>
      <c r="P11" s="9"/>
      <c r="Q11" s="9" t="s">
        <v>248</v>
      </c>
      <c r="R11" s="9"/>
    </row>
    <row r="12" customFormat="false" ht="24" hidden="false" customHeight="true" outlineLevel="0" collapsed="false">
      <c r="B12" s="160" t="n">
        <v>25</v>
      </c>
      <c r="C12" s="160"/>
      <c r="D12" s="161" t="n">
        <v>13</v>
      </c>
      <c r="E12" s="161"/>
      <c r="F12" s="162" t="n">
        <v>6</v>
      </c>
      <c r="G12" s="162"/>
      <c r="H12" s="163" t="n">
        <v>1</v>
      </c>
      <c r="I12" s="163"/>
      <c r="K12" s="160" t="n">
        <v>8</v>
      </c>
      <c r="L12" s="160"/>
      <c r="M12" s="161" t="n">
        <v>3</v>
      </c>
      <c r="N12" s="161"/>
      <c r="O12" s="162" t="n">
        <v>1</v>
      </c>
      <c r="P12" s="162"/>
      <c r="Q12" s="163" t="n">
        <v>0</v>
      </c>
      <c r="R12" s="163"/>
    </row>
    <row r="13" customFormat="false" ht="24" hidden="false" customHeight="true" outlineLevel="0" collapsed="false">
      <c r="B13" s="160"/>
      <c r="C13" s="160"/>
      <c r="D13" s="161"/>
      <c r="E13" s="161"/>
      <c r="F13" s="162"/>
      <c r="G13" s="162"/>
      <c r="H13" s="163"/>
      <c r="I13" s="163"/>
      <c r="K13" s="160"/>
      <c r="L13" s="160"/>
      <c r="M13" s="161"/>
      <c r="N13" s="161"/>
      <c r="O13" s="162"/>
      <c r="P13" s="162"/>
      <c r="Q13" s="163"/>
      <c r="R13" s="163"/>
    </row>
    <row r="14" customFormat="false" ht="3.75" hidden="false" customHeight="true" outlineLevel="0" collapsed="false">
      <c r="B14" s="18"/>
      <c r="C14" s="18"/>
      <c r="D14" s="18"/>
      <c r="E14" s="18"/>
      <c r="F14" s="18"/>
      <c r="G14" s="18"/>
      <c r="H14" s="18"/>
      <c r="I14" s="18"/>
      <c r="K14" s="18"/>
      <c r="L14" s="18"/>
      <c r="M14" s="18"/>
      <c r="N14" s="18"/>
      <c r="O14" s="18"/>
      <c r="P14" s="18"/>
      <c r="Q14" s="18"/>
      <c r="R14" s="18"/>
    </row>
    <row r="16" customFormat="false" ht="25.5" hidden="false" customHeight="true" outlineLevel="0" collapsed="false">
      <c r="B16" s="164" t="s">
        <v>548</v>
      </c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</row>
    <row r="17" customFormat="false" ht="6" hidden="false" customHeight="true" outlineLevel="0" collapsed="false">
      <c r="B17" s="165"/>
      <c r="C17" s="165"/>
      <c r="D17" s="165"/>
      <c r="E17" s="5"/>
      <c r="F17" s="5"/>
      <c r="G17" s="5"/>
      <c r="I17" s="6"/>
      <c r="J17" s="6"/>
      <c r="K17" s="6"/>
      <c r="M17" s="7"/>
      <c r="N17" s="7"/>
      <c r="O17" s="7"/>
      <c r="Q17" s="8"/>
      <c r="R17" s="8"/>
      <c r="S17" s="8"/>
    </row>
    <row r="18" customFormat="false" ht="21.75" hidden="false" customHeight="true" outlineLevel="0" collapsed="false">
      <c r="B18" s="9" t="s">
        <v>492</v>
      </c>
      <c r="C18" s="9"/>
      <c r="D18" s="9"/>
      <c r="E18" s="9" t="s">
        <v>489</v>
      </c>
      <c r="F18" s="9"/>
      <c r="G18" s="9"/>
      <c r="I18" s="9" t="s">
        <v>490</v>
      </c>
      <c r="J18" s="9"/>
      <c r="K18" s="9"/>
      <c r="M18" s="9" t="s">
        <v>248</v>
      </c>
      <c r="N18" s="9"/>
      <c r="O18" s="9"/>
      <c r="Q18" s="166" t="s">
        <v>5</v>
      </c>
      <c r="R18" s="166"/>
      <c r="S18" s="166"/>
    </row>
    <row r="19" customFormat="false" ht="27.75" hidden="false" customHeight="true" outlineLevel="0" collapsed="false">
      <c r="B19" s="167" t="n">
        <v>33</v>
      </c>
      <c r="C19" s="167"/>
      <c r="D19" s="167"/>
      <c r="E19" s="168" t="n">
        <v>16</v>
      </c>
      <c r="F19" s="168"/>
      <c r="G19" s="168"/>
      <c r="I19" s="169" t="n">
        <v>7</v>
      </c>
      <c r="J19" s="169"/>
      <c r="K19" s="169"/>
      <c r="M19" s="170" t="n">
        <v>1</v>
      </c>
      <c r="N19" s="170"/>
      <c r="O19" s="170"/>
      <c r="Q19" s="171" t="n">
        <v>28</v>
      </c>
      <c r="R19" s="171"/>
      <c r="S19" s="171"/>
    </row>
    <row r="20" customFormat="false" ht="27.75" hidden="false" customHeight="true" outlineLevel="0" collapsed="false">
      <c r="B20" s="167"/>
      <c r="C20" s="167"/>
      <c r="D20" s="167"/>
      <c r="E20" s="168"/>
      <c r="F20" s="168"/>
      <c r="G20" s="168"/>
      <c r="I20" s="169"/>
      <c r="J20" s="169"/>
      <c r="K20" s="169"/>
      <c r="M20" s="170"/>
      <c r="N20" s="170"/>
      <c r="O20" s="170"/>
      <c r="Q20" s="171"/>
      <c r="R20" s="171"/>
      <c r="S20" s="171"/>
    </row>
    <row r="21" customFormat="false" ht="21.75" hidden="false" customHeight="true" outlineLevel="0" collapsed="false">
      <c r="B21" s="15" t="s">
        <v>493</v>
      </c>
      <c r="C21" s="15"/>
      <c r="D21" s="15"/>
      <c r="E21" s="15" t="s">
        <v>515</v>
      </c>
      <c r="F21" s="15"/>
      <c r="G21" s="15"/>
      <c r="I21" s="15" t="s">
        <v>516</v>
      </c>
      <c r="J21" s="15"/>
      <c r="K21" s="15"/>
      <c r="M21" s="15" t="s">
        <v>545</v>
      </c>
      <c r="N21" s="15"/>
      <c r="O21" s="15"/>
      <c r="Q21" s="172" t="s">
        <v>549</v>
      </c>
      <c r="R21" s="172"/>
      <c r="S21" s="172"/>
    </row>
    <row r="22" customFormat="false" ht="3.75" hidden="false" customHeight="true" outlineLevel="0" collapsed="false">
      <c r="B22" s="18"/>
      <c r="C22" s="18"/>
      <c r="D22" s="18"/>
      <c r="E22" s="18"/>
      <c r="F22" s="18"/>
      <c r="G22" s="18"/>
      <c r="I22" s="18"/>
      <c r="J22" s="18"/>
      <c r="K22" s="18"/>
      <c r="M22" s="18"/>
      <c r="N22" s="18"/>
      <c r="O22" s="18"/>
      <c r="Q22" s="18"/>
      <c r="R22" s="18"/>
      <c r="S22" s="18"/>
    </row>
    <row r="23" customFormat="false" ht="24" hidden="false" customHeight="true" outlineLevel="0" collapsed="false">
      <c r="B23" s="47" t="s">
        <v>550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</row>
    <row r="24" customFormat="false" ht="24" hidden="false" customHeight="true" outlineLevel="0" collapsed="false">
      <c r="B24" s="48" t="s">
        <v>23</v>
      </c>
      <c r="C24" s="48" t="s">
        <v>29</v>
      </c>
      <c r="D24" s="48" t="s">
        <v>65</v>
      </c>
      <c r="E24" s="48" t="s">
        <v>66</v>
      </c>
      <c r="F24" s="48" t="s">
        <v>67</v>
      </c>
      <c r="G24" s="48" t="s">
        <v>30</v>
      </c>
    </row>
    <row r="25" customFormat="false" ht="21.75" hidden="false" customHeight="true" outlineLevel="0" collapsed="false">
      <c r="B25" s="55" t="s">
        <v>35</v>
      </c>
      <c r="C25" s="65" t="n">
        <v>10</v>
      </c>
      <c r="D25" s="57" t="n">
        <v>4</v>
      </c>
      <c r="E25" s="58" t="n">
        <v>0</v>
      </c>
      <c r="F25" s="59" t="n">
        <v>1</v>
      </c>
      <c r="G25" s="60" t="n">
        <v>1</v>
      </c>
    </row>
    <row r="26" customFormat="false" ht="21.75" hidden="false" customHeight="true" outlineLevel="0" collapsed="false">
      <c r="B26" s="49" t="s">
        <v>34</v>
      </c>
      <c r="C26" s="66" t="n">
        <v>7</v>
      </c>
      <c r="D26" s="51" t="n">
        <v>4</v>
      </c>
      <c r="E26" s="52" t="n">
        <v>2</v>
      </c>
      <c r="F26" s="53" t="n">
        <v>0</v>
      </c>
      <c r="G26" s="54" t="n">
        <v>0.666666666666667</v>
      </c>
    </row>
    <row r="27" customFormat="false" ht="21.75" hidden="false" customHeight="true" outlineLevel="0" collapsed="false">
      <c r="B27" s="55" t="s">
        <v>36</v>
      </c>
      <c r="C27" s="65" t="n">
        <v>13</v>
      </c>
      <c r="D27" s="57" t="n">
        <v>7</v>
      </c>
      <c r="E27" s="58" t="n">
        <v>5</v>
      </c>
      <c r="F27" s="59" t="n">
        <v>0</v>
      </c>
      <c r="G27" s="60" t="n">
        <v>0.583333333333333</v>
      </c>
    </row>
    <row r="28" customFormat="false" ht="21.75" hidden="false" customHeight="true" outlineLevel="0" collapsed="false">
      <c r="B28" s="49" t="s">
        <v>39</v>
      </c>
      <c r="C28" s="66" t="n">
        <v>0</v>
      </c>
      <c r="D28" s="51" t="n">
        <v>0</v>
      </c>
      <c r="E28" s="52" t="n">
        <v>0</v>
      </c>
      <c r="F28" s="53" t="n">
        <v>0</v>
      </c>
      <c r="G28" s="54" t="s">
        <v>32</v>
      </c>
    </row>
    <row r="29" customFormat="false" ht="21.75" hidden="false" customHeight="true" outlineLevel="0" collapsed="false">
      <c r="B29" s="55" t="s">
        <v>37</v>
      </c>
      <c r="C29" s="65" t="n">
        <v>2</v>
      </c>
      <c r="D29" s="57" t="n">
        <v>1</v>
      </c>
      <c r="E29" s="58" t="n">
        <v>0</v>
      </c>
      <c r="F29" s="59" t="n">
        <v>0</v>
      </c>
      <c r="G29" s="60" t="n">
        <v>1</v>
      </c>
    </row>
    <row r="30" customFormat="false" ht="25.5" hidden="false" customHeight="true" outlineLevel="0" collapsed="false">
      <c r="B30" s="61" t="s">
        <v>51</v>
      </c>
      <c r="C30" s="63" t="n">
        <v>33</v>
      </c>
      <c r="D30" s="63" t="n">
        <v>16</v>
      </c>
      <c r="E30" s="63" t="n">
        <v>7</v>
      </c>
      <c r="F30" s="63" t="n">
        <v>1</v>
      </c>
      <c r="G30" s="64" t="n">
        <v>0.695652173913044</v>
      </c>
    </row>
    <row r="31" customFormat="false" ht="15.75" hidden="false" customHeight="true" outlineLevel="0" collapsed="false"/>
    <row r="32" customFormat="false" ht="15.75" hidden="false" customHeight="true" outlineLevel="0" collapsed="false"/>
    <row r="35" customFormat="false" ht="25.5" hidden="false" customHeight="true" outlineLevel="0" collapsed="false">
      <c r="A35" s="67" t="s">
        <v>69</v>
      </c>
      <c r="B35" s="67" t="s">
        <v>70</v>
      </c>
      <c r="C35" s="67" t="s">
        <v>71</v>
      </c>
      <c r="D35" s="67" t="s">
        <v>72</v>
      </c>
      <c r="E35" s="67" t="s">
        <v>499</v>
      </c>
      <c r="F35" s="67" t="s">
        <v>500</v>
      </c>
      <c r="G35" s="67" t="s">
        <v>74</v>
      </c>
      <c r="H35" s="67" t="s">
        <v>75</v>
      </c>
      <c r="I35" s="67" t="s">
        <v>76</v>
      </c>
      <c r="J35" s="67" t="s">
        <v>77</v>
      </c>
      <c r="K35" s="173" t="s">
        <v>78</v>
      </c>
      <c r="L35" s="67" t="s">
        <v>79</v>
      </c>
      <c r="M35" s="67" t="s">
        <v>80</v>
      </c>
      <c r="N35" s="67" t="s">
        <v>81</v>
      </c>
      <c r="O35" s="173" t="s">
        <v>82</v>
      </c>
      <c r="P35" s="67" t="s">
        <v>83</v>
      </c>
      <c r="Q35" s="67" t="s">
        <v>84</v>
      </c>
      <c r="R35" s="67" t="s">
        <v>85</v>
      </c>
      <c r="S35" s="173" t="s">
        <v>86</v>
      </c>
      <c r="T35" s="67" t="s">
        <v>87</v>
      </c>
      <c r="U35" s="67" t="s">
        <v>88</v>
      </c>
      <c r="V35" s="67" t="s">
        <v>89</v>
      </c>
      <c r="W35" s="173" t="s">
        <v>90</v>
      </c>
      <c r="X35" s="67" t="s">
        <v>91</v>
      </c>
      <c r="Y35" s="67" t="s">
        <v>92</v>
      </c>
      <c r="Z35" s="68" t="s">
        <v>93</v>
      </c>
    </row>
    <row r="36" customFormat="false" ht="25.5" hidden="false" customHeight="true" outlineLevel="0" collapsed="false">
      <c r="A36" s="69" t="s">
        <v>111</v>
      </c>
      <c r="B36" s="70" t="s">
        <v>112</v>
      </c>
      <c r="C36" s="71" t="s">
        <v>35</v>
      </c>
      <c r="D36" s="71" t="s">
        <v>97</v>
      </c>
      <c r="E36" s="69" t="s">
        <v>501</v>
      </c>
      <c r="F36" s="87" t="n">
        <v>0.017</v>
      </c>
      <c r="G36" s="88" t="n">
        <v>0.0145</v>
      </c>
      <c r="H36" s="89" t="n">
        <v>0</v>
      </c>
      <c r="I36" s="89" t="n">
        <v>0</v>
      </c>
      <c r="J36" s="89" t="n">
        <v>0</v>
      </c>
      <c r="K36" s="174" t="n">
        <f aca="false">IF(COUNT(H36:J36)=0,"",AVERAGE(H36:J36))</f>
        <v>0</v>
      </c>
      <c r="L36" s="90" t="n">
        <v>0.0416666666666667</v>
      </c>
      <c r="M36" s="90" t="n">
        <v>0.0303030303030303</v>
      </c>
      <c r="N36" s="90" t="n">
        <v>0.0294117647058824</v>
      </c>
      <c r="O36" s="174" t="n">
        <f aca="false">IF(COUNT(L36:N36)=0,"",AVERAGE(L36:N36))</f>
        <v>0.0337938205585265</v>
      </c>
      <c r="P36" s="90" t="n">
        <v>0.02</v>
      </c>
      <c r="Q36" s="90"/>
      <c r="R36" s="90"/>
      <c r="S36" s="174" t="n">
        <f aca="false">IF(COUNT(P36:R36)=0,"",AVERAGE(P36:R36))</f>
        <v>0.02</v>
      </c>
      <c r="T36" s="90"/>
      <c r="U36" s="90"/>
      <c r="V36" s="90"/>
      <c r="W36" s="174" t="str">
        <f aca="false">IF(COUNT(T36:V36)=0,"",AVERAGE(T36:V36))</f>
        <v/>
      </c>
      <c r="X36" s="92" t="n">
        <v>0.0208333333333334</v>
      </c>
      <c r="Y36" s="114" t="s">
        <v>104</v>
      </c>
      <c r="Z36" s="78" t="s">
        <v>100</v>
      </c>
    </row>
    <row r="37" customFormat="false" ht="25.5" hidden="false" customHeight="true" outlineLevel="0" collapsed="false">
      <c r="A37" s="69" t="s">
        <v>116</v>
      </c>
      <c r="B37" s="70" t="s">
        <v>117</v>
      </c>
      <c r="C37" s="71" t="s">
        <v>35</v>
      </c>
      <c r="D37" s="71" t="s">
        <v>97</v>
      </c>
      <c r="E37" s="69" t="s">
        <v>501</v>
      </c>
      <c r="F37" s="94" t="n">
        <v>0.0054</v>
      </c>
      <c r="G37" s="88" t="n">
        <v>0.0046</v>
      </c>
      <c r="H37" s="89" t="n">
        <v>0</v>
      </c>
      <c r="I37" s="89" t="n">
        <v>0</v>
      </c>
      <c r="J37" s="89" t="n">
        <v>0</v>
      </c>
      <c r="K37" s="174" t="n">
        <f aca="false">IF(COUNT(H37:J37)=0,"",AVERAGE(H37:J37))</f>
        <v>0</v>
      </c>
      <c r="L37" s="90" t="n">
        <v>0</v>
      </c>
      <c r="M37" s="90" t="n">
        <v>0</v>
      </c>
      <c r="N37" s="90" t="n">
        <v>0</v>
      </c>
      <c r="O37" s="175" t="n">
        <f aca="false">IF(COUNT(L37:N37)=0,"",AVERAGE(L37:N37))</f>
        <v>0</v>
      </c>
      <c r="P37" s="124" t="n">
        <v>0</v>
      </c>
      <c r="Q37" s="124"/>
      <c r="R37" s="124"/>
      <c r="S37" s="175" t="n">
        <f aca="false">IF(COUNT(P37:R37)=0,"",AVERAGE(P37:R37))</f>
        <v>0</v>
      </c>
      <c r="T37" s="124"/>
      <c r="U37" s="124"/>
      <c r="V37" s="124"/>
      <c r="W37" s="175" t="str">
        <f aca="false">IF(COUNT(T37:V37)=0,"",AVERAGE(T37:V37))</f>
        <v/>
      </c>
      <c r="X37" s="125" t="n">
        <v>0</v>
      </c>
      <c r="Y37" s="114" t="s">
        <v>104</v>
      </c>
      <c r="Z37" s="78" t="s">
        <v>100</v>
      </c>
    </row>
    <row r="38" customFormat="false" ht="25.5" hidden="false" customHeight="true" outlineLevel="0" collapsed="false">
      <c r="A38" s="69" t="s">
        <v>118</v>
      </c>
      <c r="B38" s="70" t="s">
        <v>119</v>
      </c>
      <c r="C38" s="71" t="s">
        <v>35</v>
      </c>
      <c r="D38" s="71" t="s">
        <v>97</v>
      </c>
      <c r="E38" s="69" t="s">
        <v>501</v>
      </c>
      <c r="F38" s="87" t="s">
        <v>32</v>
      </c>
      <c r="G38" s="91" t="s">
        <v>32</v>
      </c>
      <c r="H38" s="89" t="n">
        <v>0.0225</v>
      </c>
      <c r="I38" s="89" t="n">
        <v>0.0204942736588306</v>
      </c>
      <c r="J38" s="89" t="n">
        <v>0.0238907849829352</v>
      </c>
      <c r="K38" s="174" t="n">
        <f aca="false">IF(COUNT(H38:J38)=0,"",AVERAGE(H38:J38))</f>
        <v>0.0222950195472553</v>
      </c>
      <c r="L38" s="90" t="n">
        <v>0.0237154150197628</v>
      </c>
      <c r="M38" s="90" t="n">
        <v>0.0218181818181818</v>
      </c>
      <c r="N38" s="90" t="n">
        <v>0.0202597402597403</v>
      </c>
      <c r="O38" s="174" t="n">
        <f aca="false">IF(COUNT(L38:N38)=0,"",AVERAGE(L38:N38))</f>
        <v>0.021931112365895</v>
      </c>
      <c r="P38" s="90" t="n">
        <v>0.0202727607814228</v>
      </c>
      <c r="Q38" s="90"/>
      <c r="R38" s="90"/>
      <c r="S38" s="174" t="n">
        <f aca="false">IF(COUNT(P38:R38)=0,"",AVERAGE(P38:R38))</f>
        <v>0.0202727607814228</v>
      </c>
      <c r="T38" s="90"/>
      <c r="U38" s="90"/>
      <c r="V38" s="90"/>
      <c r="W38" s="174" t="str">
        <f aca="false">IF(COUNT(T38:V38)=0,"",AVERAGE(T38:V38))</f>
        <v/>
      </c>
      <c r="X38" s="92" t="n">
        <v>0.023005217283509</v>
      </c>
      <c r="Y38" s="114" t="s">
        <v>120</v>
      </c>
      <c r="Z38" s="78" t="s">
        <v>100</v>
      </c>
    </row>
    <row r="39" customFormat="false" ht="25.5" hidden="false" customHeight="true" outlineLevel="0" collapsed="false">
      <c r="A39" s="69" t="s">
        <v>127</v>
      </c>
      <c r="B39" s="70" t="s">
        <v>128</v>
      </c>
      <c r="C39" s="71" t="s">
        <v>35</v>
      </c>
      <c r="D39" s="71" t="s">
        <v>110</v>
      </c>
      <c r="E39" s="69" t="s">
        <v>501</v>
      </c>
      <c r="F39" s="102" t="s">
        <v>32</v>
      </c>
      <c r="G39" s="75" t="s">
        <v>32</v>
      </c>
      <c r="H39" s="81" t="n">
        <v>0.0111111111111111</v>
      </c>
      <c r="I39" s="81" t="n">
        <v>0.0192307692307692</v>
      </c>
      <c r="J39" s="81" t="n">
        <v>0.0258620689655172</v>
      </c>
      <c r="K39" s="176" t="n">
        <f aca="false">IF(COUNT(H39:J39)=0,"",AVERAGE(H39:J39))</f>
        <v>0.0187346497691325</v>
      </c>
      <c r="L39" s="103" t="n">
        <v>0.0130624092888244</v>
      </c>
      <c r="M39" s="103" t="n">
        <v>0.0151260504201681</v>
      </c>
      <c r="N39" s="103" t="n">
        <v>0.0151260504201681</v>
      </c>
      <c r="O39" s="176" t="n">
        <f aca="false">IF(COUNT(L39:N39)=0,"",AVERAGE(L39:N39))</f>
        <v>0.0144381700430535</v>
      </c>
      <c r="P39" s="103" t="n">
        <v>0.0083955223880597</v>
      </c>
      <c r="Q39" s="103"/>
      <c r="R39" s="103"/>
      <c r="S39" s="176" t="n">
        <f aca="false">IF(COUNT(P39:R39)=0,"",AVERAGE(P39:R39))</f>
        <v>0.0083955223880597</v>
      </c>
      <c r="T39" s="103"/>
      <c r="U39" s="103"/>
      <c r="V39" s="103"/>
      <c r="W39" s="176" t="str">
        <f aca="false">IF(COUNT(T39:V39)=0,"",AVERAGE(T39:V39))</f>
        <v/>
      </c>
      <c r="X39" s="104" t="n">
        <v>0.0158985295289785</v>
      </c>
      <c r="Y39" s="114" t="s">
        <v>120</v>
      </c>
      <c r="Z39" s="78" t="s">
        <v>100</v>
      </c>
    </row>
    <row r="40" customFormat="false" ht="25.5" hidden="false" customHeight="true" outlineLevel="0" collapsed="false">
      <c r="A40" s="69" t="s">
        <v>129</v>
      </c>
      <c r="B40" s="70" t="s">
        <v>130</v>
      </c>
      <c r="C40" s="71" t="s">
        <v>35</v>
      </c>
      <c r="D40" s="71" t="s">
        <v>110</v>
      </c>
      <c r="E40" s="69" t="s">
        <v>501</v>
      </c>
      <c r="F40" s="102" t="s">
        <v>32</v>
      </c>
      <c r="G40" s="75" t="s">
        <v>32</v>
      </c>
      <c r="H40" s="81" t="n">
        <v>0.00556242274412855</v>
      </c>
      <c r="I40" s="81" t="n">
        <v>0.00531600708800945</v>
      </c>
      <c r="J40" s="81" t="n">
        <v>0.005</v>
      </c>
      <c r="K40" s="176" t="n">
        <f aca="false">IF(COUNT(H40:J40)=0,"",AVERAGE(H40:J40))</f>
        <v>0.005292809944046</v>
      </c>
      <c r="L40" s="103" t="n">
        <v>0.00434362934362934</v>
      </c>
      <c r="M40" s="103" t="n">
        <v>0.00457549567869853</v>
      </c>
      <c r="N40" s="103" t="n">
        <v>0.00457549567869853</v>
      </c>
      <c r="O40" s="176" t="n">
        <f aca="false">IF(COUNT(L40:N40)=0,"",AVERAGE(L40:N40))</f>
        <v>0.00449820690034213</v>
      </c>
      <c r="P40" s="103" t="n">
        <v>0.0032514450867052</v>
      </c>
      <c r="Q40" s="103"/>
      <c r="R40" s="103"/>
      <c r="S40" s="176" t="n">
        <f aca="false">IF(COUNT(P40:R40)=0,"",AVERAGE(P40:R40))</f>
        <v>0.0032514450867052</v>
      </c>
      <c r="T40" s="103"/>
      <c r="U40" s="103"/>
      <c r="V40" s="103"/>
      <c r="W40" s="176" t="str">
        <f aca="false">IF(COUNT(T40:V40)=0,"",AVERAGE(T40:V40))</f>
        <v/>
      </c>
      <c r="X40" s="104" t="n">
        <v>0.00481821964383767</v>
      </c>
      <c r="Y40" s="114" t="s">
        <v>120</v>
      </c>
      <c r="Z40" s="78" t="s">
        <v>100</v>
      </c>
    </row>
    <row r="41" customFormat="false" ht="25.5" hidden="false" customHeight="true" outlineLevel="0" collapsed="false">
      <c r="A41" s="69" t="s">
        <v>139</v>
      </c>
      <c r="B41" s="70" t="s">
        <v>140</v>
      </c>
      <c r="C41" s="71" t="s">
        <v>35</v>
      </c>
      <c r="D41" s="71" t="s">
        <v>97</v>
      </c>
      <c r="E41" s="69" t="s">
        <v>501</v>
      </c>
      <c r="F41" s="87" t="n">
        <v>0.646</v>
      </c>
      <c r="G41" s="88" t="s">
        <v>141</v>
      </c>
      <c r="H41" s="89" t="n">
        <v>0.0863683662851197</v>
      </c>
      <c r="I41" s="89" t="n">
        <v>0.065668202764977</v>
      </c>
      <c r="J41" s="89" t="n">
        <v>0.0943847072879331</v>
      </c>
      <c r="K41" s="174" t="n">
        <f aca="false">IF(COUNT(H41:J41)=0,"",AVERAGE(H41:J41))</f>
        <v>0.0821404254460099</v>
      </c>
      <c r="L41" s="90" t="n">
        <v>0.127160493827161</v>
      </c>
      <c r="M41" s="90" t="n">
        <v>0.10752688172043</v>
      </c>
      <c r="N41" s="90" t="n">
        <v>0.0901234567901235</v>
      </c>
      <c r="O41" s="174" t="n">
        <f aca="false">IF(COUNT(L41:N41)=0,"",AVERAGE(L41:N41))</f>
        <v>0.108270277445905</v>
      </c>
      <c r="P41" s="90" t="n">
        <v>0.125448028673835</v>
      </c>
      <c r="Q41" s="90"/>
      <c r="R41" s="90"/>
      <c r="S41" s="174" t="n">
        <f aca="false">IF(COUNT(P41:R41)=0,"",AVERAGE(P41:R41))</f>
        <v>0.125448028673835</v>
      </c>
      <c r="T41" s="90"/>
      <c r="U41" s="90"/>
      <c r="V41" s="90"/>
      <c r="W41" s="174" t="str">
        <f aca="false">IF(COUNT(T41:V41)=0,"",AVERAGE(T41:V41))</f>
        <v/>
      </c>
      <c r="X41" s="92" t="n">
        <v>0.104650459636585</v>
      </c>
      <c r="Y41" s="114" t="s">
        <v>104</v>
      </c>
      <c r="Z41" s="78" t="s">
        <v>100</v>
      </c>
    </row>
    <row r="42" customFormat="false" ht="25.5" hidden="false" customHeight="true" outlineLevel="0" collapsed="false">
      <c r="A42" s="69" t="s">
        <v>142</v>
      </c>
      <c r="B42" s="70" t="s">
        <v>143</v>
      </c>
      <c r="C42" s="71" t="s">
        <v>35</v>
      </c>
      <c r="D42" s="71" t="s">
        <v>97</v>
      </c>
      <c r="E42" s="69" t="s">
        <v>501</v>
      </c>
      <c r="F42" s="96" t="n">
        <v>3.9</v>
      </c>
      <c r="G42" s="97" t="n">
        <v>3.77</v>
      </c>
      <c r="H42" s="120" t="n">
        <v>2.33333333333333</v>
      </c>
      <c r="I42" s="120" t="n">
        <v>1.71875</v>
      </c>
      <c r="J42" s="120" t="n">
        <v>2.02380952380952</v>
      </c>
      <c r="K42" s="180" t="n">
        <f aca="false">IF(COUNT(H42:J42)=0,"",AVERAGE(H42:J42))</f>
        <v>2.02529761904762</v>
      </c>
      <c r="L42" s="98" t="n">
        <v>2.16666666666667</v>
      </c>
      <c r="M42" s="98" t="n">
        <v>2.16666666666667</v>
      </c>
      <c r="N42" s="98" t="n">
        <v>1.94871794871795</v>
      </c>
      <c r="O42" s="180" t="n">
        <f aca="false">IF(COUNT(L42:N42)=0,"",AVERAGE(L42:N42))</f>
        <v>2.0940170940171</v>
      </c>
      <c r="P42" s="98" t="n">
        <v>1.96363636363636</v>
      </c>
      <c r="Q42" s="98"/>
      <c r="R42" s="98"/>
      <c r="S42" s="180" t="n">
        <f aca="false">IF(COUNT(P42:R42)=0,"",AVERAGE(P42:R42))</f>
        <v>1.96363636363636</v>
      </c>
      <c r="T42" s="98"/>
      <c r="U42" s="98"/>
      <c r="V42" s="98"/>
      <c r="W42" s="180" t="str">
        <f aca="false">IF(COUNT(T42:V42)=0,"",AVERAGE(T42:V42))</f>
        <v/>
      </c>
      <c r="X42" s="100" t="n">
        <v>2.09598214285714</v>
      </c>
      <c r="Y42" s="114" t="s">
        <v>104</v>
      </c>
      <c r="Z42" s="78" t="s">
        <v>100</v>
      </c>
    </row>
    <row r="43" customFormat="false" ht="25.5" hidden="false" customHeight="true" outlineLevel="0" collapsed="false">
      <c r="A43" s="69" t="s">
        <v>152</v>
      </c>
      <c r="B43" s="70" t="s">
        <v>153</v>
      </c>
      <c r="C43" s="71" t="s">
        <v>34</v>
      </c>
      <c r="D43" s="71" t="s">
        <v>97</v>
      </c>
      <c r="E43" s="69" t="s">
        <v>501</v>
      </c>
      <c r="F43" s="87" t="n">
        <v>0.253</v>
      </c>
      <c r="G43" s="88" t="n">
        <v>0.2</v>
      </c>
      <c r="H43" s="89" t="n">
        <v>0.5</v>
      </c>
      <c r="I43" s="90"/>
      <c r="J43" s="90"/>
      <c r="K43" s="174" t="n">
        <f aca="false">IF(COUNT(H43:J43)=0,"",AVERAGE(H43:J43))</f>
        <v>0.5</v>
      </c>
      <c r="L43" s="90" t="n">
        <v>0</v>
      </c>
      <c r="M43" s="90"/>
      <c r="N43" s="90" t="n">
        <v>0</v>
      </c>
      <c r="O43" s="174" t="n">
        <f aca="false">IF(COUNT(L43:N43)=0,"",AVERAGE(L43:N43))</f>
        <v>0</v>
      </c>
      <c r="P43" s="90" t="n">
        <v>0</v>
      </c>
      <c r="Q43" s="90"/>
      <c r="R43" s="90"/>
      <c r="S43" s="174" t="n">
        <f aca="false">IF(COUNT(P43:R43)=0,"",AVERAGE(P43:R43))</f>
        <v>0</v>
      </c>
      <c r="T43" s="90"/>
      <c r="U43" s="90"/>
      <c r="V43" s="90"/>
      <c r="W43" s="174" t="str">
        <f aca="false">IF(COUNT(T43:V43)=0,"",AVERAGE(T43:V43))</f>
        <v/>
      </c>
      <c r="X43" s="92" t="n">
        <v>0.25</v>
      </c>
      <c r="Y43" s="114" t="s">
        <v>113</v>
      </c>
      <c r="Z43" s="78" t="s">
        <v>100</v>
      </c>
    </row>
    <row r="44" customFormat="false" ht="25.5" hidden="false" customHeight="true" outlineLevel="0" collapsed="false">
      <c r="A44" s="69" t="s">
        <v>154</v>
      </c>
      <c r="B44" s="70" t="s">
        <v>155</v>
      </c>
      <c r="C44" s="71" t="s">
        <v>34</v>
      </c>
      <c r="D44" s="71" t="s">
        <v>97</v>
      </c>
      <c r="E44" s="69" t="s">
        <v>501</v>
      </c>
      <c r="F44" s="102" t="n">
        <v>0.18</v>
      </c>
      <c r="G44" s="82" t="n">
        <v>0</v>
      </c>
      <c r="H44" s="103"/>
      <c r="I44" s="103"/>
      <c r="J44" s="81" t="n">
        <v>0</v>
      </c>
      <c r="K44" s="176" t="n">
        <f aca="false">IF(COUNT(H44:J44)=0,"",SUM(H44:J44))</f>
        <v>0</v>
      </c>
      <c r="L44" s="74" t="n">
        <v>0</v>
      </c>
      <c r="M44" s="103" t="n">
        <v>0</v>
      </c>
      <c r="N44" s="103" t="n">
        <v>0</v>
      </c>
      <c r="O44" s="176" t="n">
        <f aca="false">IF(COUNT(L44:N44)=0,"",SUM(L44:N44))</f>
        <v>0</v>
      </c>
      <c r="P44" s="103" t="n">
        <v>0</v>
      </c>
      <c r="Q44" s="103"/>
      <c r="R44" s="103"/>
      <c r="S44" s="176" t="n">
        <v>0</v>
      </c>
      <c r="T44" s="103"/>
      <c r="U44" s="103"/>
      <c r="V44" s="103"/>
      <c r="W44" s="176" t="n">
        <v>0</v>
      </c>
      <c r="X44" s="104" t="n">
        <v>0</v>
      </c>
      <c r="Y44" s="114" t="s">
        <v>104</v>
      </c>
      <c r="Z44" s="78" t="s">
        <v>100</v>
      </c>
    </row>
    <row r="45" customFormat="false" ht="25.5" hidden="false" customHeight="true" outlineLevel="0" collapsed="false">
      <c r="A45" s="69" t="s">
        <v>156</v>
      </c>
      <c r="B45" s="70" t="s">
        <v>157</v>
      </c>
      <c r="C45" s="71" t="s">
        <v>34</v>
      </c>
      <c r="D45" s="71" t="s">
        <v>110</v>
      </c>
      <c r="E45" s="69" t="s">
        <v>501</v>
      </c>
      <c r="F45" s="87" t="n">
        <v>0.974</v>
      </c>
      <c r="G45" s="88" t="n">
        <v>0.98</v>
      </c>
      <c r="H45" s="89" t="n">
        <v>1</v>
      </c>
      <c r="I45" s="89" t="n">
        <v>1</v>
      </c>
      <c r="J45" s="89" t="n">
        <v>1</v>
      </c>
      <c r="K45" s="174" t="n">
        <f aca="false">IF(COUNT(H45:J45)=0,"",AVERAGE(H45:J45))</f>
        <v>1</v>
      </c>
      <c r="L45" s="90" t="n">
        <v>1</v>
      </c>
      <c r="M45" s="90" t="n">
        <v>1</v>
      </c>
      <c r="N45" s="90" t="n">
        <v>1</v>
      </c>
      <c r="O45" s="174" t="n">
        <f aca="false">IF(COUNT(L45:N45)=0,"",AVERAGE(L45:N45))</f>
        <v>1</v>
      </c>
      <c r="P45" s="90" t="n">
        <v>1</v>
      </c>
      <c r="Q45" s="90"/>
      <c r="R45" s="90"/>
      <c r="S45" s="174" t="n">
        <f aca="false">IF(COUNT(P45:R45)=0,"",AVERAGE(P45:R45))</f>
        <v>1</v>
      </c>
      <c r="T45" s="90"/>
      <c r="U45" s="90"/>
      <c r="V45" s="90"/>
      <c r="W45" s="174" t="str">
        <f aca="false">IF(COUNT(T45:V45)=0,"",AVERAGE(T45:V45))</f>
        <v/>
      </c>
      <c r="X45" s="92" t="n">
        <v>1</v>
      </c>
      <c r="Y45" s="114" t="s">
        <v>104</v>
      </c>
      <c r="Z45" s="78" t="s">
        <v>100</v>
      </c>
    </row>
    <row r="46" customFormat="false" ht="25.5" hidden="false" customHeight="true" outlineLevel="0" collapsed="false">
      <c r="A46" s="69" t="s">
        <v>160</v>
      </c>
      <c r="B46" s="70" t="s">
        <v>161</v>
      </c>
      <c r="C46" s="71" t="s">
        <v>34</v>
      </c>
      <c r="D46" s="71" t="s">
        <v>110</v>
      </c>
      <c r="E46" s="69" t="s">
        <v>501</v>
      </c>
      <c r="F46" s="87" t="n">
        <v>1</v>
      </c>
      <c r="G46" s="88" t="n">
        <v>1</v>
      </c>
      <c r="H46" s="89" t="n">
        <v>1</v>
      </c>
      <c r="I46" s="89" t="n">
        <v>1</v>
      </c>
      <c r="J46" s="89" t="n">
        <v>1</v>
      </c>
      <c r="K46" s="174" t="n">
        <f aca="false">IF(COUNT(H46:J46)=0,"",AVERAGE(H46:J46))</f>
        <v>1</v>
      </c>
      <c r="L46" s="90" t="n">
        <v>1</v>
      </c>
      <c r="M46" s="90" t="n">
        <v>1</v>
      </c>
      <c r="N46" s="90" t="n">
        <v>1</v>
      </c>
      <c r="O46" s="174" t="n">
        <f aca="false">IF(COUNT(L46:N46)=0,"",AVERAGE(L46:N46))</f>
        <v>1</v>
      </c>
      <c r="P46" s="90" t="n">
        <v>1</v>
      </c>
      <c r="Q46" s="90"/>
      <c r="R46" s="90"/>
      <c r="S46" s="174" t="n">
        <f aca="false">IF(COUNT(P46:R46)=0,"",AVERAGE(P46:R46))</f>
        <v>1</v>
      </c>
      <c r="T46" s="90"/>
      <c r="U46" s="90"/>
      <c r="V46" s="90"/>
      <c r="W46" s="174" t="str">
        <f aca="false">IF(COUNT(T46:V46)=0,"",AVERAGE(T46:V46))</f>
        <v/>
      </c>
      <c r="X46" s="92" t="n">
        <v>1</v>
      </c>
      <c r="Y46" s="114" t="s">
        <v>104</v>
      </c>
      <c r="Z46" s="78" t="s">
        <v>100</v>
      </c>
    </row>
    <row r="47" customFormat="false" ht="25.5" hidden="false" customHeight="true" outlineLevel="0" collapsed="false">
      <c r="A47" s="69" t="s">
        <v>162</v>
      </c>
      <c r="B47" s="70" t="s">
        <v>163</v>
      </c>
      <c r="C47" s="71" t="s">
        <v>34</v>
      </c>
      <c r="D47" s="71" t="s">
        <v>97</v>
      </c>
      <c r="E47" s="69" t="s">
        <v>501</v>
      </c>
      <c r="F47" s="87" t="n">
        <v>0.01</v>
      </c>
      <c r="G47" s="88" t="n">
        <v>0.012</v>
      </c>
      <c r="H47" s="89" t="n">
        <v>0.00870406189555126</v>
      </c>
      <c r="I47" s="89" t="n">
        <v>0.00892857142857143</v>
      </c>
      <c r="J47" s="89" t="n">
        <v>0.0148936170212766</v>
      </c>
      <c r="K47" s="174" t="n">
        <f aca="false">IF(COUNT(H47:J47)=0,"",AVERAGE(H47:J47))</f>
        <v>0.0108420834484664</v>
      </c>
      <c r="L47" s="90" t="n">
        <v>0.0119850187265918</v>
      </c>
      <c r="M47" s="90" t="n">
        <v>0.00676691729323308</v>
      </c>
      <c r="N47" s="90" t="n">
        <v>0.0114226375908619</v>
      </c>
      <c r="O47" s="174" t="n">
        <f aca="false">IF(COUNT(L47:N47)=0,"",AVERAGE(L47:N47))</f>
        <v>0.0100581912035623</v>
      </c>
      <c r="P47" s="90" t="n">
        <v>0.00652985074626866</v>
      </c>
      <c r="Q47" s="90"/>
      <c r="R47" s="90"/>
      <c r="S47" s="174" t="n">
        <f aca="false">IF(COUNT(P47:R47)=0,"",AVERAGE(P47:R47))</f>
        <v>0.00652985074626866</v>
      </c>
      <c r="T47" s="90"/>
      <c r="U47" s="90"/>
      <c r="V47" s="90"/>
      <c r="W47" s="174" t="str">
        <f aca="false">IF(COUNT(T47:V47)=0,"",AVERAGE(T47:V47))</f>
        <v/>
      </c>
      <c r="X47" s="92" t="n">
        <v>0.0114135510875291</v>
      </c>
      <c r="Y47" s="114" t="s">
        <v>113</v>
      </c>
      <c r="Z47" s="78" t="s">
        <v>100</v>
      </c>
    </row>
    <row r="48" customFormat="false" ht="25.5" hidden="false" customHeight="true" outlineLevel="0" collapsed="false">
      <c r="A48" s="69" t="s">
        <v>164</v>
      </c>
      <c r="B48" s="70" t="s">
        <v>165</v>
      </c>
      <c r="C48" s="71" t="s">
        <v>166</v>
      </c>
      <c r="D48" s="71" t="s">
        <v>110</v>
      </c>
      <c r="E48" s="69" t="s">
        <v>501</v>
      </c>
      <c r="F48" s="87" t="n">
        <v>0.788</v>
      </c>
      <c r="G48" s="88" t="n">
        <v>0.9</v>
      </c>
      <c r="H48" s="89" t="n">
        <v>0.8</v>
      </c>
      <c r="I48" s="90" t="n">
        <v>1</v>
      </c>
      <c r="J48" s="90" t="n">
        <v>0.8</v>
      </c>
      <c r="K48" s="174" t="n">
        <f aca="false">IF(COUNT(H48:J48)=0,"",AVERAGE(H48:J48))</f>
        <v>0.866666666666667</v>
      </c>
      <c r="L48" s="90" t="n">
        <v>0.5556</v>
      </c>
      <c r="M48" s="90" t="n">
        <v>0.7553</v>
      </c>
      <c r="N48" s="90" t="n">
        <v>0.625</v>
      </c>
      <c r="O48" s="174" t="n">
        <f aca="false">IF(COUNT(L48:N48)=0,"",AVERAGE(L48:N48))</f>
        <v>0.6453</v>
      </c>
      <c r="P48" s="90" t="n">
        <v>0.778</v>
      </c>
      <c r="Q48" s="90"/>
      <c r="R48" s="90"/>
      <c r="S48" s="174" t="n">
        <f aca="false">IF(COUNT(P48:R48)=0,"",AVERAGE(P48:R48))</f>
        <v>0.778</v>
      </c>
      <c r="T48" s="90"/>
      <c r="U48" s="90"/>
      <c r="V48" s="90"/>
      <c r="W48" s="174" t="str">
        <f aca="false">IF(COUNT(T48:V48)=0,"",AVERAGE(T48:V48))</f>
        <v/>
      </c>
      <c r="X48" s="92" t="n">
        <v>0.8</v>
      </c>
      <c r="Y48" s="114" t="s">
        <v>113</v>
      </c>
      <c r="Z48" s="78" t="s">
        <v>105</v>
      </c>
    </row>
    <row r="49" customFormat="false" ht="25.5" hidden="false" customHeight="true" outlineLevel="0" collapsed="false">
      <c r="A49" s="69" t="s">
        <v>167</v>
      </c>
      <c r="B49" s="70" t="s">
        <v>168</v>
      </c>
      <c r="C49" s="71" t="s">
        <v>166</v>
      </c>
      <c r="D49" s="71" t="s">
        <v>110</v>
      </c>
      <c r="E49" s="69" t="s">
        <v>501</v>
      </c>
      <c r="F49" s="87" t="n">
        <v>0.988</v>
      </c>
      <c r="G49" s="88" t="n">
        <v>0.99</v>
      </c>
      <c r="H49" s="89" t="n">
        <v>1</v>
      </c>
      <c r="I49" s="89" t="n">
        <v>1</v>
      </c>
      <c r="J49" s="89" t="n">
        <v>1</v>
      </c>
      <c r="K49" s="174" t="n">
        <f aca="false">IF(COUNT(H49:J49)=0,"",AVERAGE(H49:J49))</f>
        <v>1</v>
      </c>
      <c r="L49" s="174" t="n">
        <f aca="false">IF(COUNT(I49:K49)=0,"",AVERAGE(I49:K49))</f>
        <v>1</v>
      </c>
      <c r="M49" s="174" t="n">
        <f aca="false">IF(COUNT(J49:L49)=0,"",AVERAGE(J49:L49))</f>
        <v>1</v>
      </c>
      <c r="N49" s="90"/>
      <c r="O49" s="174" t="n">
        <f aca="false">IF(COUNT(L49:N49)=0,"",AVERAGE(L49:N49))</f>
        <v>1</v>
      </c>
      <c r="P49" s="90"/>
      <c r="Q49" s="90"/>
      <c r="R49" s="90"/>
      <c r="S49" s="174" t="str">
        <f aca="false">IF(COUNT(P49:R49)=0,"",AVERAGE(P49:R49))</f>
        <v/>
      </c>
      <c r="T49" s="90"/>
      <c r="U49" s="90"/>
      <c r="V49" s="90"/>
      <c r="W49" s="174" t="str">
        <f aca="false">IF(COUNT(T49:V49)=0,"",AVERAGE(T49:V49))</f>
        <v/>
      </c>
      <c r="X49" s="92" t="n">
        <v>1</v>
      </c>
      <c r="Y49" s="114" t="s">
        <v>104</v>
      </c>
      <c r="Z49" s="78" t="s">
        <v>100</v>
      </c>
    </row>
    <row r="50" customFormat="false" ht="25.5" hidden="false" customHeight="true" outlineLevel="0" collapsed="false">
      <c r="A50" s="69" t="s">
        <v>169</v>
      </c>
      <c r="B50" s="70" t="s">
        <v>170</v>
      </c>
      <c r="C50" s="71" t="s">
        <v>166</v>
      </c>
      <c r="D50" s="71" t="s">
        <v>110</v>
      </c>
      <c r="E50" s="69" t="s">
        <v>501</v>
      </c>
      <c r="F50" s="87" t="n">
        <v>0.92</v>
      </c>
      <c r="G50" s="88" t="n">
        <v>0.93</v>
      </c>
      <c r="H50" s="89" t="n">
        <v>1</v>
      </c>
      <c r="I50" s="89" t="n">
        <v>1</v>
      </c>
      <c r="J50" s="89" t="n">
        <v>1</v>
      </c>
      <c r="K50" s="174" t="n">
        <f aca="false">IF(COUNT(H50:J50)=0,"",AVERAGE(H50:J50))</f>
        <v>1</v>
      </c>
      <c r="L50" s="90" t="n">
        <v>1</v>
      </c>
      <c r="M50" s="90" t="n">
        <v>1</v>
      </c>
      <c r="N50" s="90" t="n">
        <v>1</v>
      </c>
      <c r="O50" s="174" t="n">
        <f aca="false">IF(COUNT(L50:N50)=0,"",AVERAGE(L50:N50))</f>
        <v>1</v>
      </c>
      <c r="P50" s="90" t="n">
        <v>1</v>
      </c>
      <c r="Q50" s="90"/>
      <c r="R50" s="90"/>
      <c r="S50" s="174" t="n">
        <f aca="false">IF(COUNT(P50:R50)=0,"",AVERAGE(P50:R50))</f>
        <v>1</v>
      </c>
      <c r="T50" s="90"/>
      <c r="U50" s="90"/>
      <c r="V50" s="90"/>
      <c r="W50" s="174" t="str">
        <f aca="false">IF(COUNT(T50:V50)=0,"",AVERAGE(T50:V50))</f>
        <v/>
      </c>
      <c r="X50" s="92" t="n">
        <v>1</v>
      </c>
      <c r="Y50" s="114" t="s">
        <v>104</v>
      </c>
      <c r="Z50" s="78" t="s">
        <v>100</v>
      </c>
    </row>
    <row r="51" customFormat="false" ht="25.5" hidden="false" customHeight="true" outlineLevel="0" collapsed="false">
      <c r="A51" s="69" t="s">
        <v>171</v>
      </c>
      <c r="B51" s="70" t="s">
        <v>172</v>
      </c>
      <c r="C51" s="71" t="s">
        <v>166</v>
      </c>
      <c r="D51" s="71" t="s">
        <v>97</v>
      </c>
      <c r="E51" s="69" t="s">
        <v>501</v>
      </c>
      <c r="F51" s="72" t="n">
        <v>0.55</v>
      </c>
      <c r="G51" s="73" t="s">
        <v>32</v>
      </c>
      <c r="H51" s="106" t="n">
        <v>0</v>
      </c>
      <c r="I51" s="106" t="n">
        <v>0</v>
      </c>
      <c r="J51" s="106" t="n">
        <v>0</v>
      </c>
      <c r="K51" s="182" t="n">
        <f aca="false">IF(COUNT(H51:J51)=0,"",SUM(H51:J51))</f>
        <v>0</v>
      </c>
      <c r="L51" s="74" t="n">
        <v>0</v>
      </c>
      <c r="M51" s="74" t="n">
        <v>0</v>
      </c>
      <c r="N51" s="74" t="n">
        <v>0</v>
      </c>
      <c r="O51" s="182" t="n">
        <f aca="false">IF(COUNT(L51:N51)=0,"",SUM(L51:N51))</f>
        <v>0</v>
      </c>
      <c r="P51" s="74" t="n">
        <v>0</v>
      </c>
      <c r="Q51" s="74"/>
      <c r="R51" s="74"/>
      <c r="S51" s="182" t="n">
        <v>0</v>
      </c>
      <c r="T51" s="74"/>
      <c r="U51" s="74"/>
      <c r="V51" s="74"/>
      <c r="W51" s="182" t="n">
        <v>0</v>
      </c>
      <c r="X51" s="76" t="n">
        <v>0</v>
      </c>
      <c r="Y51" s="114" t="s">
        <v>120</v>
      </c>
      <c r="Z51" s="78" t="s">
        <v>100</v>
      </c>
    </row>
    <row r="52" customFormat="false" ht="25.5" hidden="false" customHeight="true" outlineLevel="0" collapsed="false">
      <c r="A52" s="69" t="s">
        <v>178</v>
      </c>
      <c r="B52" s="70" t="s">
        <v>179</v>
      </c>
      <c r="C52" s="71" t="s">
        <v>166</v>
      </c>
      <c r="D52" s="71" t="s">
        <v>97</v>
      </c>
      <c r="E52" s="69" t="s">
        <v>501</v>
      </c>
      <c r="F52" s="87" t="n">
        <v>0.019</v>
      </c>
      <c r="G52" s="88" t="n">
        <v>0.0162</v>
      </c>
      <c r="H52" s="89" t="n">
        <v>0.01</v>
      </c>
      <c r="I52" s="89" t="n">
        <v>0.00446428571428571</v>
      </c>
      <c r="J52" s="89" t="n">
        <v>0.0439716312056738</v>
      </c>
      <c r="K52" s="174" t="n">
        <f aca="false">IF(COUNT(H52:J52)=0,"",AVERAGE(H52:J52))</f>
        <v>0.0194786389733198</v>
      </c>
      <c r="L52" s="90" t="n">
        <v>0.0554307116104869</v>
      </c>
      <c r="M52" s="90" t="n">
        <v>0.0466</v>
      </c>
      <c r="N52" s="90" t="n">
        <v>0.0134770889487871</v>
      </c>
      <c r="O52" s="174" t="n">
        <f aca="false">IF(COUNT(L52:N52)=0,"",AVERAGE(L52:N52))</f>
        <v>0.0385026001864247</v>
      </c>
      <c r="P52" s="90" t="n">
        <v>0.0506</v>
      </c>
      <c r="Q52" s="90"/>
      <c r="R52" s="90"/>
      <c r="S52" s="174" t="n">
        <f aca="false">IF(COUNT(P52:R52)=0,"",AVERAGE(P52:R52))</f>
        <v>0.0506</v>
      </c>
      <c r="T52" s="90"/>
      <c r="U52" s="90"/>
      <c r="V52" s="90"/>
      <c r="W52" s="174" t="str">
        <f aca="false">IF(COUNT(T52:V52)=0,"",AVERAGE(T52:V52))</f>
        <v/>
      </c>
      <c r="X52" s="92" t="n">
        <v>0.0374546752919034</v>
      </c>
      <c r="Y52" s="114" t="s">
        <v>113</v>
      </c>
      <c r="Z52" s="78" t="s">
        <v>100</v>
      </c>
    </row>
    <row r="53" customFormat="false" ht="25.5" hidden="false" customHeight="true" outlineLevel="0" collapsed="false">
      <c r="A53" s="69" t="s">
        <v>182</v>
      </c>
      <c r="B53" s="70" t="s">
        <v>183</v>
      </c>
      <c r="C53" s="71" t="s">
        <v>166</v>
      </c>
      <c r="D53" s="71" t="s">
        <v>97</v>
      </c>
      <c r="E53" s="69" t="s">
        <v>501</v>
      </c>
      <c r="F53" s="87" t="n">
        <v>0.072</v>
      </c>
      <c r="G53" s="88" t="n">
        <v>0.0612</v>
      </c>
      <c r="H53" s="89" t="n">
        <v>0</v>
      </c>
      <c r="I53" s="89" t="n">
        <v>0</v>
      </c>
      <c r="J53" s="89" t="n">
        <v>0</v>
      </c>
      <c r="K53" s="174" t="n">
        <f aca="false">IF(COUNT(H53:J53)=0,"",AVERAGE(H53:J53))</f>
        <v>0</v>
      </c>
      <c r="L53" s="90" t="n">
        <v>0</v>
      </c>
      <c r="M53" s="90" t="n">
        <v>0.166666666666667</v>
      </c>
      <c r="N53" s="90"/>
      <c r="O53" s="174" t="n">
        <f aca="false">IF(COUNT(L53:N53)=0,"",AVERAGE(L53:N53))</f>
        <v>0.0833333333333335</v>
      </c>
      <c r="P53" s="90" t="n">
        <v>0.0166666666666667</v>
      </c>
      <c r="Q53" s="90"/>
      <c r="R53" s="90"/>
      <c r="S53" s="174" t="n">
        <f aca="false">IF(COUNT(P53:R53)=0,"",AVERAGE(P53:R53))</f>
        <v>0.0166666666666667</v>
      </c>
      <c r="T53" s="90"/>
      <c r="U53" s="90"/>
      <c r="V53" s="90"/>
      <c r="W53" s="174" t="str">
        <f aca="false">IF(COUNT(T53:V53)=0,"",AVERAGE(T53:V53))</f>
        <v/>
      </c>
      <c r="X53" s="92" t="n">
        <v>0</v>
      </c>
      <c r="Y53" s="114" t="s">
        <v>104</v>
      </c>
      <c r="Z53" s="78" t="s">
        <v>100</v>
      </c>
    </row>
    <row r="54" customFormat="false" ht="25.5" hidden="false" customHeight="true" outlineLevel="0" collapsed="false">
      <c r="A54" s="69" t="s">
        <v>186</v>
      </c>
      <c r="B54" s="70" t="s">
        <v>187</v>
      </c>
      <c r="C54" s="71" t="s">
        <v>166</v>
      </c>
      <c r="D54" s="71" t="s">
        <v>97</v>
      </c>
      <c r="E54" s="69" t="s">
        <v>501</v>
      </c>
      <c r="F54" s="102" t="n">
        <v>0.027</v>
      </c>
      <c r="G54" s="82" t="n">
        <v>0.0135</v>
      </c>
      <c r="H54" s="81" t="n">
        <v>0</v>
      </c>
      <c r="I54" s="81" t="n">
        <v>0.0384615384615385</v>
      </c>
      <c r="J54" s="81" t="n">
        <v>0</v>
      </c>
      <c r="K54" s="176" t="n">
        <f aca="false">IF(COUNT(H54:J54)=0,"",AVERAGE(H54:J54))</f>
        <v>0.0128205128205128</v>
      </c>
      <c r="L54" s="103" t="n">
        <v>0.0444444444444445</v>
      </c>
      <c r="M54" s="103" t="n">
        <v>0.027027027027027</v>
      </c>
      <c r="N54" s="103" t="n">
        <v>0.0303030303030303</v>
      </c>
      <c r="O54" s="176" t="n">
        <f aca="false">IF(COUNT(L54:N54)=0,"",AVERAGE(L54:N54))</f>
        <v>0.0339248339248339</v>
      </c>
      <c r="P54" s="103" t="n">
        <v>0</v>
      </c>
      <c r="Q54" s="103"/>
      <c r="R54" s="103"/>
      <c r="S54" s="176" t="n">
        <f aca="false">IF(COUNT(P54:R54)=0,"",AVERAGE(P54:R54))</f>
        <v>0</v>
      </c>
      <c r="T54" s="103"/>
      <c r="U54" s="103"/>
      <c r="V54" s="103"/>
      <c r="W54" s="176" t="str">
        <f aca="false">IF(COUNT(T54:V54)=0,"",AVERAGE(T54:V54))</f>
        <v/>
      </c>
      <c r="X54" s="104" t="n">
        <v>0.0286324786324787</v>
      </c>
      <c r="Y54" s="114" t="s">
        <v>104</v>
      </c>
      <c r="Z54" s="78" t="s">
        <v>100</v>
      </c>
    </row>
    <row r="55" customFormat="false" ht="25.5" hidden="false" customHeight="true" outlineLevel="0" collapsed="false">
      <c r="A55" s="69" t="s">
        <v>191</v>
      </c>
      <c r="B55" s="70" t="s">
        <v>192</v>
      </c>
      <c r="C55" s="71" t="s">
        <v>166</v>
      </c>
      <c r="D55" s="71" t="s">
        <v>110</v>
      </c>
      <c r="E55" s="69" t="s">
        <v>501</v>
      </c>
      <c r="F55" s="87" t="n">
        <v>0.8863</v>
      </c>
      <c r="G55" s="88" t="n">
        <v>0.8938</v>
      </c>
      <c r="H55" s="89" t="n">
        <v>0.8634</v>
      </c>
      <c r="I55" s="89" t="n">
        <v>0.8735</v>
      </c>
      <c r="J55" s="89" t="n">
        <v>0.7936</v>
      </c>
      <c r="K55" s="174" t="n">
        <f aca="false">IF(COUNT(H55:J55)=0,"",AVERAGE(H55:J55))</f>
        <v>0.8435</v>
      </c>
      <c r="L55" s="90" t="n">
        <v>0.7815</v>
      </c>
      <c r="M55" s="90" t="n">
        <v>0.9535</v>
      </c>
      <c r="N55" s="90" t="n">
        <v>0.8462</v>
      </c>
      <c r="O55" s="174" t="n">
        <f aca="false">IF(COUNT(L55:N55)=0,"",AVERAGE(L55:N55))</f>
        <v>0.8604</v>
      </c>
      <c r="P55" s="90" t="n">
        <v>0.9411</v>
      </c>
      <c r="Q55" s="90"/>
      <c r="R55" s="90"/>
      <c r="S55" s="174" t="n">
        <f aca="false">IF(COUNT(P55:R55)=0,"",AVERAGE(P55:R55))</f>
        <v>0.9411</v>
      </c>
      <c r="T55" s="90"/>
      <c r="U55" s="90"/>
      <c r="V55" s="90"/>
      <c r="W55" s="174" t="str">
        <f aca="false">IF(COUNT(T55:V55)=0,"",AVERAGE(T55:V55))</f>
        <v/>
      </c>
      <c r="X55" s="92" t="n">
        <v>0.7815</v>
      </c>
      <c r="Y55" s="114" t="s">
        <v>113</v>
      </c>
      <c r="Z55" s="78" t="s">
        <v>100</v>
      </c>
    </row>
    <row r="56" customFormat="false" ht="25.5" hidden="false" customHeight="true" outlineLevel="0" collapsed="false">
      <c r="A56" s="69" t="s">
        <v>193</v>
      </c>
      <c r="B56" s="70" t="s">
        <v>194</v>
      </c>
      <c r="C56" s="71" t="s">
        <v>166</v>
      </c>
      <c r="D56" s="71" t="s">
        <v>110</v>
      </c>
      <c r="E56" s="69" t="s">
        <v>501</v>
      </c>
      <c r="F56" s="87" t="n">
        <v>0.9024</v>
      </c>
      <c r="G56" s="88" t="n">
        <v>0.8658</v>
      </c>
      <c r="H56" s="89" t="n">
        <v>0.8578</v>
      </c>
      <c r="I56" s="89" t="n">
        <v>0.8375</v>
      </c>
      <c r="J56" s="90"/>
      <c r="K56" s="174" t="n">
        <f aca="false">IF(COUNT(H56:J56)=0,"",AVERAGE(H56:J56))</f>
        <v>0.84765</v>
      </c>
      <c r="L56" s="90"/>
      <c r="M56" s="90"/>
      <c r="N56" s="90" t="s">
        <v>195</v>
      </c>
      <c r="O56" s="174" t="str">
        <f aca="false">IF(COUNT(L56:N56)=0,"",AVERAGE(L56:N56))</f>
        <v/>
      </c>
      <c r="P56" s="90"/>
      <c r="Q56" s="90"/>
      <c r="R56" s="90"/>
      <c r="S56" s="174" t="str">
        <f aca="false">IF(COUNT(P56:R56)=0,"",AVERAGE(P56:R56))</f>
        <v/>
      </c>
      <c r="T56" s="90"/>
      <c r="U56" s="90"/>
      <c r="V56" s="90"/>
      <c r="W56" s="174" t="str">
        <f aca="false">IF(COUNT(T56:V56)=0,"",AVERAGE(T56:V56))</f>
        <v/>
      </c>
      <c r="X56" s="92" t="n">
        <v>0.84765</v>
      </c>
      <c r="Y56" s="114" t="s">
        <v>113</v>
      </c>
      <c r="Z56" s="78" t="s">
        <v>100</v>
      </c>
    </row>
    <row r="57" customFormat="false" ht="25.5" hidden="false" customHeight="true" outlineLevel="0" collapsed="false">
      <c r="A57" s="69" t="s">
        <v>196</v>
      </c>
      <c r="B57" s="70" t="s">
        <v>197</v>
      </c>
      <c r="C57" s="71" t="s">
        <v>166</v>
      </c>
      <c r="D57" s="71" t="s">
        <v>110</v>
      </c>
      <c r="E57" s="69" t="s">
        <v>501</v>
      </c>
      <c r="F57" s="87" t="n">
        <v>0.782</v>
      </c>
      <c r="G57" s="88" t="n">
        <v>0.807</v>
      </c>
      <c r="H57" s="89" t="n">
        <v>0.826</v>
      </c>
      <c r="I57" s="89" t="n">
        <v>0.9804</v>
      </c>
      <c r="J57" s="89" t="n">
        <v>0.8458</v>
      </c>
      <c r="K57" s="174" t="n">
        <f aca="false">IF(COUNT(H57:J57)=0,"",AVERAGE(H57:J57))</f>
        <v>0.884066666666667</v>
      </c>
      <c r="L57" s="90" t="n">
        <v>0.863</v>
      </c>
      <c r="M57" s="90" t="n">
        <v>0.876</v>
      </c>
      <c r="N57" s="90" t="n">
        <v>0.8635</v>
      </c>
      <c r="O57" s="174" t="n">
        <f aca="false">IF(COUNT(L57:N57)=0,"",AVERAGE(L57:N57))</f>
        <v>0.8675</v>
      </c>
      <c r="P57" s="90" t="n">
        <v>0.7556</v>
      </c>
      <c r="Q57" s="90"/>
      <c r="R57" s="90"/>
      <c r="S57" s="174" t="n">
        <f aca="false">IF(COUNT(P57:R57)=0,"",AVERAGE(P57:R57))</f>
        <v>0.7556</v>
      </c>
      <c r="T57" s="90"/>
      <c r="U57" s="90"/>
      <c r="V57" s="90"/>
      <c r="W57" s="174" t="str">
        <f aca="false">IF(COUNT(T57:V57)=0,"",AVERAGE(T57:V57))</f>
        <v/>
      </c>
      <c r="X57" s="92" t="n">
        <v>0.863</v>
      </c>
      <c r="Y57" s="114" t="s">
        <v>104</v>
      </c>
      <c r="Z57" s="78" t="s">
        <v>100</v>
      </c>
    </row>
    <row r="58" customFormat="false" ht="25.5" hidden="false" customHeight="true" outlineLevel="0" collapsed="false">
      <c r="A58" s="69" t="s">
        <v>198</v>
      </c>
      <c r="B58" s="70" t="s">
        <v>199</v>
      </c>
      <c r="C58" s="71" t="s">
        <v>166</v>
      </c>
      <c r="D58" s="71" t="s">
        <v>110</v>
      </c>
      <c r="E58" s="69" t="s">
        <v>501</v>
      </c>
      <c r="F58" s="87" t="n">
        <v>0.821</v>
      </c>
      <c r="G58" s="88" t="n">
        <v>0.848</v>
      </c>
      <c r="H58" s="89" t="n">
        <v>1</v>
      </c>
      <c r="I58" s="89" t="n">
        <v>1</v>
      </c>
      <c r="J58" s="89" t="n">
        <v>1</v>
      </c>
      <c r="K58" s="174" t="n">
        <f aca="false">IF(COUNT(H58:J58)=0,"",AVERAGE(H58:J58))</f>
        <v>1</v>
      </c>
      <c r="L58" s="90" t="n">
        <v>1</v>
      </c>
      <c r="M58" s="90" t="n">
        <v>1</v>
      </c>
      <c r="N58" s="90" t="n">
        <v>1</v>
      </c>
      <c r="O58" s="174" t="n">
        <f aca="false">IF(COUNT(L58:N58)=0,"",AVERAGE(L58:N58))</f>
        <v>1</v>
      </c>
      <c r="P58" s="90" t="n">
        <v>1</v>
      </c>
      <c r="Q58" s="90"/>
      <c r="R58" s="90"/>
      <c r="S58" s="174" t="n">
        <f aca="false">IF(COUNT(P58:R58)=0,"",AVERAGE(P58:R58))</f>
        <v>1</v>
      </c>
      <c r="T58" s="90"/>
      <c r="U58" s="90"/>
      <c r="V58" s="90"/>
      <c r="W58" s="174" t="str">
        <f aca="false">IF(COUNT(T58:V58)=0,"",AVERAGE(T58:V58))</f>
        <v/>
      </c>
      <c r="X58" s="92" t="n">
        <v>1</v>
      </c>
      <c r="Y58" s="114" t="s">
        <v>104</v>
      </c>
      <c r="Z58" s="78" t="s">
        <v>190</v>
      </c>
    </row>
    <row r="59" customFormat="false" ht="25.5" hidden="false" customHeight="true" outlineLevel="0" collapsed="false">
      <c r="A59" s="69" t="s">
        <v>211</v>
      </c>
      <c r="B59" s="70" t="s">
        <v>212</v>
      </c>
      <c r="C59" s="71" t="s">
        <v>213</v>
      </c>
      <c r="D59" s="71" t="s">
        <v>110</v>
      </c>
      <c r="E59" s="69" t="s">
        <v>501</v>
      </c>
      <c r="F59" s="87" t="s">
        <v>32</v>
      </c>
      <c r="G59" s="91" t="n">
        <v>1</v>
      </c>
      <c r="H59" s="89" t="n">
        <v>0</v>
      </c>
      <c r="I59" s="89" t="n">
        <v>0</v>
      </c>
      <c r="J59" s="89" t="n">
        <v>1</v>
      </c>
      <c r="K59" s="174" t="n">
        <f aca="false">IF(COUNT(H59:J59)=0,"",LOOKUP(2,1/(H59:J59&lt;&gt;""),H59:J59))</f>
        <v>1</v>
      </c>
      <c r="L59" s="90" t="n">
        <v>1</v>
      </c>
      <c r="M59" s="90" t="n">
        <v>1</v>
      </c>
      <c r="N59" s="90" t="n">
        <v>1</v>
      </c>
      <c r="O59" s="174" t="n">
        <f aca="false">IF(COUNT(L59:N59)=0,"",LOOKUP(2,1/(L59:N59&lt;&gt;""),L59:N59))</f>
        <v>1</v>
      </c>
      <c r="P59" s="90" t="n">
        <v>1</v>
      </c>
      <c r="Q59" s="90"/>
      <c r="R59" s="90"/>
      <c r="S59" s="174" t="n">
        <f aca="false">IF(COUNT(P59:R59)=0,"",LOOKUP(2,1/(P59:R59&lt;&gt;""),P59:R59))</f>
        <v>1</v>
      </c>
      <c r="T59" s="90"/>
      <c r="U59" s="90"/>
      <c r="V59" s="90"/>
      <c r="W59" s="174" t="str">
        <f aca="false">IF(COUNT(T59:V59)=0,"",LOOKUP(2,1/(T59:V59&lt;&gt;""),T59:V59))</f>
        <v/>
      </c>
      <c r="X59" s="92" t="n">
        <v>0.611111111111111</v>
      </c>
      <c r="Y59" s="114" t="s">
        <v>120</v>
      </c>
      <c r="Z59" s="78" t="s">
        <v>214</v>
      </c>
    </row>
    <row r="60" customFormat="false" ht="25.5" hidden="false" customHeight="true" outlineLevel="0" collapsed="false">
      <c r="A60" s="69" t="s">
        <v>262</v>
      </c>
      <c r="B60" s="70" t="s">
        <v>263</v>
      </c>
      <c r="C60" s="71" t="s">
        <v>35</v>
      </c>
      <c r="D60" s="71" t="s">
        <v>110</v>
      </c>
      <c r="E60" s="183" t="s">
        <v>502</v>
      </c>
      <c r="F60" s="87" t="s">
        <v>32</v>
      </c>
      <c r="G60" s="91" t="s">
        <v>32</v>
      </c>
      <c r="H60" s="184"/>
      <c r="I60" s="184"/>
      <c r="J60" s="184"/>
      <c r="K60" s="185" t="n">
        <v>0.9</v>
      </c>
      <c r="L60" s="184"/>
      <c r="M60" s="184"/>
      <c r="N60" s="184"/>
      <c r="O60" s="186"/>
      <c r="P60" s="184"/>
      <c r="Q60" s="184"/>
      <c r="R60" s="184"/>
      <c r="S60" s="186"/>
      <c r="T60" s="184"/>
      <c r="U60" s="184"/>
      <c r="V60" s="184"/>
      <c r="W60" s="186"/>
      <c r="X60" s="92" t="n">
        <v>0.9</v>
      </c>
      <c r="Y60" s="114" t="s">
        <v>120</v>
      </c>
      <c r="Z60" s="78" t="s">
        <v>264</v>
      </c>
    </row>
    <row r="61" customFormat="false" ht="25.5" hidden="false" customHeight="true" outlineLevel="0" collapsed="false">
      <c r="A61" s="69" t="s">
        <v>277</v>
      </c>
      <c r="B61" s="70" t="s">
        <v>278</v>
      </c>
      <c r="C61" s="71" t="s">
        <v>35</v>
      </c>
      <c r="D61" s="71" t="s">
        <v>110</v>
      </c>
      <c r="E61" s="183" t="s">
        <v>502</v>
      </c>
      <c r="F61" s="87" t="n">
        <v>0.5879</v>
      </c>
      <c r="G61" s="91" t="s">
        <v>32</v>
      </c>
      <c r="H61" s="184"/>
      <c r="I61" s="184"/>
      <c r="J61" s="184"/>
      <c r="K61" s="185" t="n">
        <v>0.5851</v>
      </c>
      <c r="L61" s="184"/>
      <c r="M61" s="184"/>
      <c r="N61" s="184"/>
      <c r="O61" s="186" t="n">
        <v>0.7739</v>
      </c>
      <c r="P61" s="184"/>
      <c r="Q61" s="184"/>
      <c r="R61" s="184"/>
      <c r="S61" s="186"/>
      <c r="T61" s="184"/>
      <c r="U61" s="184"/>
      <c r="V61" s="184"/>
      <c r="W61" s="186"/>
      <c r="X61" s="92" t="n">
        <v>0.5851</v>
      </c>
      <c r="Y61" s="114" t="s">
        <v>120</v>
      </c>
      <c r="Z61" s="78" t="s">
        <v>190</v>
      </c>
    </row>
    <row r="62" customFormat="false" ht="25.5" hidden="false" customHeight="true" outlineLevel="0" collapsed="false">
      <c r="A62" s="69" t="s">
        <v>305</v>
      </c>
      <c r="B62" s="70" t="s">
        <v>306</v>
      </c>
      <c r="C62" s="71" t="s">
        <v>34</v>
      </c>
      <c r="D62" s="71" t="s">
        <v>97</v>
      </c>
      <c r="E62" s="183" t="s">
        <v>502</v>
      </c>
      <c r="F62" s="87" t="s">
        <v>32</v>
      </c>
      <c r="G62" s="91" t="s">
        <v>32</v>
      </c>
      <c r="H62" s="184"/>
      <c r="I62" s="184"/>
      <c r="J62" s="184"/>
      <c r="K62" s="185" t="n">
        <v>0.5</v>
      </c>
      <c r="L62" s="184"/>
      <c r="M62" s="184"/>
      <c r="N62" s="184"/>
      <c r="O62" s="186" t="n">
        <v>0</v>
      </c>
      <c r="P62" s="184"/>
      <c r="Q62" s="184"/>
      <c r="R62" s="184"/>
      <c r="S62" s="186"/>
      <c r="T62" s="184"/>
      <c r="U62" s="184"/>
      <c r="V62" s="184"/>
      <c r="W62" s="186"/>
      <c r="X62" s="92" t="n">
        <v>0.5</v>
      </c>
      <c r="Y62" s="114" t="s">
        <v>120</v>
      </c>
      <c r="Z62" s="78" t="s">
        <v>307</v>
      </c>
    </row>
    <row r="63" customFormat="false" ht="25.5" hidden="false" customHeight="true" outlineLevel="0" collapsed="false">
      <c r="A63" s="69" t="s">
        <v>315</v>
      </c>
      <c r="B63" s="70" t="s">
        <v>316</v>
      </c>
      <c r="C63" s="71" t="s">
        <v>34</v>
      </c>
      <c r="D63" s="71" t="s">
        <v>97</v>
      </c>
      <c r="E63" s="183" t="s">
        <v>502</v>
      </c>
      <c r="F63" s="102" t="n">
        <v>0.47</v>
      </c>
      <c r="G63" s="82" t="n">
        <v>0.4</v>
      </c>
      <c r="H63" s="191"/>
      <c r="I63" s="191"/>
      <c r="J63" s="191"/>
      <c r="K63" s="192" t="n">
        <v>0</v>
      </c>
      <c r="L63" s="191"/>
      <c r="M63" s="191"/>
      <c r="N63" s="191"/>
      <c r="O63" s="193" t="n">
        <v>0</v>
      </c>
      <c r="P63" s="191"/>
      <c r="Q63" s="191"/>
      <c r="R63" s="191"/>
      <c r="S63" s="193"/>
      <c r="T63" s="191"/>
      <c r="U63" s="191"/>
      <c r="V63" s="191"/>
      <c r="W63" s="193"/>
      <c r="X63" s="104" t="n">
        <v>0</v>
      </c>
      <c r="Y63" s="114" t="s">
        <v>104</v>
      </c>
      <c r="Z63" s="78" t="s">
        <v>100</v>
      </c>
    </row>
    <row r="64" customFormat="false" ht="25.5" hidden="false" customHeight="true" outlineLevel="0" collapsed="false">
      <c r="A64" s="69" t="s">
        <v>339</v>
      </c>
      <c r="B64" s="70" t="s">
        <v>340</v>
      </c>
      <c r="C64" s="71" t="s">
        <v>166</v>
      </c>
      <c r="D64" s="71" t="s">
        <v>110</v>
      </c>
      <c r="E64" s="183" t="s">
        <v>502</v>
      </c>
      <c r="F64" s="87" t="n">
        <v>0.91</v>
      </c>
      <c r="G64" s="88" t="n">
        <v>0.92</v>
      </c>
      <c r="H64" s="184"/>
      <c r="I64" s="184"/>
      <c r="J64" s="184"/>
      <c r="K64" s="185" t="n">
        <v>0.875</v>
      </c>
      <c r="L64" s="184"/>
      <c r="M64" s="184"/>
      <c r="N64" s="184"/>
      <c r="O64" s="186" t="n">
        <v>0.875</v>
      </c>
      <c r="P64" s="184"/>
      <c r="Q64" s="184"/>
      <c r="R64" s="184"/>
      <c r="S64" s="186"/>
      <c r="T64" s="184"/>
      <c r="U64" s="184"/>
      <c r="V64" s="184"/>
      <c r="W64" s="186"/>
      <c r="X64" s="92" t="n">
        <v>0.875</v>
      </c>
      <c r="Y64" s="114" t="s">
        <v>113</v>
      </c>
      <c r="Z64" s="78" t="s">
        <v>341</v>
      </c>
    </row>
    <row r="65" customFormat="false" ht="25.5" hidden="false" customHeight="true" outlineLevel="0" collapsed="false">
      <c r="A65" s="69" t="s">
        <v>357</v>
      </c>
      <c r="B65" s="70" t="s">
        <v>358</v>
      </c>
      <c r="C65" s="71" t="s">
        <v>166</v>
      </c>
      <c r="D65" s="71" t="s">
        <v>97</v>
      </c>
      <c r="E65" s="183" t="s">
        <v>502</v>
      </c>
      <c r="F65" s="102" t="n">
        <v>15.7</v>
      </c>
      <c r="G65" s="122" t="n">
        <v>7.85</v>
      </c>
      <c r="H65" s="191"/>
      <c r="I65" s="191"/>
      <c r="J65" s="191"/>
      <c r="K65" s="192" t="n">
        <v>0</v>
      </c>
      <c r="L65" s="191"/>
      <c r="M65" s="191"/>
      <c r="N65" s="191"/>
      <c r="O65" s="193" t="n">
        <v>0</v>
      </c>
      <c r="P65" s="191"/>
      <c r="Q65" s="191"/>
      <c r="R65" s="191"/>
      <c r="S65" s="193"/>
      <c r="T65" s="191"/>
      <c r="U65" s="191"/>
      <c r="V65" s="191"/>
      <c r="W65" s="193"/>
      <c r="X65" s="104" t="n">
        <v>0</v>
      </c>
      <c r="Y65" s="114" t="s">
        <v>104</v>
      </c>
      <c r="Z65" s="78" t="s">
        <v>100</v>
      </c>
    </row>
    <row r="66" customFormat="false" ht="25.5" hidden="false" customHeight="true" outlineLevel="0" collapsed="false">
      <c r="A66" s="69" t="s">
        <v>377</v>
      </c>
      <c r="B66" s="70" t="s">
        <v>378</v>
      </c>
      <c r="C66" s="71" t="s">
        <v>236</v>
      </c>
      <c r="D66" s="71" t="s">
        <v>110</v>
      </c>
      <c r="E66" s="183" t="s">
        <v>502</v>
      </c>
      <c r="F66" s="87" t="n">
        <v>0.483</v>
      </c>
      <c r="G66" s="88" t="n">
        <v>0.5606</v>
      </c>
      <c r="H66" s="184"/>
      <c r="I66" s="184"/>
      <c r="J66" s="184"/>
      <c r="K66" s="185" t="n">
        <v>0.597402597402597</v>
      </c>
      <c r="L66" s="184"/>
      <c r="M66" s="184"/>
      <c r="N66" s="184"/>
      <c r="O66" s="186" t="n">
        <v>0.473684210526316</v>
      </c>
      <c r="P66" s="184"/>
      <c r="Q66" s="184"/>
      <c r="R66" s="184"/>
      <c r="S66" s="186"/>
      <c r="T66" s="184"/>
      <c r="U66" s="184"/>
      <c r="V66" s="184"/>
      <c r="W66" s="186"/>
      <c r="X66" s="92" t="n">
        <v>0.597402597402597</v>
      </c>
      <c r="Y66" s="114" t="s">
        <v>104</v>
      </c>
      <c r="Z66" s="78" t="s">
        <v>190</v>
      </c>
    </row>
    <row r="67" customFormat="false" ht="25.5" hidden="false" customHeight="true" outlineLevel="0" collapsed="false">
      <c r="A67" s="69" t="s">
        <v>379</v>
      </c>
      <c r="B67" s="70" t="s">
        <v>380</v>
      </c>
      <c r="C67" s="71" t="s">
        <v>236</v>
      </c>
      <c r="D67" s="71" t="s">
        <v>97</v>
      </c>
      <c r="E67" s="183" t="s">
        <v>502</v>
      </c>
      <c r="F67" s="87" t="s">
        <v>32</v>
      </c>
      <c r="G67" s="91" t="s">
        <v>32</v>
      </c>
      <c r="H67" s="184"/>
      <c r="I67" s="184"/>
      <c r="J67" s="184"/>
      <c r="K67" s="185" t="n">
        <v>0.200657894736842</v>
      </c>
      <c r="L67" s="184"/>
      <c r="M67" s="184"/>
      <c r="N67" s="184"/>
      <c r="O67" s="186"/>
      <c r="P67" s="184"/>
      <c r="Q67" s="184"/>
      <c r="R67" s="184"/>
      <c r="S67" s="186"/>
      <c r="T67" s="184"/>
      <c r="U67" s="184"/>
      <c r="V67" s="184"/>
      <c r="W67" s="186"/>
      <c r="X67" s="92" t="n">
        <v>0.200657894736842</v>
      </c>
      <c r="Y67" s="114" t="s">
        <v>120</v>
      </c>
      <c r="Z67" s="78" t="s">
        <v>105</v>
      </c>
    </row>
    <row r="68" customFormat="false" ht="25.5" hidden="false" customHeight="true" outlineLevel="0" collapsed="false">
      <c r="A68" s="69" t="s">
        <v>220</v>
      </c>
      <c r="B68" s="70" t="s">
        <v>221</v>
      </c>
      <c r="C68" s="71" t="s">
        <v>35</v>
      </c>
      <c r="D68" s="71" t="s">
        <v>97</v>
      </c>
      <c r="E68" s="183" t="s">
        <v>501</v>
      </c>
      <c r="F68" s="115" t="n">
        <v>6</v>
      </c>
      <c r="G68" s="116" t="n">
        <v>5</v>
      </c>
      <c r="H68" s="184"/>
      <c r="I68" s="184"/>
      <c r="J68" s="184"/>
      <c r="K68" s="187" t="str">
        <f aca="false">IF(COUNT(H68:J68)=0,"",AVERAGE(H68:J68))</f>
        <v/>
      </c>
      <c r="L68" s="184"/>
      <c r="M68" s="184"/>
      <c r="N68" s="184"/>
      <c r="O68" s="187" t="str">
        <f aca="false">IF(COUNT(L68:N68)=0,"",AVERAGE(L68:N68))</f>
        <v/>
      </c>
      <c r="P68" s="184"/>
      <c r="Q68" s="184"/>
      <c r="R68" s="184"/>
      <c r="S68" s="187" t="str">
        <f aca="false">IF(COUNT(P68:R68)=0,"",AVERAGE(P68:R68))</f>
        <v/>
      </c>
      <c r="T68" s="184"/>
      <c r="U68" s="184"/>
      <c r="V68" s="184"/>
      <c r="W68" s="187" t="str">
        <f aca="false">IF(COUNT(T68:V68)=0,"",AVERAGE(T68:V68))</f>
        <v/>
      </c>
      <c r="X68" s="118"/>
      <c r="Y68" s="114" t="s">
        <v>99</v>
      </c>
      <c r="Z68" s="78" t="s">
        <v>100</v>
      </c>
    </row>
    <row r="69" customFormat="false" ht="25.5" hidden="false" customHeight="true" outlineLevel="0" collapsed="false">
      <c r="H69" s="113"/>
      <c r="I69" s="113"/>
      <c r="J69" s="113"/>
      <c r="L69" s="113"/>
      <c r="M69" s="113"/>
      <c r="N69" s="113"/>
      <c r="P69" s="113"/>
      <c r="Q69" s="113"/>
      <c r="R69" s="113"/>
      <c r="T69" s="113"/>
      <c r="U69" s="113"/>
      <c r="V69" s="113"/>
    </row>
    <row r="70" customFormat="false" ht="25.5" hidden="false" customHeight="true" outlineLevel="0" collapsed="false">
      <c r="H70" s="113"/>
      <c r="I70" s="113"/>
      <c r="J70" s="113"/>
      <c r="L70" s="113"/>
      <c r="M70" s="113"/>
      <c r="N70" s="113"/>
      <c r="P70" s="113"/>
      <c r="Q70" s="113"/>
      <c r="R70" s="113"/>
      <c r="T70" s="113"/>
      <c r="U70" s="113"/>
      <c r="V70" s="113"/>
    </row>
    <row r="71" customFormat="false" ht="25.5" hidden="false" customHeight="true" outlineLevel="0" collapsed="false">
      <c r="H71" s="113"/>
      <c r="I71" s="113"/>
      <c r="J71" s="113"/>
      <c r="L71" s="113"/>
      <c r="M71" s="113"/>
      <c r="N71" s="113"/>
      <c r="P71" s="113"/>
      <c r="Q71" s="113"/>
      <c r="R71" s="113"/>
      <c r="T71" s="113"/>
      <c r="U71" s="113"/>
      <c r="V71" s="113"/>
    </row>
    <row r="72" customFormat="false" ht="25.5" hidden="false" customHeight="true" outlineLevel="0" collapsed="false">
      <c r="H72" s="113"/>
      <c r="I72" s="113"/>
      <c r="J72" s="113"/>
      <c r="L72" s="113"/>
      <c r="M72" s="113"/>
      <c r="N72" s="113"/>
      <c r="P72" s="113"/>
      <c r="Q72" s="113"/>
      <c r="R72" s="113"/>
      <c r="T72" s="113"/>
      <c r="U72" s="113"/>
      <c r="V72" s="113"/>
    </row>
    <row r="73" customFormat="false" ht="25.5" hidden="false" customHeight="true" outlineLevel="0" collapsed="false">
      <c r="H73" s="113"/>
      <c r="I73" s="113"/>
      <c r="J73" s="113"/>
      <c r="L73" s="113"/>
      <c r="M73" s="113"/>
      <c r="N73" s="113"/>
      <c r="P73" s="113"/>
      <c r="Q73" s="113"/>
      <c r="R73" s="113"/>
      <c r="T73" s="113"/>
      <c r="U73" s="113"/>
      <c r="V73" s="113"/>
    </row>
    <row r="74" customFormat="false" ht="25.5" hidden="false" customHeight="true" outlineLevel="0" collapsed="false">
      <c r="H74" s="113"/>
      <c r="I74" s="113"/>
      <c r="J74" s="113"/>
      <c r="L74" s="113"/>
      <c r="M74" s="113"/>
      <c r="N74" s="113"/>
      <c r="P74" s="113"/>
      <c r="Q74" s="113"/>
      <c r="R74" s="113"/>
      <c r="T74" s="113"/>
      <c r="U74" s="113"/>
      <c r="V74" s="113"/>
    </row>
    <row r="75" customFormat="false" ht="25.5" hidden="false" customHeight="true" outlineLevel="0" collapsed="false">
      <c r="H75" s="113"/>
      <c r="I75" s="113"/>
      <c r="J75" s="113"/>
      <c r="L75" s="113"/>
      <c r="M75" s="113"/>
      <c r="N75" s="113"/>
      <c r="P75" s="113"/>
      <c r="Q75" s="113"/>
      <c r="R75" s="113"/>
      <c r="T75" s="113"/>
      <c r="U75" s="113"/>
      <c r="V75" s="113"/>
    </row>
    <row r="76" customFormat="false" ht="25.5" hidden="false" customHeight="true" outlineLevel="0" collapsed="false">
      <c r="H76" s="113"/>
      <c r="I76" s="113"/>
      <c r="J76" s="113"/>
      <c r="L76" s="113"/>
      <c r="M76" s="113"/>
      <c r="N76" s="113"/>
      <c r="P76" s="113"/>
      <c r="Q76" s="113"/>
      <c r="R76" s="113"/>
      <c r="T76" s="113"/>
      <c r="U76" s="113"/>
      <c r="V76" s="113"/>
    </row>
    <row r="77" customFormat="false" ht="25.5" hidden="false" customHeight="true" outlineLevel="0" collapsed="false">
      <c r="H77" s="113"/>
      <c r="I77" s="113"/>
      <c r="J77" s="113"/>
      <c r="L77" s="113"/>
      <c r="M77" s="113"/>
      <c r="N77" s="113"/>
      <c r="P77" s="113"/>
      <c r="Q77" s="113"/>
      <c r="R77" s="113"/>
      <c r="T77" s="113"/>
      <c r="U77" s="113"/>
      <c r="V77" s="113"/>
    </row>
    <row r="78" customFormat="false" ht="25.5" hidden="false" customHeight="true" outlineLevel="0" collapsed="false">
      <c r="H78" s="113"/>
      <c r="I78" s="113"/>
      <c r="J78" s="113"/>
      <c r="L78" s="113"/>
      <c r="M78" s="113"/>
      <c r="N78" s="113"/>
      <c r="P78" s="113"/>
      <c r="Q78" s="113"/>
      <c r="R78" s="113"/>
      <c r="T78" s="113"/>
      <c r="U78" s="113"/>
      <c r="V78" s="113"/>
    </row>
    <row r="79" customFormat="false" ht="25.5" hidden="false" customHeight="true" outlineLevel="0" collapsed="false">
      <c r="H79" s="113"/>
      <c r="I79" s="113"/>
      <c r="J79" s="113"/>
      <c r="L79" s="113"/>
      <c r="M79" s="113"/>
      <c r="N79" s="113"/>
      <c r="P79" s="113"/>
      <c r="Q79" s="113"/>
      <c r="R79" s="113"/>
      <c r="T79" s="113"/>
      <c r="U79" s="113"/>
      <c r="V79" s="113"/>
    </row>
    <row r="80" customFormat="false" ht="25.5" hidden="false" customHeight="true" outlineLevel="0" collapsed="false">
      <c r="H80" s="113"/>
      <c r="I80" s="113"/>
      <c r="J80" s="113"/>
      <c r="L80" s="113"/>
      <c r="M80" s="113"/>
      <c r="N80" s="113"/>
      <c r="P80" s="113"/>
      <c r="Q80" s="113"/>
      <c r="R80" s="113"/>
      <c r="T80" s="113"/>
      <c r="U80" s="113"/>
      <c r="V80" s="113"/>
    </row>
    <row r="81" customFormat="false" ht="25.5" hidden="false" customHeight="true" outlineLevel="0" collapsed="false">
      <c r="H81" s="113"/>
      <c r="I81" s="113"/>
      <c r="J81" s="113"/>
      <c r="L81" s="113"/>
      <c r="M81" s="113"/>
      <c r="N81" s="113"/>
      <c r="P81" s="113"/>
      <c r="Q81" s="113"/>
      <c r="R81" s="113"/>
      <c r="T81" s="113"/>
      <c r="U81" s="113"/>
      <c r="V81" s="113"/>
    </row>
    <row r="82" customFormat="false" ht="25.5" hidden="false" customHeight="true" outlineLevel="0" collapsed="false">
      <c r="H82" s="113"/>
      <c r="I82" s="113"/>
      <c r="J82" s="113"/>
      <c r="L82" s="113"/>
      <c r="M82" s="113"/>
      <c r="N82" s="113"/>
      <c r="P82" s="113"/>
      <c r="Q82" s="113"/>
      <c r="R82" s="113"/>
      <c r="T82" s="113"/>
      <c r="U82" s="113"/>
      <c r="V82" s="113"/>
    </row>
    <row r="83" customFormat="false" ht="25.5" hidden="false" customHeight="true" outlineLevel="0" collapsed="false">
      <c r="H83" s="113"/>
      <c r="I83" s="113"/>
      <c r="J83" s="113"/>
      <c r="L83" s="113"/>
      <c r="M83" s="113"/>
      <c r="N83" s="113"/>
      <c r="P83" s="113"/>
      <c r="Q83" s="113"/>
      <c r="R83" s="113"/>
      <c r="T83" s="113"/>
      <c r="U83" s="113"/>
      <c r="V83" s="113"/>
    </row>
    <row r="84" customFormat="false" ht="25.5" hidden="false" customHeight="true" outlineLevel="0" collapsed="false">
      <c r="H84" s="113"/>
      <c r="I84" s="113"/>
      <c r="J84" s="113"/>
      <c r="L84" s="113"/>
      <c r="M84" s="113"/>
      <c r="N84" s="113"/>
      <c r="P84" s="113"/>
      <c r="Q84" s="113"/>
      <c r="R84" s="113"/>
      <c r="T84" s="113"/>
      <c r="U84" s="113"/>
      <c r="V84" s="113"/>
    </row>
    <row r="85" customFormat="false" ht="25.5" hidden="false" customHeight="true" outlineLevel="0" collapsed="false">
      <c r="H85" s="113"/>
      <c r="I85" s="113"/>
      <c r="J85" s="113"/>
      <c r="L85" s="113"/>
      <c r="M85" s="113"/>
      <c r="N85" s="113"/>
      <c r="P85" s="113"/>
      <c r="Q85" s="113"/>
      <c r="R85" s="113"/>
      <c r="T85" s="113"/>
      <c r="U85" s="113"/>
      <c r="V85" s="113"/>
    </row>
    <row r="86" customFormat="false" ht="25.5" hidden="false" customHeight="true" outlineLevel="0" collapsed="false">
      <c r="H86" s="113"/>
      <c r="I86" s="113"/>
      <c r="J86" s="113"/>
      <c r="L86" s="113"/>
      <c r="M86" s="113"/>
      <c r="N86" s="113"/>
      <c r="P86" s="113"/>
      <c r="Q86" s="113"/>
      <c r="R86" s="113"/>
      <c r="T86" s="113"/>
      <c r="U86" s="113"/>
      <c r="V86" s="113"/>
    </row>
    <row r="87" customFormat="false" ht="25.5" hidden="false" customHeight="true" outlineLevel="0" collapsed="false">
      <c r="H87" s="113"/>
      <c r="I87" s="113"/>
      <c r="J87" s="113"/>
      <c r="L87" s="113"/>
      <c r="M87" s="113"/>
      <c r="N87" s="113"/>
      <c r="P87" s="113"/>
      <c r="Q87" s="113"/>
      <c r="R87" s="113"/>
      <c r="T87" s="113"/>
      <c r="U87" s="113"/>
      <c r="V87" s="113"/>
    </row>
    <row r="88" customFormat="false" ht="25.5" hidden="false" customHeight="true" outlineLevel="0" collapsed="false">
      <c r="H88" s="113"/>
      <c r="I88" s="113"/>
      <c r="J88" s="113"/>
      <c r="L88" s="113"/>
      <c r="M88" s="113"/>
      <c r="N88" s="113"/>
      <c r="P88" s="113"/>
      <c r="Q88" s="113"/>
      <c r="R88" s="113"/>
      <c r="T88" s="113"/>
      <c r="U88" s="113"/>
      <c r="V88" s="113"/>
    </row>
    <row r="89" customFormat="false" ht="25.5" hidden="false" customHeight="true" outlineLevel="0" collapsed="false">
      <c r="H89" s="113"/>
      <c r="I89" s="113"/>
      <c r="J89" s="113"/>
      <c r="L89" s="113"/>
      <c r="M89" s="113"/>
      <c r="N89" s="113"/>
      <c r="P89" s="113"/>
      <c r="Q89" s="113"/>
      <c r="R89" s="113"/>
      <c r="T89" s="113"/>
      <c r="U89" s="113"/>
      <c r="V89" s="113"/>
    </row>
    <row r="90" customFormat="false" ht="25.5" hidden="false" customHeight="true" outlineLevel="0" collapsed="false">
      <c r="H90" s="113"/>
      <c r="I90" s="113"/>
      <c r="J90" s="113"/>
      <c r="L90" s="113"/>
      <c r="M90" s="113"/>
      <c r="N90" s="113"/>
      <c r="P90" s="113"/>
      <c r="Q90" s="113"/>
      <c r="R90" s="113"/>
      <c r="T90" s="113"/>
      <c r="U90" s="113"/>
      <c r="V90" s="113"/>
    </row>
    <row r="91" customFormat="false" ht="25.5" hidden="false" customHeight="true" outlineLevel="0" collapsed="false">
      <c r="H91" s="113"/>
      <c r="I91" s="113"/>
      <c r="J91" s="113"/>
      <c r="L91" s="113"/>
      <c r="M91" s="113"/>
      <c r="N91" s="113"/>
      <c r="P91" s="113"/>
      <c r="Q91" s="113"/>
      <c r="R91" s="113"/>
      <c r="T91" s="113"/>
      <c r="U91" s="113"/>
      <c r="V91" s="113"/>
    </row>
    <row r="92" customFormat="false" ht="25.5" hidden="false" customHeight="true" outlineLevel="0" collapsed="false">
      <c r="H92" s="113"/>
      <c r="I92" s="113"/>
      <c r="J92" s="113"/>
      <c r="L92" s="113"/>
      <c r="M92" s="113"/>
      <c r="N92" s="113"/>
      <c r="P92" s="113"/>
      <c r="Q92" s="113"/>
      <c r="R92" s="113"/>
      <c r="T92" s="113"/>
      <c r="U92" s="113"/>
      <c r="V92" s="113"/>
    </row>
    <row r="93" customFormat="false" ht="25.5" hidden="false" customHeight="true" outlineLevel="0" collapsed="false">
      <c r="H93" s="113"/>
      <c r="I93" s="113"/>
      <c r="J93" s="113"/>
      <c r="L93" s="113"/>
      <c r="M93" s="113"/>
      <c r="N93" s="113"/>
      <c r="P93" s="113"/>
      <c r="Q93" s="113"/>
      <c r="R93" s="113"/>
      <c r="T93" s="113"/>
      <c r="U93" s="113"/>
      <c r="V93" s="113"/>
    </row>
    <row r="94" customFormat="false" ht="25.5" hidden="false" customHeight="true" outlineLevel="0" collapsed="false">
      <c r="H94" s="113"/>
      <c r="I94" s="113"/>
      <c r="J94" s="113"/>
      <c r="L94" s="113"/>
      <c r="M94" s="113"/>
      <c r="N94" s="113"/>
      <c r="P94" s="113"/>
      <c r="Q94" s="113"/>
      <c r="R94" s="113"/>
      <c r="T94" s="113"/>
      <c r="U94" s="113"/>
      <c r="V94" s="113"/>
    </row>
    <row r="95" customFormat="false" ht="25.5" hidden="false" customHeight="true" outlineLevel="0" collapsed="false">
      <c r="H95" s="113"/>
      <c r="I95" s="113"/>
      <c r="J95" s="113"/>
      <c r="L95" s="113"/>
      <c r="M95" s="113"/>
      <c r="N95" s="113"/>
      <c r="P95" s="113"/>
      <c r="Q95" s="113"/>
      <c r="R95" s="113"/>
      <c r="T95" s="113"/>
      <c r="U95" s="113"/>
      <c r="V95" s="113"/>
    </row>
    <row r="96" customFormat="false" ht="25.5" hidden="false" customHeight="true" outlineLevel="0" collapsed="false">
      <c r="H96" s="113"/>
      <c r="I96" s="113"/>
      <c r="J96" s="113"/>
      <c r="L96" s="113"/>
      <c r="M96" s="113"/>
      <c r="N96" s="113"/>
      <c r="P96" s="113"/>
      <c r="Q96" s="113"/>
      <c r="R96" s="113"/>
      <c r="T96" s="113"/>
      <c r="U96" s="113"/>
      <c r="V96" s="113"/>
    </row>
    <row r="97" customFormat="false" ht="25.5" hidden="false" customHeight="true" outlineLevel="0" collapsed="false">
      <c r="H97" s="113"/>
      <c r="I97" s="113"/>
      <c r="J97" s="113"/>
      <c r="L97" s="113"/>
      <c r="M97" s="113"/>
      <c r="N97" s="113"/>
      <c r="P97" s="113"/>
      <c r="Q97" s="113"/>
      <c r="R97" s="113"/>
      <c r="T97" s="113"/>
      <c r="U97" s="113"/>
      <c r="V97" s="113"/>
    </row>
    <row r="98" customFormat="false" ht="25.5" hidden="false" customHeight="true" outlineLevel="0" collapsed="false">
      <c r="H98" s="113"/>
      <c r="I98" s="113"/>
      <c r="J98" s="113"/>
      <c r="L98" s="113"/>
      <c r="M98" s="113"/>
      <c r="N98" s="113"/>
      <c r="P98" s="113"/>
      <c r="Q98" s="113"/>
      <c r="R98" s="113"/>
      <c r="T98" s="113"/>
      <c r="U98" s="113"/>
      <c r="V98" s="113"/>
    </row>
    <row r="99" customFormat="false" ht="25.5" hidden="false" customHeight="true" outlineLevel="0" collapsed="false">
      <c r="H99" s="113"/>
      <c r="I99" s="113"/>
      <c r="J99" s="113"/>
      <c r="L99" s="113"/>
      <c r="M99" s="113"/>
      <c r="N99" s="113"/>
      <c r="P99" s="113"/>
      <c r="Q99" s="113"/>
      <c r="R99" s="113"/>
      <c r="T99" s="113"/>
      <c r="U99" s="113"/>
      <c r="V99" s="113"/>
    </row>
    <row r="100" customFormat="false" ht="25.5" hidden="false" customHeight="true" outlineLevel="0" collapsed="false">
      <c r="H100" s="113"/>
      <c r="I100" s="113"/>
      <c r="J100" s="113"/>
      <c r="L100" s="113"/>
      <c r="M100" s="113"/>
      <c r="N100" s="113"/>
      <c r="P100" s="113"/>
      <c r="Q100" s="113"/>
      <c r="R100" s="113"/>
      <c r="T100" s="113"/>
      <c r="U100" s="113"/>
      <c r="V100" s="113"/>
    </row>
    <row r="101" customFormat="false" ht="25.5" hidden="false" customHeight="true" outlineLevel="0" collapsed="false">
      <c r="H101" s="113"/>
      <c r="I101" s="113"/>
      <c r="J101" s="113"/>
      <c r="L101" s="113"/>
      <c r="M101" s="113"/>
      <c r="N101" s="113"/>
      <c r="P101" s="113"/>
      <c r="Q101" s="113"/>
      <c r="R101" s="113"/>
      <c r="T101" s="113"/>
      <c r="U101" s="113"/>
      <c r="V101" s="113"/>
    </row>
    <row r="102" customFormat="false" ht="25.5" hidden="false" customHeight="true" outlineLevel="0" collapsed="false">
      <c r="H102" s="113"/>
      <c r="I102" s="113"/>
      <c r="J102" s="113"/>
      <c r="L102" s="113"/>
      <c r="M102" s="113"/>
      <c r="N102" s="113"/>
      <c r="P102" s="113"/>
      <c r="Q102" s="113"/>
      <c r="R102" s="113"/>
      <c r="T102" s="113"/>
      <c r="U102" s="113"/>
      <c r="V102" s="113"/>
    </row>
    <row r="103" customFormat="false" ht="25.5" hidden="false" customHeight="true" outlineLevel="0" collapsed="false">
      <c r="H103" s="113"/>
      <c r="I103" s="113"/>
      <c r="J103" s="113"/>
      <c r="L103" s="113"/>
      <c r="M103" s="113"/>
      <c r="N103" s="113"/>
      <c r="P103" s="113"/>
      <c r="Q103" s="113"/>
      <c r="R103" s="113"/>
      <c r="T103" s="113"/>
      <c r="U103" s="113"/>
      <c r="V103" s="113"/>
    </row>
    <row r="104" customFormat="false" ht="25.5" hidden="false" customHeight="true" outlineLevel="0" collapsed="false">
      <c r="H104" s="113"/>
      <c r="I104" s="113"/>
      <c r="J104" s="113"/>
      <c r="L104" s="113"/>
      <c r="M104" s="113"/>
      <c r="N104" s="113"/>
      <c r="P104" s="113"/>
      <c r="Q104" s="113"/>
      <c r="R104" s="113"/>
      <c r="T104" s="113"/>
      <c r="U104" s="113"/>
      <c r="V104" s="113"/>
    </row>
    <row r="105" customFormat="false" ht="25.5" hidden="false" customHeight="true" outlineLevel="0" collapsed="false">
      <c r="H105" s="113"/>
      <c r="I105" s="113"/>
      <c r="J105" s="113"/>
      <c r="L105" s="113"/>
      <c r="M105" s="113"/>
      <c r="N105" s="113"/>
      <c r="P105" s="113"/>
      <c r="Q105" s="113"/>
      <c r="R105" s="113"/>
      <c r="T105" s="113"/>
      <c r="U105" s="113"/>
      <c r="V105" s="113"/>
    </row>
    <row r="106" customFormat="false" ht="25.5" hidden="false" customHeight="true" outlineLevel="0" collapsed="false">
      <c r="H106" s="113"/>
      <c r="I106" s="113"/>
      <c r="J106" s="113"/>
      <c r="L106" s="113"/>
      <c r="M106" s="113"/>
      <c r="N106" s="113"/>
      <c r="P106" s="113"/>
      <c r="Q106" s="113"/>
      <c r="R106" s="113"/>
      <c r="T106" s="113"/>
      <c r="U106" s="113"/>
      <c r="V106" s="113"/>
    </row>
    <row r="107" customFormat="false" ht="15" hidden="false" customHeight="true" outlineLevel="0" collapsed="false">
      <c r="H107" s="113"/>
      <c r="I107" s="113"/>
      <c r="J107" s="113"/>
      <c r="L107" s="113"/>
      <c r="M107" s="113"/>
      <c r="N107" s="113"/>
      <c r="P107" s="113"/>
      <c r="Q107" s="113"/>
      <c r="R107" s="113"/>
      <c r="T107" s="113"/>
      <c r="U107" s="113"/>
      <c r="V107" s="113"/>
    </row>
    <row r="108" customFormat="false" ht="15" hidden="false" customHeight="true" outlineLevel="0" collapsed="false">
      <c r="H108" s="113"/>
      <c r="I108" s="113"/>
      <c r="J108" s="113"/>
      <c r="L108" s="113"/>
      <c r="M108" s="113"/>
      <c r="N108" s="113"/>
      <c r="P108" s="113"/>
      <c r="Q108" s="113"/>
      <c r="R108" s="113"/>
      <c r="T108" s="113"/>
      <c r="U108" s="113"/>
      <c r="V108" s="113"/>
    </row>
    <row r="109" customFormat="false" ht="15" hidden="false" customHeight="true" outlineLevel="0" collapsed="false">
      <c r="H109" s="113"/>
      <c r="I109" s="113"/>
      <c r="J109" s="113"/>
      <c r="L109" s="113"/>
      <c r="M109" s="113"/>
      <c r="N109" s="113"/>
      <c r="P109" s="113"/>
      <c r="Q109" s="113"/>
      <c r="R109" s="113"/>
      <c r="T109" s="113"/>
      <c r="U109" s="113"/>
      <c r="V109" s="113"/>
    </row>
    <row r="110" customFormat="false" ht="15" hidden="false" customHeight="true" outlineLevel="0" collapsed="false">
      <c r="H110" s="113"/>
      <c r="I110" s="113"/>
      <c r="J110" s="113"/>
      <c r="L110" s="113"/>
      <c r="M110" s="113"/>
      <c r="N110" s="113"/>
      <c r="P110" s="113"/>
      <c r="Q110" s="113"/>
      <c r="R110" s="113"/>
      <c r="T110" s="113"/>
      <c r="U110" s="113"/>
      <c r="V110" s="113"/>
    </row>
    <row r="111" customFormat="false" ht="15" hidden="false" customHeight="true" outlineLevel="0" collapsed="false">
      <c r="H111" s="113"/>
      <c r="I111" s="113"/>
      <c r="J111" s="113"/>
      <c r="L111" s="113"/>
      <c r="M111" s="113"/>
      <c r="N111" s="113"/>
      <c r="P111" s="113"/>
      <c r="Q111" s="113"/>
      <c r="R111" s="113"/>
      <c r="T111" s="113"/>
      <c r="U111" s="113"/>
      <c r="V111" s="113"/>
    </row>
    <row r="112" customFormat="false" ht="15" hidden="false" customHeight="true" outlineLevel="0" collapsed="false">
      <c r="H112" s="113"/>
      <c r="I112" s="113"/>
      <c r="J112" s="113"/>
      <c r="L112" s="113"/>
      <c r="M112" s="113"/>
      <c r="N112" s="113"/>
      <c r="P112" s="113"/>
      <c r="Q112" s="113"/>
      <c r="R112" s="113"/>
      <c r="T112" s="113"/>
      <c r="U112" s="113"/>
      <c r="V112" s="113"/>
    </row>
    <row r="113" customFormat="false" ht="15" hidden="false" customHeight="true" outlineLevel="0" collapsed="false">
      <c r="H113" s="113"/>
      <c r="I113" s="113"/>
      <c r="J113" s="113"/>
      <c r="L113" s="113"/>
      <c r="M113" s="113"/>
      <c r="N113" s="113"/>
      <c r="P113" s="113"/>
      <c r="Q113" s="113"/>
      <c r="R113" s="113"/>
      <c r="T113" s="113"/>
      <c r="U113" s="113"/>
      <c r="V113" s="113"/>
    </row>
    <row r="114" customFormat="false" ht="15" hidden="false" customHeight="true" outlineLevel="0" collapsed="false">
      <c r="H114" s="113"/>
      <c r="I114" s="113"/>
      <c r="J114" s="113"/>
      <c r="L114" s="113"/>
      <c r="M114" s="113"/>
      <c r="N114" s="113"/>
      <c r="P114" s="113"/>
      <c r="Q114" s="113"/>
      <c r="R114" s="113"/>
      <c r="T114" s="113"/>
      <c r="U114" s="113"/>
      <c r="V114" s="113"/>
    </row>
    <row r="115" customFormat="false" ht="15" hidden="false" customHeight="true" outlineLevel="0" collapsed="false">
      <c r="H115" s="113"/>
      <c r="I115" s="113"/>
      <c r="J115" s="113"/>
      <c r="L115" s="113"/>
      <c r="M115" s="113"/>
      <c r="N115" s="113"/>
      <c r="P115" s="113"/>
      <c r="Q115" s="113"/>
      <c r="R115" s="113"/>
      <c r="T115" s="113"/>
      <c r="U115" s="113"/>
      <c r="V115" s="113"/>
    </row>
    <row r="116" customFormat="false" ht="15" hidden="false" customHeight="true" outlineLevel="0" collapsed="false">
      <c r="H116" s="113"/>
      <c r="I116" s="113"/>
      <c r="J116" s="113"/>
      <c r="L116" s="113"/>
      <c r="M116" s="113"/>
      <c r="N116" s="113"/>
      <c r="P116" s="113"/>
      <c r="Q116" s="113"/>
      <c r="R116" s="113"/>
      <c r="T116" s="113"/>
      <c r="U116" s="113"/>
      <c r="V116" s="113"/>
    </row>
    <row r="117" customFormat="false" ht="15" hidden="false" customHeight="true" outlineLevel="0" collapsed="false">
      <c r="H117" s="113"/>
      <c r="I117" s="113"/>
      <c r="J117" s="113"/>
      <c r="L117" s="113"/>
      <c r="M117" s="113"/>
      <c r="N117" s="113"/>
      <c r="P117" s="113"/>
      <c r="Q117" s="113"/>
      <c r="R117" s="113"/>
      <c r="T117" s="113"/>
      <c r="U117" s="113"/>
      <c r="V117" s="113"/>
    </row>
    <row r="118" customFormat="false" ht="15" hidden="false" customHeight="true" outlineLevel="0" collapsed="false">
      <c r="H118" s="113"/>
      <c r="I118" s="113"/>
      <c r="J118" s="113"/>
      <c r="L118" s="113"/>
      <c r="M118" s="113"/>
      <c r="N118" s="113"/>
      <c r="P118" s="113"/>
      <c r="Q118" s="113"/>
      <c r="R118" s="113"/>
      <c r="T118" s="113"/>
      <c r="U118" s="113"/>
      <c r="V118" s="113"/>
    </row>
    <row r="119" customFormat="false" ht="15" hidden="false" customHeight="true" outlineLevel="0" collapsed="false">
      <c r="H119" s="113"/>
      <c r="I119" s="113"/>
      <c r="J119" s="113"/>
      <c r="L119" s="113"/>
      <c r="M119" s="113"/>
      <c r="N119" s="113"/>
      <c r="P119" s="113"/>
      <c r="Q119" s="113"/>
      <c r="R119" s="113"/>
      <c r="T119" s="113"/>
      <c r="U119" s="113"/>
      <c r="V119" s="113"/>
    </row>
    <row r="120" customFormat="false" ht="15" hidden="false" customHeight="true" outlineLevel="0" collapsed="false">
      <c r="H120" s="113"/>
      <c r="I120" s="113"/>
      <c r="J120" s="113"/>
      <c r="L120" s="113"/>
      <c r="M120" s="113"/>
      <c r="N120" s="113"/>
      <c r="P120" s="113"/>
      <c r="Q120" s="113"/>
      <c r="R120" s="113"/>
      <c r="T120" s="113"/>
      <c r="U120" s="113"/>
      <c r="V120" s="113"/>
    </row>
    <row r="121" customFormat="false" ht="15" hidden="false" customHeight="true" outlineLevel="0" collapsed="false">
      <c r="H121" s="113"/>
      <c r="I121" s="113"/>
      <c r="J121" s="113"/>
      <c r="L121" s="113"/>
      <c r="M121" s="113"/>
      <c r="N121" s="113"/>
      <c r="P121" s="113"/>
      <c r="Q121" s="113"/>
      <c r="R121" s="113"/>
      <c r="T121" s="113"/>
      <c r="U121" s="113"/>
      <c r="V121" s="113"/>
    </row>
    <row r="122" customFormat="false" ht="15" hidden="false" customHeight="true" outlineLevel="0" collapsed="false">
      <c r="H122" s="113"/>
      <c r="I122" s="113"/>
      <c r="J122" s="113"/>
      <c r="L122" s="113"/>
      <c r="M122" s="113"/>
      <c r="N122" s="113"/>
      <c r="P122" s="113"/>
      <c r="Q122" s="113"/>
      <c r="R122" s="113"/>
      <c r="T122" s="113"/>
      <c r="U122" s="113"/>
      <c r="V122" s="113"/>
    </row>
    <row r="123" customFormat="false" ht="15" hidden="false" customHeight="true" outlineLevel="0" collapsed="false">
      <c r="H123" s="113"/>
      <c r="I123" s="113"/>
      <c r="J123" s="113"/>
      <c r="L123" s="113"/>
      <c r="M123" s="113"/>
      <c r="N123" s="113"/>
      <c r="P123" s="113"/>
      <c r="Q123" s="113"/>
      <c r="R123" s="113"/>
      <c r="T123" s="113"/>
      <c r="U123" s="113"/>
      <c r="V123" s="113"/>
    </row>
    <row r="124" customFormat="false" ht="15" hidden="false" customHeight="true" outlineLevel="0" collapsed="false">
      <c r="H124" s="113"/>
      <c r="I124" s="113"/>
      <c r="J124" s="113"/>
      <c r="L124" s="113"/>
      <c r="M124" s="113"/>
      <c r="N124" s="113"/>
      <c r="P124" s="113"/>
      <c r="Q124" s="113"/>
      <c r="R124" s="113"/>
      <c r="T124" s="113"/>
      <c r="U124" s="113"/>
      <c r="V124" s="113"/>
    </row>
    <row r="125" customFormat="false" ht="15" hidden="false" customHeight="true" outlineLevel="0" collapsed="false">
      <c r="H125" s="113"/>
      <c r="I125" s="113"/>
      <c r="J125" s="113"/>
      <c r="L125" s="113"/>
      <c r="M125" s="113"/>
      <c r="N125" s="113"/>
      <c r="P125" s="113"/>
      <c r="Q125" s="113"/>
      <c r="R125" s="113"/>
      <c r="T125" s="113"/>
      <c r="U125" s="113"/>
      <c r="V125" s="113"/>
    </row>
    <row r="126" customFormat="false" ht="15" hidden="false" customHeight="true" outlineLevel="0" collapsed="false">
      <c r="H126" s="113"/>
      <c r="I126" s="113"/>
      <c r="J126" s="113"/>
      <c r="L126" s="113"/>
      <c r="M126" s="113"/>
      <c r="N126" s="113"/>
      <c r="P126" s="113"/>
      <c r="Q126" s="113"/>
      <c r="R126" s="113"/>
      <c r="T126" s="113"/>
      <c r="U126" s="113"/>
      <c r="V126" s="113"/>
    </row>
    <row r="127" customFormat="false" ht="15" hidden="false" customHeight="true" outlineLevel="0" collapsed="false">
      <c r="H127" s="113"/>
      <c r="I127" s="113"/>
      <c r="J127" s="113"/>
      <c r="L127" s="113"/>
      <c r="M127" s="113"/>
      <c r="N127" s="113"/>
      <c r="P127" s="113"/>
      <c r="Q127" s="113"/>
      <c r="R127" s="113"/>
      <c r="T127" s="113"/>
      <c r="U127" s="113"/>
      <c r="V127" s="113"/>
    </row>
    <row r="128" customFormat="false" ht="15" hidden="false" customHeight="true" outlineLevel="0" collapsed="false">
      <c r="H128" s="113"/>
      <c r="I128" s="113"/>
      <c r="J128" s="113"/>
      <c r="L128" s="113"/>
      <c r="M128" s="113"/>
      <c r="N128" s="113"/>
      <c r="P128" s="113"/>
      <c r="Q128" s="113"/>
      <c r="R128" s="113"/>
      <c r="T128" s="113"/>
      <c r="U128" s="113"/>
      <c r="V128" s="113"/>
    </row>
    <row r="129" customFormat="false" ht="15" hidden="false" customHeight="true" outlineLevel="0" collapsed="false">
      <c r="H129" s="113"/>
      <c r="I129" s="113"/>
      <c r="J129" s="113"/>
      <c r="L129" s="113"/>
      <c r="M129" s="113"/>
      <c r="N129" s="113"/>
      <c r="P129" s="113"/>
      <c r="Q129" s="113"/>
      <c r="R129" s="113"/>
      <c r="T129" s="113"/>
      <c r="U129" s="113"/>
      <c r="V129" s="113"/>
    </row>
    <row r="130" customFormat="false" ht="15" hidden="false" customHeight="true" outlineLevel="0" collapsed="false">
      <c r="H130" s="113"/>
      <c r="I130" s="113"/>
      <c r="J130" s="113"/>
      <c r="L130" s="113"/>
      <c r="M130" s="113"/>
      <c r="N130" s="113"/>
      <c r="P130" s="113"/>
      <c r="Q130" s="113"/>
      <c r="R130" s="113"/>
      <c r="T130" s="113"/>
      <c r="U130" s="113"/>
      <c r="V130" s="113"/>
    </row>
    <row r="131" customFormat="false" ht="15" hidden="false" customHeight="true" outlineLevel="0" collapsed="false">
      <c r="H131" s="113"/>
      <c r="I131" s="113"/>
      <c r="J131" s="113"/>
      <c r="L131" s="113"/>
      <c r="M131" s="113"/>
      <c r="N131" s="113"/>
      <c r="P131" s="113"/>
      <c r="Q131" s="113"/>
      <c r="R131" s="113"/>
      <c r="T131" s="113"/>
      <c r="U131" s="113"/>
      <c r="V131" s="113"/>
    </row>
    <row r="132" customFormat="false" ht="15" hidden="false" customHeight="true" outlineLevel="0" collapsed="false">
      <c r="H132" s="113"/>
      <c r="I132" s="113"/>
      <c r="J132" s="113"/>
      <c r="L132" s="113"/>
      <c r="M132" s="113"/>
      <c r="N132" s="113"/>
      <c r="P132" s="113"/>
      <c r="Q132" s="113"/>
      <c r="R132" s="113"/>
      <c r="T132" s="113"/>
      <c r="U132" s="113"/>
      <c r="V132" s="113"/>
    </row>
    <row r="133" customFormat="false" ht="15" hidden="false" customHeight="true" outlineLevel="0" collapsed="false">
      <c r="H133" s="113"/>
      <c r="I133" s="113"/>
      <c r="J133" s="113"/>
      <c r="L133" s="113"/>
      <c r="M133" s="113"/>
      <c r="N133" s="113"/>
      <c r="P133" s="113"/>
      <c r="Q133" s="113"/>
      <c r="R133" s="113"/>
      <c r="T133" s="113"/>
      <c r="U133" s="113"/>
      <c r="V133" s="113"/>
    </row>
    <row r="134" customFormat="false" ht="15" hidden="false" customHeight="true" outlineLevel="0" collapsed="false">
      <c r="H134" s="113"/>
      <c r="I134" s="113"/>
      <c r="J134" s="113"/>
      <c r="L134" s="113"/>
      <c r="M134" s="113"/>
      <c r="N134" s="113"/>
      <c r="P134" s="113"/>
      <c r="Q134" s="113"/>
      <c r="R134" s="113"/>
      <c r="T134" s="113"/>
      <c r="U134" s="113"/>
      <c r="V134" s="113"/>
    </row>
    <row r="135" customFormat="false" ht="15" hidden="false" customHeight="true" outlineLevel="0" collapsed="false">
      <c r="H135" s="113"/>
      <c r="I135" s="113"/>
      <c r="J135" s="113"/>
      <c r="L135" s="113"/>
      <c r="M135" s="113"/>
      <c r="N135" s="113"/>
      <c r="P135" s="113"/>
      <c r="Q135" s="113"/>
      <c r="R135" s="113"/>
      <c r="T135" s="113"/>
      <c r="U135" s="113"/>
      <c r="V135" s="113"/>
    </row>
    <row r="136" customFormat="false" ht="15" hidden="false" customHeight="true" outlineLevel="0" collapsed="false">
      <c r="H136" s="113"/>
      <c r="I136" s="113"/>
      <c r="J136" s="113"/>
      <c r="L136" s="113"/>
      <c r="M136" s="113"/>
      <c r="N136" s="113"/>
      <c r="P136" s="113"/>
      <c r="Q136" s="113"/>
      <c r="R136" s="113"/>
      <c r="T136" s="113"/>
      <c r="U136" s="113"/>
      <c r="V136" s="113"/>
    </row>
    <row r="137" customFormat="false" ht="15" hidden="false" customHeight="true" outlineLevel="0" collapsed="false">
      <c r="H137" s="113"/>
      <c r="I137" s="113"/>
      <c r="J137" s="113"/>
      <c r="L137" s="113"/>
      <c r="M137" s="113"/>
      <c r="N137" s="113"/>
      <c r="P137" s="113"/>
      <c r="Q137" s="113"/>
      <c r="R137" s="113"/>
      <c r="T137" s="113"/>
      <c r="U137" s="113"/>
      <c r="V137" s="113"/>
    </row>
    <row r="138" customFormat="false" ht="15" hidden="false" customHeight="true" outlineLevel="0" collapsed="false">
      <c r="H138" s="113"/>
      <c r="I138" s="113"/>
      <c r="J138" s="113"/>
      <c r="L138" s="113"/>
      <c r="M138" s="113"/>
      <c r="N138" s="113"/>
      <c r="P138" s="113"/>
      <c r="Q138" s="113"/>
      <c r="R138" s="113"/>
      <c r="T138" s="113"/>
      <c r="U138" s="113"/>
      <c r="V138" s="113"/>
    </row>
    <row r="139" customFormat="false" ht="15" hidden="false" customHeight="true" outlineLevel="0" collapsed="false">
      <c r="H139" s="113"/>
      <c r="I139" s="113"/>
      <c r="J139" s="113"/>
      <c r="L139" s="113"/>
      <c r="M139" s="113"/>
      <c r="N139" s="113"/>
      <c r="P139" s="113"/>
      <c r="Q139" s="113"/>
      <c r="R139" s="113"/>
      <c r="T139" s="113"/>
      <c r="U139" s="113"/>
      <c r="V139" s="113"/>
    </row>
    <row r="140" customFormat="false" ht="15" hidden="false" customHeight="true" outlineLevel="0" collapsed="false">
      <c r="H140" s="113"/>
      <c r="I140" s="113"/>
      <c r="J140" s="113"/>
      <c r="L140" s="113"/>
      <c r="M140" s="113"/>
      <c r="N140" s="113"/>
      <c r="P140" s="113"/>
      <c r="Q140" s="113"/>
      <c r="R140" s="113"/>
      <c r="T140" s="113"/>
      <c r="U140" s="113"/>
      <c r="V140" s="113"/>
    </row>
    <row r="141" customFormat="false" ht="15" hidden="false" customHeight="true" outlineLevel="0" collapsed="false">
      <c r="H141" s="113"/>
      <c r="I141" s="113"/>
      <c r="J141" s="113"/>
      <c r="L141" s="113"/>
      <c r="M141" s="113"/>
      <c r="N141" s="113"/>
      <c r="P141" s="113"/>
      <c r="Q141" s="113"/>
      <c r="R141" s="113"/>
      <c r="T141" s="113"/>
      <c r="U141" s="113"/>
      <c r="V141" s="113"/>
    </row>
    <row r="142" customFormat="false" ht="15" hidden="false" customHeight="true" outlineLevel="0" collapsed="false">
      <c r="H142" s="113"/>
      <c r="I142" s="113"/>
      <c r="J142" s="113"/>
      <c r="L142" s="113"/>
      <c r="M142" s="113"/>
      <c r="N142" s="113"/>
      <c r="P142" s="113"/>
      <c r="Q142" s="113"/>
      <c r="R142" s="113"/>
      <c r="T142" s="113"/>
      <c r="U142" s="113"/>
      <c r="V142" s="113"/>
    </row>
    <row r="143" customFormat="false" ht="15" hidden="false" customHeight="true" outlineLevel="0" collapsed="false">
      <c r="H143" s="113"/>
      <c r="I143" s="113"/>
      <c r="J143" s="113"/>
      <c r="L143" s="113"/>
      <c r="M143" s="113"/>
      <c r="N143" s="113"/>
      <c r="P143" s="113"/>
      <c r="Q143" s="113"/>
      <c r="R143" s="113"/>
      <c r="T143" s="113"/>
      <c r="U143" s="113"/>
      <c r="V143" s="113"/>
    </row>
    <row r="144" customFormat="false" ht="15" hidden="false" customHeight="true" outlineLevel="0" collapsed="false">
      <c r="H144" s="113"/>
      <c r="I144" s="113"/>
      <c r="J144" s="113"/>
      <c r="L144" s="113"/>
      <c r="M144" s="113"/>
      <c r="N144" s="113"/>
      <c r="P144" s="113"/>
      <c r="Q144" s="113"/>
      <c r="R144" s="113"/>
      <c r="T144" s="113"/>
      <c r="U144" s="113"/>
      <c r="V144" s="113"/>
    </row>
    <row r="145" customFormat="false" ht="15" hidden="false" customHeight="true" outlineLevel="0" collapsed="false">
      <c r="H145" s="113"/>
      <c r="I145" s="113"/>
      <c r="J145" s="113"/>
      <c r="L145" s="113"/>
      <c r="M145" s="113"/>
      <c r="N145" s="113"/>
      <c r="P145" s="113"/>
      <c r="Q145" s="113"/>
      <c r="R145" s="113"/>
      <c r="T145" s="113"/>
      <c r="U145" s="113"/>
      <c r="V145" s="113"/>
    </row>
    <row r="146" customFormat="false" ht="15" hidden="false" customHeight="true" outlineLevel="0" collapsed="false">
      <c r="H146" s="113"/>
      <c r="I146" s="113"/>
      <c r="J146" s="113"/>
      <c r="L146" s="113"/>
      <c r="M146" s="113"/>
      <c r="N146" s="113"/>
      <c r="P146" s="113"/>
      <c r="Q146" s="113"/>
      <c r="R146" s="113"/>
      <c r="T146" s="113"/>
      <c r="U146" s="113"/>
      <c r="V146" s="113"/>
    </row>
    <row r="147" customFormat="false" ht="15" hidden="false" customHeight="true" outlineLevel="0" collapsed="false">
      <c r="H147" s="113"/>
      <c r="I147" s="113"/>
      <c r="J147" s="113"/>
      <c r="L147" s="113"/>
      <c r="M147" s="113"/>
      <c r="N147" s="113"/>
      <c r="P147" s="113"/>
      <c r="Q147" s="113"/>
      <c r="R147" s="113"/>
      <c r="T147" s="113"/>
      <c r="U147" s="113"/>
      <c r="V147" s="113"/>
    </row>
    <row r="148" customFormat="false" ht="15" hidden="false" customHeight="true" outlineLevel="0" collapsed="false">
      <c r="H148" s="113"/>
      <c r="I148" s="113"/>
      <c r="J148" s="113"/>
      <c r="L148" s="113"/>
      <c r="M148" s="113"/>
      <c r="N148" s="113"/>
      <c r="P148" s="113"/>
      <c r="Q148" s="113"/>
      <c r="R148" s="113"/>
      <c r="T148" s="113"/>
      <c r="U148" s="113"/>
      <c r="V148" s="113"/>
    </row>
    <row r="149" customFormat="false" ht="15" hidden="false" customHeight="true" outlineLevel="0" collapsed="false">
      <c r="H149" s="113"/>
      <c r="I149" s="113"/>
      <c r="J149" s="113"/>
      <c r="L149" s="113"/>
      <c r="M149" s="113"/>
      <c r="N149" s="113"/>
      <c r="P149" s="113"/>
      <c r="Q149" s="113"/>
      <c r="R149" s="113"/>
      <c r="T149" s="113"/>
      <c r="U149" s="113"/>
      <c r="V149" s="113"/>
    </row>
    <row r="150" customFormat="false" ht="15" hidden="false" customHeight="true" outlineLevel="0" collapsed="false">
      <c r="H150" s="113"/>
      <c r="I150" s="113"/>
      <c r="J150" s="113"/>
      <c r="L150" s="113"/>
      <c r="M150" s="113"/>
      <c r="N150" s="113"/>
      <c r="P150" s="113"/>
      <c r="Q150" s="113"/>
      <c r="R150" s="113"/>
      <c r="T150" s="113"/>
      <c r="U150" s="113"/>
      <c r="V150" s="113"/>
    </row>
    <row r="151" customFormat="false" ht="15" hidden="false" customHeight="true" outlineLevel="0" collapsed="false">
      <c r="H151" s="113"/>
      <c r="I151" s="113"/>
      <c r="J151" s="113"/>
      <c r="L151" s="113"/>
      <c r="M151" s="113"/>
      <c r="N151" s="113"/>
      <c r="P151" s="113"/>
      <c r="Q151" s="113"/>
      <c r="R151" s="113"/>
      <c r="T151" s="113"/>
      <c r="U151" s="113"/>
      <c r="V151" s="113"/>
    </row>
    <row r="152" customFormat="false" ht="15" hidden="false" customHeight="true" outlineLevel="0" collapsed="false">
      <c r="H152" s="113"/>
      <c r="I152" s="113"/>
      <c r="J152" s="113"/>
      <c r="L152" s="113"/>
      <c r="M152" s="113"/>
      <c r="N152" s="113"/>
      <c r="P152" s="113"/>
      <c r="Q152" s="113"/>
      <c r="R152" s="113"/>
      <c r="T152" s="113"/>
      <c r="U152" s="113"/>
      <c r="V152" s="113"/>
    </row>
    <row r="153" customFormat="false" ht="15" hidden="false" customHeight="true" outlineLevel="0" collapsed="false">
      <c r="H153" s="113"/>
      <c r="I153" s="113"/>
      <c r="J153" s="113"/>
      <c r="L153" s="113"/>
      <c r="M153" s="113"/>
      <c r="N153" s="113"/>
      <c r="P153" s="113"/>
      <c r="Q153" s="113"/>
      <c r="R153" s="113"/>
      <c r="T153" s="113"/>
      <c r="U153" s="113"/>
      <c r="V153" s="113"/>
    </row>
    <row r="154" customFormat="false" ht="15" hidden="false" customHeight="true" outlineLevel="0" collapsed="false">
      <c r="H154" s="113"/>
      <c r="I154" s="113"/>
      <c r="J154" s="113"/>
      <c r="L154" s="113"/>
      <c r="M154" s="113"/>
      <c r="N154" s="113"/>
      <c r="P154" s="113"/>
      <c r="Q154" s="113"/>
      <c r="R154" s="113"/>
      <c r="T154" s="113"/>
      <c r="U154" s="113"/>
      <c r="V154" s="113"/>
    </row>
    <row r="155" customFormat="false" ht="15" hidden="false" customHeight="true" outlineLevel="0" collapsed="false">
      <c r="H155" s="113"/>
      <c r="I155" s="113"/>
      <c r="J155" s="113"/>
      <c r="L155" s="113"/>
      <c r="M155" s="113"/>
      <c r="N155" s="113"/>
      <c r="P155" s="113"/>
      <c r="Q155" s="113"/>
      <c r="R155" s="113"/>
      <c r="T155" s="113"/>
      <c r="U155" s="113"/>
      <c r="V155" s="113"/>
    </row>
    <row r="156" customFormat="false" ht="15" hidden="false" customHeight="true" outlineLevel="0" collapsed="false">
      <c r="H156" s="113"/>
      <c r="I156" s="113"/>
      <c r="J156" s="113"/>
      <c r="L156" s="113"/>
      <c r="M156" s="113"/>
      <c r="N156" s="113"/>
      <c r="P156" s="113"/>
      <c r="Q156" s="113"/>
      <c r="R156" s="113"/>
      <c r="T156" s="113"/>
      <c r="U156" s="113"/>
      <c r="V156" s="113"/>
    </row>
    <row r="157" customFormat="false" ht="15" hidden="false" customHeight="true" outlineLevel="0" collapsed="false">
      <c r="H157" s="113"/>
      <c r="I157" s="113"/>
      <c r="J157" s="113"/>
      <c r="L157" s="113"/>
      <c r="M157" s="113"/>
      <c r="N157" s="113"/>
      <c r="P157" s="113"/>
      <c r="Q157" s="113"/>
      <c r="R157" s="113"/>
      <c r="T157" s="113"/>
      <c r="U157" s="113"/>
      <c r="V157" s="113"/>
    </row>
    <row r="158" customFormat="false" ht="15" hidden="false" customHeight="true" outlineLevel="0" collapsed="false">
      <c r="H158" s="113"/>
      <c r="I158" s="113"/>
      <c r="J158" s="113"/>
      <c r="L158" s="113"/>
      <c r="M158" s="113"/>
      <c r="N158" s="113"/>
      <c r="P158" s="113"/>
      <c r="Q158" s="113"/>
      <c r="R158" s="113"/>
      <c r="T158" s="113"/>
      <c r="U158" s="113"/>
      <c r="V158" s="113"/>
    </row>
    <row r="159" customFormat="false" ht="15" hidden="false" customHeight="true" outlineLevel="0" collapsed="false">
      <c r="H159" s="113"/>
      <c r="I159" s="113"/>
      <c r="J159" s="113"/>
      <c r="L159" s="113"/>
      <c r="M159" s="113"/>
      <c r="N159" s="113"/>
      <c r="P159" s="113"/>
      <c r="Q159" s="113"/>
      <c r="R159" s="113"/>
      <c r="T159" s="113"/>
      <c r="U159" s="113"/>
      <c r="V159" s="113"/>
    </row>
    <row r="160" customFormat="false" ht="15" hidden="false" customHeight="true" outlineLevel="0" collapsed="false">
      <c r="H160" s="113"/>
      <c r="I160" s="113"/>
      <c r="J160" s="113"/>
      <c r="L160" s="113"/>
      <c r="M160" s="113"/>
      <c r="N160" s="113"/>
      <c r="P160" s="113"/>
      <c r="Q160" s="113"/>
      <c r="R160" s="113"/>
      <c r="T160" s="113"/>
      <c r="U160" s="113"/>
      <c r="V160" s="113"/>
    </row>
    <row r="161" customFormat="false" ht="15" hidden="false" customHeight="true" outlineLevel="0" collapsed="false">
      <c r="H161" s="113"/>
      <c r="I161" s="113"/>
      <c r="J161" s="113"/>
      <c r="L161" s="113"/>
      <c r="M161" s="113"/>
      <c r="N161" s="113"/>
      <c r="P161" s="113"/>
      <c r="Q161" s="113"/>
      <c r="R161" s="113"/>
      <c r="T161" s="113"/>
      <c r="U161" s="113"/>
      <c r="V161" s="113"/>
    </row>
    <row r="162" customFormat="false" ht="15" hidden="false" customHeight="true" outlineLevel="0" collapsed="false">
      <c r="H162" s="113"/>
      <c r="I162" s="113"/>
      <c r="J162" s="113"/>
      <c r="L162" s="113"/>
      <c r="M162" s="113"/>
      <c r="N162" s="113"/>
      <c r="P162" s="113"/>
      <c r="Q162" s="113"/>
      <c r="R162" s="113"/>
      <c r="T162" s="113"/>
      <c r="U162" s="113"/>
      <c r="V162" s="113"/>
    </row>
    <row r="163" customFormat="false" ht="15" hidden="false" customHeight="true" outlineLevel="0" collapsed="false">
      <c r="H163" s="113"/>
      <c r="I163" s="113"/>
      <c r="J163" s="113"/>
      <c r="L163" s="113"/>
      <c r="M163" s="113"/>
      <c r="N163" s="113"/>
      <c r="P163" s="113"/>
      <c r="Q163" s="113"/>
      <c r="R163" s="113"/>
      <c r="T163" s="113"/>
      <c r="U163" s="113"/>
      <c r="V163" s="113"/>
    </row>
    <row r="164" customFormat="false" ht="15" hidden="false" customHeight="true" outlineLevel="0" collapsed="false">
      <c r="H164" s="113"/>
      <c r="I164" s="113"/>
      <c r="J164" s="113"/>
      <c r="L164" s="113"/>
      <c r="M164" s="113"/>
      <c r="N164" s="113"/>
      <c r="P164" s="113"/>
      <c r="Q164" s="113"/>
      <c r="R164" s="113"/>
      <c r="T164" s="113"/>
      <c r="U164" s="113"/>
      <c r="V164" s="113"/>
    </row>
    <row r="165" customFormat="false" ht="15" hidden="false" customHeight="true" outlineLevel="0" collapsed="false">
      <c r="H165" s="113"/>
      <c r="I165" s="113"/>
      <c r="J165" s="113"/>
      <c r="L165" s="113"/>
      <c r="M165" s="113"/>
      <c r="N165" s="113"/>
      <c r="P165" s="113"/>
      <c r="Q165" s="113"/>
      <c r="R165" s="113"/>
      <c r="T165" s="113"/>
      <c r="U165" s="113"/>
      <c r="V165" s="113"/>
    </row>
    <row r="166" customFormat="false" ht="15" hidden="false" customHeight="true" outlineLevel="0" collapsed="false">
      <c r="H166" s="113"/>
      <c r="I166" s="113"/>
      <c r="J166" s="113"/>
      <c r="L166" s="113"/>
      <c r="M166" s="113"/>
      <c r="N166" s="113"/>
      <c r="P166" s="113"/>
      <c r="Q166" s="113"/>
      <c r="R166" s="113"/>
      <c r="T166" s="113"/>
      <c r="U166" s="113"/>
      <c r="V166" s="113"/>
    </row>
    <row r="167" customFormat="false" ht="15" hidden="false" customHeight="true" outlineLevel="0" collapsed="false">
      <c r="H167" s="113"/>
      <c r="I167" s="113"/>
      <c r="J167" s="113"/>
      <c r="L167" s="113"/>
      <c r="M167" s="113"/>
      <c r="N167" s="113"/>
      <c r="P167" s="113"/>
      <c r="Q167" s="113"/>
      <c r="R167" s="113"/>
      <c r="T167" s="113"/>
      <c r="U167" s="113"/>
      <c r="V167" s="113"/>
    </row>
    <row r="168" customFormat="false" ht="15" hidden="false" customHeight="true" outlineLevel="0" collapsed="false">
      <c r="H168" s="113"/>
      <c r="I168" s="113"/>
      <c r="J168" s="113"/>
      <c r="L168" s="113"/>
      <c r="M168" s="113"/>
      <c r="N168" s="113"/>
      <c r="P168" s="113"/>
      <c r="Q168" s="113"/>
      <c r="R168" s="113"/>
      <c r="T168" s="113"/>
      <c r="U168" s="113"/>
      <c r="V168" s="113"/>
    </row>
    <row r="169" customFormat="false" ht="15" hidden="false" customHeight="true" outlineLevel="0" collapsed="false">
      <c r="H169" s="113"/>
      <c r="I169" s="113"/>
      <c r="J169" s="113"/>
      <c r="L169" s="113"/>
      <c r="M169" s="113"/>
      <c r="N169" s="113"/>
      <c r="P169" s="113"/>
      <c r="Q169" s="113"/>
      <c r="R169" s="113"/>
      <c r="T169" s="113"/>
      <c r="U169" s="113"/>
      <c r="V169" s="113"/>
    </row>
    <row r="170" customFormat="false" ht="15" hidden="false" customHeight="true" outlineLevel="0" collapsed="false">
      <c r="H170" s="113"/>
      <c r="I170" s="113"/>
      <c r="J170" s="113"/>
      <c r="L170" s="113"/>
      <c r="M170" s="113"/>
      <c r="N170" s="113"/>
      <c r="P170" s="113"/>
      <c r="Q170" s="113"/>
      <c r="R170" s="113"/>
      <c r="T170" s="113"/>
      <c r="U170" s="113"/>
      <c r="V170" s="113"/>
    </row>
    <row r="171" customFormat="false" ht="15" hidden="false" customHeight="true" outlineLevel="0" collapsed="false">
      <c r="H171" s="113"/>
      <c r="I171" s="113"/>
      <c r="J171" s="113"/>
      <c r="L171" s="113"/>
      <c r="M171" s="113"/>
      <c r="N171" s="113"/>
      <c r="P171" s="113"/>
      <c r="Q171" s="113"/>
      <c r="R171" s="113"/>
      <c r="T171" s="113"/>
      <c r="U171" s="113"/>
      <c r="V171" s="113"/>
    </row>
    <row r="172" customFormat="false" ht="15" hidden="false" customHeight="true" outlineLevel="0" collapsed="false">
      <c r="H172" s="113"/>
      <c r="I172" s="113"/>
      <c r="J172" s="113"/>
      <c r="L172" s="113"/>
      <c r="M172" s="113"/>
      <c r="N172" s="113"/>
      <c r="P172" s="113"/>
      <c r="Q172" s="113"/>
      <c r="R172" s="113"/>
      <c r="T172" s="113"/>
      <c r="U172" s="113"/>
      <c r="V172" s="113"/>
    </row>
    <row r="173" customFormat="false" ht="15" hidden="false" customHeight="true" outlineLevel="0" collapsed="false">
      <c r="H173" s="113"/>
      <c r="I173" s="113"/>
      <c r="J173" s="113"/>
      <c r="L173" s="113"/>
      <c r="M173" s="113"/>
      <c r="N173" s="113"/>
      <c r="P173" s="113"/>
      <c r="Q173" s="113"/>
      <c r="R173" s="113"/>
      <c r="T173" s="113"/>
      <c r="U173" s="113"/>
      <c r="V173" s="113"/>
    </row>
    <row r="174" customFormat="false" ht="15" hidden="false" customHeight="true" outlineLevel="0" collapsed="false">
      <c r="H174" s="113"/>
      <c r="I174" s="113"/>
      <c r="J174" s="113"/>
      <c r="L174" s="113"/>
      <c r="M174" s="113"/>
      <c r="N174" s="113"/>
      <c r="P174" s="113"/>
      <c r="Q174" s="113"/>
      <c r="R174" s="113"/>
      <c r="T174" s="113"/>
      <c r="U174" s="113"/>
      <c r="V174" s="113"/>
    </row>
    <row r="175" customFormat="false" ht="15" hidden="false" customHeight="true" outlineLevel="0" collapsed="false">
      <c r="H175" s="113"/>
      <c r="I175" s="113"/>
      <c r="J175" s="113"/>
      <c r="L175" s="113"/>
      <c r="M175" s="113"/>
      <c r="N175" s="113"/>
      <c r="P175" s="113"/>
      <c r="Q175" s="113"/>
      <c r="R175" s="113"/>
      <c r="T175" s="113"/>
      <c r="U175" s="113"/>
      <c r="V175" s="113"/>
    </row>
    <row r="176" customFormat="false" ht="15" hidden="false" customHeight="true" outlineLevel="0" collapsed="false">
      <c r="H176" s="113"/>
      <c r="I176" s="113"/>
      <c r="J176" s="113"/>
      <c r="L176" s="113"/>
      <c r="M176" s="113"/>
      <c r="N176" s="113"/>
      <c r="P176" s="113"/>
      <c r="Q176" s="113"/>
      <c r="R176" s="113"/>
      <c r="T176" s="113"/>
      <c r="U176" s="113"/>
      <c r="V176" s="113"/>
    </row>
    <row r="177" customFormat="false" ht="15" hidden="false" customHeight="true" outlineLevel="0" collapsed="false">
      <c r="H177" s="113"/>
      <c r="I177" s="113"/>
      <c r="J177" s="113"/>
      <c r="L177" s="113"/>
      <c r="M177" s="113"/>
      <c r="N177" s="113"/>
      <c r="P177" s="113"/>
      <c r="Q177" s="113"/>
      <c r="R177" s="113"/>
      <c r="T177" s="113"/>
      <c r="U177" s="113"/>
      <c r="V177" s="113"/>
    </row>
    <row r="178" customFormat="false" ht="15" hidden="false" customHeight="true" outlineLevel="0" collapsed="false">
      <c r="H178" s="113"/>
      <c r="I178" s="113"/>
      <c r="J178" s="113"/>
      <c r="L178" s="113"/>
      <c r="M178" s="113"/>
      <c r="N178" s="113"/>
      <c r="P178" s="113"/>
      <c r="Q178" s="113"/>
      <c r="R178" s="113"/>
      <c r="T178" s="113"/>
      <c r="U178" s="113"/>
      <c r="V178" s="113"/>
    </row>
    <row r="179" customFormat="false" ht="15" hidden="false" customHeight="true" outlineLevel="0" collapsed="false">
      <c r="H179" s="113"/>
      <c r="I179" s="113"/>
      <c r="J179" s="113"/>
      <c r="L179" s="113"/>
      <c r="M179" s="113"/>
      <c r="N179" s="113"/>
      <c r="P179" s="113"/>
      <c r="Q179" s="113"/>
      <c r="R179" s="113"/>
      <c r="T179" s="113"/>
      <c r="U179" s="113"/>
      <c r="V179" s="113"/>
    </row>
    <row r="180" customFormat="false" ht="15" hidden="false" customHeight="true" outlineLevel="0" collapsed="false">
      <c r="H180" s="113"/>
      <c r="I180" s="113"/>
      <c r="J180" s="113"/>
      <c r="L180" s="113"/>
      <c r="M180" s="113"/>
      <c r="N180" s="113"/>
      <c r="P180" s="113"/>
      <c r="Q180" s="113"/>
      <c r="R180" s="113"/>
      <c r="T180" s="113"/>
      <c r="U180" s="113"/>
      <c r="V180" s="113"/>
    </row>
    <row r="181" customFormat="false" ht="15" hidden="false" customHeight="true" outlineLevel="0" collapsed="false">
      <c r="H181" s="113"/>
      <c r="I181" s="113"/>
      <c r="J181" s="113"/>
      <c r="L181" s="113"/>
      <c r="M181" s="113"/>
      <c r="N181" s="113"/>
      <c r="P181" s="113"/>
      <c r="Q181" s="113"/>
      <c r="R181" s="113"/>
      <c r="T181" s="113"/>
      <c r="U181" s="113"/>
      <c r="V181" s="113"/>
    </row>
    <row r="182" customFormat="false" ht="15" hidden="false" customHeight="true" outlineLevel="0" collapsed="false">
      <c r="H182" s="113"/>
      <c r="I182" s="113"/>
      <c r="J182" s="113"/>
      <c r="L182" s="113"/>
      <c r="M182" s="113"/>
      <c r="N182" s="113"/>
      <c r="P182" s="113"/>
      <c r="Q182" s="113"/>
      <c r="R182" s="113"/>
      <c r="T182" s="113"/>
      <c r="U182" s="113"/>
      <c r="V182" s="113"/>
    </row>
    <row r="183" customFormat="false" ht="15" hidden="false" customHeight="true" outlineLevel="0" collapsed="false">
      <c r="H183" s="113"/>
      <c r="I183" s="113"/>
      <c r="J183" s="113"/>
      <c r="L183" s="113"/>
      <c r="M183" s="113"/>
      <c r="N183" s="113"/>
      <c r="P183" s="113"/>
      <c r="Q183" s="113"/>
      <c r="R183" s="113"/>
      <c r="T183" s="113"/>
      <c r="U183" s="113"/>
      <c r="V183" s="113"/>
    </row>
    <row r="184" customFormat="false" ht="15" hidden="false" customHeight="true" outlineLevel="0" collapsed="false">
      <c r="H184" s="113"/>
      <c r="I184" s="113"/>
      <c r="J184" s="113"/>
      <c r="L184" s="113"/>
      <c r="M184" s="113"/>
      <c r="N184" s="113"/>
      <c r="P184" s="113"/>
      <c r="Q184" s="113"/>
      <c r="R184" s="113"/>
      <c r="T184" s="113"/>
      <c r="U184" s="113"/>
      <c r="V184" s="113"/>
    </row>
    <row r="185" customFormat="false" ht="15" hidden="false" customHeight="true" outlineLevel="0" collapsed="false">
      <c r="H185" s="113"/>
      <c r="I185" s="113"/>
      <c r="J185" s="113"/>
      <c r="L185" s="113"/>
      <c r="M185" s="113"/>
      <c r="N185" s="113"/>
      <c r="P185" s="113"/>
      <c r="Q185" s="113"/>
      <c r="R185" s="113"/>
      <c r="T185" s="113"/>
      <c r="U185" s="113"/>
      <c r="V185" s="113"/>
    </row>
    <row r="186" customFormat="false" ht="15" hidden="false" customHeight="true" outlineLevel="0" collapsed="false">
      <c r="H186" s="113"/>
      <c r="I186" s="113"/>
      <c r="J186" s="113"/>
      <c r="L186" s="113"/>
      <c r="M186" s="113"/>
      <c r="N186" s="113"/>
      <c r="P186" s="113"/>
      <c r="Q186" s="113"/>
      <c r="R186" s="113"/>
      <c r="T186" s="113"/>
      <c r="U186" s="113"/>
      <c r="V186" s="113"/>
    </row>
    <row r="187" customFormat="false" ht="15" hidden="false" customHeight="true" outlineLevel="0" collapsed="false">
      <c r="H187" s="113"/>
      <c r="I187" s="113"/>
      <c r="J187" s="113"/>
      <c r="L187" s="113"/>
      <c r="M187" s="113"/>
      <c r="N187" s="113"/>
      <c r="P187" s="113"/>
      <c r="Q187" s="113"/>
      <c r="R187" s="113"/>
      <c r="T187" s="113"/>
      <c r="U187" s="113"/>
      <c r="V187" s="113"/>
    </row>
    <row r="188" customFormat="false" ht="15" hidden="false" customHeight="true" outlineLevel="0" collapsed="false">
      <c r="H188" s="113"/>
      <c r="I188" s="113"/>
      <c r="J188" s="113"/>
      <c r="L188" s="113"/>
      <c r="M188" s="113"/>
      <c r="N188" s="113"/>
      <c r="P188" s="113"/>
      <c r="Q188" s="113"/>
      <c r="R188" s="113"/>
      <c r="T188" s="113"/>
      <c r="U188" s="113"/>
      <c r="V188" s="113"/>
    </row>
    <row r="189" customFormat="false" ht="15" hidden="false" customHeight="true" outlineLevel="0" collapsed="false">
      <c r="H189" s="113"/>
      <c r="I189" s="113"/>
      <c r="J189" s="113"/>
      <c r="L189" s="113"/>
      <c r="M189" s="113"/>
      <c r="N189" s="113"/>
      <c r="P189" s="113"/>
      <c r="Q189" s="113"/>
      <c r="R189" s="113"/>
      <c r="T189" s="113"/>
      <c r="U189" s="113"/>
      <c r="V189" s="113"/>
    </row>
    <row r="190" customFormat="false" ht="15" hidden="false" customHeight="true" outlineLevel="0" collapsed="false">
      <c r="H190" s="113"/>
      <c r="I190" s="113"/>
      <c r="J190" s="113"/>
      <c r="L190" s="113"/>
      <c r="M190" s="113"/>
      <c r="N190" s="113"/>
      <c r="P190" s="113"/>
      <c r="Q190" s="113"/>
      <c r="R190" s="113"/>
      <c r="T190" s="113"/>
      <c r="U190" s="113"/>
      <c r="V190" s="113"/>
    </row>
    <row r="191" customFormat="false" ht="15" hidden="false" customHeight="true" outlineLevel="0" collapsed="false">
      <c r="H191" s="113"/>
      <c r="I191" s="113"/>
      <c r="J191" s="113"/>
      <c r="L191" s="113"/>
      <c r="M191" s="113"/>
      <c r="N191" s="113"/>
      <c r="P191" s="113"/>
      <c r="Q191" s="113"/>
      <c r="R191" s="113"/>
      <c r="T191" s="113"/>
      <c r="U191" s="113"/>
      <c r="V191" s="113"/>
    </row>
    <row r="192" customFormat="false" ht="15" hidden="false" customHeight="true" outlineLevel="0" collapsed="false">
      <c r="H192" s="113"/>
      <c r="I192" s="113"/>
      <c r="J192" s="113"/>
      <c r="L192" s="113"/>
      <c r="M192" s="113"/>
      <c r="N192" s="113"/>
      <c r="P192" s="113"/>
      <c r="Q192" s="113"/>
      <c r="R192" s="113"/>
      <c r="T192" s="113"/>
      <c r="U192" s="113"/>
      <c r="V192" s="113"/>
    </row>
    <row r="193" customFormat="false" ht="15" hidden="false" customHeight="true" outlineLevel="0" collapsed="false">
      <c r="H193" s="113"/>
      <c r="I193" s="113"/>
      <c r="J193" s="113"/>
      <c r="L193" s="113"/>
      <c r="M193" s="113"/>
      <c r="N193" s="113"/>
      <c r="P193" s="113"/>
      <c r="Q193" s="113"/>
      <c r="R193" s="113"/>
      <c r="T193" s="113"/>
      <c r="U193" s="113"/>
      <c r="V193" s="113"/>
    </row>
    <row r="194" customFormat="false" ht="15" hidden="false" customHeight="true" outlineLevel="0" collapsed="false">
      <c r="H194" s="113"/>
      <c r="I194" s="113"/>
      <c r="J194" s="113"/>
      <c r="L194" s="113"/>
      <c r="M194" s="113"/>
      <c r="N194" s="113"/>
      <c r="P194" s="113"/>
      <c r="Q194" s="113"/>
      <c r="R194" s="113"/>
      <c r="T194" s="113"/>
      <c r="U194" s="113"/>
      <c r="V194" s="113"/>
    </row>
    <row r="195" customFormat="false" ht="15" hidden="false" customHeight="true" outlineLevel="0" collapsed="false">
      <c r="H195" s="113"/>
      <c r="I195" s="113"/>
      <c r="J195" s="113"/>
      <c r="L195" s="113"/>
      <c r="M195" s="113"/>
      <c r="N195" s="113"/>
      <c r="P195" s="113"/>
      <c r="Q195" s="113"/>
      <c r="R195" s="113"/>
      <c r="T195" s="113"/>
      <c r="U195" s="113"/>
      <c r="V195" s="113"/>
    </row>
    <row r="196" customFormat="false" ht="15" hidden="false" customHeight="true" outlineLevel="0" collapsed="false">
      <c r="H196" s="113"/>
      <c r="I196" s="113"/>
      <c r="J196" s="113"/>
      <c r="L196" s="113"/>
      <c r="M196" s="113"/>
      <c r="N196" s="113"/>
      <c r="P196" s="113"/>
      <c r="Q196" s="113"/>
      <c r="R196" s="113"/>
      <c r="T196" s="113"/>
      <c r="U196" s="113"/>
      <c r="V196" s="113"/>
    </row>
    <row r="197" customFormat="false" ht="15" hidden="false" customHeight="true" outlineLevel="0" collapsed="false">
      <c r="H197" s="113"/>
      <c r="I197" s="113"/>
      <c r="J197" s="113"/>
      <c r="L197" s="113"/>
      <c r="M197" s="113"/>
      <c r="N197" s="113"/>
      <c r="P197" s="113"/>
      <c r="Q197" s="113"/>
      <c r="R197" s="113"/>
      <c r="T197" s="113"/>
      <c r="U197" s="113"/>
      <c r="V197" s="113"/>
    </row>
    <row r="198" customFormat="false" ht="15" hidden="false" customHeight="true" outlineLevel="0" collapsed="false">
      <c r="H198" s="113"/>
      <c r="I198" s="113"/>
      <c r="J198" s="113"/>
      <c r="L198" s="113"/>
      <c r="M198" s="113"/>
      <c r="N198" s="113"/>
      <c r="P198" s="113"/>
      <c r="Q198" s="113"/>
      <c r="R198" s="113"/>
      <c r="T198" s="113"/>
      <c r="U198" s="113"/>
      <c r="V198" s="113"/>
    </row>
    <row r="199" customFormat="false" ht="15" hidden="false" customHeight="true" outlineLevel="0" collapsed="false">
      <c r="H199" s="113"/>
      <c r="I199" s="113"/>
      <c r="J199" s="113"/>
      <c r="L199" s="113"/>
      <c r="M199" s="113"/>
      <c r="N199" s="113"/>
      <c r="P199" s="113"/>
      <c r="Q199" s="113"/>
      <c r="R199" s="113"/>
      <c r="T199" s="113"/>
      <c r="U199" s="113"/>
      <c r="V199" s="113"/>
    </row>
    <row r="200" customFormat="false" ht="15" hidden="false" customHeight="true" outlineLevel="0" collapsed="false">
      <c r="H200" s="113"/>
      <c r="I200" s="113"/>
      <c r="J200" s="113"/>
      <c r="L200" s="113"/>
      <c r="M200" s="113"/>
      <c r="N200" s="113"/>
      <c r="P200" s="113"/>
      <c r="Q200" s="113"/>
      <c r="R200" s="113"/>
      <c r="T200" s="113"/>
      <c r="U200" s="113"/>
      <c r="V200" s="113"/>
    </row>
    <row r="201" customFormat="false" ht="15" hidden="false" customHeight="true" outlineLevel="0" collapsed="false">
      <c r="H201" s="113"/>
      <c r="I201" s="113"/>
      <c r="J201" s="113"/>
      <c r="L201" s="113"/>
      <c r="M201" s="113"/>
      <c r="N201" s="113"/>
      <c r="P201" s="113"/>
      <c r="Q201" s="113"/>
      <c r="R201" s="113"/>
      <c r="T201" s="113"/>
      <c r="U201" s="113"/>
      <c r="V201" s="113"/>
    </row>
    <row r="202" customFormat="false" ht="15" hidden="false" customHeight="true" outlineLevel="0" collapsed="false">
      <c r="H202" s="113"/>
      <c r="I202" s="113"/>
      <c r="J202" s="113"/>
      <c r="L202" s="113"/>
      <c r="M202" s="113"/>
      <c r="N202" s="113"/>
      <c r="P202" s="113"/>
      <c r="Q202" s="113"/>
      <c r="R202" s="113"/>
      <c r="T202" s="113"/>
      <c r="U202" s="113"/>
      <c r="V202" s="113"/>
    </row>
    <row r="203" customFormat="false" ht="15" hidden="false" customHeight="true" outlineLevel="0" collapsed="false">
      <c r="H203" s="113"/>
      <c r="I203" s="113"/>
      <c r="J203" s="113"/>
      <c r="L203" s="113"/>
      <c r="M203" s="113"/>
      <c r="N203" s="113"/>
      <c r="P203" s="113"/>
      <c r="Q203" s="113"/>
      <c r="R203" s="113"/>
      <c r="T203" s="113"/>
      <c r="U203" s="113"/>
      <c r="V203" s="113"/>
    </row>
    <row r="204" customFormat="false" ht="15" hidden="false" customHeight="true" outlineLevel="0" collapsed="false">
      <c r="H204" s="113"/>
      <c r="I204" s="113"/>
      <c r="J204" s="113"/>
      <c r="L204" s="113"/>
      <c r="M204" s="113"/>
      <c r="N204" s="113"/>
      <c r="P204" s="113"/>
      <c r="Q204" s="113"/>
      <c r="R204" s="113"/>
      <c r="T204" s="113"/>
      <c r="U204" s="113"/>
      <c r="V204" s="113"/>
    </row>
    <row r="205" customFormat="false" ht="15" hidden="false" customHeight="true" outlineLevel="0" collapsed="false">
      <c r="H205" s="113"/>
      <c r="I205" s="113"/>
      <c r="J205" s="113"/>
      <c r="L205" s="113"/>
      <c r="M205" s="113"/>
      <c r="N205" s="113"/>
      <c r="P205" s="113"/>
      <c r="Q205" s="113"/>
      <c r="R205" s="113"/>
      <c r="T205" s="113"/>
      <c r="U205" s="113"/>
      <c r="V205" s="113"/>
    </row>
    <row r="206" customFormat="false" ht="15" hidden="false" customHeight="true" outlineLevel="0" collapsed="false">
      <c r="H206" s="113"/>
      <c r="I206" s="113"/>
      <c r="J206" s="113"/>
      <c r="L206" s="113"/>
      <c r="M206" s="113"/>
      <c r="N206" s="113"/>
      <c r="P206" s="113"/>
      <c r="Q206" s="113"/>
      <c r="R206" s="113"/>
      <c r="T206" s="113"/>
      <c r="U206" s="113"/>
      <c r="V206" s="113"/>
    </row>
    <row r="207" customFormat="false" ht="15" hidden="false" customHeight="true" outlineLevel="0" collapsed="false">
      <c r="H207" s="113"/>
      <c r="I207" s="113"/>
      <c r="J207" s="113"/>
      <c r="L207" s="113"/>
      <c r="M207" s="113"/>
      <c r="N207" s="113"/>
      <c r="P207" s="113"/>
      <c r="Q207" s="113"/>
      <c r="R207" s="113"/>
      <c r="T207" s="113"/>
      <c r="U207" s="113"/>
      <c r="V207" s="113"/>
    </row>
    <row r="208" customFormat="false" ht="15" hidden="false" customHeight="true" outlineLevel="0" collapsed="false">
      <c r="H208" s="113"/>
      <c r="I208" s="113"/>
      <c r="J208" s="113"/>
      <c r="L208" s="113"/>
      <c r="M208" s="113"/>
      <c r="N208" s="113"/>
      <c r="P208" s="113"/>
      <c r="Q208" s="113"/>
      <c r="R208" s="113"/>
      <c r="T208" s="113"/>
      <c r="U208" s="113"/>
      <c r="V208" s="113"/>
    </row>
    <row r="209" customFormat="false" ht="15" hidden="false" customHeight="true" outlineLevel="0" collapsed="false">
      <c r="H209" s="113"/>
      <c r="I209" s="113"/>
      <c r="J209" s="113"/>
      <c r="L209" s="113"/>
      <c r="M209" s="113"/>
      <c r="N209" s="113"/>
      <c r="P209" s="113"/>
      <c r="Q209" s="113"/>
      <c r="R209" s="113"/>
      <c r="T209" s="113"/>
      <c r="U209" s="113"/>
      <c r="V209" s="113"/>
    </row>
    <row r="210" customFormat="false" ht="15" hidden="false" customHeight="true" outlineLevel="0" collapsed="false">
      <c r="H210" s="113"/>
      <c r="I210" s="113"/>
      <c r="J210" s="113"/>
      <c r="L210" s="113"/>
      <c r="M210" s="113"/>
      <c r="N210" s="113"/>
      <c r="P210" s="113"/>
      <c r="Q210" s="113"/>
      <c r="R210" s="113"/>
      <c r="T210" s="113"/>
      <c r="U210" s="113"/>
      <c r="V210" s="113"/>
    </row>
    <row r="211" customFormat="false" ht="15" hidden="false" customHeight="true" outlineLevel="0" collapsed="false">
      <c r="H211" s="113"/>
      <c r="I211" s="113"/>
      <c r="J211" s="113"/>
      <c r="L211" s="113"/>
      <c r="M211" s="113"/>
      <c r="N211" s="113"/>
      <c r="P211" s="113"/>
      <c r="Q211" s="113"/>
      <c r="R211" s="113"/>
      <c r="T211" s="113"/>
      <c r="U211" s="113"/>
      <c r="V211" s="113"/>
    </row>
    <row r="212" customFormat="false" ht="15" hidden="false" customHeight="true" outlineLevel="0" collapsed="false">
      <c r="H212" s="113"/>
      <c r="I212" s="113"/>
      <c r="J212" s="113"/>
      <c r="L212" s="113"/>
      <c r="M212" s="113"/>
      <c r="N212" s="113"/>
      <c r="P212" s="113"/>
      <c r="Q212" s="113"/>
      <c r="R212" s="113"/>
      <c r="T212" s="113"/>
      <c r="U212" s="113"/>
      <c r="V212" s="113"/>
    </row>
    <row r="213" customFormat="false" ht="15" hidden="false" customHeight="true" outlineLevel="0" collapsed="false">
      <c r="H213" s="113"/>
      <c r="I213" s="113"/>
      <c r="J213" s="113"/>
      <c r="L213" s="113"/>
      <c r="M213" s="113"/>
      <c r="N213" s="113"/>
      <c r="P213" s="113"/>
      <c r="Q213" s="113"/>
      <c r="R213" s="113"/>
      <c r="T213" s="113"/>
      <c r="U213" s="113"/>
      <c r="V213" s="113"/>
    </row>
    <row r="214" customFormat="false" ht="15" hidden="false" customHeight="true" outlineLevel="0" collapsed="false">
      <c r="H214" s="113"/>
      <c r="I214" s="113"/>
      <c r="J214" s="113"/>
      <c r="L214" s="113"/>
      <c r="M214" s="113"/>
      <c r="N214" s="113"/>
      <c r="P214" s="113"/>
      <c r="Q214" s="113"/>
      <c r="R214" s="113"/>
      <c r="T214" s="113"/>
      <c r="U214" s="113"/>
      <c r="V214" s="113"/>
    </row>
    <row r="215" customFormat="false" ht="15" hidden="false" customHeight="true" outlineLevel="0" collapsed="false">
      <c r="H215" s="113"/>
      <c r="I215" s="113"/>
      <c r="J215" s="113"/>
      <c r="L215" s="113"/>
      <c r="M215" s="113"/>
      <c r="N215" s="113"/>
      <c r="P215" s="113"/>
      <c r="Q215" s="113"/>
      <c r="R215" s="113"/>
      <c r="T215" s="113"/>
      <c r="U215" s="113"/>
      <c r="V215" s="113"/>
    </row>
    <row r="216" customFormat="false" ht="15" hidden="false" customHeight="true" outlineLevel="0" collapsed="false">
      <c r="H216" s="113"/>
      <c r="I216" s="113"/>
      <c r="J216" s="113"/>
      <c r="L216" s="113"/>
      <c r="M216" s="113"/>
      <c r="N216" s="113"/>
      <c r="P216" s="113"/>
      <c r="Q216" s="113"/>
      <c r="R216" s="113"/>
      <c r="T216" s="113"/>
      <c r="U216" s="113"/>
      <c r="V216" s="113"/>
    </row>
    <row r="217" customFormat="false" ht="15" hidden="false" customHeight="true" outlineLevel="0" collapsed="false">
      <c r="H217" s="113"/>
      <c r="I217" s="113"/>
      <c r="J217" s="113"/>
      <c r="L217" s="113"/>
      <c r="M217" s="113"/>
      <c r="N217" s="113"/>
      <c r="P217" s="113"/>
      <c r="Q217" s="113"/>
      <c r="R217" s="113"/>
      <c r="T217" s="113"/>
      <c r="U217" s="113"/>
      <c r="V217" s="113"/>
    </row>
    <row r="218" customFormat="false" ht="15" hidden="false" customHeight="true" outlineLevel="0" collapsed="false">
      <c r="H218" s="113"/>
      <c r="I218" s="113"/>
      <c r="J218" s="113"/>
      <c r="L218" s="113"/>
      <c r="M218" s="113"/>
      <c r="N218" s="113"/>
      <c r="P218" s="113"/>
      <c r="Q218" s="113"/>
      <c r="R218" s="113"/>
      <c r="T218" s="113"/>
      <c r="U218" s="113"/>
      <c r="V218" s="113"/>
    </row>
    <row r="219" customFormat="false" ht="15" hidden="false" customHeight="true" outlineLevel="0" collapsed="false">
      <c r="H219" s="113"/>
      <c r="I219" s="113"/>
      <c r="J219" s="113"/>
      <c r="L219" s="113"/>
      <c r="M219" s="113"/>
      <c r="N219" s="113"/>
      <c r="P219" s="113"/>
      <c r="Q219" s="113"/>
      <c r="R219" s="113"/>
      <c r="T219" s="113"/>
      <c r="U219" s="113"/>
      <c r="V219" s="113"/>
    </row>
    <row r="220" customFormat="false" ht="15" hidden="false" customHeight="true" outlineLevel="0" collapsed="false">
      <c r="H220" s="113"/>
      <c r="I220" s="113"/>
      <c r="J220" s="113"/>
      <c r="L220" s="113"/>
      <c r="M220" s="113"/>
      <c r="N220" s="113"/>
      <c r="P220" s="113"/>
      <c r="Q220" s="113"/>
      <c r="R220" s="113"/>
      <c r="T220" s="113"/>
      <c r="U220" s="113"/>
      <c r="V220" s="113"/>
    </row>
    <row r="221" customFormat="false" ht="15" hidden="false" customHeight="true" outlineLevel="0" collapsed="false">
      <c r="H221" s="113"/>
      <c r="I221" s="113"/>
      <c r="J221" s="113"/>
      <c r="L221" s="113"/>
      <c r="M221" s="113"/>
      <c r="N221" s="113"/>
      <c r="P221" s="113"/>
      <c r="Q221" s="113"/>
      <c r="R221" s="113"/>
      <c r="T221" s="113"/>
      <c r="U221" s="113"/>
      <c r="V221" s="113"/>
    </row>
    <row r="222" customFormat="false" ht="15" hidden="false" customHeight="true" outlineLevel="0" collapsed="false">
      <c r="H222" s="113"/>
      <c r="I222" s="113"/>
      <c r="J222" s="113"/>
      <c r="L222" s="113"/>
      <c r="M222" s="113"/>
      <c r="N222" s="113"/>
      <c r="P222" s="113"/>
      <c r="Q222" s="113"/>
      <c r="R222" s="113"/>
      <c r="T222" s="113"/>
      <c r="U222" s="113"/>
      <c r="V222" s="113"/>
    </row>
    <row r="223" customFormat="false" ht="15" hidden="false" customHeight="true" outlineLevel="0" collapsed="false">
      <c r="H223" s="113"/>
      <c r="I223" s="113"/>
      <c r="J223" s="113"/>
      <c r="L223" s="113"/>
      <c r="M223" s="113"/>
      <c r="N223" s="113"/>
      <c r="P223" s="113"/>
      <c r="Q223" s="113"/>
      <c r="R223" s="113"/>
      <c r="T223" s="113"/>
      <c r="U223" s="113"/>
      <c r="V223" s="113"/>
    </row>
    <row r="224" customFormat="false" ht="15" hidden="false" customHeight="true" outlineLevel="0" collapsed="false">
      <c r="H224" s="113"/>
      <c r="I224" s="113"/>
      <c r="J224" s="113"/>
      <c r="L224" s="113"/>
      <c r="M224" s="113"/>
      <c r="N224" s="113"/>
      <c r="P224" s="113"/>
      <c r="Q224" s="113"/>
      <c r="R224" s="113"/>
      <c r="T224" s="113"/>
      <c r="U224" s="113"/>
      <c r="V224" s="113"/>
    </row>
    <row r="225" customFormat="false" ht="15" hidden="false" customHeight="true" outlineLevel="0" collapsed="false">
      <c r="H225" s="113"/>
      <c r="I225" s="113"/>
      <c r="J225" s="113"/>
      <c r="L225" s="113"/>
      <c r="M225" s="113"/>
      <c r="N225" s="113"/>
      <c r="P225" s="113"/>
      <c r="Q225" s="113"/>
      <c r="R225" s="113"/>
      <c r="T225" s="113"/>
      <c r="U225" s="113"/>
      <c r="V225" s="113"/>
    </row>
    <row r="226" customFormat="false" ht="15" hidden="false" customHeight="true" outlineLevel="0" collapsed="false">
      <c r="H226" s="113"/>
      <c r="I226" s="113"/>
      <c r="J226" s="113"/>
      <c r="L226" s="113"/>
      <c r="M226" s="113"/>
      <c r="N226" s="113"/>
      <c r="P226" s="113"/>
      <c r="Q226" s="113"/>
      <c r="R226" s="113"/>
      <c r="T226" s="113"/>
      <c r="U226" s="113"/>
      <c r="V226" s="113"/>
    </row>
    <row r="227" customFormat="false" ht="15" hidden="false" customHeight="true" outlineLevel="0" collapsed="false">
      <c r="H227" s="113"/>
      <c r="I227" s="113"/>
      <c r="J227" s="113"/>
      <c r="L227" s="113"/>
      <c r="M227" s="113"/>
      <c r="N227" s="113"/>
      <c r="P227" s="113"/>
      <c r="Q227" s="113"/>
      <c r="R227" s="113"/>
      <c r="T227" s="113"/>
      <c r="U227" s="113"/>
      <c r="V227" s="113"/>
    </row>
    <row r="228" customFormat="false" ht="15" hidden="false" customHeight="true" outlineLevel="0" collapsed="false">
      <c r="H228" s="113"/>
      <c r="I228" s="113"/>
      <c r="J228" s="113"/>
      <c r="L228" s="113"/>
      <c r="M228" s="113"/>
      <c r="N228" s="113"/>
      <c r="P228" s="113"/>
      <c r="Q228" s="113"/>
      <c r="R228" s="113"/>
      <c r="T228" s="113"/>
      <c r="U228" s="113"/>
      <c r="V228" s="113"/>
    </row>
    <row r="229" customFormat="false" ht="15" hidden="false" customHeight="true" outlineLevel="0" collapsed="false">
      <c r="H229" s="113"/>
      <c r="I229" s="113"/>
      <c r="J229" s="113"/>
      <c r="L229" s="113"/>
      <c r="M229" s="113"/>
      <c r="N229" s="113"/>
      <c r="P229" s="113"/>
      <c r="Q229" s="113"/>
      <c r="R229" s="113"/>
      <c r="T229" s="113"/>
      <c r="U229" s="113"/>
      <c r="V229" s="113"/>
    </row>
    <row r="230" customFormat="false" ht="15" hidden="false" customHeight="true" outlineLevel="0" collapsed="false">
      <c r="H230" s="113"/>
      <c r="I230" s="113"/>
      <c r="J230" s="113"/>
      <c r="L230" s="113"/>
      <c r="M230" s="113"/>
      <c r="N230" s="113"/>
      <c r="P230" s="113"/>
      <c r="Q230" s="113"/>
      <c r="R230" s="113"/>
      <c r="T230" s="113"/>
      <c r="U230" s="113"/>
      <c r="V230" s="113"/>
    </row>
    <row r="231" customFormat="false" ht="15" hidden="false" customHeight="true" outlineLevel="0" collapsed="false">
      <c r="H231" s="113"/>
      <c r="I231" s="113"/>
      <c r="J231" s="113"/>
      <c r="L231" s="113"/>
      <c r="M231" s="113"/>
      <c r="N231" s="113"/>
      <c r="P231" s="113"/>
      <c r="Q231" s="113"/>
      <c r="R231" s="113"/>
      <c r="T231" s="113"/>
      <c r="U231" s="113"/>
      <c r="V231" s="113"/>
    </row>
    <row r="232" customFormat="false" ht="15" hidden="false" customHeight="true" outlineLevel="0" collapsed="false">
      <c r="H232" s="113"/>
      <c r="I232" s="113"/>
      <c r="J232" s="113"/>
      <c r="L232" s="113"/>
      <c r="M232" s="113"/>
      <c r="N232" s="113"/>
      <c r="P232" s="113"/>
      <c r="Q232" s="113"/>
      <c r="R232" s="113"/>
      <c r="T232" s="113"/>
      <c r="U232" s="113"/>
      <c r="V232" s="113"/>
    </row>
    <row r="233" customFormat="false" ht="15" hidden="false" customHeight="true" outlineLevel="0" collapsed="false">
      <c r="H233" s="113"/>
      <c r="I233" s="113"/>
      <c r="J233" s="113"/>
      <c r="L233" s="113"/>
      <c r="M233" s="113"/>
      <c r="N233" s="113"/>
      <c r="P233" s="113"/>
      <c r="Q233" s="113"/>
      <c r="R233" s="113"/>
      <c r="T233" s="113"/>
      <c r="U233" s="113"/>
      <c r="V233" s="113"/>
    </row>
    <row r="234" customFormat="false" ht="15" hidden="false" customHeight="true" outlineLevel="0" collapsed="false">
      <c r="H234" s="113"/>
      <c r="I234" s="113"/>
      <c r="J234" s="113"/>
      <c r="L234" s="113"/>
      <c r="M234" s="113"/>
      <c r="N234" s="113"/>
      <c r="P234" s="113"/>
      <c r="Q234" s="113"/>
      <c r="R234" s="113"/>
      <c r="T234" s="113"/>
      <c r="U234" s="113"/>
      <c r="V234" s="113"/>
    </row>
    <row r="235" customFormat="false" ht="15" hidden="false" customHeight="true" outlineLevel="0" collapsed="false">
      <c r="H235" s="113"/>
      <c r="I235" s="113"/>
      <c r="J235" s="113"/>
      <c r="L235" s="113"/>
      <c r="M235" s="113"/>
      <c r="N235" s="113"/>
      <c r="P235" s="113"/>
      <c r="Q235" s="113"/>
      <c r="R235" s="113"/>
      <c r="T235" s="113"/>
      <c r="U235" s="113"/>
      <c r="V235" s="113"/>
    </row>
    <row r="236" customFormat="false" ht="15" hidden="false" customHeight="true" outlineLevel="0" collapsed="false">
      <c r="H236" s="113"/>
      <c r="I236" s="113"/>
      <c r="J236" s="113"/>
      <c r="L236" s="113"/>
      <c r="M236" s="113"/>
      <c r="N236" s="113"/>
      <c r="P236" s="113"/>
      <c r="Q236" s="113"/>
      <c r="R236" s="113"/>
      <c r="T236" s="113"/>
      <c r="U236" s="113"/>
      <c r="V236" s="113"/>
    </row>
    <row r="237" customFormat="false" ht="15" hidden="false" customHeight="true" outlineLevel="0" collapsed="false">
      <c r="H237" s="113"/>
      <c r="I237" s="113"/>
      <c r="J237" s="113"/>
      <c r="L237" s="113"/>
      <c r="M237" s="113"/>
      <c r="N237" s="113"/>
      <c r="P237" s="113"/>
      <c r="Q237" s="113"/>
      <c r="R237" s="113"/>
      <c r="T237" s="113"/>
      <c r="U237" s="113"/>
      <c r="V237" s="113"/>
    </row>
    <row r="238" customFormat="false" ht="15" hidden="false" customHeight="true" outlineLevel="0" collapsed="false">
      <c r="H238" s="113"/>
      <c r="I238" s="113"/>
      <c r="J238" s="113"/>
      <c r="L238" s="113"/>
      <c r="M238" s="113"/>
      <c r="N238" s="113"/>
      <c r="P238" s="113"/>
      <c r="Q238" s="113"/>
      <c r="R238" s="113"/>
      <c r="T238" s="113"/>
      <c r="U238" s="113"/>
      <c r="V238" s="113"/>
    </row>
    <row r="239" customFormat="false" ht="15" hidden="false" customHeight="true" outlineLevel="0" collapsed="false">
      <c r="H239" s="113"/>
      <c r="I239" s="113"/>
      <c r="J239" s="113"/>
      <c r="L239" s="113"/>
      <c r="M239" s="113"/>
      <c r="N239" s="113"/>
      <c r="P239" s="113"/>
      <c r="Q239" s="113"/>
      <c r="R239" s="113"/>
      <c r="T239" s="113"/>
      <c r="U239" s="113"/>
      <c r="V239" s="113"/>
    </row>
    <row r="240" customFormat="false" ht="15" hidden="false" customHeight="true" outlineLevel="0" collapsed="false">
      <c r="H240" s="113"/>
      <c r="I240" s="113"/>
      <c r="J240" s="113"/>
      <c r="L240" s="113"/>
      <c r="M240" s="113"/>
      <c r="N240" s="113"/>
      <c r="P240" s="113"/>
      <c r="Q240" s="113"/>
      <c r="R240" s="113"/>
      <c r="T240" s="113"/>
      <c r="U240" s="113"/>
      <c r="V240" s="113"/>
    </row>
    <row r="241" customFormat="false" ht="15" hidden="false" customHeight="true" outlineLevel="0" collapsed="false">
      <c r="H241" s="113"/>
      <c r="I241" s="113"/>
      <c r="J241" s="113"/>
      <c r="L241" s="113"/>
      <c r="M241" s="113"/>
      <c r="N241" s="113"/>
      <c r="P241" s="113"/>
      <c r="Q241" s="113"/>
      <c r="R241" s="113"/>
      <c r="T241" s="113"/>
      <c r="U241" s="113"/>
      <c r="V241" s="113"/>
    </row>
    <row r="242" customFormat="false" ht="15" hidden="false" customHeight="true" outlineLevel="0" collapsed="false">
      <c r="H242" s="113"/>
      <c r="I242" s="113"/>
      <c r="J242" s="113"/>
      <c r="L242" s="113"/>
      <c r="M242" s="113"/>
      <c r="N242" s="113"/>
      <c r="P242" s="113"/>
      <c r="Q242" s="113"/>
      <c r="R242" s="113"/>
      <c r="T242" s="113"/>
      <c r="U242" s="113"/>
      <c r="V242" s="113"/>
    </row>
    <row r="243" customFormat="false" ht="15" hidden="false" customHeight="true" outlineLevel="0" collapsed="false">
      <c r="H243" s="113"/>
      <c r="I243" s="113"/>
      <c r="J243" s="113"/>
      <c r="L243" s="113"/>
      <c r="M243" s="113"/>
      <c r="N243" s="113"/>
      <c r="P243" s="113"/>
      <c r="Q243" s="113"/>
      <c r="R243" s="113"/>
      <c r="T243" s="113"/>
      <c r="U243" s="113"/>
      <c r="V243" s="113"/>
    </row>
    <row r="244" customFormat="false" ht="15" hidden="false" customHeight="true" outlineLevel="0" collapsed="false">
      <c r="H244" s="113"/>
      <c r="I244" s="113"/>
      <c r="J244" s="113"/>
      <c r="L244" s="113"/>
      <c r="M244" s="113"/>
      <c r="N244" s="113"/>
      <c r="P244" s="113"/>
      <c r="Q244" s="113"/>
      <c r="R244" s="113"/>
      <c r="T244" s="113"/>
      <c r="U244" s="113"/>
      <c r="V244" s="113"/>
    </row>
    <row r="245" customFormat="false" ht="15" hidden="false" customHeight="true" outlineLevel="0" collapsed="false">
      <c r="H245" s="113"/>
      <c r="I245" s="113"/>
      <c r="J245" s="113"/>
      <c r="L245" s="113"/>
      <c r="M245" s="113"/>
      <c r="N245" s="113"/>
      <c r="P245" s="113"/>
      <c r="Q245" s="113"/>
      <c r="R245" s="113"/>
      <c r="T245" s="113"/>
      <c r="U245" s="113"/>
      <c r="V245" s="113"/>
    </row>
    <row r="246" customFormat="false" ht="15" hidden="false" customHeight="true" outlineLevel="0" collapsed="false">
      <c r="H246" s="113"/>
      <c r="I246" s="113"/>
      <c r="J246" s="113"/>
      <c r="L246" s="113"/>
      <c r="M246" s="113"/>
      <c r="N246" s="113"/>
      <c r="P246" s="113"/>
      <c r="Q246" s="113"/>
      <c r="R246" s="113"/>
      <c r="T246" s="113"/>
      <c r="U246" s="113"/>
      <c r="V246" s="113"/>
    </row>
    <row r="247" customFormat="false" ht="15" hidden="false" customHeight="true" outlineLevel="0" collapsed="false">
      <c r="H247" s="113"/>
      <c r="I247" s="113"/>
      <c r="J247" s="113"/>
      <c r="L247" s="113"/>
      <c r="M247" s="113"/>
      <c r="N247" s="113"/>
      <c r="P247" s="113"/>
      <c r="Q247" s="113"/>
      <c r="R247" s="113"/>
      <c r="T247" s="113"/>
      <c r="U247" s="113"/>
      <c r="V247" s="113"/>
    </row>
    <row r="248" customFormat="false" ht="15" hidden="false" customHeight="true" outlineLevel="0" collapsed="false">
      <c r="H248" s="113"/>
      <c r="I248" s="113"/>
      <c r="J248" s="113"/>
      <c r="L248" s="113"/>
      <c r="M248" s="113"/>
      <c r="N248" s="113"/>
      <c r="P248" s="113"/>
      <c r="Q248" s="113"/>
      <c r="R248" s="113"/>
      <c r="T248" s="113"/>
      <c r="U248" s="113"/>
      <c r="V248" s="113"/>
    </row>
    <row r="249" customFormat="false" ht="15" hidden="false" customHeight="true" outlineLevel="0" collapsed="false">
      <c r="H249" s="113"/>
      <c r="I249" s="113"/>
      <c r="J249" s="113"/>
      <c r="L249" s="113"/>
      <c r="M249" s="113"/>
      <c r="N249" s="113"/>
      <c r="P249" s="113"/>
      <c r="Q249" s="113"/>
      <c r="R249" s="113"/>
      <c r="T249" s="113"/>
      <c r="U249" s="113"/>
      <c r="V249" s="113"/>
    </row>
    <row r="250" customFormat="false" ht="15" hidden="false" customHeight="true" outlineLevel="0" collapsed="false">
      <c r="H250" s="113"/>
      <c r="I250" s="113"/>
      <c r="J250" s="113"/>
      <c r="L250" s="113"/>
      <c r="M250" s="113"/>
      <c r="N250" s="113"/>
      <c r="P250" s="113"/>
      <c r="Q250" s="113"/>
      <c r="R250" s="113"/>
      <c r="T250" s="113"/>
      <c r="U250" s="113"/>
      <c r="V250" s="113"/>
    </row>
    <row r="251" customFormat="false" ht="15" hidden="false" customHeight="true" outlineLevel="0" collapsed="false">
      <c r="H251" s="113"/>
      <c r="I251" s="113"/>
      <c r="J251" s="113"/>
      <c r="L251" s="113"/>
      <c r="M251" s="113"/>
      <c r="N251" s="113"/>
      <c r="P251" s="113"/>
      <c r="Q251" s="113"/>
      <c r="R251" s="113"/>
      <c r="T251" s="113"/>
      <c r="U251" s="113"/>
      <c r="V251" s="113"/>
    </row>
    <row r="252" customFormat="false" ht="15" hidden="false" customHeight="true" outlineLevel="0" collapsed="false">
      <c r="H252" s="113"/>
      <c r="I252" s="113"/>
      <c r="J252" s="113"/>
      <c r="L252" s="113"/>
      <c r="M252" s="113"/>
      <c r="N252" s="113"/>
      <c r="P252" s="113"/>
      <c r="Q252" s="113"/>
      <c r="R252" s="113"/>
      <c r="T252" s="113"/>
      <c r="U252" s="113"/>
      <c r="V252" s="113"/>
    </row>
    <row r="253" customFormat="false" ht="15" hidden="false" customHeight="true" outlineLevel="0" collapsed="false">
      <c r="H253" s="113"/>
      <c r="I253" s="113"/>
      <c r="J253" s="113"/>
      <c r="L253" s="113"/>
      <c r="M253" s="113"/>
      <c r="N253" s="113"/>
      <c r="P253" s="113"/>
      <c r="Q253" s="113"/>
      <c r="R253" s="113"/>
      <c r="T253" s="113"/>
      <c r="U253" s="113"/>
      <c r="V253" s="113"/>
    </row>
    <row r="254" customFormat="false" ht="15" hidden="false" customHeight="true" outlineLevel="0" collapsed="false">
      <c r="H254" s="113"/>
      <c r="I254" s="113"/>
      <c r="J254" s="113"/>
      <c r="L254" s="113"/>
      <c r="M254" s="113"/>
      <c r="N254" s="113"/>
      <c r="P254" s="113"/>
      <c r="Q254" s="113"/>
      <c r="R254" s="113"/>
      <c r="T254" s="113"/>
      <c r="U254" s="113"/>
      <c r="V254" s="113"/>
    </row>
    <row r="255" customFormat="false" ht="15" hidden="false" customHeight="true" outlineLevel="0" collapsed="false">
      <c r="H255" s="113"/>
      <c r="I255" s="113"/>
      <c r="J255" s="113"/>
      <c r="L255" s="113"/>
      <c r="M255" s="113"/>
      <c r="N255" s="113"/>
      <c r="P255" s="113"/>
      <c r="Q255" s="113"/>
      <c r="R255" s="113"/>
      <c r="T255" s="113"/>
      <c r="U255" s="113"/>
      <c r="V255" s="113"/>
    </row>
    <row r="256" customFormat="false" ht="15" hidden="false" customHeight="true" outlineLevel="0" collapsed="false">
      <c r="H256" s="113"/>
      <c r="I256" s="113"/>
      <c r="J256" s="113"/>
      <c r="L256" s="113"/>
      <c r="M256" s="113"/>
      <c r="N256" s="113"/>
      <c r="P256" s="113"/>
      <c r="Q256" s="113"/>
      <c r="R256" s="113"/>
      <c r="T256" s="113"/>
      <c r="U256" s="113"/>
      <c r="V256" s="113"/>
    </row>
    <row r="257" customFormat="false" ht="15" hidden="false" customHeight="true" outlineLevel="0" collapsed="false">
      <c r="H257" s="113"/>
      <c r="I257" s="113"/>
      <c r="J257" s="113"/>
      <c r="L257" s="113"/>
      <c r="M257" s="113"/>
      <c r="N257" s="113"/>
      <c r="P257" s="113"/>
      <c r="Q257" s="113"/>
      <c r="R257" s="113"/>
      <c r="T257" s="113"/>
      <c r="U257" s="113"/>
      <c r="V257" s="113"/>
    </row>
    <row r="258" customFormat="false" ht="15" hidden="false" customHeight="true" outlineLevel="0" collapsed="false">
      <c r="H258" s="113"/>
      <c r="I258" s="113"/>
      <c r="J258" s="113"/>
      <c r="L258" s="113"/>
      <c r="M258" s="113"/>
      <c r="N258" s="113"/>
      <c r="P258" s="113"/>
      <c r="Q258" s="113"/>
      <c r="R258" s="113"/>
      <c r="T258" s="113"/>
      <c r="U258" s="113"/>
      <c r="V258" s="113"/>
    </row>
    <row r="259" customFormat="false" ht="15" hidden="false" customHeight="true" outlineLevel="0" collapsed="false">
      <c r="H259" s="113"/>
      <c r="I259" s="113"/>
      <c r="J259" s="113"/>
      <c r="L259" s="113"/>
      <c r="M259" s="113"/>
      <c r="N259" s="113"/>
      <c r="P259" s="113"/>
      <c r="Q259" s="113"/>
      <c r="R259" s="113"/>
      <c r="T259" s="113"/>
      <c r="U259" s="113"/>
      <c r="V259" s="113"/>
    </row>
    <row r="260" customFormat="false" ht="15" hidden="false" customHeight="true" outlineLevel="0" collapsed="false">
      <c r="H260" s="113"/>
      <c r="I260" s="113"/>
      <c r="J260" s="113"/>
      <c r="L260" s="113"/>
      <c r="M260" s="113"/>
      <c r="N260" s="113"/>
      <c r="P260" s="113"/>
      <c r="Q260" s="113"/>
      <c r="R260" s="113"/>
      <c r="T260" s="113"/>
      <c r="U260" s="113"/>
      <c r="V260" s="113"/>
    </row>
    <row r="261" customFormat="false" ht="15" hidden="false" customHeight="true" outlineLevel="0" collapsed="false">
      <c r="H261" s="113"/>
      <c r="I261" s="113"/>
      <c r="J261" s="113"/>
      <c r="L261" s="113"/>
      <c r="M261" s="113"/>
      <c r="N261" s="113"/>
      <c r="P261" s="113"/>
      <c r="Q261" s="113"/>
      <c r="R261" s="113"/>
      <c r="T261" s="113"/>
      <c r="U261" s="113"/>
      <c r="V261" s="113"/>
    </row>
    <row r="262" customFormat="false" ht="15" hidden="false" customHeight="true" outlineLevel="0" collapsed="false">
      <c r="H262" s="113"/>
      <c r="I262" s="113"/>
      <c r="J262" s="113"/>
      <c r="L262" s="113"/>
      <c r="M262" s="113"/>
      <c r="N262" s="113"/>
      <c r="P262" s="113"/>
      <c r="Q262" s="113"/>
      <c r="R262" s="113"/>
      <c r="T262" s="113"/>
      <c r="U262" s="113"/>
      <c r="V262" s="113"/>
    </row>
    <row r="263" customFormat="false" ht="15" hidden="false" customHeight="true" outlineLevel="0" collapsed="false">
      <c r="H263" s="113"/>
      <c r="I263" s="113"/>
      <c r="J263" s="113"/>
      <c r="L263" s="113"/>
      <c r="M263" s="113"/>
      <c r="N263" s="113"/>
      <c r="P263" s="113"/>
      <c r="Q263" s="113"/>
      <c r="R263" s="113"/>
      <c r="T263" s="113"/>
      <c r="U263" s="113"/>
      <c r="V263" s="113"/>
    </row>
    <row r="264" customFormat="false" ht="15" hidden="false" customHeight="true" outlineLevel="0" collapsed="false">
      <c r="H264" s="113"/>
      <c r="I264" s="113"/>
      <c r="J264" s="113"/>
      <c r="L264" s="113"/>
      <c r="M264" s="113"/>
      <c r="N264" s="113"/>
      <c r="P264" s="113"/>
      <c r="Q264" s="113"/>
      <c r="R264" s="113"/>
      <c r="T264" s="113"/>
      <c r="U264" s="113"/>
      <c r="V264" s="113"/>
    </row>
    <row r="265" customFormat="false" ht="15" hidden="false" customHeight="true" outlineLevel="0" collapsed="false">
      <c r="H265" s="113"/>
      <c r="I265" s="113"/>
      <c r="J265" s="113"/>
      <c r="L265" s="113"/>
      <c r="M265" s="113"/>
      <c r="N265" s="113"/>
      <c r="P265" s="113"/>
      <c r="Q265" s="113"/>
      <c r="R265" s="113"/>
      <c r="T265" s="113"/>
      <c r="U265" s="113"/>
      <c r="V265" s="113"/>
    </row>
    <row r="266" customFormat="false" ht="15" hidden="false" customHeight="true" outlineLevel="0" collapsed="false">
      <c r="H266" s="113"/>
      <c r="I266" s="113"/>
      <c r="J266" s="113"/>
      <c r="L266" s="113"/>
      <c r="M266" s="113"/>
      <c r="N266" s="113"/>
      <c r="P266" s="113"/>
      <c r="Q266" s="113"/>
      <c r="R266" s="113"/>
      <c r="T266" s="113"/>
      <c r="U266" s="113"/>
      <c r="V266" s="113"/>
    </row>
    <row r="267" customFormat="false" ht="15" hidden="false" customHeight="true" outlineLevel="0" collapsed="false">
      <c r="H267" s="113"/>
      <c r="I267" s="113"/>
      <c r="J267" s="113"/>
      <c r="L267" s="113"/>
      <c r="M267" s="113"/>
      <c r="N267" s="113"/>
      <c r="P267" s="113"/>
      <c r="Q267" s="113"/>
      <c r="R267" s="113"/>
      <c r="T267" s="113"/>
      <c r="U267" s="113"/>
      <c r="V267" s="113"/>
    </row>
    <row r="268" customFormat="false" ht="15" hidden="false" customHeight="true" outlineLevel="0" collapsed="false">
      <c r="H268" s="113"/>
      <c r="I268" s="113"/>
      <c r="J268" s="113"/>
      <c r="L268" s="113"/>
      <c r="M268" s="113"/>
      <c r="N268" s="113"/>
      <c r="P268" s="113"/>
      <c r="Q268" s="113"/>
      <c r="R268" s="113"/>
      <c r="T268" s="113"/>
      <c r="U268" s="113"/>
      <c r="V268" s="113"/>
    </row>
    <row r="269" customFormat="false" ht="15" hidden="false" customHeight="true" outlineLevel="0" collapsed="false">
      <c r="H269" s="113"/>
      <c r="I269" s="113"/>
      <c r="J269" s="113"/>
      <c r="L269" s="113"/>
      <c r="M269" s="113"/>
      <c r="N269" s="113"/>
      <c r="P269" s="113"/>
      <c r="Q269" s="113"/>
      <c r="R269" s="113"/>
      <c r="T269" s="113"/>
      <c r="U269" s="113"/>
      <c r="V269" s="113"/>
    </row>
    <row r="270" customFormat="false" ht="15" hidden="false" customHeight="true" outlineLevel="0" collapsed="false">
      <c r="H270" s="113"/>
      <c r="I270" s="113"/>
      <c r="J270" s="113"/>
      <c r="L270" s="113"/>
      <c r="M270" s="113"/>
      <c r="N270" s="113"/>
      <c r="P270" s="113"/>
      <c r="Q270" s="113"/>
      <c r="R270" s="113"/>
      <c r="T270" s="113"/>
      <c r="U270" s="113"/>
      <c r="V270" s="113"/>
    </row>
    <row r="271" customFormat="false" ht="15" hidden="false" customHeight="true" outlineLevel="0" collapsed="false">
      <c r="H271" s="113"/>
      <c r="I271" s="113"/>
      <c r="J271" s="113"/>
      <c r="L271" s="113"/>
      <c r="M271" s="113"/>
      <c r="N271" s="113"/>
      <c r="P271" s="113"/>
      <c r="Q271" s="113"/>
      <c r="R271" s="113"/>
      <c r="T271" s="113"/>
      <c r="U271" s="113"/>
      <c r="V271" s="113"/>
    </row>
    <row r="272" customFormat="false" ht="15" hidden="false" customHeight="true" outlineLevel="0" collapsed="false">
      <c r="H272" s="113"/>
      <c r="I272" s="113"/>
      <c r="J272" s="113"/>
      <c r="L272" s="113"/>
      <c r="M272" s="113"/>
      <c r="N272" s="113"/>
      <c r="P272" s="113"/>
      <c r="Q272" s="113"/>
      <c r="R272" s="113"/>
      <c r="T272" s="113"/>
      <c r="U272" s="113"/>
      <c r="V272" s="113"/>
    </row>
    <row r="273" customFormat="false" ht="15" hidden="false" customHeight="true" outlineLevel="0" collapsed="false">
      <c r="H273" s="113"/>
      <c r="I273" s="113"/>
      <c r="J273" s="113"/>
      <c r="L273" s="113"/>
      <c r="M273" s="113"/>
      <c r="N273" s="113"/>
      <c r="P273" s="113"/>
      <c r="Q273" s="113"/>
      <c r="R273" s="113"/>
      <c r="T273" s="113"/>
      <c r="U273" s="113"/>
      <c r="V273" s="113"/>
    </row>
    <row r="274" customFormat="false" ht="15" hidden="false" customHeight="true" outlineLevel="0" collapsed="false">
      <c r="H274" s="113"/>
      <c r="I274" s="113"/>
      <c r="J274" s="113"/>
      <c r="L274" s="113"/>
      <c r="M274" s="113"/>
      <c r="N274" s="113"/>
      <c r="P274" s="113"/>
      <c r="Q274" s="113"/>
      <c r="R274" s="113"/>
      <c r="T274" s="113"/>
      <c r="U274" s="113"/>
      <c r="V274" s="113"/>
    </row>
    <row r="275" customFormat="false" ht="15" hidden="false" customHeight="true" outlineLevel="0" collapsed="false">
      <c r="H275" s="113"/>
      <c r="I275" s="113"/>
      <c r="J275" s="113"/>
      <c r="L275" s="113"/>
      <c r="M275" s="113"/>
      <c r="N275" s="113"/>
      <c r="P275" s="113"/>
      <c r="Q275" s="113"/>
      <c r="R275" s="113"/>
      <c r="T275" s="113"/>
      <c r="U275" s="113"/>
      <c r="V275" s="113"/>
    </row>
    <row r="276" customFormat="false" ht="15" hidden="false" customHeight="true" outlineLevel="0" collapsed="false">
      <c r="H276" s="113"/>
      <c r="I276" s="113"/>
      <c r="J276" s="113"/>
      <c r="L276" s="113"/>
      <c r="M276" s="113"/>
      <c r="N276" s="113"/>
      <c r="P276" s="113"/>
      <c r="Q276" s="113"/>
      <c r="R276" s="113"/>
      <c r="T276" s="113"/>
      <c r="U276" s="113"/>
      <c r="V276" s="113"/>
    </row>
    <row r="277" customFormat="false" ht="15" hidden="false" customHeight="true" outlineLevel="0" collapsed="false">
      <c r="H277" s="113"/>
      <c r="I277" s="113"/>
      <c r="J277" s="113"/>
      <c r="L277" s="113"/>
      <c r="M277" s="113"/>
      <c r="N277" s="113"/>
      <c r="P277" s="113"/>
      <c r="Q277" s="113"/>
      <c r="R277" s="113"/>
      <c r="T277" s="113"/>
      <c r="U277" s="113"/>
      <c r="V277" s="113"/>
    </row>
    <row r="278" customFormat="false" ht="15" hidden="false" customHeight="true" outlineLevel="0" collapsed="false">
      <c r="H278" s="113"/>
      <c r="I278" s="113"/>
      <c r="J278" s="113"/>
      <c r="L278" s="113"/>
      <c r="M278" s="113"/>
      <c r="N278" s="113"/>
      <c r="P278" s="113"/>
      <c r="Q278" s="113"/>
      <c r="R278" s="113"/>
      <c r="T278" s="113"/>
      <c r="U278" s="113"/>
      <c r="V278" s="113"/>
    </row>
    <row r="279" customFormat="false" ht="15" hidden="false" customHeight="true" outlineLevel="0" collapsed="false">
      <c r="H279" s="113"/>
      <c r="I279" s="113"/>
      <c r="J279" s="113"/>
      <c r="L279" s="113"/>
      <c r="M279" s="113"/>
      <c r="N279" s="113"/>
      <c r="P279" s="113"/>
      <c r="Q279" s="113"/>
      <c r="R279" s="113"/>
      <c r="T279" s="113"/>
      <c r="U279" s="113"/>
      <c r="V279" s="113"/>
    </row>
    <row r="280" customFormat="false" ht="15" hidden="false" customHeight="true" outlineLevel="0" collapsed="false">
      <c r="H280" s="113"/>
      <c r="I280" s="113"/>
      <c r="J280" s="113"/>
      <c r="L280" s="113"/>
      <c r="M280" s="113"/>
      <c r="N280" s="113"/>
      <c r="P280" s="113"/>
      <c r="Q280" s="113"/>
      <c r="R280" s="113"/>
      <c r="T280" s="113"/>
      <c r="U280" s="113"/>
      <c r="V280" s="113"/>
    </row>
    <row r="281" customFormat="false" ht="15" hidden="false" customHeight="true" outlineLevel="0" collapsed="false">
      <c r="H281" s="113"/>
      <c r="I281" s="113"/>
      <c r="J281" s="113"/>
      <c r="L281" s="113"/>
      <c r="M281" s="113"/>
      <c r="N281" s="113"/>
      <c r="P281" s="113"/>
      <c r="Q281" s="113"/>
      <c r="R281" s="113"/>
      <c r="T281" s="113"/>
      <c r="U281" s="113"/>
      <c r="V281" s="113"/>
    </row>
    <row r="282" customFormat="false" ht="15" hidden="false" customHeight="true" outlineLevel="0" collapsed="false">
      <c r="H282" s="113"/>
      <c r="I282" s="113"/>
      <c r="J282" s="113"/>
      <c r="L282" s="113"/>
      <c r="M282" s="113"/>
      <c r="N282" s="113"/>
      <c r="P282" s="113"/>
      <c r="Q282" s="113"/>
      <c r="R282" s="113"/>
      <c r="T282" s="113"/>
      <c r="U282" s="113"/>
      <c r="V282" s="113"/>
    </row>
    <row r="283" customFormat="false" ht="15" hidden="false" customHeight="true" outlineLevel="0" collapsed="false">
      <c r="H283" s="113"/>
      <c r="I283" s="113"/>
      <c r="J283" s="113"/>
      <c r="L283" s="113"/>
      <c r="M283" s="113"/>
      <c r="N283" s="113"/>
      <c r="P283" s="113"/>
      <c r="Q283" s="113"/>
      <c r="R283" s="113"/>
      <c r="T283" s="113"/>
      <c r="U283" s="113"/>
      <c r="V283" s="113"/>
    </row>
    <row r="284" customFormat="false" ht="15" hidden="false" customHeight="true" outlineLevel="0" collapsed="false">
      <c r="H284" s="113"/>
      <c r="I284" s="113"/>
      <c r="J284" s="113"/>
      <c r="L284" s="113"/>
      <c r="M284" s="113"/>
      <c r="N284" s="113"/>
      <c r="P284" s="113"/>
      <c r="Q284" s="113"/>
      <c r="R284" s="113"/>
      <c r="T284" s="113"/>
      <c r="U284" s="113"/>
      <c r="V284" s="113"/>
    </row>
    <row r="285" customFormat="false" ht="15" hidden="false" customHeight="true" outlineLevel="0" collapsed="false">
      <c r="H285" s="113"/>
      <c r="I285" s="113"/>
      <c r="J285" s="113"/>
      <c r="L285" s="113"/>
      <c r="M285" s="113"/>
      <c r="N285" s="113"/>
      <c r="P285" s="113"/>
      <c r="Q285" s="113"/>
      <c r="R285" s="113"/>
      <c r="T285" s="113"/>
      <c r="U285" s="113"/>
      <c r="V285" s="113"/>
    </row>
    <row r="286" customFormat="false" ht="15" hidden="false" customHeight="true" outlineLevel="0" collapsed="false">
      <c r="H286" s="113"/>
      <c r="I286" s="113"/>
      <c r="J286" s="113"/>
      <c r="L286" s="113"/>
      <c r="M286" s="113"/>
      <c r="N286" s="113"/>
      <c r="P286" s="113"/>
      <c r="Q286" s="113"/>
      <c r="R286" s="113"/>
      <c r="T286" s="113"/>
      <c r="U286" s="113"/>
      <c r="V286" s="113"/>
    </row>
    <row r="287" customFormat="false" ht="15" hidden="false" customHeight="true" outlineLevel="0" collapsed="false">
      <c r="H287" s="113"/>
      <c r="I287" s="113"/>
      <c r="J287" s="113"/>
      <c r="L287" s="113"/>
      <c r="M287" s="113"/>
      <c r="N287" s="113"/>
      <c r="P287" s="113"/>
      <c r="Q287" s="113"/>
      <c r="R287" s="113"/>
      <c r="T287" s="113"/>
      <c r="U287" s="113"/>
      <c r="V287" s="113"/>
    </row>
    <row r="288" customFormat="false" ht="15" hidden="false" customHeight="true" outlineLevel="0" collapsed="false">
      <c r="H288" s="113"/>
      <c r="I288" s="113"/>
      <c r="J288" s="113"/>
      <c r="L288" s="113"/>
      <c r="M288" s="113"/>
      <c r="N288" s="113"/>
      <c r="P288" s="113"/>
      <c r="Q288" s="113"/>
      <c r="R288" s="113"/>
      <c r="T288" s="113"/>
      <c r="U288" s="113"/>
      <c r="V288" s="113"/>
    </row>
    <row r="289" customFormat="false" ht="15" hidden="false" customHeight="true" outlineLevel="0" collapsed="false">
      <c r="H289" s="113"/>
      <c r="I289" s="113"/>
      <c r="J289" s="113"/>
      <c r="L289" s="113"/>
      <c r="M289" s="113"/>
      <c r="N289" s="113"/>
      <c r="P289" s="113"/>
      <c r="Q289" s="113"/>
      <c r="R289" s="113"/>
      <c r="T289" s="113"/>
      <c r="U289" s="113"/>
      <c r="V289" s="113"/>
    </row>
    <row r="290" customFormat="false" ht="15" hidden="false" customHeight="true" outlineLevel="0" collapsed="false">
      <c r="H290" s="113"/>
      <c r="I290" s="113"/>
      <c r="J290" s="113"/>
      <c r="L290" s="113"/>
      <c r="M290" s="113"/>
      <c r="N290" s="113"/>
      <c r="P290" s="113"/>
      <c r="Q290" s="113"/>
      <c r="R290" s="113"/>
      <c r="T290" s="113"/>
      <c r="U290" s="113"/>
      <c r="V290" s="113"/>
    </row>
    <row r="291" customFormat="false" ht="15" hidden="false" customHeight="true" outlineLevel="0" collapsed="false">
      <c r="H291" s="113"/>
      <c r="I291" s="113"/>
      <c r="J291" s="113"/>
      <c r="L291" s="113"/>
      <c r="M291" s="113"/>
      <c r="N291" s="113"/>
      <c r="P291" s="113"/>
      <c r="Q291" s="113"/>
      <c r="R291" s="113"/>
      <c r="T291" s="113"/>
      <c r="U291" s="113"/>
      <c r="V291" s="113"/>
    </row>
    <row r="292" customFormat="false" ht="15" hidden="false" customHeight="true" outlineLevel="0" collapsed="false">
      <c r="H292" s="113"/>
      <c r="I292" s="113"/>
      <c r="J292" s="113"/>
      <c r="L292" s="113"/>
      <c r="M292" s="113"/>
      <c r="N292" s="113"/>
      <c r="P292" s="113"/>
      <c r="Q292" s="113"/>
      <c r="R292" s="113"/>
      <c r="T292" s="113"/>
      <c r="U292" s="113"/>
      <c r="V292" s="113"/>
    </row>
    <row r="293" customFormat="false" ht="15" hidden="false" customHeight="true" outlineLevel="0" collapsed="false">
      <c r="H293" s="113"/>
      <c r="I293" s="113"/>
      <c r="J293" s="113"/>
      <c r="L293" s="113"/>
      <c r="M293" s="113"/>
      <c r="N293" s="113"/>
      <c r="P293" s="113"/>
      <c r="Q293" s="113"/>
      <c r="R293" s="113"/>
      <c r="T293" s="113"/>
      <c r="U293" s="113"/>
      <c r="V293" s="113"/>
    </row>
    <row r="294" customFormat="false" ht="15" hidden="false" customHeight="true" outlineLevel="0" collapsed="false">
      <c r="H294" s="113"/>
      <c r="I294" s="113"/>
      <c r="J294" s="113"/>
      <c r="L294" s="113"/>
      <c r="M294" s="113"/>
      <c r="N294" s="113"/>
      <c r="P294" s="113"/>
      <c r="Q294" s="113"/>
      <c r="R294" s="113"/>
      <c r="T294" s="113"/>
      <c r="U294" s="113"/>
      <c r="V294" s="113"/>
    </row>
    <row r="295" customFormat="false" ht="15" hidden="false" customHeight="true" outlineLevel="0" collapsed="false">
      <c r="H295" s="113"/>
      <c r="I295" s="113"/>
      <c r="J295" s="113"/>
      <c r="L295" s="113"/>
      <c r="M295" s="113"/>
      <c r="N295" s="113"/>
      <c r="P295" s="113"/>
      <c r="Q295" s="113"/>
      <c r="R295" s="113"/>
      <c r="T295" s="113"/>
      <c r="U295" s="113"/>
      <c r="V295" s="113"/>
    </row>
    <row r="296" customFormat="false" ht="15" hidden="false" customHeight="true" outlineLevel="0" collapsed="false">
      <c r="H296" s="113"/>
      <c r="I296" s="113"/>
      <c r="J296" s="113"/>
      <c r="L296" s="113"/>
      <c r="M296" s="113"/>
      <c r="N296" s="113"/>
      <c r="P296" s="113"/>
      <c r="Q296" s="113"/>
      <c r="R296" s="113"/>
      <c r="T296" s="113"/>
      <c r="U296" s="113"/>
      <c r="V296" s="113"/>
    </row>
    <row r="297" customFormat="false" ht="15" hidden="false" customHeight="true" outlineLevel="0" collapsed="false">
      <c r="H297" s="113"/>
      <c r="I297" s="113"/>
      <c r="J297" s="113"/>
      <c r="L297" s="113"/>
      <c r="M297" s="113"/>
      <c r="N297" s="113"/>
      <c r="P297" s="113"/>
      <c r="Q297" s="113"/>
      <c r="R297" s="113"/>
      <c r="T297" s="113"/>
      <c r="U297" s="113"/>
      <c r="V297" s="113"/>
    </row>
    <row r="298" customFormat="false" ht="15" hidden="false" customHeight="true" outlineLevel="0" collapsed="false">
      <c r="H298" s="113"/>
      <c r="I298" s="113"/>
      <c r="J298" s="113"/>
      <c r="L298" s="113"/>
      <c r="M298" s="113"/>
      <c r="N298" s="113"/>
      <c r="P298" s="113"/>
      <c r="Q298" s="113"/>
      <c r="R298" s="113"/>
      <c r="T298" s="113"/>
      <c r="U298" s="113"/>
      <c r="V298" s="113"/>
    </row>
    <row r="299" customFormat="false" ht="15" hidden="false" customHeight="true" outlineLevel="0" collapsed="false">
      <c r="H299" s="113"/>
      <c r="I299" s="113"/>
      <c r="J299" s="113"/>
      <c r="L299" s="113"/>
      <c r="M299" s="113"/>
      <c r="N299" s="113"/>
      <c r="P299" s="113"/>
      <c r="Q299" s="113"/>
      <c r="R299" s="113"/>
      <c r="T299" s="113"/>
      <c r="U299" s="113"/>
      <c r="V299" s="113"/>
    </row>
    <row r="300" customFormat="false" ht="15" hidden="false" customHeight="true" outlineLevel="0" collapsed="false">
      <c r="H300" s="113"/>
      <c r="I300" s="113"/>
      <c r="J300" s="113"/>
      <c r="L300" s="113"/>
      <c r="M300" s="113"/>
      <c r="N300" s="113"/>
      <c r="P300" s="113"/>
      <c r="Q300" s="113"/>
      <c r="R300" s="113"/>
      <c r="T300" s="113"/>
      <c r="U300" s="113"/>
      <c r="V300" s="113"/>
    </row>
    <row r="301" customFormat="false" ht="15" hidden="false" customHeight="true" outlineLevel="0" collapsed="false">
      <c r="H301" s="113"/>
      <c r="I301" s="113"/>
      <c r="J301" s="113"/>
      <c r="L301" s="113"/>
      <c r="M301" s="113"/>
      <c r="N301" s="113"/>
      <c r="P301" s="113"/>
      <c r="Q301" s="113"/>
      <c r="R301" s="113"/>
      <c r="T301" s="113"/>
      <c r="U301" s="113"/>
      <c r="V301" s="113"/>
    </row>
    <row r="302" customFormat="false" ht="15" hidden="false" customHeight="true" outlineLevel="0" collapsed="false">
      <c r="H302" s="113"/>
      <c r="I302" s="113"/>
      <c r="J302" s="113"/>
      <c r="L302" s="113"/>
      <c r="M302" s="113"/>
      <c r="N302" s="113"/>
      <c r="P302" s="113"/>
      <c r="Q302" s="113"/>
      <c r="R302" s="113"/>
      <c r="T302" s="113"/>
      <c r="U302" s="113"/>
      <c r="V302" s="113"/>
    </row>
    <row r="303" customFormat="false" ht="15" hidden="false" customHeight="true" outlineLevel="0" collapsed="false">
      <c r="H303" s="113"/>
      <c r="I303" s="113"/>
      <c r="J303" s="113"/>
      <c r="L303" s="113"/>
      <c r="M303" s="113"/>
      <c r="N303" s="113"/>
      <c r="P303" s="113"/>
      <c r="Q303" s="113"/>
      <c r="R303" s="113"/>
      <c r="T303" s="113"/>
      <c r="U303" s="113"/>
      <c r="V303" s="113"/>
    </row>
    <row r="304" customFormat="false" ht="15" hidden="false" customHeight="true" outlineLevel="0" collapsed="false">
      <c r="H304" s="113"/>
      <c r="I304" s="113"/>
      <c r="J304" s="113"/>
      <c r="L304" s="113"/>
      <c r="M304" s="113"/>
      <c r="N304" s="113"/>
      <c r="P304" s="113"/>
      <c r="Q304" s="113"/>
      <c r="R304" s="113"/>
      <c r="T304" s="113"/>
      <c r="U304" s="113"/>
      <c r="V304" s="113"/>
    </row>
    <row r="305" customFormat="false" ht="15" hidden="false" customHeight="true" outlineLevel="0" collapsed="false">
      <c r="H305" s="113"/>
      <c r="I305" s="113"/>
      <c r="J305" s="113"/>
      <c r="L305" s="113"/>
      <c r="M305" s="113"/>
      <c r="N305" s="113"/>
      <c r="P305" s="113"/>
      <c r="Q305" s="113"/>
      <c r="R305" s="113"/>
      <c r="T305" s="113"/>
      <c r="U305" s="113"/>
      <c r="V305" s="113"/>
    </row>
    <row r="306" customFormat="false" ht="15" hidden="false" customHeight="true" outlineLevel="0" collapsed="false">
      <c r="H306" s="113"/>
      <c r="I306" s="113"/>
      <c r="J306" s="113"/>
      <c r="L306" s="113"/>
      <c r="M306" s="113"/>
      <c r="N306" s="113"/>
      <c r="P306" s="113"/>
      <c r="Q306" s="113"/>
      <c r="R306" s="113"/>
      <c r="T306" s="113"/>
      <c r="U306" s="113"/>
      <c r="V306" s="113"/>
    </row>
    <row r="307" customFormat="false" ht="15" hidden="false" customHeight="true" outlineLevel="0" collapsed="false">
      <c r="H307" s="113"/>
      <c r="I307" s="113"/>
      <c r="J307" s="113"/>
      <c r="L307" s="113"/>
      <c r="M307" s="113"/>
      <c r="N307" s="113"/>
      <c r="P307" s="113"/>
      <c r="Q307" s="113"/>
      <c r="R307" s="113"/>
      <c r="T307" s="113"/>
      <c r="U307" s="113"/>
      <c r="V307" s="113"/>
    </row>
    <row r="308" customFormat="false" ht="15" hidden="false" customHeight="true" outlineLevel="0" collapsed="false">
      <c r="H308" s="113"/>
      <c r="I308" s="113"/>
      <c r="J308" s="113"/>
      <c r="L308" s="113"/>
      <c r="M308" s="113"/>
      <c r="N308" s="113"/>
      <c r="P308" s="113"/>
      <c r="Q308" s="113"/>
      <c r="R308" s="113"/>
      <c r="T308" s="113"/>
      <c r="U308" s="113"/>
      <c r="V308" s="113"/>
    </row>
    <row r="309" customFormat="false" ht="15" hidden="false" customHeight="true" outlineLevel="0" collapsed="false">
      <c r="H309" s="113"/>
      <c r="I309" s="113"/>
      <c r="J309" s="113"/>
      <c r="L309" s="113"/>
      <c r="M309" s="113"/>
      <c r="N309" s="113"/>
      <c r="P309" s="113"/>
      <c r="Q309" s="113"/>
      <c r="R309" s="113"/>
      <c r="T309" s="113"/>
      <c r="U309" s="113"/>
      <c r="V309" s="113"/>
    </row>
    <row r="310" customFormat="false" ht="15" hidden="false" customHeight="true" outlineLevel="0" collapsed="false">
      <c r="H310" s="113"/>
      <c r="I310" s="113"/>
      <c r="J310" s="113"/>
      <c r="L310" s="113"/>
      <c r="M310" s="113"/>
      <c r="N310" s="113"/>
      <c r="P310" s="113"/>
      <c r="Q310" s="113"/>
      <c r="R310" s="113"/>
      <c r="T310" s="113"/>
      <c r="U310" s="113"/>
      <c r="V310" s="113"/>
    </row>
    <row r="311" customFormat="false" ht="15" hidden="false" customHeight="true" outlineLevel="0" collapsed="false">
      <c r="H311" s="113"/>
      <c r="I311" s="113"/>
      <c r="J311" s="113"/>
      <c r="L311" s="113"/>
      <c r="M311" s="113"/>
      <c r="N311" s="113"/>
      <c r="P311" s="113"/>
      <c r="Q311" s="113"/>
      <c r="R311" s="113"/>
      <c r="T311" s="113"/>
      <c r="U311" s="113"/>
      <c r="V311" s="113"/>
    </row>
    <row r="312" customFormat="false" ht="15" hidden="false" customHeight="true" outlineLevel="0" collapsed="false">
      <c r="H312" s="113"/>
      <c r="I312" s="113"/>
      <c r="J312" s="113"/>
      <c r="L312" s="113"/>
      <c r="M312" s="113"/>
      <c r="N312" s="113"/>
      <c r="P312" s="113"/>
      <c r="Q312" s="113"/>
      <c r="R312" s="113"/>
      <c r="T312" s="113"/>
      <c r="U312" s="113"/>
      <c r="V312" s="113"/>
    </row>
    <row r="313" customFormat="false" ht="15" hidden="false" customHeight="true" outlineLevel="0" collapsed="false">
      <c r="H313" s="113"/>
      <c r="I313" s="113"/>
      <c r="J313" s="113"/>
      <c r="L313" s="113"/>
      <c r="M313" s="113"/>
      <c r="N313" s="113"/>
      <c r="P313" s="113"/>
      <c r="Q313" s="113"/>
      <c r="R313" s="113"/>
      <c r="T313" s="113"/>
      <c r="U313" s="113"/>
      <c r="V313" s="113"/>
    </row>
    <row r="314" customFormat="false" ht="15" hidden="false" customHeight="true" outlineLevel="0" collapsed="false">
      <c r="H314" s="113"/>
      <c r="I314" s="113"/>
      <c r="J314" s="113"/>
      <c r="L314" s="113"/>
      <c r="M314" s="113"/>
      <c r="N314" s="113"/>
      <c r="P314" s="113"/>
      <c r="Q314" s="113"/>
      <c r="R314" s="113"/>
      <c r="T314" s="113"/>
      <c r="U314" s="113"/>
      <c r="V314" s="113"/>
    </row>
    <row r="315" customFormat="false" ht="15" hidden="false" customHeight="true" outlineLevel="0" collapsed="false">
      <c r="H315" s="113"/>
      <c r="I315" s="113"/>
      <c r="J315" s="113"/>
      <c r="L315" s="113"/>
      <c r="M315" s="113"/>
      <c r="N315" s="113"/>
      <c r="P315" s="113"/>
      <c r="Q315" s="113"/>
      <c r="R315" s="113"/>
      <c r="T315" s="113"/>
      <c r="U315" s="113"/>
      <c r="V315" s="113"/>
    </row>
    <row r="316" customFormat="false" ht="15" hidden="false" customHeight="true" outlineLevel="0" collapsed="false">
      <c r="H316" s="113"/>
      <c r="I316" s="113"/>
      <c r="J316" s="113"/>
      <c r="L316" s="113"/>
      <c r="M316" s="113"/>
      <c r="N316" s="113"/>
      <c r="P316" s="113"/>
      <c r="Q316" s="113"/>
      <c r="R316" s="113"/>
      <c r="T316" s="113"/>
      <c r="U316" s="113"/>
      <c r="V316" s="113"/>
    </row>
    <row r="317" customFormat="false" ht="15" hidden="false" customHeight="true" outlineLevel="0" collapsed="false">
      <c r="H317" s="113"/>
      <c r="I317" s="113"/>
      <c r="J317" s="113"/>
      <c r="L317" s="113"/>
      <c r="M317" s="113"/>
      <c r="N317" s="113"/>
      <c r="P317" s="113"/>
      <c r="Q317" s="113"/>
      <c r="R317" s="113"/>
      <c r="T317" s="113"/>
      <c r="U317" s="113"/>
      <c r="V317" s="113"/>
    </row>
    <row r="318" customFormat="false" ht="15" hidden="false" customHeight="true" outlineLevel="0" collapsed="false">
      <c r="H318" s="113"/>
      <c r="I318" s="113"/>
      <c r="J318" s="113"/>
      <c r="L318" s="113"/>
      <c r="M318" s="113"/>
      <c r="N318" s="113"/>
      <c r="P318" s="113"/>
      <c r="Q318" s="113"/>
      <c r="R318" s="113"/>
      <c r="T318" s="113"/>
      <c r="U318" s="113"/>
      <c r="V318" s="113"/>
    </row>
    <row r="319" customFormat="false" ht="15" hidden="false" customHeight="true" outlineLevel="0" collapsed="false">
      <c r="H319" s="113"/>
      <c r="I319" s="113"/>
      <c r="J319" s="113"/>
      <c r="L319" s="113"/>
      <c r="M319" s="113"/>
      <c r="N319" s="113"/>
      <c r="P319" s="113"/>
      <c r="Q319" s="113"/>
      <c r="R319" s="113"/>
      <c r="T319" s="113"/>
      <c r="U319" s="113"/>
      <c r="V319" s="113"/>
    </row>
    <row r="320" customFormat="false" ht="15" hidden="false" customHeight="true" outlineLevel="0" collapsed="false">
      <c r="H320" s="113"/>
      <c r="I320" s="113"/>
      <c r="J320" s="113"/>
      <c r="L320" s="113"/>
      <c r="M320" s="113"/>
      <c r="N320" s="113"/>
      <c r="P320" s="113"/>
      <c r="Q320" s="113"/>
      <c r="R320" s="113"/>
      <c r="T320" s="113"/>
      <c r="U320" s="113"/>
      <c r="V320" s="113"/>
    </row>
    <row r="321" customFormat="false" ht="15" hidden="false" customHeight="true" outlineLevel="0" collapsed="false">
      <c r="H321" s="113"/>
      <c r="I321" s="113"/>
      <c r="J321" s="113"/>
      <c r="L321" s="113"/>
      <c r="M321" s="113"/>
      <c r="N321" s="113"/>
      <c r="P321" s="113"/>
      <c r="Q321" s="113"/>
      <c r="R321" s="113"/>
      <c r="T321" s="113"/>
      <c r="U321" s="113"/>
      <c r="V321" s="113"/>
    </row>
    <row r="322" customFormat="false" ht="15" hidden="false" customHeight="true" outlineLevel="0" collapsed="false">
      <c r="H322" s="113"/>
      <c r="I322" s="113"/>
      <c r="J322" s="113"/>
      <c r="L322" s="113"/>
      <c r="M322" s="113"/>
      <c r="N322" s="113"/>
      <c r="P322" s="113"/>
      <c r="Q322" s="113"/>
      <c r="R322" s="113"/>
      <c r="T322" s="113"/>
      <c r="U322" s="113"/>
      <c r="V322" s="113"/>
    </row>
    <row r="323" customFormat="false" ht="15" hidden="false" customHeight="true" outlineLevel="0" collapsed="false">
      <c r="H323" s="113"/>
      <c r="I323" s="113"/>
      <c r="J323" s="113"/>
      <c r="L323" s="113"/>
      <c r="M323" s="113"/>
      <c r="N323" s="113"/>
      <c r="P323" s="113"/>
      <c r="Q323" s="113"/>
      <c r="R323" s="113"/>
      <c r="T323" s="113"/>
      <c r="U323" s="113"/>
      <c r="V323" s="113"/>
    </row>
    <row r="324" customFormat="false" ht="15" hidden="false" customHeight="true" outlineLevel="0" collapsed="false">
      <c r="H324" s="113"/>
      <c r="I324" s="113"/>
      <c r="J324" s="113"/>
      <c r="L324" s="113"/>
      <c r="M324" s="113"/>
      <c r="N324" s="113"/>
      <c r="P324" s="113"/>
      <c r="Q324" s="113"/>
      <c r="R324" s="113"/>
      <c r="T324" s="113"/>
      <c r="U324" s="113"/>
      <c r="V324" s="113"/>
    </row>
    <row r="325" customFormat="false" ht="15" hidden="false" customHeight="true" outlineLevel="0" collapsed="false">
      <c r="H325" s="113"/>
      <c r="I325" s="113"/>
      <c r="J325" s="113"/>
      <c r="L325" s="113"/>
      <c r="M325" s="113"/>
      <c r="N325" s="113"/>
      <c r="P325" s="113"/>
      <c r="Q325" s="113"/>
      <c r="R325" s="113"/>
      <c r="T325" s="113"/>
      <c r="U325" s="113"/>
      <c r="V325" s="113"/>
    </row>
    <row r="326" customFormat="false" ht="15" hidden="false" customHeight="true" outlineLevel="0" collapsed="false">
      <c r="H326" s="113"/>
      <c r="I326" s="113"/>
      <c r="J326" s="113"/>
      <c r="L326" s="113"/>
      <c r="M326" s="113"/>
      <c r="N326" s="113"/>
      <c r="P326" s="113"/>
      <c r="Q326" s="113"/>
      <c r="R326" s="113"/>
      <c r="T326" s="113"/>
      <c r="U326" s="113"/>
      <c r="V326" s="113"/>
    </row>
    <row r="327" customFormat="false" ht="15" hidden="false" customHeight="true" outlineLevel="0" collapsed="false">
      <c r="H327" s="113"/>
      <c r="I327" s="113"/>
      <c r="J327" s="113"/>
      <c r="L327" s="113"/>
      <c r="M327" s="113"/>
      <c r="N327" s="113"/>
      <c r="P327" s="113"/>
      <c r="Q327" s="113"/>
      <c r="R327" s="113"/>
      <c r="T327" s="113"/>
      <c r="U327" s="113"/>
      <c r="V327" s="113"/>
    </row>
    <row r="328" customFormat="false" ht="15" hidden="false" customHeight="true" outlineLevel="0" collapsed="false">
      <c r="H328" s="113"/>
      <c r="I328" s="113"/>
      <c r="J328" s="113"/>
      <c r="L328" s="113"/>
      <c r="M328" s="113"/>
      <c r="N328" s="113"/>
      <c r="P328" s="113"/>
      <c r="Q328" s="113"/>
      <c r="R328" s="113"/>
      <c r="T328" s="113"/>
      <c r="U328" s="113"/>
      <c r="V328" s="113"/>
    </row>
    <row r="329" customFormat="false" ht="15" hidden="false" customHeight="true" outlineLevel="0" collapsed="false">
      <c r="H329" s="113"/>
      <c r="I329" s="113"/>
      <c r="J329" s="113"/>
      <c r="L329" s="113"/>
      <c r="M329" s="113"/>
      <c r="N329" s="113"/>
      <c r="P329" s="113"/>
      <c r="Q329" s="113"/>
      <c r="R329" s="113"/>
      <c r="T329" s="113"/>
      <c r="U329" s="113"/>
      <c r="V329" s="113"/>
    </row>
    <row r="330" customFormat="false" ht="15" hidden="false" customHeight="true" outlineLevel="0" collapsed="false">
      <c r="H330" s="113"/>
      <c r="I330" s="113"/>
      <c r="J330" s="113"/>
      <c r="L330" s="113"/>
      <c r="M330" s="113"/>
      <c r="N330" s="113"/>
      <c r="P330" s="113"/>
      <c r="Q330" s="113"/>
      <c r="R330" s="113"/>
      <c r="T330" s="113"/>
      <c r="U330" s="113"/>
      <c r="V330" s="113"/>
    </row>
    <row r="331" customFormat="false" ht="15" hidden="false" customHeight="true" outlineLevel="0" collapsed="false">
      <c r="H331" s="113"/>
      <c r="I331" s="113"/>
      <c r="J331" s="113"/>
      <c r="L331" s="113"/>
      <c r="M331" s="113"/>
      <c r="N331" s="113"/>
      <c r="P331" s="113"/>
      <c r="Q331" s="113"/>
      <c r="R331" s="113"/>
      <c r="T331" s="113"/>
      <c r="U331" s="113"/>
      <c r="V331" s="113"/>
    </row>
    <row r="332" customFormat="false" ht="15" hidden="false" customHeight="true" outlineLevel="0" collapsed="false">
      <c r="H332" s="113"/>
      <c r="I332" s="113"/>
      <c r="J332" s="113"/>
      <c r="L332" s="113"/>
      <c r="M332" s="113"/>
      <c r="N332" s="113"/>
      <c r="P332" s="113"/>
      <c r="Q332" s="113"/>
      <c r="R332" s="113"/>
      <c r="T332" s="113"/>
      <c r="U332" s="113"/>
      <c r="V332" s="113"/>
    </row>
    <row r="333" customFormat="false" ht="15" hidden="false" customHeight="true" outlineLevel="0" collapsed="false">
      <c r="H333" s="113"/>
      <c r="I333" s="113"/>
      <c r="J333" s="113"/>
      <c r="L333" s="113"/>
      <c r="M333" s="113"/>
      <c r="N333" s="113"/>
      <c r="P333" s="113"/>
      <c r="Q333" s="113"/>
      <c r="R333" s="113"/>
      <c r="T333" s="113"/>
      <c r="U333" s="113"/>
      <c r="V333" s="113"/>
    </row>
    <row r="334" customFormat="false" ht="15" hidden="false" customHeight="true" outlineLevel="0" collapsed="false">
      <c r="H334" s="113"/>
      <c r="I334" s="113"/>
      <c r="J334" s="113"/>
      <c r="L334" s="113"/>
      <c r="M334" s="113"/>
      <c r="N334" s="113"/>
      <c r="P334" s="113"/>
      <c r="Q334" s="113"/>
      <c r="R334" s="113"/>
      <c r="T334" s="113"/>
      <c r="U334" s="113"/>
      <c r="V334" s="113"/>
    </row>
    <row r="335" customFormat="false" ht="15" hidden="false" customHeight="true" outlineLevel="0" collapsed="false">
      <c r="H335" s="113"/>
      <c r="I335" s="113"/>
      <c r="J335" s="113"/>
      <c r="L335" s="113"/>
      <c r="M335" s="113"/>
      <c r="N335" s="113"/>
      <c r="P335" s="113"/>
      <c r="Q335" s="113"/>
      <c r="R335" s="113"/>
      <c r="T335" s="113"/>
      <c r="U335" s="113"/>
      <c r="V335" s="113"/>
    </row>
    <row r="336" customFormat="false" ht="15" hidden="false" customHeight="true" outlineLevel="0" collapsed="false">
      <c r="H336" s="113"/>
      <c r="I336" s="113"/>
      <c r="J336" s="113"/>
      <c r="L336" s="113"/>
      <c r="M336" s="113"/>
      <c r="N336" s="113"/>
      <c r="P336" s="113"/>
      <c r="Q336" s="113"/>
      <c r="R336" s="113"/>
      <c r="T336" s="113"/>
      <c r="U336" s="113"/>
      <c r="V336" s="113"/>
    </row>
    <row r="337" customFormat="false" ht="15" hidden="false" customHeight="true" outlineLevel="0" collapsed="false">
      <c r="H337" s="113"/>
      <c r="I337" s="113"/>
      <c r="J337" s="113"/>
      <c r="L337" s="113"/>
      <c r="M337" s="113"/>
      <c r="N337" s="113"/>
      <c r="P337" s="113"/>
      <c r="Q337" s="113"/>
      <c r="R337" s="113"/>
      <c r="T337" s="113"/>
      <c r="U337" s="113"/>
      <c r="V337" s="113"/>
    </row>
    <row r="338" customFormat="false" ht="15" hidden="false" customHeight="true" outlineLevel="0" collapsed="false">
      <c r="H338" s="113"/>
      <c r="I338" s="113"/>
      <c r="J338" s="113"/>
      <c r="L338" s="113"/>
      <c r="M338" s="113"/>
      <c r="N338" s="113"/>
      <c r="P338" s="113"/>
      <c r="Q338" s="113"/>
      <c r="R338" s="113"/>
      <c r="T338" s="113"/>
      <c r="U338" s="113"/>
      <c r="V338" s="113"/>
    </row>
    <row r="339" customFormat="false" ht="15" hidden="false" customHeight="true" outlineLevel="0" collapsed="false">
      <c r="H339" s="113"/>
      <c r="I339" s="113"/>
      <c r="J339" s="113"/>
      <c r="L339" s="113"/>
      <c r="M339" s="113"/>
      <c r="N339" s="113"/>
      <c r="P339" s="113"/>
      <c r="Q339" s="113"/>
      <c r="R339" s="113"/>
      <c r="T339" s="113"/>
      <c r="U339" s="113"/>
      <c r="V339" s="113"/>
    </row>
    <row r="340" customFormat="false" ht="15" hidden="false" customHeight="true" outlineLevel="0" collapsed="false">
      <c r="H340" s="113"/>
      <c r="I340" s="113"/>
      <c r="J340" s="113"/>
      <c r="L340" s="113"/>
      <c r="M340" s="113"/>
      <c r="N340" s="113"/>
      <c r="P340" s="113"/>
      <c r="Q340" s="113"/>
      <c r="R340" s="113"/>
      <c r="T340" s="113"/>
      <c r="U340" s="113"/>
      <c r="V340" s="113"/>
    </row>
    <row r="341" customFormat="false" ht="15" hidden="false" customHeight="true" outlineLevel="0" collapsed="false">
      <c r="H341" s="113"/>
      <c r="I341" s="113"/>
      <c r="J341" s="113"/>
      <c r="L341" s="113"/>
      <c r="M341" s="113"/>
      <c r="N341" s="113"/>
      <c r="P341" s="113"/>
      <c r="Q341" s="113"/>
      <c r="R341" s="113"/>
      <c r="T341" s="113"/>
      <c r="U341" s="113"/>
      <c r="V341" s="113"/>
    </row>
    <row r="342" customFormat="false" ht="15" hidden="false" customHeight="true" outlineLevel="0" collapsed="false">
      <c r="H342" s="113"/>
      <c r="I342" s="113"/>
      <c r="J342" s="113"/>
      <c r="L342" s="113"/>
      <c r="M342" s="113"/>
      <c r="N342" s="113"/>
      <c r="P342" s="113"/>
      <c r="Q342" s="113"/>
      <c r="R342" s="113"/>
      <c r="T342" s="113"/>
      <c r="U342" s="113"/>
      <c r="V342" s="113"/>
    </row>
    <row r="343" customFormat="false" ht="15" hidden="false" customHeight="true" outlineLevel="0" collapsed="false">
      <c r="H343" s="113"/>
      <c r="I343" s="113"/>
      <c r="J343" s="113"/>
      <c r="L343" s="113"/>
      <c r="M343" s="113"/>
      <c r="N343" s="113"/>
      <c r="P343" s="113"/>
      <c r="Q343" s="113"/>
      <c r="R343" s="113"/>
      <c r="T343" s="113"/>
      <c r="U343" s="113"/>
      <c r="V343" s="113"/>
    </row>
    <row r="344" customFormat="false" ht="15" hidden="false" customHeight="true" outlineLevel="0" collapsed="false">
      <c r="H344" s="113"/>
      <c r="I344" s="113"/>
      <c r="J344" s="113"/>
      <c r="L344" s="113"/>
      <c r="M344" s="113"/>
      <c r="N344" s="113"/>
      <c r="P344" s="113"/>
      <c r="Q344" s="113"/>
      <c r="R344" s="113"/>
      <c r="T344" s="113"/>
      <c r="U344" s="113"/>
      <c r="V344" s="113"/>
    </row>
    <row r="345" customFormat="false" ht="15" hidden="false" customHeight="true" outlineLevel="0" collapsed="false">
      <c r="H345" s="113"/>
      <c r="I345" s="113"/>
      <c r="J345" s="113"/>
      <c r="L345" s="113"/>
      <c r="M345" s="113"/>
      <c r="N345" s="113"/>
      <c r="P345" s="113"/>
      <c r="Q345" s="113"/>
      <c r="R345" s="113"/>
      <c r="T345" s="113"/>
      <c r="U345" s="113"/>
      <c r="V345" s="113"/>
    </row>
    <row r="346" customFormat="false" ht="15" hidden="false" customHeight="true" outlineLevel="0" collapsed="false">
      <c r="H346" s="113"/>
      <c r="I346" s="113"/>
      <c r="J346" s="113"/>
      <c r="L346" s="113"/>
      <c r="M346" s="113"/>
      <c r="N346" s="113"/>
      <c r="P346" s="113"/>
      <c r="Q346" s="113"/>
      <c r="R346" s="113"/>
      <c r="T346" s="113"/>
      <c r="U346" s="113"/>
      <c r="V346" s="113"/>
    </row>
    <row r="347" customFormat="false" ht="15" hidden="false" customHeight="true" outlineLevel="0" collapsed="false">
      <c r="H347" s="113"/>
      <c r="I347" s="113"/>
      <c r="J347" s="113"/>
      <c r="L347" s="113"/>
      <c r="M347" s="113"/>
      <c r="N347" s="113"/>
      <c r="P347" s="113"/>
      <c r="Q347" s="113"/>
      <c r="R347" s="113"/>
      <c r="T347" s="113"/>
      <c r="U347" s="113"/>
      <c r="V347" s="113"/>
    </row>
    <row r="348" customFormat="false" ht="15" hidden="false" customHeight="true" outlineLevel="0" collapsed="false">
      <c r="H348" s="113"/>
      <c r="I348" s="113"/>
      <c r="J348" s="113"/>
      <c r="L348" s="113"/>
      <c r="M348" s="113"/>
      <c r="N348" s="113"/>
      <c r="P348" s="113"/>
      <c r="Q348" s="113"/>
      <c r="R348" s="113"/>
      <c r="T348" s="113"/>
      <c r="U348" s="113"/>
      <c r="V348" s="113"/>
    </row>
    <row r="349" customFormat="false" ht="15" hidden="false" customHeight="true" outlineLevel="0" collapsed="false">
      <c r="H349" s="113"/>
      <c r="I349" s="113"/>
      <c r="J349" s="113"/>
      <c r="L349" s="113"/>
      <c r="M349" s="113"/>
      <c r="N349" s="113"/>
      <c r="P349" s="113"/>
      <c r="Q349" s="113"/>
      <c r="R349" s="113"/>
      <c r="T349" s="113"/>
      <c r="U349" s="113"/>
      <c r="V349" s="113"/>
    </row>
    <row r="350" customFormat="false" ht="15" hidden="false" customHeight="true" outlineLevel="0" collapsed="false">
      <c r="H350" s="113"/>
      <c r="I350" s="113"/>
      <c r="J350" s="113"/>
      <c r="L350" s="113"/>
      <c r="M350" s="113"/>
      <c r="N350" s="113"/>
      <c r="P350" s="113"/>
      <c r="Q350" s="113"/>
      <c r="R350" s="113"/>
      <c r="T350" s="113"/>
      <c r="U350" s="113"/>
      <c r="V350" s="113"/>
    </row>
    <row r="351" customFormat="false" ht="15" hidden="false" customHeight="true" outlineLevel="0" collapsed="false">
      <c r="H351" s="113"/>
      <c r="I351" s="113"/>
      <c r="J351" s="113"/>
      <c r="L351" s="113"/>
      <c r="M351" s="113"/>
      <c r="N351" s="113"/>
      <c r="P351" s="113"/>
      <c r="Q351" s="113"/>
      <c r="R351" s="113"/>
      <c r="T351" s="113"/>
      <c r="U351" s="113"/>
      <c r="V351" s="113"/>
    </row>
    <row r="352" customFormat="false" ht="15" hidden="false" customHeight="true" outlineLevel="0" collapsed="false">
      <c r="H352" s="113"/>
      <c r="I352" s="113"/>
      <c r="J352" s="113"/>
      <c r="L352" s="113"/>
      <c r="M352" s="113"/>
      <c r="N352" s="113"/>
      <c r="P352" s="113"/>
      <c r="Q352" s="113"/>
      <c r="R352" s="113"/>
      <c r="T352" s="113"/>
      <c r="U352" s="113"/>
      <c r="V352" s="113"/>
    </row>
    <row r="353" customFormat="false" ht="15" hidden="false" customHeight="true" outlineLevel="0" collapsed="false">
      <c r="H353" s="113"/>
      <c r="I353" s="113"/>
      <c r="J353" s="113"/>
      <c r="L353" s="113"/>
      <c r="M353" s="113"/>
      <c r="N353" s="113"/>
      <c r="P353" s="113"/>
      <c r="Q353" s="113"/>
      <c r="R353" s="113"/>
      <c r="T353" s="113"/>
      <c r="U353" s="113"/>
      <c r="V353" s="113"/>
    </row>
    <row r="354" customFormat="false" ht="15" hidden="false" customHeight="true" outlineLevel="0" collapsed="false">
      <c r="H354" s="113"/>
      <c r="I354" s="113"/>
      <c r="J354" s="113"/>
      <c r="L354" s="113"/>
      <c r="M354" s="113"/>
      <c r="N354" s="113"/>
      <c r="P354" s="113"/>
      <c r="Q354" s="113"/>
      <c r="R354" s="113"/>
      <c r="T354" s="113"/>
      <c r="U354" s="113"/>
      <c r="V354" s="113"/>
    </row>
    <row r="355" customFormat="false" ht="15" hidden="false" customHeight="true" outlineLevel="0" collapsed="false">
      <c r="H355" s="113"/>
      <c r="I355" s="113"/>
      <c r="J355" s="113"/>
      <c r="L355" s="113"/>
      <c r="M355" s="113"/>
      <c r="N355" s="113"/>
      <c r="P355" s="113"/>
      <c r="Q355" s="113"/>
      <c r="R355" s="113"/>
      <c r="T355" s="113"/>
      <c r="U355" s="113"/>
      <c r="V355" s="113"/>
    </row>
    <row r="356" customFormat="false" ht="15" hidden="false" customHeight="true" outlineLevel="0" collapsed="false">
      <c r="H356" s="113"/>
      <c r="I356" s="113"/>
      <c r="J356" s="113"/>
      <c r="L356" s="113"/>
      <c r="M356" s="113"/>
      <c r="N356" s="113"/>
      <c r="P356" s="113"/>
      <c r="Q356" s="113"/>
      <c r="R356" s="113"/>
      <c r="T356" s="113"/>
      <c r="U356" s="113"/>
      <c r="V356" s="113"/>
    </row>
    <row r="357" customFormat="false" ht="15" hidden="false" customHeight="true" outlineLevel="0" collapsed="false">
      <c r="H357" s="113"/>
      <c r="I357" s="113"/>
      <c r="J357" s="113"/>
      <c r="L357" s="113"/>
      <c r="M357" s="113"/>
      <c r="N357" s="113"/>
      <c r="P357" s="113"/>
      <c r="Q357" s="113"/>
      <c r="R357" s="113"/>
      <c r="T357" s="113"/>
      <c r="U357" s="113"/>
      <c r="V357" s="113"/>
    </row>
    <row r="358" customFormat="false" ht="15" hidden="false" customHeight="true" outlineLevel="0" collapsed="false">
      <c r="H358" s="113"/>
      <c r="I358" s="113"/>
      <c r="J358" s="113"/>
      <c r="L358" s="113"/>
      <c r="M358" s="113"/>
      <c r="N358" s="113"/>
      <c r="P358" s="113"/>
      <c r="Q358" s="113"/>
      <c r="R358" s="113"/>
      <c r="T358" s="113"/>
      <c r="U358" s="113"/>
      <c r="V358" s="113"/>
    </row>
    <row r="359" customFormat="false" ht="15" hidden="false" customHeight="true" outlineLevel="0" collapsed="false">
      <c r="H359" s="113"/>
      <c r="I359" s="113"/>
      <c r="J359" s="113"/>
      <c r="L359" s="113"/>
      <c r="M359" s="113"/>
      <c r="N359" s="113"/>
      <c r="P359" s="113"/>
      <c r="Q359" s="113"/>
      <c r="R359" s="113"/>
      <c r="T359" s="113"/>
      <c r="U359" s="113"/>
      <c r="V359" s="113"/>
    </row>
    <row r="360" customFormat="false" ht="15" hidden="false" customHeight="true" outlineLevel="0" collapsed="false">
      <c r="H360" s="113"/>
      <c r="I360" s="113"/>
      <c r="J360" s="113"/>
      <c r="L360" s="113"/>
      <c r="M360" s="113"/>
      <c r="N360" s="113"/>
      <c r="P360" s="113"/>
      <c r="Q360" s="113"/>
      <c r="R360" s="113"/>
      <c r="T360" s="113"/>
      <c r="U360" s="113"/>
      <c r="V360" s="113"/>
    </row>
    <row r="361" customFormat="false" ht="15" hidden="false" customHeight="true" outlineLevel="0" collapsed="false">
      <c r="H361" s="113"/>
      <c r="I361" s="113"/>
      <c r="J361" s="113"/>
      <c r="L361" s="113"/>
      <c r="M361" s="113"/>
      <c r="N361" s="113"/>
      <c r="P361" s="113"/>
      <c r="Q361" s="113"/>
      <c r="R361" s="113"/>
      <c r="T361" s="113"/>
      <c r="U361" s="113"/>
      <c r="V361" s="113"/>
    </row>
    <row r="362" customFormat="false" ht="15" hidden="false" customHeight="true" outlineLevel="0" collapsed="false">
      <c r="H362" s="113"/>
      <c r="I362" s="113"/>
      <c r="J362" s="113"/>
      <c r="L362" s="113"/>
      <c r="M362" s="113"/>
      <c r="N362" s="113"/>
      <c r="P362" s="113"/>
      <c r="Q362" s="113"/>
      <c r="R362" s="113"/>
      <c r="T362" s="113"/>
      <c r="U362" s="113"/>
      <c r="V362" s="113"/>
    </row>
    <row r="363" customFormat="false" ht="15" hidden="false" customHeight="true" outlineLevel="0" collapsed="false">
      <c r="H363" s="113"/>
      <c r="I363" s="113"/>
      <c r="J363" s="113"/>
      <c r="L363" s="113"/>
      <c r="M363" s="113"/>
      <c r="N363" s="113"/>
      <c r="P363" s="113"/>
      <c r="Q363" s="113"/>
      <c r="R363" s="113"/>
      <c r="T363" s="113"/>
      <c r="U363" s="113"/>
      <c r="V363" s="113"/>
    </row>
    <row r="364" customFormat="false" ht="15" hidden="false" customHeight="true" outlineLevel="0" collapsed="false">
      <c r="H364" s="113"/>
      <c r="I364" s="113"/>
      <c r="J364" s="113"/>
      <c r="L364" s="113"/>
      <c r="M364" s="113"/>
      <c r="N364" s="113"/>
      <c r="P364" s="113"/>
      <c r="Q364" s="113"/>
      <c r="R364" s="113"/>
      <c r="T364" s="113"/>
      <c r="U364" s="113"/>
      <c r="V364" s="113"/>
    </row>
    <row r="365" customFormat="false" ht="15" hidden="false" customHeight="true" outlineLevel="0" collapsed="false">
      <c r="H365" s="113"/>
      <c r="I365" s="113"/>
      <c r="J365" s="113"/>
      <c r="L365" s="113"/>
      <c r="M365" s="113"/>
      <c r="N365" s="113"/>
      <c r="P365" s="113"/>
      <c r="Q365" s="113"/>
      <c r="R365" s="113"/>
      <c r="T365" s="113"/>
      <c r="U365" s="113"/>
      <c r="V365" s="113"/>
    </row>
    <row r="366" customFormat="false" ht="15" hidden="false" customHeight="true" outlineLevel="0" collapsed="false">
      <c r="H366" s="113"/>
      <c r="I366" s="113"/>
      <c r="J366" s="113"/>
      <c r="L366" s="113"/>
      <c r="M366" s="113"/>
      <c r="N366" s="113"/>
      <c r="P366" s="113"/>
      <c r="Q366" s="113"/>
      <c r="R366" s="113"/>
      <c r="T366" s="113"/>
      <c r="U366" s="113"/>
      <c r="V366" s="113"/>
    </row>
    <row r="367" customFormat="false" ht="15" hidden="false" customHeight="true" outlineLevel="0" collapsed="false">
      <c r="H367" s="113"/>
      <c r="I367" s="113"/>
      <c r="J367" s="113"/>
      <c r="L367" s="113"/>
      <c r="M367" s="113"/>
      <c r="N367" s="113"/>
      <c r="P367" s="113"/>
      <c r="Q367" s="113"/>
      <c r="R367" s="113"/>
      <c r="T367" s="113"/>
      <c r="U367" s="113"/>
      <c r="V367" s="113"/>
    </row>
    <row r="368" customFormat="false" ht="15" hidden="false" customHeight="true" outlineLevel="0" collapsed="false">
      <c r="H368" s="113"/>
      <c r="I368" s="113"/>
      <c r="J368" s="113"/>
      <c r="L368" s="113"/>
      <c r="M368" s="113"/>
      <c r="N368" s="113"/>
      <c r="P368" s="113"/>
      <c r="Q368" s="113"/>
      <c r="R368" s="113"/>
      <c r="T368" s="113"/>
      <c r="U368" s="113"/>
      <c r="V368" s="113"/>
    </row>
    <row r="369" customFormat="false" ht="15" hidden="false" customHeight="true" outlineLevel="0" collapsed="false">
      <c r="H369" s="113"/>
      <c r="I369" s="113"/>
      <c r="J369" s="113"/>
      <c r="L369" s="113"/>
      <c r="M369" s="113"/>
      <c r="N369" s="113"/>
      <c r="P369" s="113"/>
      <c r="Q369" s="113"/>
      <c r="R369" s="113"/>
      <c r="T369" s="113"/>
      <c r="U369" s="113"/>
      <c r="V369" s="113"/>
    </row>
    <row r="370" customFormat="false" ht="15" hidden="false" customHeight="true" outlineLevel="0" collapsed="false">
      <c r="H370" s="113"/>
      <c r="I370" s="113"/>
      <c r="J370" s="113"/>
      <c r="L370" s="113"/>
      <c r="M370" s="113"/>
      <c r="N370" s="113"/>
      <c r="P370" s="113"/>
      <c r="Q370" s="113"/>
      <c r="R370" s="113"/>
      <c r="T370" s="113"/>
      <c r="U370" s="113"/>
      <c r="V370" s="113"/>
    </row>
    <row r="371" customFormat="false" ht="15" hidden="false" customHeight="true" outlineLevel="0" collapsed="false">
      <c r="H371" s="113"/>
      <c r="I371" s="113"/>
      <c r="J371" s="113"/>
      <c r="L371" s="113"/>
      <c r="M371" s="113"/>
      <c r="N371" s="113"/>
      <c r="P371" s="113"/>
      <c r="Q371" s="113"/>
      <c r="R371" s="113"/>
      <c r="T371" s="113"/>
      <c r="U371" s="113"/>
      <c r="V371" s="113"/>
    </row>
    <row r="372" customFormat="false" ht="15" hidden="false" customHeight="true" outlineLevel="0" collapsed="false">
      <c r="H372" s="113"/>
      <c r="I372" s="113"/>
      <c r="J372" s="113"/>
      <c r="L372" s="113"/>
      <c r="M372" s="113"/>
      <c r="N372" s="113"/>
      <c r="P372" s="113"/>
      <c r="Q372" s="113"/>
      <c r="R372" s="113"/>
      <c r="T372" s="113"/>
      <c r="U372" s="113"/>
      <c r="V372" s="113"/>
    </row>
    <row r="373" customFormat="false" ht="15" hidden="false" customHeight="true" outlineLevel="0" collapsed="false">
      <c r="H373" s="113"/>
      <c r="I373" s="113"/>
      <c r="J373" s="113"/>
      <c r="L373" s="113"/>
      <c r="M373" s="113"/>
      <c r="N373" s="113"/>
      <c r="P373" s="113"/>
      <c r="Q373" s="113"/>
      <c r="R373" s="113"/>
      <c r="T373" s="113"/>
      <c r="U373" s="113"/>
      <c r="V373" s="113"/>
    </row>
    <row r="374" customFormat="false" ht="15" hidden="false" customHeight="true" outlineLevel="0" collapsed="false">
      <c r="H374" s="113"/>
      <c r="I374" s="113"/>
      <c r="J374" s="113"/>
      <c r="L374" s="113"/>
      <c r="M374" s="113"/>
      <c r="N374" s="113"/>
      <c r="P374" s="113"/>
      <c r="Q374" s="113"/>
      <c r="R374" s="113"/>
      <c r="T374" s="113"/>
      <c r="U374" s="113"/>
      <c r="V374" s="113"/>
    </row>
    <row r="375" customFormat="false" ht="15" hidden="false" customHeight="true" outlineLevel="0" collapsed="false">
      <c r="H375" s="113"/>
      <c r="I375" s="113"/>
      <c r="J375" s="113"/>
      <c r="L375" s="113"/>
      <c r="M375" s="113"/>
      <c r="N375" s="113"/>
      <c r="P375" s="113"/>
      <c r="Q375" s="113"/>
      <c r="R375" s="113"/>
      <c r="T375" s="113"/>
      <c r="U375" s="113"/>
      <c r="V375" s="113"/>
    </row>
    <row r="376" customFormat="false" ht="15" hidden="false" customHeight="true" outlineLevel="0" collapsed="false">
      <c r="H376" s="113"/>
      <c r="I376" s="113"/>
      <c r="J376" s="113"/>
      <c r="L376" s="113"/>
      <c r="M376" s="113"/>
      <c r="N376" s="113"/>
      <c r="P376" s="113"/>
      <c r="Q376" s="113"/>
      <c r="R376" s="113"/>
      <c r="T376" s="113"/>
      <c r="U376" s="113"/>
      <c r="V376" s="113"/>
    </row>
    <row r="377" customFormat="false" ht="15" hidden="false" customHeight="true" outlineLevel="0" collapsed="false">
      <c r="H377" s="113"/>
      <c r="I377" s="113"/>
      <c r="J377" s="113"/>
      <c r="L377" s="113"/>
      <c r="M377" s="113"/>
      <c r="N377" s="113"/>
      <c r="P377" s="113"/>
      <c r="Q377" s="113"/>
      <c r="R377" s="113"/>
      <c r="T377" s="113"/>
      <c r="U377" s="113"/>
      <c r="V377" s="113"/>
    </row>
    <row r="378" customFormat="false" ht="15" hidden="false" customHeight="true" outlineLevel="0" collapsed="false">
      <c r="H378" s="113"/>
      <c r="I378" s="113"/>
      <c r="J378" s="113"/>
      <c r="L378" s="113"/>
      <c r="M378" s="113"/>
      <c r="N378" s="113"/>
      <c r="P378" s="113"/>
      <c r="Q378" s="113"/>
      <c r="R378" s="113"/>
      <c r="T378" s="113"/>
      <c r="U378" s="113"/>
      <c r="V378" s="113"/>
    </row>
    <row r="379" customFormat="false" ht="15" hidden="false" customHeight="true" outlineLevel="0" collapsed="false">
      <c r="H379" s="113"/>
      <c r="I379" s="113"/>
      <c r="J379" s="113"/>
      <c r="L379" s="113"/>
      <c r="M379" s="113"/>
      <c r="N379" s="113"/>
      <c r="P379" s="113"/>
      <c r="Q379" s="113"/>
      <c r="R379" s="113"/>
      <c r="T379" s="113"/>
      <c r="U379" s="113"/>
      <c r="V379" s="113"/>
    </row>
    <row r="380" customFormat="false" ht="15" hidden="false" customHeight="true" outlineLevel="0" collapsed="false">
      <c r="H380" s="113"/>
      <c r="I380" s="113"/>
      <c r="J380" s="113"/>
      <c r="L380" s="113"/>
      <c r="M380" s="113"/>
      <c r="N380" s="113"/>
      <c r="P380" s="113"/>
      <c r="Q380" s="113"/>
      <c r="R380" s="113"/>
      <c r="T380" s="113"/>
      <c r="U380" s="113"/>
      <c r="V380" s="113"/>
    </row>
    <row r="381" customFormat="false" ht="15" hidden="false" customHeight="true" outlineLevel="0" collapsed="false">
      <c r="H381" s="113"/>
      <c r="I381" s="113"/>
      <c r="J381" s="113"/>
      <c r="L381" s="113"/>
      <c r="M381" s="113"/>
      <c r="N381" s="113"/>
      <c r="P381" s="113"/>
      <c r="Q381" s="113"/>
      <c r="R381" s="113"/>
      <c r="T381" s="113"/>
      <c r="U381" s="113"/>
      <c r="V381" s="113"/>
    </row>
    <row r="382" customFormat="false" ht="15" hidden="false" customHeight="true" outlineLevel="0" collapsed="false">
      <c r="H382" s="113"/>
      <c r="I382" s="113"/>
      <c r="J382" s="113"/>
      <c r="L382" s="113"/>
      <c r="M382" s="113"/>
      <c r="N382" s="113"/>
      <c r="P382" s="113"/>
      <c r="Q382" s="113"/>
      <c r="R382" s="113"/>
      <c r="T382" s="113"/>
      <c r="U382" s="113"/>
      <c r="V382" s="113"/>
    </row>
    <row r="383" customFormat="false" ht="15" hidden="false" customHeight="true" outlineLevel="0" collapsed="false">
      <c r="H383" s="113"/>
      <c r="I383" s="113"/>
      <c r="J383" s="113"/>
      <c r="L383" s="113"/>
      <c r="M383" s="113"/>
      <c r="N383" s="113"/>
      <c r="P383" s="113"/>
      <c r="Q383" s="113"/>
      <c r="R383" s="113"/>
      <c r="T383" s="113"/>
      <c r="U383" s="113"/>
      <c r="V383" s="113"/>
    </row>
    <row r="384" customFormat="false" ht="15" hidden="false" customHeight="true" outlineLevel="0" collapsed="false">
      <c r="H384" s="113"/>
      <c r="I384" s="113"/>
      <c r="J384" s="113"/>
      <c r="L384" s="113"/>
      <c r="M384" s="113"/>
      <c r="N384" s="113"/>
      <c r="P384" s="113"/>
      <c r="Q384" s="113"/>
      <c r="R384" s="113"/>
      <c r="T384" s="113"/>
      <c r="U384" s="113"/>
      <c r="V384" s="113"/>
    </row>
    <row r="385" customFormat="false" ht="15" hidden="false" customHeight="true" outlineLevel="0" collapsed="false">
      <c r="H385" s="113"/>
      <c r="I385" s="113"/>
      <c r="J385" s="113"/>
      <c r="L385" s="113"/>
      <c r="M385" s="113"/>
      <c r="N385" s="113"/>
      <c r="P385" s="113"/>
      <c r="Q385" s="113"/>
      <c r="R385" s="113"/>
      <c r="T385" s="113"/>
      <c r="U385" s="113"/>
      <c r="V385" s="113"/>
    </row>
    <row r="386" customFormat="false" ht="15" hidden="false" customHeight="true" outlineLevel="0" collapsed="false">
      <c r="H386" s="113"/>
      <c r="I386" s="113"/>
      <c r="J386" s="113"/>
      <c r="L386" s="113"/>
      <c r="M386" s="113"/>
      <c r="N386" s="113"/>
      <c r="P386" s="113"/>
      <c r="Q386" s="113"/>
      <c r="R386" s="113"/>
      <c r="T386" s="113"/>
      <c r="U386" s="113"/>
      <c r="V386" s="113"/>
    </row>
    <row r="387" customFormat="false" ht="15" hidden="false" customHeight="true" outlineLevel="0" collapsed="false">
      <c r="H387" s="113"/>
      <c r="I387" s="113"/>
      <c r="J387" s="113"/>
      <c r="L387" s="113"/>
      <c r="M387" s="113"/>
      <c r="N387" s="113"/>
      <c r="P387" s="113"/>
      <c r="Q387" s="113"/>
      <c r="R387" s="113"/>
      <c r="T387" s="113"/>
      <c r="U387" s="113"/>
      <c r="V387" s="113"/>
    </row>
    <row r="388" customFormat="false" ht="15" hidden="false" customHeight="true" outlineLevel="0" collapsed="false">
      <c r="H388" s="113"/>
      <c r="I388" s="113"/>
      <c r="J388" s="113"/>
      <c r="L388" s="113"/>
      <c r="M388" s="113"/>
      <c r="N388" s="113"/>
      <c r="P388" s="113"/>
      <c r="Q388" s="113"/>
      <c r="R388" s="113"/>
      <c r="T388" s="113"/>
      <c r="U388" s="113"/>
      <c r="V388" s="113"/>
    </row>
    <row r="389" customFormat="false" ht="15" hidden="false" customHeight="true" outlineLevel="0" collapsed="false">
      <c r="H389" s="113"/>
      <c r="I389" s="113"/>
      <c r="J389" s="113"/>
      <c r="L389" s="113"/>
      <c r="M389" s="113"/>
      <c r="N389" s="113"/>
      <c r="P389" s="113"/>
      <c r="Q389" s="113"/>
      <c r="R389" s="113"/>
      <c r="T389" s="113"/>
      <c r="U389" s="113"/>
      <c r="V389" s="113"/>
    </row>
    <row r="390" customFormat="false" ht="15" hidden="false" customHeight="true" outlineLevel="0" collapsed="false">
      <c r="H390" s="113"/>
      <c r="I390" s="113"/>
      <c r="J390" s="113"/>
      <c r="L390" s="113"/>
      <c r="M390" s="113"/>
      <c r="N390" s="113"/>
      <c r="P390" s="113"/>
      <c r="Q390" s="113"/>
      <c r="R390" s="113"/>
      <c r="T390" s="113"/>
      <c r="U390" s="113"/>
      <c r="V390" s="113"/>
    </row>
    <row r="391" customFormat="false" ht="15" hidden="false" customHeight="true" outlineLevel="0" collapsed="false">
      <c r="H391" s="113"/>
      <c r="I391" s="113"/>
      <c r="J391" s="113"/>
      <c r="L391" s="113"/>
      <c r="M391" s="113"/>
      <c r="N391" s="113"/>
      <c r="P391" s="113"/>
      <c r="Q391" s="113"/>
      <c r="R391" s="113"/>
      <c r="T391" s="113"/>
      <c r="U391" s="113"/>
      <c r="V391" s="113"/>
    </row>
    <row r="392" customFormat="false" ht="15" hidden="false" customHeight="true" outlineLevel="0" collapsed="false">
      <c r="H392" s="113"/>
      <c r="I392" s="113"/>
      <c r="J392" s="113"/>
      <c r="L392" s="113"/>
      <c r="M392" s="113"/>
      <c r="N392" s="113"/>
      <c r="P392" s="113"/>
      <c r="Q392" s="113"/>
      <c r="R392" s="113"/>
      <c r="T392" s="113"/>
      <c r="U392" s="113"/>
      <c r="V392" s="113"/>
    </row>
    <row r="393" customFormat="false" ht="15" hidden="false" customHeight="true" outlineLevel="0" collapsed="false">
      <c r="H393" s="113"/>
      <c r="I393" s="113"/>
      <c r="J393" s="113"/>
      <c r="L393" s="113"/>
      <c r="M393" s="113"/>
      <c r="N393" s="113"/>
      <c r="P393" s="113"/>
      <c r="Q393" s="113"/>
      <c r="R393" s="113"/>
      <c r="T393" s="113"/>
      <c r="U393" s="113"/>
      <c r="V393" s="113"/>
    </row>
    <row r="394" customFormat="false" ht="15" hidden="false" customHeight="true" outlineLevel="0" collapsed="false">
      <c r="H394" s="113"/>
      <c r="I394" s="113"/>
      <c r="J394" s="113"/>
      <c r="L394" s="113"/>
      <c r="M394" s="113"/>
      <c r="N394" s="113"/>
      <c r="P394" s="113"/>
      <c r="Q394" s="113"/>
      <c r="R394" s="113"/>
      <c r="T394" s="113"/>
      <c r="U394" s="113"/>
      <c r="V394" s="113"/>
    </row>
    <row r="395" customFormat="false" ht="15" hidden="false" customHeight="true" outlineLevel="0" collapsed="false">
      <c r="H395" s="113"/>
      <c r="I395" s="113"/>
      <c r="J395" s="113"/>
      <c r="L395" s="113"/>
      <c r="M395" s="113"/>
      <c r="N395" s="113"/>
      <c r="P395" s="113"/>
      <c r="Q395" s="113"/>
      <c r="R395" s="113"/>
      <c r="T395" s="113"/>
      <c r="U395" s="113"/>
      <c r="V395" s="113"/>
    </row>
    <row r="396" customFormat="false" ht="15" hidden="false" customHeight="true" outlineLevel="0" collapsed="false">
      <c r="H396" s="113"/>
      <c r="I396" s="113"/>
      <c r="J396" s="113"/>
      <c r="L396" s="113"/>
      <c r="M396" s="113"/>
      <c r="N396" s="113"/>
      <c r="P396" s="113"/>
      <c r="Q396" s="113"/>
      <c r="R396" s="113"/>
      <c r="T396" s="113"/>
      <c r="U396" s="113"/>
      <c r="V396" s="113"/>
    </row>
    <row r="397" customFormat="false" ht="15" hidden="false" customHeight="true" outlineLevel="0" collapsed="false">
      <c r="H397" s="113"/>
      <c r="I397" s="113"/>
      <c r="J397" s="113"/>
      <c r="L397" s="113"/>
      <c r="M397" s="113"/>
      <c r="N397" s="113"/>
      <c r="P397" s="113"/>
      <c r="Q397" s="113"/>
      <c r="R397" s="113"/>
      <c r="T397" s="113"/>
      <c r="U397" s="113"/>
      <c r="V397" s="113"/>
    </row>
    <row r="398" customFormat="false" ht="15" hidden="false" customHeight="true" outlineLevel="0" collapsed="false">
      <c r="H398" s="113"/>
      <c r="I398" s="113"/>
      <c r="J398" s="113"/>
      <c r="L398" s="113"/>
      <c r="M398" s="113"/>
      <c r="N398" s="113"/>
      <c r="P398" s="113"/>
      <c r="Q398" s="113"/>
      <c r="R398" s="113"/>
      <c r="T398" s="113"/>
      <c r="U398" s="113"/>
      <c r="V398" s="113"/>
    </row>
    <row r="399" customFormat="false" ht="15" hidden="false" customHeight="true" outlineLevel="0" collapsed="false">
      <c r="H399" s="113"/>
      <c r="I399" s="113"/>
      <c r="J399" s="113"/>
      <c r="L399" s="113"/>
      <c r="M399" s="113"/>
      <c r="N399" s="113"/>
      <c r="P399" s="113"/>
      <c r="Q399" s="113"/>
      <c r="R399" s="113"/>
      <c r="T399" s="113"/>
      <c r="U399" s="113"/>
      <c r="V399" s="113"/>
    </row>
    <row r="400" customFormat="false" ht="15" hidden="false" customHeight="true" outlineLevel="0" collapsed="false">
      <c r="H400" s="113"/>
      <c r="I400" s="113"/>
      <c r="J400" s="113"/>
      <c r="L400" s="113"/>
      <c r="M400" s="113"/>
      <c r="N400" s="113"/>
      <c r="P400" s="113"/>
      <c r="Q400" s="113"/>
      <c r="R400" s="113"/>
      <c r="T400" s="113"/>
      <c r="U400" s="113"/>
      <c r="V400" s="113"/>
    </row>
    <row r="401" customFormat="false" ht="15" hidden="false" customHeight="true" outlineLevel="0" collapsed="false">
      <c r="H401" s="113"/>
      <c r="I401" s="113"/>
      <c r="J401" s="113"/>
      <c r="L401" s="113"/>
      <c r="M401" s="113"/>
      <c r="N401" s="113"/>
      <c r="P401" s="113"/>
      <c r="Q401" s="113"/>
      <c r="R401" s="113"/>
      <c r="T401" s="113"/>
      <c r="U401" s="113"/>
      <c r="V401" s="113"/>
    </row>
    <row r="402" customFormat="false" ht="15" hidden="false" customHeight="true" outlineLevel="0" collapsed="false">
      <c r="H402" s="113"/>
      <c r="I402" s="113"/>
      <c r="J402" s="113"/>
      <c r="L402" s="113"/>
      <c r="M402" s="113"/>
      <c r="N402" s="113"/>
      <c r="P402" s="113"/>
      <c r="Q402" s="113"/>
      <c r="R402" s="113"/>
      <c r="T402" s="113"/>
      <c r="U402" s="113"/>
      <c r="V402" s="113"/>
    </row>
    <row r="403" customFormat="false" ht="15" hidden="false" customHeight="true" outlineLevel="0" collapsed="false">
      <c r="H403" s="113"/>
      <c r="I403" s="113"/>
      <c r="J403" s="113"/>
      <c r="L403" s="113"/>
      <c r="M403" s="113"/>
      <c r="N403" s="113"/>
      <c r="P403" s="113"/>
      <c r="Q403" s="113"/>
      <c r="R403" s="113"/>
      <c r="T403" s="113"/>
      <c r="U403" s="113"/>
      <c r="V403" s="113"/>
    </row>
    <row r="404" customFormat="false" ht="15" hidden="false" customHeight="true" outlineLevel="0" collapsed="false">
      <c r="H404" s="113"/>
      <c r="I404" s="113"/>
      <c r="J404" s="113"/>
      <c r="L404" s="113"/>
      <c r="M404" s="113"/>
      <c r="N404" s="113"/>
      <c r="P404" s="113"/>
      <c r="Q404" s="113"/>
      <c r="R404" s="113"/>
      <c r="T404" s="113"/>
      <c r="U404" s="113"/>
      <c r="V404" s="113"/>
    </row>
    <row r="405" customFormat="false" ht="15" hidden="false" customHeight="true" outlineLevel="0" collapsed="false">
      <c r="H405" s="113"/>
      <c r="I405" s="113"/>
      <c r="J405" s="113"/>
      <c r="L405" s="113"/>
      <c r="M405" s="113"/>
      <c r="N405" s="113"/>
      <c r="P405" s="113"/>
      <c r="Q405" s="113"/>
      <c r="R405" s="113"/>
      <c r="T405" s="113"/>
      <c r="U405" s="113"/>
      <c r="V405" s="113"/>
    </row>
    <row r="406" customFormat="false" ht="15" hidden="false" customHeight="true" outlineLevel="0" collapsed="false">
      <c r="H406" s="113"/>
      <c r="I406" s="113"/>
      <c r="J406" s="113"/>
      <c r="L406" s="113"/>
      <c r="M406" s="113"/>
      <c r="N406" s="113"/>
      <c r="P406" s="113"/>
      <c r="Q406" s="113"/>
      <c r="R406" s="113"/>
      <c r="T406" s="113"/>
      <c r="U406" s="113"/>
      <c r="V406" s="113"/>
    </row>
    <row r="407" customFormat="false" ht="15" hidden="false" customHeight="true" outlineLevel="0" collapsed="false">
      <c r="H407" s="113"/>
      <c r="I407" s="113"/>
      <c r="J407" s="113"/>
      <c r="L407" s="113"/>
      <c r="M407" s="113"/>
      <c r="N407" s="113"/>
      <c r="P407" s="113"/>
      <c r="Q407" s="113"/>
      <c r="R407" s="113"/>
      <c r="T407" s="113"/>
      <c r="U407" s="113"/>
      <c r="V407" s="113"/>
    </row>
    <row r="408" customFormat="false" ht="15" hidden="false" customHeight="true" outlineLevel="0" collapsed="false">
      <c r="H408" s="113"/>
      <c r="I408" s="113"/>
      <c r="J408" s="113"/>
      <c r="L408" s="113"/>
      <c r="M408" s="113"/>
      <c r="N408" s="113"/>
      <c r="P408" s="113"/>
      <c r="Q408" s="113"/>
      <c r="R408" s="113"/>
      <c r="T408" s="113"/>
      <c r="U408" s="113"/>
      <c r="V408" s="113"/>
    </row>
    <row r="409" customFormat="false" ht="15" hidden="false" customHeight="true" outlineLevel="0" collapsed="false">
      <c r="H409" s="113"/>
      <c r="I409" s="113"/>
      <c r="J409" s="113"/>
      <c r="L409" s="113"/>
      <c r="M409" s="113"/>
      <c r="N409" s="113"/>
      <c r="P409" s="113"/>
      <c r="Q409" s="113"/>
      <c r="R409" s="113"/>
      <c r="T409" s="113"/>
      <c r="U409" s="113"/>
      <c r="V409" s="113"/>
    </row>
    <row r="410" customFormat="false" ht="15" hidden="false" customHeight="true" outlineLevel="0" collapsed="false">
      <c r="H410" s="113"/>
      <c r="I410" s="113"/>
      <c r="J410" s="113"/>
      <c r="L410" s="113"/>
      <c r="M410" s="113"/>
      <c r="N410" s="113"/>
      <c r="P410" s="113"/>
      <c r="Q410" s="113"/>
      <c r="R410" s="113"/>
      <c r="T410" s="113"/>
      <c r="U410" s="113"/>
      <c r="V410" s="113"/>
    </row>
    <row r="411" customFormat="false" ht="15" hidden="false" customHeight="true" outlineLevel="0" collapsed="false">
      <c r="H411" s="113"/>
      <c r="I411" s="113"/>
      <c r="J411" s="113"/>
      <c r="L411" s="113"/>
      <c r="M411" s="113"/>
      <c r="N411" s="113"/>
      <c r="P411" s="113"/>
      <c r="Q411" s="113"/>
      <c r="R411" s="113"/>
      <c r="T411" s="113"/>
      <c r="U411" s="113"/>
      <c r="V411" s="113"/>
    </row>
    <row r="412" customFormat="false" ht="15" hidden="false" customHeight="true" outlineLevel="0" collapsed="false">
      <c r="H412" s="113"/>
      <c r="I412" s="113"/>
      <c r="J412" s="113"/>
      <c r="L412" s="113"/>
      <c r="M412" s="113"/>
      <c r="N412" s="113"/>
      <c r="P412" s="113"/>
      <c r="Q412" s="113"/>
      <c r="R412" s="113"/>
      <c r="T412" s="113"/>
      <c r="U412" s="113"/>
      <c r="V412" s="113"/>
    </row>
    <row r="413" customFormat="false" ht="15" hidden="false" customHeight="true" outlineLevel="0" collapsed="false">
      <c r="H413" s="113"/>
      <c r="I413" s="113"/>
      <c r="J413" s="113"/>
      <c r="L413" s="113"/>
      <c r="M413" s="113"/>
      <c r="N413" s="113"/>
      <c r="P413" s="113"/>
      <c r="Q413" s="113"/>
      <c r="R413" s="113"/>
      <c r="T413" s="113"/>
      <c r="U413" s="113"/>
      <c r="V413" s="113"/>
    </row>
    <row r="414" customFormat="false" ht="15" hidden="false" customHeight="true" outlineLevel="0" collapsed="false">
      <c r="H414" s="113"/>
      <c r="I414" s="113"/>
      <c r="J414" s="113"/>
      <c r="L414" s="113"/>
      <c r="M414" s="113"/>
      <c r="N414" s="113"/>
      <c r="P414" s="113"/>
      <c r="Q414" s="113"/>
      <c r="R414" s="113"/>
      <c r="T414" s="113"/>
      <c r="U414" s="113"/>
      <c r="V414" s="113"/>
    </row>
    <row r="415" customFormat="false" ht="15" hidden="false" customHeight="true" outlineLevel="0" collapsed="false">
      <c r="H415" s="113"/>
      <c r="I415" s="113"/>
      <c r="J415" s="113"/>
      <c r="L415" s="113"/>
      <c r="M415" s="113"/>
      <c r="N415" s="113"/>
      <c r="P415" s="113"/>
      <c r="Q415" s="113"/>
      <c r="R415" s="113"/>
      <c r="T415" s="113"/>
      <c r="U415" s="113"/>
      <c r="V415" s="113"/>
    </row>
    <row r="416" customFormat="false" ht="15" hidden="false" customHeight="true" outlineLevel="0" collapsed="false">
      <c r="H416" s="113"/>
      <c r="I416" s="113"/>
      <c r="J416" s="113"/>
      <c r="L416" s="113"/>
      <c r="M416" s="113"/>
      <c r="N416" s="113"/>
      <c r="P416" s="113"/>
      <c r="Q416" s="113"/>
      <c r="R416" s="113"/>
      <c r="T416" s="113"/>
      <c r="U416" s="113"/>
      <c r="V416" s="113"/>
    </row>
    <row r="417" customFormat="false" ht="15" hidden="false" customHeight="true" outlineLevel="0" collapsed="false">
      <c r="H417" s="113"/>
      <c r="I417" s="113"/>
      <c r="J417" s="113"/>
      <c r="L417" s="113"/>
      <c r="M417" s="113"/>
      <c r="N417" s="113"/>
      <c r="P417" s="113"/>
      <c r="Q417" s="113"/>
      <c r="R417" s="113"/>
      <c r="T417" s="113"/>
      <c r="U417" s="113"/>
      <c r="V417" s="113"/>
    </row>
    <row r="418" customFormat="false" ht="15" hidden="false" customHeight="true" outlineLevel="0" collapsed="false">
      <c r="H418" s="113"/>
      <c r="I418" s="113"/>
      <c r="J418" s="113"/>
      <c r="L418" s="113"/>
      <c r="M418" s="113"/>
      <c r="N418" s="113"/>
      <c r="P418" s="113"/>
      <c r="Q418" s="113"/>
      <c r="R418" s="113"/>
      <c r="T418" s="113"/>
      <c r="U418" s="113"/>
      <c r="V418" s="113"/>
    </row>
    <row r="419" customFormat="false" ht="15" hidden="false" customHeight="true" outlineLevel="0" collapsed="false">
      <c r="H419" s="113"/>
      <c r="I419" s="113"/>
      <c r="J419" s="113"/>
      <c r="L419" s="113"/>
      <c r="M419" s="113"/>
      <c r="N419" s="113"/>
      <c r="P419" s="113"/>
      <c r="Q419" s="113"/>
      <c r="R419" s="113"/>
      <c r="T419" s="113"/>
      <c r="U419" s="113"/>
      <c r="V419" s="113"/>
    </row>
    <row r="420" customFormat="false" ht="15" hidden="false" customHeight="true" outlineLevel="0" collapsed="false">
      <c r="H420" s="113"/>
      <c r="I420" s="113"/>
      <c r="J420" s="113"/>
      <c r="L420" s="113"/>
      <c r="M420" s="113"/>
      <c r="N420" s="113"/>
      <c r="P420" s="113"/>
      <c r="Q420" s="113"/>
      <c r="R420" s="113"/>
      <c r="T420" s="113"/>
      <c r="U420" s="113"/>
      <c r="V420" s="113"/>
    </row>
    <row r="421" customFormat="false" ht="15" hidden="false" customHeight="true" outlineLevel="0" collapsed="false">
      <c r="H421" s="113"/>
      <c r="I421" s="113"/>
      <c r="J421" s="113"/>
      <c r="L421" s="113"/>
      <c r="M421" s="113"/>
      <c r="N421" s="113"/>
      <c r="P421" s="113"/>
      <c r="Q421" s="113"/>
      <c r="R421" s="113"/>
      <c r="T421" s="113"/>
      <c r="U421" s="113"/>
      <c r="V421" s="113"/>
    </row>
    <row r="422" customFormat="false" ht="15" hidden="false" customHeight="true" outlineLevel="0" collapsed="false">
      <c r="H422" s="113"/>
      <c r="I422" s="113"/>
      <c r="J422" s="113"/>
      <c r="L422" s="113"/>
      <c r="M422" s="113"/>
      <c r="N422" s="113"/>
      <c r="P422" s="113"/>
      <c r="Q422" s="113"/>
      <c r="R422" s="113"/>
      <c r="T422" s="113"/>
      <c r="U422" s="113"/>
      <c r="V422" s="113"/>
    </row>
    <row r="423" customFormat="false" ht="15" hidden="false" customHeight="true" outlineLevel="0" collapsed="false">
      <c r="H423" s="113"/>
      <c r="I423" s="113"/>
      <c r="J423" s="113"/>
      <c r="L423" s="113"/>
      <c r="M423" s="113"/>
      <c r="N423" s="113"/>
      <c r="P423" s="113"/>
      <c r="Q423" s="113"/>
      <c r="R423" s="113"/>
      <c r="T423" s="113"/>
      <c r="U423" s="113"/>
      <c r="V423" s="113"/>
    </row>
    <row r="424" customFormat="false" ht="15" hidden="false" customHeight="true" outlineLevel="0" collapsed="false">
      <c r="H424" s="113"/>
      <c r="I424" s="113"/>
      <c r="J424" s="113"/>
      <c r="L424" s="113"/>
      <c r="M424" s="113"/>
      <c r="N424" s="113"/>
      <c r="P424" s="113"/>
      <c r="Q424" s="113"/>
      <c r="R424" s="113"/>
      <c r="T424" s="113"/>
      <c r="U424" s="113"/>
      <c r="V424" s="113"/>
    </row>
    <row r="425" customFormat="false" ht="15" hidden="false" customHeight="true" outlineLevel="0" collapsed="false">
      <c r="H425" s="113"/>
      <c r="I425" s="113"/>
      <c r="J425" s="113"/>
      <c r="L425" s="113"/>
      <c r="M425" s="113"/>
      <c r="N425" s="113"/>
      <c r="P425" s="113"/>
      <c r="Q425" s="113"/>
      <c r="R425" s="113"/>
      <c r="T425" s="113"/>
      <c r="U425" s="113"/>
      <c r="V425" s="113"/>
    </row>
    <row r="426" customFormat="false" ht="15" hidden="false" customHeight="true" outlineLevel="0" collapsed="false">
      <c r="H426" s="113"/>
      <c r="I426" s="113"/>
      <c r="J426" s="113"/>
      <c r="L426" s="113"/>
      <c r="M426" s="113"/>
      <c r="N426" s="113"/>
      <c r="P426" s="113"/>
      <c r="Q426" s="113"/>
      <c r="R426" s="113"/>
      <c r="T426" s="113"/>
      <c r="U426" s="113"/>
      <c r="V426" s="113"/>
    </row>
    <row r="427" customFormat="false" ht="15" hidden="false" customHeight="true" outlineLevel="0" collapsed="false">
      <c r="H427" s="113"/>
      <c r="I427" s="113"/>
      <c r="J427" s="113"/>
      <c r="L427" s="113"/>
      <c r="M427" s="113"/>
      <c r="N427" s="113"/>
      <c r="P427" s="113"/>
      <c r="Q427" s="113"/>
      <c r="R427" s="113"/>
      <c r="T427" s="113"/>
      <c r="U427" s="113"/>
      <c r="V427" s="113"/>
    </row>
    <row r="428" customFormat="false" ht="15" hidden="false" customHeight="true" outlineLevel="0" collapsed="false">
      <c r="H428" s="113"/>
      <c r="I428" s="113"/>
      <c r="J428" s="113"/>
      <c r="L428" s="113"/>
      <c r="M428" s="113"/>
      <c r="N428" s="113"/>
      <c r="P428" s="113"/>
      <c r="Q428" s="113"/>
      <c r="R428" s="113"/>
      <c r="T428" s="113"/>
      <c r="U428" s="113"/>
      <c r="V428" s="113"/>
    </row>
    <row r="429" customFormat="false" ht="15" hidden="false" customHeight="true" outlineLevel="0" collapsed="false">
      <c r="H429" s="113"/>
      <c r="I429" s="113"/>
      <c r="J429" s="113"/>
      <c r="L429" s="113"/>
      <c r="M429" s="113"/>
      <c r="N429" s="113"/>
      <c r="P429" s="113"/>
      <c r="Q429" s="113"/>
      <c r="R429" s="113"/>
      <c r="T429" s="113"/>
      <c r="U429" s="113"/>
      <c r="V429" s="113"/>
    </row>
    <row r="430" customFormat="false" ht="15" hidden="false" customHeight="true" outlineLevel="0" collapsed="false">
      <c r="H430" s="113"/>
      <c r="I430" s="113"/>
      <c r="J430" s="113"/>
      <c r="L430" s="113"/>
      <c r="M430" s="113"/>
      <c r="N430" s="113"/>
      <c r="P430" s="113"/>
      <c r="Q430" s="113"/>
      <c r="R430" s="113"/>
      <c r="T430" s="113"/>
      <c r="U430" s="113"/>
      <c r="V430" s="113"/>
    </row>
    <row r="431" customFormat="false" ht="15" hidden="false" customHeight="true" outlineLevel="0" collapsed="false">
      <c r="H431" s="113"/>
      <c r="I431" s="113"/>
      <c r="J431" s="113"/>
      <c r="L431" s="113"/>
      <c r="M431" s="113"/>
      <c r="N431" s="113"/>
      <c r="P431" s="113"/>
      <c r="Q431" s="113"/>
      <c r="R431" s="113"/>
      <c r="T431" s="113"/>
      <c r="U431" s="113"/>
      <c r="V431" s="113"/>
    </row>
    <row r="432" customFormat="false" ht="15" hidden="false" customHeight="true" outlineLevel="0" collapsed="false">
      <c r="H432" s="113"/>
      <c r="I432" s="113"/>
      <c r="J432" s="113"/>
      <c r="L432" s="113"/>
      <c r="M432" s="113"/>
      <c r="N432" s="113"/>
      <c r="P432" s="113"/>
      <c r="Q432" s="113"/>
      <c r="R432" s="113"/>
      <c r="T432" s="113"/>
      <c r="U432" s="113"/>
      <c r="V432" s="113"/>
    </row>
    <row r="433" customFormat="false" ht="15" hidden="false" customHeight="true" outlineLevel="0" collapsed="false">
      <c r="H433" s="113"/>
      <c r="I433" s="113"/>
      <c r="J433" s="113"/>
      <c r="L433" s="113"/>
      <c r="M433" s="113"/>
      <c r="N433" s="113"/>
      <c r="P433" s="113"/>
      <c r="Q433" s="113"/>
      <c r="R433" s="113"/>
      <c r="T433" s="113"/>
      <c r="U433" s="113"/>
      <c r="V433" s="113"/>
    </row>
    <row r="434" customFormat="false" ht="15" hidden="false" customHeight="true" outlineLevel="0" collapsed="false">
      <c r="H434" s="113"/>
      <c r="I434" s="113"/>
      <c r="J434" s="113"/>
      <c r="L434" s="113"/>
      <c r="M434" s="113"/>
      <c r="N434" s="113"/>
      <c r="P434" s="113"/>
      <c r="Q434" s="113"/>
      <c r="R434" s="113"/>
      <c r="T434" s="113"/>
      <c r="U434" s="113"/>
      <c r="V434" s="113"/>
    </row>
    <row r="435" customFormat="false" ht="15" hidden="false" customHeight="true" outlineLevel="0" collapsed="false">
      <c r="H435" s="113"/>
      <c r="I435" s="113"/>
      <c r="J435" s="113"/>
      <c r="L435" s="113"/>
      <c r="M435" s="113"/>
      <c r="N435" s="113"/>
      <c r="P435" s="113"/>
      <c r="Q435" s="113"/>
      <c r="R435" s="113"/>
      <c r="T435" s="113"/>
      <c r="U435" s="113"/>
      <c r="V435" s="113"/>
    </row>
    <row r="436" customFormat="false" ht="15" hidden="false" customHeight="true" outlineLevel="0" collapsed="false">
      <c r="H436" s="113"/>
      <c r="I436" s="113"/>
      <c r="J436" s="113"/>
      <c r="L436" s="113"/>
      <c r="M436" s="113"/>
      <c r="N436" s="113"/>
      <c r="P436" s="113"/>
      <c r="Q436" s="113"/>
      <c r="R436" s="113"/>
      <c r="T436" s="113"/>
      <c r="U436" s="113"/>
      <c r="V436" s="113"/>
    </row>
    <row r="437" customFormat="false" ht="15" hidden="false" customHeight="true" outlineLevel="0" collapsed="false">
      <c r="H437" s="113"/>
      <c r="I437" s="113"/>
      <c r="J437" s="113"/>
      <c r="L437" s="113"/>
      <c r="M437" s="113"/>
      <c r="N437" s="113"/>
      <c r="P437" s="113"/>
      <c r="Q437" s="113"/>
      <c r="R437" s="113"/>
      <c r="T437" s="113"/>
      <c r="U437" s="113"/>
      <c r="V437" s="113"/>
    </row>
    <row r="438" customFormat="false" ht="15" hidden="false" customHeight="true" outlineLevel="0" collapsed="false">
      <c r="H438" s="113"/>
      <c r="I438" s="113"/>
      <c r="J438" s="113"/>
      <c r="L438" s="113"/>
      <c r="M438" s="113"/>
      <c r="N438" s="113"/>
      <c r="P438" s="113"/>
      <c r="Q438" s="113"/>
      <c r="R438" s="113"/>
      <c r="T438" s="113"/>
      <c r="U438" s="113"/>
      <c r="V438" s="113"/>
    </row>
    <row r="439" customFormat="false" ht="15" hidden="false" customHeight="true" outlineLevel="0" collapsed="false">
      <c r="H439" s="113"/>
      <c r="I439" s="113"/>
      <c r="J439" s="113"/>
      <c r="L439" s="113"/>
      <c r="M439" s="113"/>
      <c r="N439" s="113"/>
      <c r="P439" s="113"/>
      <c r="Q439" s="113"/>
      <c r="R439" s="113"/>
      <c r="T439" s="113"/>
      <c r="U439" s="113"/>
      <c r="V439" s="113"/>
    </row>
    <row r="440" customFormat="false" ht="15" hidden="false" customHeight="true" outlineLevel="0" collapsed="false">
      <c r="H440" s="113"/>
      <c r="I440" s="113"/>
      <c r="J440" s="113"/>
      <c r="L440" s="113"/>
      <c r="M440" s="113"/>
      <c r="N440" s="113"/>
      <c r="P440" s="113"/>
      <c r="Q440" s="113"/>
      <c r="R440" s="113"/>
      <c r="T440" s="113"/>
      <c r="U440" s="113"/>
      <c r="V440" s="113"/>
    </row>
    <row r="441" customFormat="false" ht="15" hidden="false" customHeight="true" outlineLevel="0" collapsed="false">
      <c r="H441" s="113"/>
      <c r="I441" s="113"/>
      <c r="J441" s="113"/>
      <c r="L441" s="113"/>
      <c r="M441" s="113"/>
      <c r="N441" s="113"/>
      <c r="P441" s="113"/>
      <c r="Q441" s="113"/>
      <c r="R441" s="113"/>
      <c r="T441" s="113"/>
      <c r="U441" s="113"/>
      <c r="V441" s="113"/>
    </row>
    <row r="442" customFormat="false" ht="15" hidden="false" customHeight="true" outlineLevel="0" collapsed="false">
      <c r="H442" s="113"/>
      <c r="I442" s="113"/>
      <c r="J442" s="113"/>
      <c r="L442" s="113"/>
      <c r="M442" s="113"/>
      <c r="N442" s="113"/>
      <c r="P442" s="113"/>
      <c r="Q442" s="113"/>
      <c r="R442" s="113"/>
      <c r="T442" s="113"/>
      <c r="U442" s="113"/>
      <c r="V442" s="113"/>
    </row>
    <row r="443" customFormat="false" ht="15" hidden="false" customHeight="true" outlineLevel="0" collapsed="false">
      <c r="H443" s="113"/>
      <c r="I443" s="113"/>
      <c r="J443" s="113"/>
      <c r="L443" s="113"/>
      <c r="M443" s="113"/>
      <c r="N443" s="113"/>
      <c r="P443" s="113"/>
      <c r="Q443" s="113"/>
      <c r="R443" s="113"/>
      <c r="T443" s="113"/>
      <c r="U443" s="113"/>
      <c r="V443" s="113"/>
    </row>
    <row r="444" customFormat="false" ht="15" hidden="false" customHeight="true" outlineLevel="0" collapsed="false">
      <c r="H444" s="113"/>
      <c r="I444" s="113"/>
      <c r="J444" s="113"/>
      <c r="L444" s="113"/>
      <c r="M444" s="113"/>
      <c r="N444" s="113"/>
      <c r="P444" s="113"/>
      <c r="Q444" s="113"/>
      <c r="R444" s="113"/>
      <c r="T444" s="113"/>
      <c r="U444" s="113"/>
      <c r="V444" s="113"/>
    </row>
    <row r="445" customFormat="false" ht="15" hidden="false" customHeight="true" outlineLevel="0" collapsed="false">
      <c r="H445" s="113"/>
      <c r="I445" s="113"/>
      <c r="J445" s="113"/>
      <c r="L445" s="113"/>
      <c r="M445" s="113"/>
      <c r="N445" s="113"/>
      <c r="P445" s="113"/>
      <c r="Q445" s="113"/>
      <c r="R445" s="113"/>
      <c r="T445" s="113"/>
      <c r="U445" s="113"/>
      <c r="V445" s="113"/>
    </row>
    <row r="446" customFormat="false" ht="15" hidden="false" customHeight="true" outlineLevel="0" collapsed="false">
      <c r="H446" s="113"/>
      <c r="I446" s="113"/>
      <c r="J446" s="113"/>
      <c r="L446" s="113"/>
      <c r="M446" s="113"/>
      <c r="N446" s="113"/>
      <c r="P446" s="113"/>
      <c r="Q446" s="113"/>
      <c r="R446" s="113"/>
      <c r="T446" s="113"/>
      <c r="U446" s="113"/>
      <c r="V446" s="113"/>
    </row>
    <row r="447" customFormat="false" ht="15" hidden="false" customHeight="true" outlineLevel="0" collapsed="false">
      <c r="H447" s="113"/>
      <c r="I447" s="113"/>
      <c r="J447" s="113"/>
      <c r="L447" s="113"/>
      <c r="M447" s="113"/>
      <c r="N447" s="113"/>
      <c r="P447" s="113"/>
      <c r="Q447" s="113"/>
      <c r="R447" s="113"/>
      <c r="T447" s="113"/>
      <c r="U447" s="113"/>
      <c r="V447" s="113"/>
    </row>
    <row r="448" customFormat="false" ht="15" hidden="false" customHeight="true" outlineLevel="0" collapsed="false">
      <c r="H448" s="113"/>
      <c r="I448" s="113"/>
      <c r="J448" s="113"/>
      <c r="L448" s="113"/>
      <c r="M448" s="113"/>
      <c r="N448" s="113"/>
      <c r="P448" s="113"/>
      <c r="Q448" s="113"/>
      <c r="R448" s="113"/>
      <c r="T448" s="113"/>
      <c r="U448" s="113"/>
      <c r="V448" s="113"/>
    </row>
    <row r="449" customFormat="false" ht="15" hidden="false" customHeight="true" outlineLevel="0" collapsed="false">
      <c r="H449" s="113"/>
      <c r="I449" s="113"/>
      <c r="J449" s="113"/>
      <c r="L449" s="113"/>
      <c r="M449" s="113"/>
      <c r="N449" s="113"/>
      <c r="P449" s="113"/>
      <c r="Q449" s="113"/>
      <c r="R449" s="113"/>
      <c r="T449" s="113"/>
      <c r="U449" s="113"/>
      <c r="V449" s="113"/>
    </row>
    <row r="450" customFormat="false" ht="15" hidden="false" customHeight="true" outlineLevel="0" collapsed="false">
      <c r="H450" s="113"/>
      <c r="I450" s="113"/>
      <c r="J450" s="113"/>
      <c r="L450" s="113"/>
      <c r="M450" s="113"/>
      <c r="N450" s="113"/>
      <c r="P450" s="113"/>
      <c r="Q450" s="113"/>
      <c r="R450" s="113"/>
      <c r="T450" s="113"/>
      <c r="U450" s="113"/>
      <c r="V450" s="113"/>
    </row>
    <row r="451" customFormat="false" ht="15" hidden="false" customHeight="true" outlineLevel="0" collapsed="false">
      <c r="H451" s="113"/>
      <c r="I451" s="113"/>
      <c r="J451" s="113"/>
      <c r="L451" s="113"/>
      <c r="M451" s="113"/>
      <c r="N451" s="113"/>
      <c r="P451" s="113"/>
      <c r="Q451" s="113"/>
      <c r="R451" s="113"/>
      <c r="T451" s="113"/>
      <c r="U451" s="113"/>
      <c r="V451" s="113"/>
    </row>
    <row r="452" customFormat="false" ht="15" hidden="false" customHeight="true" outlineLevel="0" collapsed="false">
      <c r="H452" s="113"/>
      <c r="I452" s="113"/>
      <c r="J452" s="113"/>
      <c r="L452" s="113"/>
      <c r="M452" s="113"/>
      <c r="N452" s="113"/>
      <c r="P452" s="113"/>
      <c r="Q452" s="113"/>
      <c r="R452" s="113"/>
      <c r="T452" s="113"/>
      <c r="U452" s="113"/>
      <c r="V452" s="113"/>
    </row>
    <row r="453" customFormat="false" ht="15" hidden="false" customHeight="true" outlineLevel="0" collapsed="false">
      <c r="H453" s="113"/>
      <c r="I453" s="113"/>
      <c r="J453" s="113"/>
      <c r="L453" s="113"/>
      <c r="M453" s="113"/>
      <c r="N453" s="113"/>
      <c r="P453" s="113"/>
      <c r="Q453" s="113"/>
      <c r="R453" s="113"/>
      <c r="T453" s="113"/>
      <c r="U453" s="113"/>
      <c r="V453" s="113"/>
    </row>
    <row r="454" customFormat="false" ht="15" hidden="false" customHeight="true" outlineLevel="0" collapsed="false">
      <c r="H454" s="113"/>
      <c r="I454" s="113"/>
      <c r="J454" s="113"/>
      <c r="L454" s="113"/>
      <c r="M454" s="113"/>
      <c r="N454" s="113"/>
      <c r="P454" s="113"/>
      <c r="Q454" s="113"/>
      <c r="R454" s="113"/>
      <c r="T454" s="113"/>
      <c r="U454" s="113"/>
      <c r="V454" s="113"/>
    </row>
    <row r="455" customFormat="false" ht="15" hidden="false" customHeight="true" outlineLevel="0" collapsed="false">
      <c r="H455" s="113"/>
      <c r="I455" s="113"/>
      <c r="J455" s="113"/>
      <c r="L455" s="113"/>
      <c r="M455" s="113"/>
      <c r="N455" s="113"/>
      <c r="P455" s="113"/>
      <c r="Q455" s="113"/>
      <c r="R455" s="113"/>
      <c r="T455" s="113"/>
      <c r="U455" s="113"/>
      <c r="V455" s="113"/>
    </row>
    <row r="456" customFormat="false" ht="15" hidden="false" customHeight="true" outlineLevel="0" collapsed="false">
      <c r="H456" s="113"/>
      <c r="I456" s="113"/>
      <c r="J456" s="113"/>
      <c r="L456" s="113"/>
      <c r="M456" s="113"/>
      <c r="N456" s="113"/>
      <c r="P456" s="113"/>
      <c r="Q456" s="113"/>
      <c r="R456" s="113"/>
      <c r="T456" s="113"/>
      <c r="U456" s="113"/>
      <c r="V456" s="113"/>
    </row>
    <row r="457" customFormat="false" ht="15" hidden="false" customHeight="true" outlineLevel="0" collapsed="false">
      <c r="H457" s="113"/>
      <c r="I457" s="113"/>
      <c r="J457" s="113"/>
      <c r="L457" s="113"/>
      <c r="M457" s="113"/>
      <c r="N457" s="113"/>
      <c r="P457" s="113"/>
      <c r="Q457" s="113"/>
      <c r="R457" s="113"/>
      <c r="T457" s="113"/>
      <c r="U457" s="113"/>
      <c r="V457" s="113"/>
    </row>
    <row r="458" customFormat="false" ht="15" hidden="false" customHeight="true" outlineLevel="0" collapsed="false">
      <c r="H458" s="113"/>
      <c r="I458" s="113"/>
      <c r="J458" s="113"/>
      <c r="L458" s="113"/>
      <c r="M458" s="113"/>
      <c r="N458" s="113"/>
      <c r="P458" s="113"/>
      <c r="Q458" s="113"/>
      <c r="R458" s="113"/>
      <c r="T458" s="113"/>
      <c r="U458" s="113"/>
      <c r="V458" s="113"/>
    </row>
    <row r="459" customFormat="false" ht="15" hidden="false" customHeight="true" outlineLevel="0" collapsed="false">
      <c r="H459" s="113"/>
      <c r="I459" s="113"/>
      <c r="J459" s="113"/>
      <c r="L459" s="113"/>
      <c r="M459" s="113"/>
      <c r="N459" s="113"/>
      <c r="P459" s="113"/>
      <c r="Q459" s="113"/>
      <c r="R459" s="113"/>
      <c r="T459" s="113"/>
      <c r="U459" s="113"/>
      <c r="V459" s="113"/>
    </row>
    <row r="460" customFormat="false" ht="15" hidden="false" customHeight="true" outlineLevel="0" collapsed="false">
      <c r="H460" s="113"/>
      <c r="I460" s="113"/>
      <c r="J460" s="113"/>
      <c r="L460" s="113"/>
      <c r="M460" s="113"/>
      <c r="N460" s="113"/>
      <c r="P460" s="113"/>
      <c r="Q460" s="113"/>
      <c r="R460" s="113"/>
      <c r="T460" s="113"/>
      <c r="U460" s="113"/>
      <c r="V460" s="113"/>
    </row>
    <row r="461" customFormat="false" ht="15" hidden="false" customHeight="true" outlineLevel="0" collapsed="false">
      <c r="H461" s="113"/>
      <c r="I461" s="113"/>
      <c r="J461" s="113"/>
      <c r="L461" s="113"/>
      <c r="M461" s="113"/>
      <c r="N461" s="113"/>
      <c r="P461" s="113"/>
      <c r="Q461" s="113"/>
      <c r="R461" s="113"/>
      <c r="T461" s="113"/>
      <c r="U461" s="113"/>
      <c r="V461" s="113"/>
    </row>
    <row r="462" customFormat="false" ht="15" hidden="false" customHeight="true" outlineLevel="0" collapsed="false">
      <c r="H462" s="113"/>
      <c r="I462" s="113"/>
      <c r="J462" s="113"/>
      <c r="L462" s="113"/>
      <c r="M462" s="113"/>
      <c r="N462" s="113"/>
      <c r="P462" s="113"/>
      <c r="Q462" s="113"/>
      <c r="R462" s="113"/>
      <c r="T462" s="113"/>
      <c r="U462" s="113"/>
      <c r="V462" s="113"/>
    </row>
    <row r="463" customFormat="false" ht="15" hidden="false" customHeight="true" outlineLevel="0" collapsed="false">
      <c r="H463" s="113"/>
      <c r="I463" s="113"/>
      <c r="J463" s="113"/>
      <c r="L463" s="113"/>
      <c r="M463" s="113"/>
      <c r="N463" s="113"/>
      <c r="P463" s="113"/>
      <c r="Q463" s="113"/>
      <c r="R463" s="113"/>
      <c r="T463" s="113"/>
      <c r="U463" s="113"/>
      <c r="V463" s="113"/>
    </row>
    <row r="464" customFormat="false" ht="15" hidden="false" customHeight="true" outlineLevel="0" collapsed="false">
      <c r="H464" s="113"/>
      <c r="I464" s="113"/>
      <c r="J464" s="113"/>
      <c r="L464" s="113"/>
      <c r="M464" s="113"/>
      <c r="N464" s="113"/>
      <c r="P464" s="113"/>
      <c r="Q464" s="113"/>
      <c r="R464" s="113"/>
      <c r="T464" s="113"/>
      <c r="U464" s="113"/>
      <c r="V464" s="113"/>
    </row>
    <row r="465" customFormat="false" ht="15" hidden="false" customHeight="true" outlineLevel="0" collapsed="false">
      <c r="H465" s="113"/>
      <c r="I465" s="113"/>
      <c r="J465" s="113"/>
      <c r="L465" s="113"/>
      <c r="M465" s="113"/>
      <c r="N465" s="113"/>
      <c r="P465" s="113"/>
      <c r="Q465" s="113"/>
      <c r="R465" s="113"/>
      <c r="T465" s="113"/>
      <c r="U465" s="113"/>
      <c r="V465" s="113"/>
    </row>
    <row r="466" customFormat="false" ht="15" hidden="false" customHeight="true" outlineLevel="0" collapsed="false">
      <c r="H466" s="113"/>
      <c r="I466" s="113"/>
      <c r="J466" s="113"/>
      <c r="L466" s="113"/>
      <c r="M466" s="113"/>
      <c r="N466" s="113"/>
      <c r="P466" s="113"/>
      <c r="Q466" s="113"/>
      <c r="R466" s="113"/>
      <c r="T466" s="113"/>
      <c r="U466" s="113"/>
      <c r="V466" s="113"/>
    </row>
    <row r="467" customFormat="false" ht="15" hidden="false" customHeight="true" outlineLevel="0" collapsed="false">
      <c r="H467" s="113"/>
      <c r="I467" s="113"/>
      <c r="J467" s="113"/>
      <c r="L467" s="113"/>
      <c r="M467" s="113"/>
      <c r="N467" s="113"/>
      <c r="P467" s="113"/>
      <c r="Q467" s="113"/>
      <c r="R467" s="113"/>
      <c r="T467" s="113"/>
      <c r="U467" s="113"/>
      <c r="V467" s="113"/>
    </row>
    <row r="468" customFormat="false" ht="15" hidden="false" customHeight="true" outlineLevel="0" collapsed="false">
      <c r="H468" s="113"/>
      <c r="I468" s="113"/>
      <c r="J468" s="113"/>
      <c r="L468" s="113"/>
      <c r="M468" s="113"/>
      <c r="N468" s="113"/>
      <c r="P468" s="113"/>
      <c r="Q468" s="113"/>
      <c r="R468" s="113"/>
      <c r="T468" s="113"/>
      <c r="U468" s="113"/>
      <c r="V468" s="113"/>
    </row>
    <row r="469" customFormat="false" ht="15" hidden="false" customHeight="true" outlineLevel="0" collapsed="false">
      <c r="H469" s="113"/>
      <c r="I469" s="113"/>
      <c r="J469" s="113"/>
      <c r="L469" s="113"/>
      <c r="M469" s="113"/>
      <c r="N469" s="113"/>
      <c r="P469" s="113"/>
      <c r="Q469" s="113"/>
      <c r="R469" s="113"/>
      <c r="T469" s="113"/>
      <c r="U469" s="113"/>
      <c r="V469" s="113"/>
    </row>
    <row r="470" customFormat="false" ht="15" hidden="false" customHeight="true" outlineLevel="0" collapsed="false">
      <c r="H470" s="113"/>
      <c r="I470" s="113"/>
      <c r="J470" s="113"/>
      <c r="L470" s="113"/>
      <c r="M470" s="113"/>
      <c r="N470" s="113"/>
      <c r="P470" s="113"/>
      <c r="Q470" s="113"/>
      <c r="R470" s="113"/>
      <c r="T470" s="113"/>
      <c r="U470" s="113"/>
      <c r="V470" s="113"/>
    </row>
    <row r="471" customFormat="false" ht="15" hidden="false" customHeight="true" outlineLevel="0" collapsed="false">
      <c r="H471" s="113"/>
      <c r="I471" s="113"/>
      <c r="J471" s="113"/>
      <c r="L471" s="113"/>
      <c r="M471" s="113"/>
      <c r="N471" s="113"/>
      <c r="P471" s="113"/>
      <c r="Q471" s="113"/>
      <c r="R471" s="113"/>
      <c r="T471" s="113"/>
      <c r="U471" s="113"/>
      <c r="V471" s="113"/>
    </row>
    <row r="472" customFormat="false" ht="15" hidden="false" customHeight="true" outlineLevel="0" collapsed="false">
      <c r="H472" s="113"/>
      <c r="I472" s="113"/>
      <c r="J472" s="113"/>
      <c r="L472" s="113"/>
      <c r="M472" s="113"/>
      <c r="N472" s="113"/>
      <c r="P472" s="113"/>
      <c r="Q472" s="113"/>
      <c r="R472" s="113"/>
      <c r="T472" s="113"/>
      <c r="U472" s="113"/>
      <c r="V472" s="113"/>
    </row>
    <row r="473" customFormat="false" ht="15" hidden="false" customHeight="true" outlineLevel="0" collapsed="false">
      <c r="H473" s="113"/>
      <c r="I473" s="113"/>
      <c r="J473" s="113"/>
      <c r="L473" s="113"/>
      <c r="M473" s="113"/>
      <c r="N473" s="113"/>
      <c r="P473" s="113"/>
      <c r="Q473" s="113"/>
      <c r="R473" s="113"/>
      <c r="T473" s="113"/>
      <c r="U473" s="113"/>
      <c r="V473" s="113"/>
    </row>
    <row r="474" customFormat="false" ht="15" hidden="false" customHeight="true" outlineLevel="0" collapsed="false">
      <c r="H474" s="113"/>
      <c r="I474" s="113"/>
      <c r="J474" s="113"/>
      <c r="L474" s="113"/>
      <c r="M474" s="113"/>
      <c r="N474" s="113"/>
      <c r="P474" s="113"/>
      <c r="Q474" s="113"/>
      <c r="R474" s="113"/>
      <c r="T474" s="113"/>
      <c r="U474" s="113"/>
      <c r="V474" s="113"/>
    </row>
    <row r="475" customFormat="false" ht="15" hidden="false" customHeight="true" outlineLevel="0" collapsed="false">
      <c r="H475" s="113"/>
      <c r="I475" s="113"/>
      <c r="J475" s="113"/>
      <c r="L475" s="113"/>
      <c r="M475" s="113"/>
      <c r="N475" s="113"/>
      <c r="P475" s="113"/>
      <c r="Q475" s="113"/>
      <c r="R475" s="113"/>
      <c r="T475" s="113"/>
      <c r="U475" s="113"/>
      <c r="V475" s="113"/>
    </row>
    <row r="476" customFormat="false" ht="15" hidden="false" customHeight="true" outlineLevel="0" collapsed="false">
      <c r="H476" s="113"/>
      <c r="I476" s="113"/>
      <c r="J476" s="113"/>
      <c r="L476" s="113"/>
      <c r="M476" s="113"/>
      <c r="N476" s="113"/>
      <c r="P476" s="113"/>
      <c r="Q476" s="113"/>
      <c r="R476" s="113"/>
      <c r="T476" s="113"/>
      <c r="U476" s="113"/>
      <c r="V476" s="113"/>
    </row>
    <row r="477" customFormat="false" ht="15" hidden="false" customHeight="true" outlineLevel="0" collapsed="false">
      <c r="H477" s="113"/>
      <c r="I477" s="113"/>
      <c r="J477" s="113"/>
      <c r="L477" s="113"/>
      <c r="M477" s="113"/>
      <c r="N477" s="113"/>
      <c r="P477" s="113"/>
      <c r="Q477" s="113"/>
      <c r="R477" s="113"/>
      <c r="T477" s="113"/>
      <c r="U477" s="113"/>
      <c r="V477" s="113"/>
    </row>
    <row r="478" customFormat="false" ht="15" hidden="false" customHeight="true" outlineLevel="0" collapsed="false">
      <c r="H478" s="113"/>
      <c r="I478" s="113"/>
      <c r="J478" s="113"/>
      <c r="L478" s="113"/>
      <c r="M478" s="113"/>
      <c r="N478" s="113"/>
      <c r="P478" s="113"/>
      <c r="Q478" s="113"/>
      <c r="R478" s="113"/>
      <c r="T478" s="113"/>
      <c r="U478" s="113"/>
      <c r="V478" s="113"/>
    </row>
    <row r="479" customFormat="false" ht="15" hidden="false" customHeight="true" outlineLevel="0" collapsed="false">
      <c r="H479" s="113"/>
      <c r="I479" s="113"/>
      <c r="J479" s="113"/>
      <c r="L479" s="113"/>
      <c r="M479" s="113"/>
      <c r="N479" s="113"/>
      <c r="P479" s="113"/>
      <c r="Q479" s="113"/>
      <c r="R479" s="113"/>
      <c r="T479" s="113"/>
      <c r="U479" s="113"/>
      <c r="V479" s="113"/>
    </row>
    <row r="480" customFormat="false" ht="15" hidden="false" customHeight="true" outlineLevel="0" collapsed="false">
      <c r="H480" s="113"/>
      <c r="I480" s="113"/>
      <c r="J480" s="113"/>
      <c r="L480" s="113"/>
      <c r="M480" s="113"/>
      <c r="N480" s="113"/>
      <c r="P480" s="113"/>
      <c r="Q480" s="113"/>
      <c r="R480" s="113"/>
      <c r="T480" s="113"/>
      <c r="U480" s="113"/>
      <c r="V480" s="113"/>
    </row>
    <row r="481" customFormat="false" ht="15" hidden="false" customHeight="true" outlineLevel="0" collapsed="false">
      <c r="H481" s="113"/>
      <c r="I481" s="113"/>
      <c r="J481" s="113"/>
      <c r="L481" s="113"/>
      <c r="M481" s="113"/>
      <c r="N481" s="113"/>
      <c r="P481" s="113"/>
      <c r="Q481" s="113"/>
      <c r="R481" s="113"/>
      <c r="T481" s="113"/>
      <c r="U481" s="113"/>
      <c r="V481" s="113"/>
    </row>
    <row r="482" customFormat="false" ht="15" hidden="false" customHeight="true" outlineLevel="0" collapsed="false">
      <c r="H482" s="113"/>
      <c r="I482" s="113"/>
      <c r="J482" s="113"/>
      <c r="L482" s="113"/>
      <c r="M482" s="113"/>
      <c r="N482" s="113"/>
      <c r="P482" s="113"/>
      <c r="Q482" s="113"/>
      <c r="R482" s="113"/>
      <c r="T482" s="113"/>
      <c r="U482" s="113"/>
      <c r="V482" s="113"/>
    </row>
    <row r="483" customFormat="false" ht="15" hidden="false" customHeight="true" outlineLevel="0" collapsed="false">
      <c r="H483" s="113"/>
      <c r="I483" s="113"/>
      <c r="J483" s="113"/>
      <c r="L483" s="113"/>
      <c r="M483" s="113"/>
      <c r="N483" s="113"/>
      <c r="P483" s="113"/>
      <c r="Q483" s="113"/>
      <c r="R483" s="113"/>
      <c r="T483" s="113"/>
      <c r="U483" s="113"/>
      <c r="V483" s="113"/>
    </row>
    <row r="484" customFormat="false" ht="15" hidden="false" customHeight="true" outlineLevel="0" collapsed="false">
      <c r="H484" s="113"/>
      <c r="I484" s="113"/>
      <c r="J484" s="113"/>
      <c r="L484" s="113"/>
      <c r="M484" s="113"/>
      <c r="N484" s="113"/>
      <c r="P484" s="113"/>
      <c r="Q484" s="113"/>
      <c r="R484" s="113"/>
      <c r="T484" s="113"/>
      <c r="U484" s="113"/>
      <c r="V484" s="113"/>
    </row>
    <row r="485" customFormat="false" ht="15" hidden="false" customHeight="true" outlineLevel="0" collapsed="false">
      <c r="H485" s="113"/>
      <c r="I485" s="113"/>
      <c r="J485" s="113"/>
      <c r="L485" s="113"/>
      <c r="M485" s="113"/>
      <c r="N485" s="113"/>
      <c r="P485" s="113"/>
      <c r="Q485" s="113"/>
      <c r="R485" s="113"/>
      <c r="T485" s="113"/>
      <c r="U485" s="113"/>
      <c r="V485" s="113"/>
    </row>
    <row r="486" customFormat="false" ht="15" hidden="false" customHeight="true" outlineLevel="0" collapsed="false">
      <c r="H486" s="113"/>
      <c r="I486" s="113"/>
      <c r="J486" s="113"/>
      <c r="L486" s="113"/>
      <c r="M486" s="113"/>
      <c r="N486" s="113"/>
      <c r="P486" s="113"/>
      <c r="Q486" s="113"/>
      <c r="R486" s="113"/>
      <c r="T486" s="113"/>
      <c r="U486" s="113"/>
      <c r="V486" s="113"/>
    </row>
    <row r="487" customFormat="false" ht="15" hidden="false" customHeight="true" outlineLevel="0" collapsed="false">
      <c r="H487" s="113"/>
      <c r="I487" s="113"/>
      <c r="J487" s="113"/>
      <c r="L487" s="113"/>
      <c r="M487" s="113"/>
      <c r="N487" s="113"/>
      <c r="P487" s="113"/>
      <c r="Q487" s="113"/>
      <c r="R487" s="113"/>
      <c r="T487" s="113"/>
      <c r="U487" s="113"/>
      <c r="V487" s="113"/>
    </row>
    <row r="488" customFormat="false" ht="15" hidden="false" customHeight="true" outlineLevel="0" collapsed="false">
      <c r="H488" s="113"/>
      <c r="I488" s="113"/>
      <c r="J488" s="113"/>
      <c r="L488" s="113"/>
      <c r="M488" s="113"/>
      <c r="N488" s="113"/>
      <c r="P488" s="113"/>
      <c r="Q488" s="113"/>
      <c r="R488" s="113"/>
      <c r="T488" s="113"/>
      <c r="U488" s="113"/>
      <c r="V488" s="113"/>
    </row>
    <row r="489" customFormat="false" ht="15" hidden="false" customHeight="true" outlineLevel="0" collapsed="false">
      <c r="H489" s="113"/>
      <c r="I489" s="113"/>
      <c r="J489" s="113"/>
      <c r="L489" s="113"/>
      <c r="M489" s="113"/>
      <c r="N489" s="113"/>
      <c r="P489" s="113"/>
      <c r="Q489" s="113"/>
      <c r="R489" s="113"/>
      <c r="T489" s="113"/>
      <c r="U489" s="113"/>
      <c r="V489" s="113"/>
    </row>
    <row r="490" customFormat="false" ht="15" hidden="false" customHeight="true" outlineLevel="0" collapsed="false">
      <c r="H490" s="113"/>
      <c r="I490" s="113"/>
      <c r="J490" s="113"/>
      <c r="L490" s="113"/>
      <c r="M490" s="113"/>
      <c r="N490" s="113"/>
      <c r="P490" s="113"/>
      <c r="Q490" s="113"/>
      <c r="R490" s="113"/>
      <c r="T490" s="113"/>
      <c r="U490" s="113"/>
      <c r="V490" s="113"/>
    </row>
    <row r="491" customFormat="false" ht="15" hidden="false" customHeight="true" outlineLevel="0" collapsed="false">
      <c r="H491" s="113"/>
      <c r="I491" s="113"/>
      <c r="J491" s="113"/>
      <c r="L491" s="113"/>
      <c r="M491" s="113"/>
      <c r="N491" s="113"/>
      <c r="P491" s="113"/>
      <c r="Q491" s="113"/>
      <c r="R491" s="113"/>
      <c r="T491" s="113"/>
      <c r="U491" s="113"/>
      <c r="V491" s="113"/>
    </row>
    <row r="492" customFormat="false" ht="15" hidden="false" customHeight="true" outlineLevel="0" collapsed="false">
      <c r="H492" s="113"/>
      <c r="I492" s="113"/>
      <c r="J492" s="113"/>
      <c r="L492" s="113"/>
      <c r="M492" s="113"/>
      <c r="N492" s="113"/>
      <c r="P492" s="113"/>
      <c r="Q492" s="113"/>
      <c r="R492" s="113"/>
      <c r="T492" s="113"/>
      <c r="U492" s="113"/>
      <c r="V492" s="113"/>
    </row>
    <row r="493" customFormat="false" ht="15" hidden="false" customHeight="true" outlineLevel="0" collapsed="false">
      <c r="H493" s="113"/>
      <c r="I493" s="113"/>
      <c r="J493" s="113"/>
      <c r="L493" s="113"/>
      <c r="M493" s="113"/>
      <c r="N493" s="113"/>
      <c r="P493" s="113"/>
      <c r="Q493" s="113"/>
      <c r="R493" s="113"/>
      <c r="T493" s="113"/>
      <c r="U493" s="113"/>
      <c r="V493" s="113"/>
    </row>
    <row r="494" customFormat="false" ht="15" hidden="false" customHeight="true" outlineLevel="0" collapsed="false">
      <c r="H494" s="113"/>
      <c r="I494" s="113"/>
      <c r="J494" s="113"/>
      <c r="L494" s="113"/>
      <c r="M494" s="113"/>
      <c r="N494" s="113"/>
      <c r="P494" s="113"/>
      <c r="Q494" s="113"/>
      <c r="R494" s="113"/>
      <c r="T494" s="113"/>
      <c r="U494" s="113"/>
      <c r="V494" s="113"/>
    </row>
    <row r="495" customFormat="false" ht="15" hidden="false" customHeight="true" outlineLevel="0" collapsed="false">
      <c r="H495" s="113"/>
      <c r="I495" s="113"/>
      <c r="J495" s="113"/>
      <c r="L495" s="113"/>
      <c r="M495" s="113"/>
      <c r="N495" s="113"/>
      <c r="P495" s="113"/>
      <c r="Q495" s="113"/>
      <c r="R495" s="113"/>
      <c r="T495" s="113"/>
      <c r="U495" s="113"/>
      <c r="V495" s="113"/>
    </row>
    <row r="496" customFormat="false" ht="15" hidden="false" customHeight="true" outlineLevel="0" collapsed="false">
      <c r="H496" s="113"/>
      <c r="I496" s="113"/>
      <c r="J496" s="113"/>
      <c r="L496" s="113"/>
      <c r="M496" s="113"/>
      <c r="N496" s="113"/>
      <c r="P496" s="113"/>
      <c r="Q496" s="113"/>
      <c r="R496" s="113"/>
      <c r="T496" s="113"/>
      <c r="U496" s="113"/>
      <c r="V496" s="113"/>
    </row>
    <row r="497" customFormat="false" ht="15" hidden="false" customHeight="true" outlineLevel="0" collapsed="false">
      <c r="H497" s="113"/>
      <c r="I497" s="113"/>
      <c r="J497" s="113"/>
      <c r="L497" s="113"/>
      <c r="M497" s="113"/>
      <c r="N497" s="113"/>
      <c r="P497" s="113"/>
      <c r="Q497" s="113"/>
      <c r="R497" s="113"/>
      <c r="T497" s="113"/>
      <c r="U497" s="113"/>
      <c r="V497" s="113"/>
    </row>
    <row r="498" customFormat="false" ht="15" hidden="false" customHeight="true" outlineLevel="0" collapsed="false">
      <c r="H498" s="113"/>
      <c r="I498" s="113"/>
      <c r="J498" s="113"/>
      <c r="L498" s="113"/>
      <c r="M498" s="113"/>
      <c r="N498" s="113"/>
      <c r="P498" s="113"/>
      <c r="Q498" s="113"/>
      <c r="R498" s="113"/>
      <c r="T498" s="113"/>
      <c r="U498" s="113"/>
      <c r="V498" s="113"/>
    </row>
    <row r="499" customFormat="false" ht="15" hidden="false" customHeight="true" outlineLevel="0" collapsed="false">
      <c r="H499" s="113"/>
      <c r="I499" s="113"/>
      <c r="J499" s="113"/>
      <c r="L499" s="113"/>
      <c r="M499" s="113"/>
      <c r="N499" s="113"/>
      <c r="P499" s="113"/>
      <c r="Q499" s="113"/>
      <c r="R499" s="113"/>
      <c r="T499" s="113"/>
      <c r="U499" s="113"/>
      <c r="V499" s="113"/>
    </row>
    <row r="500" customFormat="false" ht="15" hidden="false" customHeight="true" outlineLevel="0" collapsed="false">
      <c r="H500" s="113"/>
      <c r="I500" s="113"/>
      <c r="J500" s="113"/>
      <c r="L500" s="113"/>
      <c r="M500" s="113"/>
      <c r="N500" s="113"/>
      <c r="P500" s="113"/>
      <c r="Q500" s="113"/>
      <c r="R500" s="113"/>
      <c r="T500" s="113"/>
      <c r="U500" s="113"/>
      <c r="V500" s="113"/>
    </row>
    <row r="501" customFormat="false" ht="15" hidden="false" customHeight="true" outlineLevel="0" collapsed="false">
      <c r="H501" s="113"/>
      <c r="I501" s="113"/>
      <c r="J501" s="113"/>
      <c r="L501" s="113"/>
      <c r="M501" s="113"/>
      <c r="N501" s="113"/>
      <c r="P501" s="113"/>
      <c r="Q501" s="113"/>
      <c r="R501" s="113"/>
      <c r="T501" s="113"/>
      <c r="U501" s="113"/>
      <c r="V501" s="113"/>
    </row>
    <row r="502" customFormat="false" ht="15" hidden="false" customHeight="true" outlineLevel="0" collapsed="false">
      <c r="H502" s="113"/>
      <c r="I502" s="113"/>
      <c r="J502" s="113"/>
      <c r="L502" s="113"/>
      <c r="M502" s="113"/>
      <c r="N502" s="113"/>
      <c r="P502" s="113"/>
      <c r="Q502" s="113"/>
      <c r="R502" s="113"/>
      <c r="T502" s="113"/>
      <c r="U502" s="113"/>
      <c r="V502" s="113"/>
    </row>
    <row r="503" customFormat="false" ht="15" hidden="false" customHeight="true" outlineLevel="0" collapsed="false">
      <c r="H503" s="113"/>
      <c r="I503" s="113"/>
      <c r="J503" s="113"/>
      <c r="L503" s="113"/>
      <c r="M503" s="113"/>
      <c r="N503" s="113"/>
      <c r="P503" s="113"/>
      <c r="Q503" s="113"/>
      <c r="R503" s="113"/>
      <c r="T503" s="113"/>
      <c r="U503" s="113"/>
      <c r="V503" s="113"/>
    </row>
    <row r="504" customFormat="false" ht="15" hidden="false" customHeight="true" outlineLevel="0" collapsed="false">
      <c r="H504" s="113"/>
      <c r="I504" s="113"/>
      <c r="J504" s="113"/>
      <c r="L504" s="113"/>
      <c r="M504" s="113"/>
      <c r="N504" s="113"/>
      <c r="P504" s="113"/>
      <c r="Q504" s="113"/>
      <c r="R504" s="113"/>
      <c r="T504" s="113"/>
      <c r="U504" s="113"/>
      <c r="V504" s="113"/>
    </row>
    <row r="505" customFormat="false" ht="15" hidden="false" customHeight="true" outlineLevel="0" collapsed="false">
      <c r="H505" s="113"/>
      <c r="I505" s="113"/>
      <c r="J505" s="113"/>
      <c r="L505" s="113"/>
      <c r="M505" s="113"/>
      <c r="N505" s="113"/>
      <c r="P505" s="113"/>
      <c r="Q505" s="113"/>
      <c r="R505" s="113"/>
      <c r="T505" s="113"/>
      <c r="U505" s="113"/>
      <c r="V505" s="113"/>
    </row>
    <row r="506" customFormat="false" ht="15" hidden="false" customHeight="true" outlineLevel="0" collapsed="false">
      <c r="H506" s="113"/>
      <c r="I506" s="113"/>
      <c r="J506" s="113"/>
      <c r="L506" s="113"/>
      <c r="M506" s="113"/>
      <c r="N506" s="113"/>
      <c r="P506" s="113"/>
      <c r="Q506" s="113"/>
      <c r="R506" s="113"/>
      <c r="T506" s="113"/>
      <c r="U506" s="113"/>
      <c r="V506" s="113"/>
    </row>
    <row r="507" customFormat="false" ht="15" hidden="false" customHeight="true" outlineLevel="0" collapsed="false">
      <c r="H507" s="113"/>
      <c r="I507" s="113"/>
      <c r="J507" s="113"/>
      <c r="L507" s="113"/>
      <c r="M507" s="113"/>
      <c r="N507" s="113"/>
      <c r="P507" s="113"/>
      <c r="Q507" s="113"/>
      <c r="R507" s="113"/>
      <c r="T507" s="113"/>
      <c r="U507" s="113"/>
      <c r="V507" s="113"/>
    </row>
    <row r="508" customFormat="false" ht="15" hidden="false" customHeight="true" outlineLevel="0" collapsed="false">
      <c r="H508" s="113"/>
      <c r="I508" s="113"/>
      <c r="J508" s="113"/>
      <c r="L508" s="113"/>
      <c r="M508" s="113"/>
      <c r="N508" s="113"/>
      <c r="P508" s="113"/>
      <c r="Q508" s="113"/>
      <c r="R508" s="113"/>
      <c r="T508" s="113"/>
      <c r="U508" s="113"/>
      <c r="V508" s="113"/>
    </row>
    <row r="509" customFormat="false" ht="15" hidden="false" customHeight="true" outlineLevel="0" collapsed="false">
      <c r="H509" s="113"/>
      <c r="I509" s="113"/>
      <c r="J509" s="113"/>
      <c r="L509" s="113"/>
      <c r="M509" s="113"/>
      <c r="N509" s="113"/>
      <c r="P509" s="113"/>
      <c r="Q509" s="113"/>
      <c r="R509" s="113"/>
      <c r="T509" s="113"/>
      <c r="U509" s="113"/>
      <c r="V509" s="113"/>
    </row>
    <row r="510" customFormat="false" ht="15" hidden="false" customHeight="true" outlineLevel="0" collapsed="false">
      <c r="H510" s="113"/>
      <c r="I510" s="113"/>
      <c r="J510" s="113"/>
      <c r="L510" s="113"/>
      <c r="M510" s="113"/>
      <c r="N510" s="113"/>
      <c r="P510" s="113"/>
      <c r="Q510" s="113"/>
      <c r="R510" s="113"/>
      <c r="T510" s="113"/>
      <c r="U510" s="113"/>
      <c r="V510" s="113"/>
    </row>
    <row r="511" customFormat="false" ht="15" hidden="false" customHeight="true" outlineLevel="0" collapsed="false">
      <c r="H511" s="113"/>
      <c r="I511" s="113"/>
      <c r="J511" s="113"/>
      <c r="L511" s="113"/>
      <c r="M511" s="113"/>
      <c r="N511" s="113"/>
      <c r="P511" s="113"/>
      <c r="Q511" s="113"/>
      <c r="R511" s="113"/>
      <c r="T511" s="113"/>
      <c r="U511" s="113"/>
      <c r="V511" s="113"/>
    </row>
    <row r="512" customFormat="false" ht="15" hidden="false" customHeight="true" outlineLevel="0" collapsed="false">
      <c r="H512" s="113"/>
      <c r="I512" s="113"/>
      <c r="J512" s="113"/>
      <c r="L512" s="113"/>
      <c r="M512" s="113"/>
      <c r="N512" s="113"/>
      <c r="P512" s="113"/>
      <c r="Q512" s="113"/>
      <c r="R512" s="113"/>
      <c r="T512" s="113"/>
      <c r="U512" s="113"/>
      <c r="V512" s="113"/>
    </row>
    <row r="513" customFormat="false" ht="15" hidden="false" customHeight="true" outlineLevel="0" collapsed="false">
      <c r="H513" s="113"/>
      <c r="I513" s="113"/>
      <c r="J513" s="113"/>
      <c r="L513" s="113"/>
      <c r="M513" s="113"/>
      <c r="N513" s="113"/>
      <c r="P513" s="113"/>
      <c r="Q513" s="113"/>
      <c r="R513" s="113"/>
      <c r="T513" s="113"/>
      <c r="U513" s="113"/>
      <c r="V513" s="113"/>
    </row>
    <row r="514" customFormat="false" ht="15" hidden="false" customHeight="true" outlineLevel="0" collapsed="false">
      <c r="H514" s="113"/>
      <c r="I514" s="113"/>
      <c r="J514" s="113"/>
      <c r="L514" s="113"/>
      <c r="M514" s="113"/>
      <c r="N514" s="113"/>
      <c r="P514" s="113"/>
      <c r="Q514" s="113"/>
      <c r="R514" s="113"/>
      <c r="T514" s="113"/>
      <c r="U514" s="113"/>
      <c r="V514" s="113"/>
    </row>
    <row r="515" customFormat="false" ht="15" hidden="false" customHeight="true" outlineLevel="0" collapsed="false">
      <c r="H515" s="113"/>
      <c r="I515" s="113"/>
      <c r="J515" s="113"/>
      <c r="L515" s="113"/>
      <c r="M515" s="113"/>
      <c r="N515" s="113"/>
      <c r="P515" s="113"/>
      <c r="Q515" s="113"/>
      <c r="R515" s="113"/>
      <c r="T515" s="113"/>
      <c r="U515" s="113"/>
      <c r="V515" s="113"/>
    </row>
    <row r="516" customFormat="false" ht="15" hidden="false" customHeight="true" outlineLevel="0" collapsed="false">
      <c r="H516" s="113"/>
      <c r="I516" s="113"/>
      <c r="J516" s="113"/>
      <c r="L516" s="113"/>
      <c r="M516" s="113"/>
      <c r="N516" s="113"/>
      <c r="P516" s="113"/>
      <c r="Q516" s="113"/>
      <c r="R516" s="113"/>
      <c r="T516" s="113"/>
      <c r="U516" s="113"/>
      <c r="V516" s="113"/>
    </row>
    <row r="517" customFormat="false" ht="15" hidden="false" customHeight="true" outlineLevel="0" collapsed="false">
      <c r="H517" s="113"/>
      <c r="I517" s="113"/>
      <c r="J517" s="113"/>
      <c r="L517" s="113"/>
      <c r="M517" s="113"/>
      <c r="N517" s="113"/>
      <c r="P517" s="113"/>
      <c r="Q517" s="113"/>
      <c r="R517" s="113"/>
      <c r="T517" s="113"/>
      <c r="U517" s="113"/>
      <c r="V517" s="113"/>
    </row>
    <row r="518" customFormat="false" ht="15" hidden="false" customHeight="true" outlineLevel="0" collapsed="false">
      <c r="H518" s="113"/>
      <c r="I518" s="113"/>
      <c r="J518" s="113"/>
      <c r="L518" s="113"/>
      <c r="M518" s="113"/>
      <c r="N518" s="113"/>
      <c r="P518" s="113"/>
      <c r="Q518" s="113"/>
      <c r="R518" s="113"/>
      <c r="T518" s="113"/>
      <c r="U518" s="113"/>
      <c r="V518" s="113"/>
    </row>
    <row r="519" customFormat="false" ht="15" hidden="false" customHeight="true" outlineLevel="0" collapsed="false">
      <c r="H519" s="113"/>
      <c r="I519" s="113"/>
      <c r="J519" s="113"/>
      <c r="L519" s="113"/>
      <c r="M519" s="113"/>
      <c r="N519" s="113"/>
      <c r="P519" s="113"/>
      <c r="Q519" s="113"/>
      <c r="R519" s="113"/>
      <c r="T519" s="113"/>
      <c r="U519" s="113"/>
      <c r="V519" s="113"/>
    </row>
    <row r="520" customFormat="false" ht="15" hidden="false" customHeight="true" outlineLevel="0" collapsed="false">
      <c r="H520" s="113"/>
      <c r="I520" s="113"/>
      <c r="J520" s="113"/>
      <c r="L520" s="113"/>
      <c r="M520" s="113"/>
      <c r="N520" s="113"/>
      <c r="P520" s="113"/>
      <c r="Q520" s="113"/>
      <c r="R520" s="113"/>
      <c r="T520" s="113"/>
      <c r="U520" s="113"/>
      <c r="V520" s="113"/>
    </row>
    <row r="521" customFormat="false" ht="15" hidden="false" customHeight="true" outlineLevel="0" collapsed="false">
      <c r="H521" s="113"/>
      <c r="I521" s="113"/>
      <c r="J521" s="113"/>
      <c r="L521" s="113"/>
      <c r="M521" s="113"/>
      <c r="N521" s="113"/>
      <c r="P521" s="113"/>
      <c r="Q521" s="113"/>
      <c r="R521" s="113"/>
      <c r="T521" s="113"/>
      <c r="U521" s="113"/>
      <c r="V521" s="113"/>
    </row>
    <row r="522" customFormat="false" ht="15" hidden="false" customHeight="true" outlineLevel="0" collapsed="false">
      <c r="H522" s="113"/>
      <c r="I522" s="113"/>
      <c r="J522" s="113"/>
      <c r="L522" s="113"/>
      <c r="M522" s="113"/>
      <c r="N522" s="113"/>
      <c r="P522" s="113"/>
      <c r="Q522" s="113"/>
      <c r="R522" s="113"/>
      <c r="T522" s="113"/>
      <c r="U522" s="113"/>
      <c r="V522" s="113"/>
    </row>
    <row r="523" customFormat="false" ht="15" hidden="false" customHeight="true" outlineLevel="0" collapsed="false">
      <c r="H523" s="113"/>
      <c r="I523" s="113"/>
      <c r="J523" s="113"/>
      <c r="L523" s="113"/>
      <c r="M523" s="113"/>
      <c r="N523" s="113"/>
      <c r="P523" s="113"/>
      <c r="Q523" s="113"/>
      <c r="R523" s="113"/>
      <c r="T523" s="113"/>
      <c r="U523" s="113"/>
      <c r="V523" s="113"/>
    </row>
    <row r="524" customFormat="false" ht="15" hidden="false" customHeight="true" outlineLevel="0" collapsed="false">
      <c r="H524" s="113"/>
      <c r="I524" s="113"/>
      <c r="J524" s="113"/>
      <c r="L524" s="113"/>
      <c r="M524" s="113"/>
      <c r="N524" s="113"/>
      <c r="P524" s="113"/>
      <c r="Q524" s="113"/>
      <c r="R524" s="113"/>
      <c r="T524" s="113"/>
      <c r="U524" s="113"/>
      <c r="V524" s="113"/>
    </row>
    <row r="525" customFormat="false" ht="15" hidden="false" customHeight="true" outlineLevel="0" collapsed="false">
      <c r="H525" s="113"/>
      <c r="I525" s="113"/>
      <c r="J525" s="113"/>
      <c r="L525" s="113"/>
      <c r="M525" s="113"/>
      <c r="N525" s="113"/>
      <c r="P525" s="113"/>
      <c r="Q525" s="113"/>
      <c r="R525" s="113"/>
      <c r="T525" s="113"/>
      <c r="U525" s="113"/>
      <c r="V525" s="113"/>
    </row>
    <row r="526" customFormat="false" ht="15" hidden="false" customHeight="true" outlineLevel="0" collapsed="false">
      <c r="H526" s="113"/>
      <c r="I526" s="113"/>
      <c r="J526" s="113"/>
      <c r="L526" s="113"/>
      <c r="M526" s="113"/>
      <c r="N526" s="113"/>
      <c r="P526" s="113"/>
      <c r="Q526" s="113"/>
      <c r="R526" s="113"/>
      <c r="T526" s="113"/>
      <c r="U526" s="113"/>
      <c r="V526" s="113"/>
    </row>
    <row r="527" customFormat="false" ht="15" hidden="false" customHeight="true" outlineLevel="0" collapsed="false">
      <c r="H527" s="113"/>
      <c r="I527" s="113"/>
      <c r="J527" s="113"/>
      <c r="L527" s="113"/>
      <c r="M527" s="113"/>
      <c r="N527" s="113"/>
      <c r="P527" s="113"/>
      <c r="Q527" s="113"/>
      <c r="R527" s="113"/>
      <c r="T527" s="113"/>
      <c r="U527" s="113"/>
      <c r="V527" s="113"/>
    </row>
    <row r="528" customFormat="false" ht="15" hidden="false" customHeight="true" outlineLevel="0" collapsed="false">
      <c r="H528" s="113"/>
      <c r="I528" s="113"/>
      <c r="J528" s="113"/>
      <c r="L528" s="113"/>
      <c r="M528" s="113"/>
      <c r="N528" s="113"/>
      <c r="P528" s="113"/>
      <c r="Q528" s="113"/>
      <c r="R528" s="113"/>
      <c r="T528" s="113"/>
      <c r="U528" s="113"/>
      <c r="V528" s="113"/>
    </row>
    <row r="529" customFormat="false" ht="15" hidden="false" customHeight="true" outlineLevel="0" collapsed="false">
      <c r="H529" s="113"/>
      <c r="I529" s="113"/>
      <c r="J529" s="113"/>
      <c r="L529" s="113"/>
      <c r="M529" s="113"/>
      <c r="N529" s="113"/>
      <c r="P529" s="113"/>
      <c r="Q529" s="113"/>
      <c r="R529" s="113"/>
      <c r="T529" s="113"/>
      <c r="U529" s="113"/>
      <c r="V529" s="113"/>
    </row>
    <row r="530" customFormat="false" ht="15" hidden="false" customHeight="true" outlineLevel="0" collapsed="false">
      <c r="H530" s="113"/>
      <c r="I530" s="113"/>
      <c r="J530" s="113"/>
      <c r="L530" s="113"/>
      <c r="M530" s="113"/>
      <c r="N530" s="113"/>
      <c r="P530" s="113"/>
      <c r="Q530" s="113"/>
      <c r="R530" s="113"/>
      <c r="T530" s="113"/>
      <c r="U530" s="113"/>
      <c r="V530" s="113"/>
    </row>
    <row r="531" customFormat="false" ht="15" hidden="false" customHeight="true" outlineLevel="0" collapsed="false">
      <c r="H531" s="113"/>
      <c r="I531" s="113"/>
      <c r="J531" s="113"/>
      <c r="L531" s="113"/>
      <c r="M531" s="113"/>
      <c r="N531" s="113"/>
      <c r="P531" s="113"/>
      <c r="Q531" s="113"/>
      <c r="R531" s="113"/>
      <c r="T531" s="113"/>
      <c r="U531" s="113"/>
      <c r="V531" s="113"/>
    </row>
    <row r="532" customFormat="false" ht="15" hidden="false" customHeight="true" outlineLevel="0" collapsed="false">
      <c r="H532" s="113"/>
      <c r="I532" s="113"/>
      <c r="J532" s="113"/>
      <c r="L532" s="113"/>
      <c r="M532" s="113"/>
      <c r="N532" s="113"/>
      <c r="P532" s="113"/>
      <c r="Q532" s="113"/>
      <c r="R532" s="113"/>
      <c r="T532" s="113"/>
      <c r="U532" s="113"/>
      <c r="V532" s="113"/>
    </row>
    <row r="533" customFormat="false" ht="15" hidden="false" customHeight="true" outlineLevel="0" collapsed="false">
      <c r="H533" s="113"/>
      <c r="I533" s="113"/>
      <c r="J533" s="113"/>
      <c r="L533" s="113"/>
      <c r="M533" s="113"/>
      <c r="N533" s="113"/>
      <c r="P533" s="113"/>
      <c r="Q533" s="113"/>
      <c r="R533" s="113"/>
      <c r="T533" s="113"/>
      <c r="U533" s="113"/>
      <c r="V533" s="113"/>
    </row>
    <row r="534" customFormat="false" ht="15" hidden="false" customHeight="true" outlineLevel="0" collapsed="false">
      <c r="H534" s="113"/>
      <c r="I534" s="113"/>
      <c r="J534" s="113"/>
      <c r="L534" s="113"/>
      <c r="M534" s="113"/>
      <c r="N534" s="113"/>
      <c r="P534" s="113"/>
      <c r="Q534" s="113"/>
      <c r="R534" s="113"/>
      <c r="T534" s="113"/>
      <c r="U534" s="113"/>
      <c r="V534" s="113"/>
    </row>
    <row r="535" customFormat="false" ht="15" hidden="false" customHeight="true" outlineLevel="0" collapsed="false">
      <c r="H535" s="113"/>
      <c r="I535" s="113"/>
      <c r="J535" s="113"/>
      <c r="L535" s="113"/>
      <c r="M535" s="113"/>
      <c r="N535" s="113"/>
      <c r="P535" s="113"/>
      <c r="Q535" s="113"/>
      <c r="R535" s="113"/>
      <c r="T535" s="113"/>
      <c r="U535" s="113"/>
      <c r="V535" s="113"/>
    </row>
    <row r="536" customFormat="false" ht="15" hidden="false" customHeight="true" outlineLevel="0" collapsed="false">
      <c r="H536" s="113"/>
      <c r="I536" s="113"/>
      <c r="J536" s="113"/>
      <c r="L536" s="113"/>
      <c r="M536" s="113"/>
      <c r="N536" s="113"/>
      <c r="P536" s="113"/>
      <c r="Q536" s="113"/>
      <c r="R536" s="113"/>
      <c r="T536" s="113"/>
      <c r="U536" s="113"/>
      <c r="V536" s="113"/>
    </row>
    <row r="537" customFormat="false" ht="15" hidden="false" customHeight="true" outlineLevel="0" collapsed="false">
      <c r="H537" s="113"/>
      <c r="I537" s="113"/>
      <c r="J537" s="113"/>
      <c r="L537" s="113"/>
      <c r="M537" s="113"/>
      <c r="N537" s="113"/>
      <c r="P537" s="113"/>
      <c r="Q537" s="113"/>
      <c r="R537" s="113"/>
      <c r="T537" s="113"/>
      <c r="U537" s="113"/>
      <c r="V537" s="113"/>
    </row>
    <row r="538" customFormat="false" ht="15" hidden="false" customHeight="true" outlineLevel="0" collapsed="false">
      <c r="H538" s="113"/>
      <c r="I538" s="113"/>
      <c r="J538" s="113"/>
      <c r="L538" s="113"/>
      <c r="M538" s="113"/>
      <c r="N538" s="113"/>
      <c r="P538" s="113"/>
      <c r="Q538" s="113"/>
      <c r="R538" s="113"/>
      <c r="T538" s="113"/>
      <c r="U538" s="113"/>
      <c r="V538" s="113"/>
    </row>
    <row r="539" customFormat="false" ht="15" hidden="false" customHeight="true" outlineLevel="0" collapsed="false">
      <c r="H539" s="113"/>
      <c r="I539" s="113"/>
      <c r="J539" s="113"/>
      <c r="L539" s="113"/>
      <c r="M539" s="113"/>
      <c r="N539" s="113"/>
      <c r="P539" s="113"/>
      <c r="Q539" s="113"/>
      <c r="R539" s="113"/>
      <c r="T539" s="113"/>
      <c r="U539" s="113"/>
      <c r="V539" s="113"/>
    </row>
    <row r="540" customFormat="false" ht="15" hidden="false" customHeight="true" outlineLevel="0" collapsed="false">
      <c r="H540" s="113"/>
      <c r="I540" s="113"/>
      <c r="J540" s="113"/>
      <c r="L540" s="113"/>
      <c r="M540" s="113"/>
      <c r="N540" s="113"/>
      <c r="P540" s="113"/>
      <c r="Q540" s="113"/>
      <c r="R540" s="113"/>
      <c r="T540" s="113"/>
      <c r="U540" s="113"/>
      <c r="V540" s="113"/>
    </row>
    <row r="541" customFormat="false" ht="15" hidden="false" customHeight="true" outlineLevel="0" collapsed="false">
      <c r="H541" s="113"/>
      <c r="I541" s="113"/>
      <c r="J541" s="113"/>
      <c r="L541" s="113"/>
      <c r="M541" s="113"/>
      <c r="N541" s="113"/>
      <c r="P541" s="113"/>
      <c r="Q541" s="113"/>
      <c r="R541" s="113"/>
      <c r="T541" s="113"/>
      <c r="U541" s="113"/>
      <c r="V541" s="113"/>
    </row>
    <row r="542" customFormat="false" ht="15" hidden="false" customHeight="true" outlineLevel="0" collapsed="false">
      <c r="H542" s="113"/>
      <c r="I542" s="113"/>
      <c r="J542" s="113"/>
      <c r="L542" s="113"/>
      <c r="M542" s="113"/>
      <c r="N542" s="113"/>
      <c r="P542" s="113"/>
      <c r="Q542" s="113"/>
      <c r="R542" s="113"/>
      <c r="T542" s="113"/>
      <c r="U542" s="113"/>
      <c r="V542" s="113"/>
    </row>
    <row r="543" customFormat="false" ht="15" hidden="false" customHeight="true" outlineLevel="0" collapsed="false">
      <c r="H543" s="113"/>
      <c r="I543" s="113"/>
      <c r="J543" s="113"/>
      <c r="L543" s="113"/>
      <c r="M543" s="113"/>
      <c r="N543" s="113"/>
      <c r="P543" s="113"/>
      <c r="Q543" s="113"/>
      <c r="R543" s="113"/>
      <c r="T543" s="113"/>
      <c r="U543" s="113"/>
      <c r="V543" s="113"/>
    </row>
    <row r="544" customFormat="false" ht="15" hidden="false" customHeight="true" outlineLevel="0" collapsed="false">
      <c r="H544" s="113"/>
      <c r="I544" s="113"/>
      <c r="J544" s="113"/>
      <c r="L544" s="113"/>
      <c r="M544" s="113"/>
      <c r="N544" s="113"/>
      <c r="P544" s="113"/>
      <c r="Q544" s="113"/>
      <c r="R544" s="113"/>
      <c r="T544" s="113"/>
      <c r="U544" s="113"/>
      <c r="V544" s="113"/>
    </row>
    <row r="545" customFormat="false" ht="15" hidden="false" customHeight="true" outlineLevel="0" collapsed="false">
      <c r="H545" s="113"/>
      <c r="I545" s="113"/>
      <c r="J545" s="113"/>
      <c r="L545" s="113"/>
      <c r="M545" s="113"/>
      <c r="N545" s="113"/>
      <c r="P545" s="113"/>
      <c r="Q545" s="113"/>
      <c r="R545" s="113"/>
      <c r="T545" s="113"/>
      <c r="U545" s="113"/>
      <c r="V545" s="113"/>
    </row>
    <row r="546" customFormat="false" ht="15" hidden="false" customHeight="true" outlineLevel="0" collapsed="false">
      <c r="H546" s="113"/>
      <c r="I546" s="113"/>
      <c r="J546" s="113"/>
      <c r="L546" s="113"/>
      <c r="M546" s="113"/>
      <c r="N546" s="113"/>
      <c r="P546" s="113"/>
      <c r="Q546" s="113"/>
      <c r="R546" s="113"/>
      <c r="T546" s="113"/>
      <c r="U546" s="113"/>
      <c r="V546" s="113"/>
    </row>
    <row r="547" customFormat="false" ht="15" hidden="false" customHeight="true" outlineLevel="0" collapsed="false">
      <c r="H547" s="113"/>
      <c r="I547" s="113"/>
      <c r="J547" s="113"/>
      <c r="L547" s="113"/>
      <c r="M547" s="113"/>
      <c r="N547" s="113"/>
      <c r="P547" s="113"/>
      <c r="Q547" s="113"/>
      <c r="R547" s="113"/>
      <c r="T547" s="113"/>
      <c r="U547" s="113"/>
      <c r="V547" s="113"/>
    </row>
    <row r="548" customFormat="false" ht="15" hidden="false" customHeight="true" outlineLevel="0" collapsed="false">
      <c r="H548" s="113"/>
      <c r="I548" s="113"/>
      <c r="J548" s="113"/>
      <c r="L548" s="113"/>
      <c r="M548" s="113"/>
      <c r="N548" s="113"/>
      <c r="P548" s="113"/>
      <c r="Q548" s="113"/>
      <c r="R548" s="113"/>
      <c r="T548" s="113"/>
      <c r="U548" s="113"/>
      <c r="V548" s="113"/>
    </row>
    <row r="549" customFormat="false" ht="15" hidden="false" customHeight="true" outlineLevel="0" collapsed="false">
      <c r="H549" s="113"/>
      <c r="I549" s="113"/>
      <c r="J549" s="113"/>
      <c r="L549" s="113"/>
      <c r="M549" s="113"/>
      <c r="N549" s="113"/>
      <c r="P549" s="113"/>
      <c r="Q549" s="113"/>
      <c r="R549" s="113"/>
      <c r="T549" s="113"/>
      <c r="U549" s="113"/>
      <c r="V549" s="113"/>
    </row>
    <row r="550" customFormat="false" ht="15" hidden="false" customHeight="true" outlineLevel="0" collapsed="false">
      <c r="H550" s="113"/>
      <c r="I550" s="113"/>
      <c r="J550" s="113"/>
      <c r="L550" s="113"/>
      <c r="M550" s="113"/>
      <c r="N550" s="113"/>
      <c r="P550" s="113"/>
      <c r="Q550" s="113"/>
      <c r="R550" s="113"/>
      <c r="T550" s="113"/>
      <c r="U550" s="113"/>
      <c r="V550" s="113"/>
    </row>
    <row r="551" customFormat="false" ht="15" hidden="false" customHeight="true" outlineLevel="0" collapsed="false">
      <c r="H551" s="113"/>
      <c r="I551" s="113"/>
      <c r="J551" s="113"/>
      <c r="L551" s="113"/>
      <c r="M551" s="113"/>
      <c r="N551" s="113"/>
      <c r="P551" s="113"/>
      <c r="Q551" s="113"/>
      <c r="R551" s="113"/>
      <c r="T551" s="113"/>
      <c r="U551" s="113"/>
      <c r="V551" s="113"/>
    </row>
    <row r="552" customFormat="false" ht="15" hidden="false" customHeight="true" outlineLevel="0" collapsed="false">
      <c r="H552" s="113"/>
      <c r="I552" s="113"/>
      <c r="J552" s="113"/>
      <c r="L552" s="113"/>
      <c r="M552" s="113"/>
      <c r="N552" s="113"/>
      <c r="P552" s="113"/>
      <c r="Q552" s="113"/>
      <c r="R552" s="113"/>
      <c r="T552" s="113"/>
      <c r="U552" s="113"/>
      <c r="V552" s="113"/>
    </row>
    <row r="553" customFormat="false" ht="15" hidden="false" customHeight="true" outlineLevel="0" collapsed="false">
      <c r="H553" s="113"/>
      <c r="I553" s="113"/>
      <c r="J553" s="113"/>
      <c r="L553" s="113"/>
      <c r="M553" s="113"/>
      <c r="N553" s="113"/>
      <c r="P553" s="113"/>
      <c r="Q553" s="113"/>
      <c r="R553" s="113"/>
      <c r="T553" s="113"/>
      <c r="U553" s="113"/>
      <c r="V553" s="113"/>
    </row>
    <row r="554" customFormat="false" ht="15" hidden="false" customHeight="true" outlineLevel="0" collapsed="false">
      <c r="H554" s="113"/>
      <c r="I554" s="113"/>
      <c r="J554" s="113"/>
      <c r="L554" s="113"/>
      <c r="M554" s="113"/>
      <c r="N554" s="113"/>
      <c r="P554" s="113"/>
      <c r="Q554" s="113"/>
      <c r="R554" s="113"/>
      <c r="T554" s="113"/>
      <c r="U554" s="113"/>
      <c r="V554" s="113"/>
    </row>
    <row r="555" customFormat="false" ht="15" hidden="false" customHeight="true" outlineLevel="0" collapsed="false">
      <c r="H555" s="113"/>
      <c r="I555" s="113"/>
      <c r="J555" s="113"/>
      <c r="L555" s="113"/>
      <c r="M555" s="113"/>
      <c r="N555" s="113"/>
      <c r="P555" s="113"/>
      <c r="Q555" s="113"/>
      <c r="R555" s="113"/>
      <c r="T555" s="113"/>
      <c r="U555" s="113"/>
      <c r="V555" s="113"/>
    </row>
    <row r="556" customFormat="false" ht="15" hidden="false" customHeight="true" outlineLevel="0" collapsed="false">
      <c r="H556" s="113"/>
      <c r="I556" s="113"/>
      <c r="J556" s="113"/>
      <c r="L556" s="113"/>
      <c r="M556" s="113"/>
      <c r="N556" s="113"/>
      <c r="P556" s="113"/>
      <c r="Q556" s="113"/>
      <c r="R556" s="113"/>
      <c r="T556" s="113"/>
      <c r="U556" s="113"/>
      <c r="V556" s="113"/>
    </row>
    <row r="557" customFormat="false" ht="15" hidden="false" customHeight="true" outlineLevel="0" collapsed="false">
      <c r="H557" s="113"/>
      <c r="I557" s="113"/>
      <c r="J557" s="113"/>
      <c r="L557" s="113"/>
      <c r="M557" s="113"/>
      <c r="N557" s="113"/>
      <c r="P557" s="113"/>
      <c r="Q557" s="113"/>
      <c r="R557" s="113"/>
      <c r="T557" s="113"/>
      <c r="U557" s="113"/>
      <c r="V557" s="113"/>
    </row>
    <row r="558" customFormat="false" ht="15" hidden="false" customHeight="true" outlineLevel="0" collapsed="false">
      <c r="H558" s="113"/>
      <c r="I558" s="113"/>
      <c r="J558" s="113"/>
      <c r="L558" s="113"/>
      <c r="M558" s="113"/>
      <c r="N558" s="113"/>
      <c r="P558" s="113"/>
      <c r="Q558" s="113"/>
      <c r="R558" s="113"/>
      <c r="T558" s="113"/>
      <c r="U558" s="113"/>
      <c r="V558" s="113"/>
    </row>
    <row r="559" customFormat="false" ht="15" hidden="false" customHeight="true" outlineLevel="0" collapsed="false">
      <c r="H559" s="113"/>
      <c r="I559" s="113"/>
      <c r="J559" s="113"/>
      <c r="L559" s="113"/>
      <c r="M559" s="113"/>
      <c r="N559" s="113"/>
      <c r="P559" s="113"/>
      <c r="Q559" s="113"/>
      <c r="R559" s="113"/>
      <c r="T559" s="113"/>
      <c r="U559" s="113"/>
      <c r="V559" s="113"/>
    </row>
    <row r="560" customFormat="false" ht="15" hidden="false" customHeight="true" outlineLevel="0" collapsed="false">
      <c r="H560" s="113"/>
      <c r="I560" s="113"/>
      <c r="J560" s="113"/>
      <c r="L560" s="113"/>
      <c r="M560" s="113"/>
      <c r="N560" s="113"/>
      <c r="P560" s="113"/>
      <c r="Q560" s="113"/>
      <c r="R560" s="113"/>
      <c r="T560" s="113"/>
      <c r="U560" s="113"/>
      <c r="V560" s="113"/>
    </row>
    <row r="561" customFormat="false" ht="15" hidden="false" customHeight="true" outlineLevel="0" collapsed="false">
      <c r="H561" s="113"/>
      <c r="I561" s="113"/>
      <c r="J561" s="113"/>
      <c r="L561" s="113"/>
      <c r="M561" s="113"/>
      <c r="N561" s="113"/>
      <c r="P561" s="113"/>
      <c r="Q561" s="113"/>
      <c r="R561" s="113"/>
      <c r="T561" s="113"/>
      <c r="U561" s="113"/>
      <c r="V561" s="113"/>
    </row>
    <row r="562" customFormat="false" ht="15" hidden="false" customHeight="true" outlineLevel="0" collapsed="false">
      <c r="H562" s="113"/>
      <c r="I562" s="113"/>
      <c r="J562" s="113"/>
      <c r="L562" s="113"/>
      <c r="M562" s="113"/>
      <c r="N562" s="113"/>
      <c r="P562" s="113"/>
      <c r="Q562" s="113"/>
      <c r="R562" s="113"/>
      <c r="T562" s="113"/>
      <c r="U562" s="113"/>
      <c r="V562" s="113"/>
    </row>
    <row r="563" customFormat="false" ht="15" hidden="false" customHeight="true" outlineLevel="0" collapsed="false">
      <c r="H563" s="113"/>
      <c r="I563" s="113"/>
      <c r="J563" s="113"/>
      <c r="L563" s="113"/>
      <c r="M563" s="113"/>
      <c r="N563" s="113"/>
      <c r="P563" s="113"/>
      <c r="Q563" s="113"/>
      <c r="R563" s="113"/>
      <c r="T563" s="113"/>
      <c r="U563" s="113"/>
      <c r="V563" s="113"/>
    </row>
    <row r="564" customFormat="false" ht="15" hidden="false" customHeight="true" outlineLevel="0" collapsed="false">
      <c r="H564" s="113"/>
      <c r="I564" s="113"/>
      <c r="J564" s="113"/>
      <c r="L564" s="113"/>
      <c r="M564" s="113"/>
      <c r="N564" s="113"/>
      <c r="P564" s="113"/>
      <c r="Q564" s="113"/>
      <c r="R564" s="113"/>
      <c r="T564" s="113"/>
      <c r="U564" s="113"/>
      <c r="V564" s="113"/>
    </row>
    <row r="565" customFormat="false" ht="15" hidden="false" customHeight="true" outlineLevel="0" collapsed="false">
      <c r="H565" s="113"/>
      <c r="I565" s="113"/>
      <c r="J565" s="113"/>
      <c r="L565" s="113"/>
      <c r="M565" s="113"/>
      <c r="N565" s="113"/>
      <c r="P565" s="113"/>
      <c r="Q565" s="113"/>
      <c r="R565" s="113"/>
      <c r="T565" s="113"/>
      <c r="U565" s="113"/>
      <c r="V565" s="113"/>
    </row>
    <row r="566" customFormat="false" ht="15" hidden="false" customHeight="true" outlineLevel="0" collapsed="false">
      <c r="H566" s="113"/>
      <c r="I566" s="113"/>
      <c r="J566" s="113"/>
      <c r="L566" s="113"/>
      <c r="M566" s="113"/>
      <c r="N566" s="113"/>
      <c r="P566" s="113"/>
      <c r="Q566" s="113"/>
      <c r="R566" s="113"/>
      <c r="T566" s="113"/>
      <c r="U566" s="113"/>
      <c r="V566" s="113"/>
    </row>
    <row r="567" customFormat="false" ht="15" hidden="false" customHeight="true" outlineLevel="0" collapsed="false">
      <c r="H567" s="113"/>
      <c r="I567" s="113"/>
      <c r="J567" s="113"/>
      <c r="L567" s="113"/>
      <c r="M567" s="113"/>
      <c r="N567" s="113"/>
      <c r="P567" s="113"/>
      <c r="Q567" s="113"/>
      <c r="R567" s="113"/>
      <c r="T567" s="113"/>
      <c r="U567" s="113"/>
      <c r="V567" s="113"/>
    </row>
    <row r="568" customFormat="false" ht="15" hidden="false" customHeight="true" outlineLevel="0" collapsed="false">
      <c r="H568" s="113"/>
      <c r="I568" s="113"/>
      <c r="J568" s="113"/>
      <c r="L568" s="113"/>
      <c r="M568" s="113"/>
      <c r="N568" s="113"/>
      <c r="P568" s="113"/>
      <c r="Q568" s="113"/>
      <c r="R568" s="113"/>
      <c r="T568" s="113"/>
      <c r="U568" s="113"/>
      <c r="V568" s="113"/>
    </row>
    <row r="569" customFormat="false" ht="15" hidden="false" customHeight="true" outlineLevel="0" collapsed="false">
      <c r="H569" s="113"/>
      <c r="I569" s="113"/>
      <c r="J569" s="113"/>
      <c r="L569" s="113"/>
      <c r="M569" s="113"/>
      <c r="N569" s="113"/>
      <c r="P569" s="113"/>
      <c r="Q569" s="113"/>
      <c r="R569" s="113"/>
      <c r="T569" s="113"/>
      <c r="U569" s="113"/>
      <c r="V569" s="113"/>
    </row>
    <row r="570" customFormat="false" ht="15" hidden="false" customHeight="true" outlineLevel="0" collapsed="false">
      <c r="H570" s="113"/>
      <c r="I570" s="113"/>
      <c r="J570" s="113"/>
      <c r="L570" s="113"/>
      <c r="M570" s="113"/>
      <c r="N570" s="113"/>
      <c r="P570" s="113"/>
      <c r="Q570" s="113"/>
      <c r="R570" s="113"/>
      <c r="T570" s="113"/>
      <c r="U570" s="113"/>
      <c r="V570" s="113"/>
    </row>
    <row r="571" customFormat="false" ht="15" hidden="false" customHeight="true" outlineLevel="0" collapsed="false">
      <c r="H571" s="113"/>
      <c r="I571" s="113"/>
      <c r="J571" s="113"/>
      <c r="L571" s="113"/>
      <c r="M571" s="113"/>
      <c r="N571" s="113"/>
      <c r="P571" s="113"/>
      <c r="Q571" s="113"/>
      <c r="R571" s="113"/>
      <c r="T571" s="113"/>
      <c r="U571" s="113"/>
      <c r="V571" s="113"/>
    </row>
    <row r="572" customFormat="false" ht="15" hidden="false" customHeight="true" outlineLevel="0" collapsed="false">
      <c r="H572" s="113"/>
      <c r="I572" s="113"/>
      <c r="J572" s="113"/>
      <c r="L572" s="113"/>
      <c r="M572" s="113"/>
      <c r="N572" s="113"/>
      <c r="P572" s="113"/>
      <c r="Q572" s="113"/>
      <c r="R572" s="113"/>
      <c r="T572" s="113"/>
      <c r="U572" s="113"/>
      <c r="V572" s="113"/>
    </row>
    <row r="573" customFormat="false" ht="15" hidden="false" customHeight="true" outlineLevel="0" collapsed="false">
      <c r="H573" s="113"/>
      <c r="I573" s="113"/>
      <c r="J573" s="113"/>
      <c r="L573" s="113"/>
      <c r="M573" s="113"/>
      <c r="N573" s="113"/>
      <c r="P573" s="113"/>
      <c r="Q573" s="113"/>
      <c r="R573" s="113"/>
      <c r="T573" s="113"/>
      <c r="U573" s="113"/>
      <c r="V573" s="113"/>
    </row>
    <row r="574" customFormat="false" ht="15" hidden="false" customHeight="true" outlineLevel="0" collapsed="false">
      <c r="H574" s="113"/>
      <c r="I574" s="113"/>
      <c r="J574" s="113"/>
      <c r="L574" s="113"/>
      <c r="M574" s="113"/>
      <c r="N574" s="113"/>
      <c r="P574" s="113"/>
      <c r="Q574" s="113"/>
      <c r="R574" s="113"/>
      <c r="T574" s="113"/>
      <c r="U574" s="113"/>
      <c r="V574" s="113"/>
    </row>
    <row r="575" customFormat="false" ht="15" hidden="false" customHeight="true" outlineLevel="0" collapsed="false">
      <c r="H575" s="113"/>
      <c r="I575" s="113"/>
      <c r="J575" s="113"/>
      <c r="L575" s="113"/>
      <c r="M575" s="113"/>
      <c r="N575" s="113"/>
      <c r="P575" s="113"/>
      <c r="Q575" s="113"/>
      <c r="R575" s="113"/>
      <c r="T575" s="113"/>
      <c r="U575" s="113"/>
      <c r="V575" s="113"/>
    </row>
    <row r="576" customFormat="false" ht="15" hidden="false" customHeight="true" outlineLevel="0" collapsed="false">
      <c r="H576" s="113"/>
      <c r="I576" s="113"/>
      <c r="J576" s="113"/>
      <c r="L576" s="113"/>
      <c r="M576" s="113"/>
      <c r="N576" s="113"/>
      <c r="P576" s="113"/>
      <c r="Q576" s="113"/>
      <c r="R576" s="113"/>
      <c r="T576" s="113"/>
      <c r="U576" s="113"/>
      <c r="V576" s="113"/>
    </row>
    <row r="577" customFormat="false" ht="15" hidden="false" customHeight="true" outlineLevel="0" collapsed="false">
      <c r="H577" s="113"/>
      <c r="I577" s="113"/>
      <c r="J577" s="113"/>
      <c r="L577" s="113"/>
      <c r="M577" s="113"/>
      <c r="N577" s="113"/>
      <c r="P577" s="113"/>
      <c r="Q577" s="113"/>
      <c r="R577" s="113"/>
      <c r="T577" s="113"/>
      <c r="U577" s="113"/>
      <c r="V577" s="113"/>
    </row>
    <row r="578" customFormat="false" ht="15" hidden="false" customHeight="true" outlineLevel="0" collapsed="false">
      <c r="H578" s="113"/>
      <c r="I578" s="113"/>
      <c r="J578" s="113"/>
      <c r="L578" s="113"/>
      <c r="M578" s="113"/>
      <c r="N578" s="113"/>
      <c r="P578" s="113"/>
      <c r="Q578" s="113"/>
      <c r="R578" s="113"/>
      <c r="T578" s="113"/>
      <c r="U578" s="113"/>
      <c r="V578" s="113"/>
    </row>
    <row r="579" customFormat="false" ht="15" hidden="false" customHeight="true" outlineLevel="0" collapsed="false">
      <c r="H579" s="113"/>
      <c r="I579" s="113"/>
      <c r="J579" s="113"/>
      <c r="L579" s="113"/>
      <c r="M579" s="113"/>
      <c r="N579" s="113"/>
      <c r="P579" s="113"/>
      <c r="Q579" s="113"/>
      <c r="R579" s="113"/>
      <c r="T579" s="113"/>
      <c r="U579" s="113"/>
      <c r="V579" s="113"/>
    </row>
    <row r="580" customFormat="false" ht="15" hidden="false" customHeight="true" outlineLevel="0" collapsed="false">
      <c r="H580" s="113"/>
      <c r="I580" s="113"/>
      <c r="J580" s="113"/>
      <c r="L580" s="113"/>
      <c r="M580" s="113"/>
      <c r="N580" s="113"/>
      <c r="P580" s="113"/>
      <c r="Q580" s="113"/>
      <c r="R580" s="113"/>
      <c r="T580" s="113"/>
      <c r="U580" s="113"/>
      <c r="V580" s="113"/>
    </row>
    <row r="581" customFormat="false" ht="15" hidden="false" customHeight="true" outlineLevel="0" collapsed="false">
      <c r="H581" s="113"/>
      <c r="I581" s="113"/>
      <c r="J581" s="113"/>
      <c r="L581" s="113"/>
      <c r="M581" s="113"/>
      <c r="N581" s="113"/>
      <c r="P581" s="113"/>
      <c r="Q581" s="113"/>
      <c r="R581" s="113"/>
      <c r="T581" s="113"/>
      <c r="U581" s="113"/>
      <c r="V581" s="113"/>
    </row>
    <row r="582" customFormat="false" ht="15" hidden="false" customHeight="true" outlineLevel="0" collapsed="false">
      <c r="H582" s="113"/>
      <c r="I582" s="113"/>
      <c r="J582" s="113"/>
      <c r="L582" s="113"/>
      <c r="M582" s="113"/>
      <c r="N582" s="113"/>
      <c r="P582" s="113"/>
      <c r="Q582" s="113"/>
      <c r="R582" s="113"/>
      <c r="T582" s="113"/>
      <c r="U582" s="113"/>
      <c r="V582" s="113"/>
    </row>
    <row r="583" customFormat="false" ht="15" hidden="false" customHeight="true" outlineLevel="0" collapsed="false">
      <c r="H583" s="113"/>
      <c r="I583" s="113"/>
      <c r="J583" s="113"/>
      <c r="L583" s="113"/>
      <c r="M583" s="113"/>
      <c r="N583" s="113"/>
      <c r="P583" s="113"/>
      <c r="Q583" s="113"/>
      <c r="R583" s="113"/>
      <c r="T583" s="113"/>
      <c r="U583" s="113"/>
      <c r="V583" s="113"/>
    </row>
    <row r="584" customFormat="false" ht="15" hidden="false" customHeight="true" outlineLevel="0" collapsed="false">
      <c r="H584" s="113"/>
      <c r="I584" s="113"/>
      <c r="J584" s="113"/>
      <c r="L584" s="113"/>
      <c r="M584" s="113"/>
      <c r="N584" s="113"/>
      <c r="P584" s="113"/>
      <c r="Q584" s="113"/>
      <c r="R584" s="113"/>
      <c r="T584" s="113"/>
      <c r="U584" s="113"/>
      <c r="V584" s="113"/>
    </row>
    <row r="585" customFormat="false" ht="15" hidden="false" customHeight="true" outlineLevel="0" collapsed="false">
      <c r="H585" s="113"/>
      <c r="I585" s="113"/>
      <c r="J585" s="113"/>
      <c r="L585" s="113"/>
      <c r="M585" s="113"/>
      <c r="N585" s="113"/>
      <c r="P585" s="113"/>
      <c r="Q585" s="113"/>
      <c r="R585" s="113"/>
      <c r="T585" s="113"/>
      <c r="U585" s="113"/>
      <c r="V585" s="113"/>
    </row>
    <row r="586" customFormat="false" ht="15" hidden="false" customHeight="true" outlineLevel="0" collapsed="false">
      <c r="H586" s="113"/>
      <c r="I586" s="113"/>
      <c r="J586" s="113"/>
      <c r="L586" s="113"/>
      <c r="M586" s="113"/>
      <c r="N586" s="113"/>
      <c r="P586" s="113"/>
      <c r="Q586" s="113"/>
      <c r="R586" s="113"/>
      <c r="T586" s="113"/>
      <c r="U586" s="113"/>
      <c r="V586" s="113"/>
    </row>
    <row r="587" customFormat="false" ht="15" hidden="false" customHeight="true" outlineLevel="0" collapsed="false">
      <c r="H587" s="113"/>
      <c r="I587" s="113"/>
      <c r="J587" s="113"/>
      <c r="L587" s="113"/>
      <c r="M587" s="113"/>
      <c r="N587" s="113"/>
      <c r="P587" s="113"/>
      <c r="Q587" s="113"/>
      <c r="R587" s="113"/>
      <c r="T587" s="113"/>
      <c r="U587" s="113"/>
      <c r="V587" s="113"/>
    </row>
    <row r="588" customFormat="false" ht="15" hidden="false" customHeight="true" outlineLevel="0" collapsed="false">
      <c r="H588" s="113"/>
      <c r="I588" s="113"/>
      <c r="J588" s="113"/>
      <c r="L588" s="113"/>
      <c r="M588" s="113"/>
      <c r="N588" s="113"/>
      <c r="P588" s="113"/>
      <c r="Q588" s="113"/>
      <c r="R588" s="113"/>
      <c r="T588" s="113"/>
      <c r="U588" s="113"/>
      <c r="V588" s="113"/>
    </row>
    <row r="589" customFormat="false" ht="15" hidden="false" customHeight="true" outlineLevel="0" collapsed="false">
      <c r="H589" s="113"/>
      <c r="I589" s="113"/>
      <c r="J589" s="113"/>
      <c r="L589" s="113"/>
      <c r="M589" s="113"/>
      <c r="N589" s="113"/>
      <c r="P589" s="113"/>
      <c r="Q589" s="113"/>
      <c r="R589" s="113"/>
      <c r="T589" s="113"/>
      <c r="U589" s="113"/>
      <c r="V589" s="113"/>
    </row>
    <row r="590" customFormat="false" ht="15" hidden="false" customHeight="true" outlineLevel="0" collapsed="false">
      <c r="H590" s="113"/>
      <c r="I590" s="113"/>
      <c r="J590" s="113"/>
      <c r="L590" s="113"/>
      <c r="M590" s="113"/>
      <c r="N590" s="113"/>
      <c r="P590" s="113"/>
      <c r="Q590" s="113"/>
      <c r="R590" s="113"/>
      <c r="T590" s="113"/>
      <c r="U590" s="113"/>
      <c r="V590" s="113"/>
    </row>
    <row r="591" customFormat="false" ht="15" hidden="false" customHeight="true" outlineLevel="0" collapsed="false">
      <c r="H591" s="113"/>
      <c r="I591" s="113"/>
      <c r="J591" s="113"/>
      <c r="L591" s="113"/>
      <c r="M591" s="113"/>
      <c r="N591" s="113"/>
      <c r="P591" s="113"/>
      <c r="Q591" s="113"/>
      <c r="R591" s="113"/>
      <c r="T591" s="113"/>
      <c r="U591" s="113"/>
      <c r="V591" s="113"/>
    </row>
    <row r="592" customFormat="false" ht="15" hidden="false" customHeight="true" outlineLevel="0" collapsed="false">
      <c r="H592" s="113"/>
      <c r="I592" s="113"/>
      <c r="J592" s="113"/>
      <c r="L592" s="113"/>
      <c r="M592" s="113"/>
      <c r="N592" s="113"/>
      <c r="P592" s="113"/>
      <c r="Q592" s="113"/>
      <c r="R592" s="113"/>
      <c r="T592" s="113"/>
      <c r="U592" s="113"/>
      <c r="V592" s="113"/>
    </row>
    <row r="593" customFormat="false" ht="15" hidden="false" customHeight="true" outlineLevel="0" collapsed="false">
      <c r="H593" s="113"/>
      <c r="I593" s="113"/>
      <c r="J593" s="113"/>
      <c r="L593" s="113"/>
      <c r="M593" s="113"/>
      <c r="N593" s="113"/>
      <c r="P593" s="113"/>
      <c r="Q593" s="113"/>
      <c r="R593" s="113"/>
      <c r="T593" s="113"/>
      <c r="U593" s="113"/>
      <c r="V593" s="113"/>
    </row>
    <row r="594" customFormat="false" ht="15" hidden="false" customHeight="true" outlineLevel="0" collapsed="false">
      <c r="H594" s="113"/>
      <c r="I594" s="113"/>
      <c r="J594" s="113"/>
      <c r="L594" s="113"/>
      <c r="M594" s="113"/>
      <c r="N594" s="113"/>
      <c r="P594" s="113"/>
      <c r="Q594" s="113"/>
      <c r="R594" s="113"/>
      <c r="T594" s="113"/>
      <c r="U594" s="113"/>
      <c r="V594" s="113"/>
    </row>
    <row r="595" customFormat="false" ht="15" hidden="false" customHeight="true" outlineLevel="0" collapsed="false">
      <c r="H595" s="113"/>
      <c r="I595" s="113"/>
      <c r="J595" s="113"/>
      <c r="L595" s="113"/>
      <c r="M595" s="113"/>
      <c r="N595" s="113"/>
      <c r="P595" s="113"/>
      <c r="Q595" s="113"/>
      <c r="R595" s="113"/>
      <c r="T595" s="113"/>
      <c r="U595" s="113"/>
      <c r="V595" s="113"/>
    </row>
    <row r="596" customFormat="false" ht="15" hidden="false" customHeight="true" outlineLevel="0" collapsed="false">
      <c r="H596" s="113"/>
      <c r="I596" s="113"/>
      <c r="J596" s="113"/>
      <c r="L596" s="113"/>
      <c r="M596" s="113"/>
      <c r="N596" s="113"/>
      <c r="P596" s="113"/>
      <c r="Q596" s="113"/>
      <c r="R596" s="113"/>
      <c r="T596" s="113"/>
      <c r="U596" s="113"/>
      <c r="V596" s="113"/>
    </row>
    <row r="597" customFormat="false" ht="15" hidden="false" customHeight="true" outlineLevel="0" collapsed="false">
      <c r="H597" s="113"/>
      <c r="I597" s="113"/>
      <c r="J597" s="113"/>
      <c r="L597" s="113"/>
      <c r="M597" s="113"/>
      <c r="N597" s="113"/>
      <c r="P597" s="113"/>
      <c r="Q597" s="113"/>
      <c r="R597" s="113"/>
      <c r="T597" s="113"/>
      <c r="U597" s="113"/>
      <c r="V597" s="113"/>
    </row>
    <row r="598" customFormat="false" ht="15" hidden="false" customHeight="true" outlineLevel="0" collapsed="false">
      <c r="H598" s="113"/>
      <c r="I598" s="113"/>
      <c r="J598" s="113"/>
      <c r="L598" s="113"/>
      <c r="M598" s="113"/>
      <c r="N598" s="113"/>
      <c r="P598" s="113"/>
      <c r="Q598" s="113"/>
      <c r="R598" s="113"/>
      <c r="T598" s="113"/>
      <c r="U598" s="113"/>
      <c r="V598" s="113"/>
    </row>
    <row r="599" customFormat="false" ht="15" hidden="false" customHeight="true" outlineLevel="0" collapsed="false">
      <c r="H599" s="113"/>
      <c r="I599" s="113"/>
      <c r="J599" s="113"/>
      <c r="L599" s="113"/>
      <c r="M599" s="113"/>
      <c r="N599" s="113"/>
      <c r="P599" s="113"/>
      <c r="Q599" s="113"/>
      <c r="R599" s="113"/>
      <c r="T599" s="113"/>
      <c r="U599" s="113"/>
      <c r="V599" s="113"/>
    </row>
    <row r="600" customFormat="false" ht="15" hidden="false" customHeight="true" outlineLevel="0" collapsed="false">
      <c r="H600" s="113"/>
      <c r="I600" s="113"/>
      <c r="J600" s="113"/>
      <c r="L600" s="113"/>
      <c r="M600" s="113"/>
      <c r="N600" s="113"/>
      <c r="P600" s="113"/>
      <c r="Q600" s="113"/>
      <c r="R600" s="113"/>
      <c r="T600" s="113"/>
      <c r="U600" s="113"/>
      <c r="V600" s="113"/>
    </row>
    <row r="601" customFormat="false" ht="15" hidden="false" customHeight="true" outlineLevel="0" collapsed="false">
      <c r="H601" s="113"/>
      <c r="I601" s="113"/>
      <c r="J601" s="113"/>
      <c r="L601" s="113"/>
      <c r="M601" s="113"/>
      <c r="N601" s="113"/>
      <c r="P601" s="113"/>
      <c r="Q601" s="113"/>
      <c r="R601" s="113"/>
      <c r="T601" s="113"/>
      <c r="U601" s="113"/>
      <c r="V601" s="113"/>
    </row>
    <row r="602" customFormat="false" ht="15" hidden="false" customHeight="true" outlineLevel="0" collapsed="false">
      <c r="H602" s="113"/>
      <c r="I602" s="113"/>
      <c r="J602" s="113"/>
      <c r="L602" s="113"/>
      <c r="M602" s="113"/>
      <c r="N602" s="113"/>
      <c r="P602" s="113"/>
      <c r="Q602" s="113"/>
      <c r="R602" s="113"/>
      <c r="T602" s="113"/>
      <c r="U602" s="113"/>
      <c r="V602" s="113"/>
    </row>
    <row r="603" customFormat="false" ht="15" hidden="false" customHeight="true" outlineLevel="0" collapsed="false">
      <c r="H603" s="113"/>
      <c r="I603" s="113"/>
      <c r="J603" s="113"/>
      <c r="L603" s="113"/>
      <c r="M603" s="113"/>
      <c r="N603" s="113"/>
      <c r="P603" s="113"/>
      <c r="Q603" s="113"/>
      <c r="R603" s="113"/>
      <c r="T603" s="113"/>
      <c r="U603" s="113"/>
      <c r="V603" s="113"/>
    </row>
    <row r="604" customFormat="false" ht="15" hidden="false" customHeight="true" outlineLevel="0" collapsed="false">
      <c r="H604" s="113"/>
      <c r="I604" s="113"/>
      <c r="J604" s="113"/>
      <c r="L604" s="113"/>
      <c r="M604" s="113"/>
      <c r="N604" s="113"/>
      <c r="P604" s="113"/>
      <c r="Q604" s="113"/>
      <c r="R604" s="113"/>
      <c r="T604" s="113"/>
      <c r="U604" s="113"/>
      <c r="V604" s="113"/>
    </row>
    <row r="605" customFormat="false" ht="15" hidden="false" customHeight="true" outlineLevel="0" collapsed="false">
      <c r="H605" s="113"/>
      <c r="I605" s="113"/>
      <c r="J605" s="113"/>
      <c r="L605" s="113"/>
      <c r="M605" s="113"/>
      <c r="N605" s="113"/>
      <c r="P605" s="113"/>
      <c r="Q605" s="113"/>
      <c r="R605" s="113"/>
      <c r="T605" s="113"/>
      <c r="U605" s="113"/>
      <c r="V605" s="113"/>
    </row>
    <row r="606" customFormat="false" ht="15" hidden="false" customHeight="true" outlineLevel="0" collapsed="false">
      <c r="H606" s="113"/>
      <c r="I606" s="113"/>
      <c r="J606" s="113"/>
      <c r="L606" s="113"/>
      <c r="M606" s="113"/>
      <c r="N606" s="113"/>
      <c r="P606" s="113"/>
      <c r="Q606" s="113"/>
      <c r="R606" s="113"/>
      <c r="T606" s="113"/>
      <c r="U606" s="113"/>
      <c r="V606" s="113"/>
    </row>
    <row r="607" customFormat="false" ht="15" hidden="false" customHeight="true" outlineLevel="0" collapsed="false">
      <c r="H607" s="113"/>
      <c r="I607" s="113"/>
      <c r="J607" s="113"/>
      <c r="L607" s="113"/>
      <c r="M607" s="113"/>
      <c r="N607" s="113"/>
      <c r="P607" s="113"/>
      <c r="Q607" s="113"/>
      <c r="R607" s="113"/>
      <c r="T607" s="113"/>
      <c r="U607" s="113"/>
      <c r="V607" s="113"/>
    </row>
    <row r="608" customFormat="false" ht="15" hidden="false" customHeight="true" outlineLevel="0" collapsed="false">
      <c r="H608" s="113"/>
      <c r="I608" s="113"/>
      <c r="J608" s="113"/>
      <c r="L608" s="113"/>
      <c r="M608" s="113"/>
      <c r="N608" s="113"/>
      <c r="P608" s="113"/>
      <c r="Q608" s="113"/>
      <c r="R608" s="113"/>
      <c r="T608" s="113"/>
      <c r="U608" s="113"/>
      <c r="V608" s="113"/>
    </row>
    <row r="609" customFormat="false" ht="15" hidden="false" customHeight="true" outlineLevel="0" collapsed="false">
      <c r="H609" s="113"/>
      <c r="I609" s="113"/>
      <c r="J609" s="113"/>
      <c r="L609" s="113"/>
      <c r="M609" s="113"/>
      <c r="N609" s="113"/>
      <c r="P609" s="113"/>
      <c r="Q609" s="113"/>
      <c r="R609" s="113"/>
      <c r="T609" s="113"/>
      <c r="U609" s="113"/>
      <c r="V609" s="113"/>
    </row>
    <row r="610" customFormat="false" ht="15" hidden="false" customHeight="true" outlineLevel="0" collapsed="false">
      <c r="H610" s="113"/>
      <c r="I610" s="113"/>
      <c r="J610" s="113"/>
      <c r="L610" s="113"/>
      <c r="M610" s="113"/>
      <c r="N610" s="113"/>
      <c r="P610" s="113"/>
      <c r="Q610" s="113"/>
      <c r="R610" s="113"/>
      <c r="T610" s="113"/>
      <c r="U610" s="113"/>
      <c r="V610" s="113"/>
    </row>
    <row r="611" customFormat="false" ht="15" hidden="false" customHeight="true" outlineLevel="0" collapsed="false">
      <c r="H611" s="113"/>
      <c r="I611" s="113"/>
      <c r="J611" s="113"/>
      <c r="L611" s="113"/>
      <c r="M611" s="113"/>
      <c r="N611" s="113"/>
      <c r="P611" s="113"/>
      <c r="Q611" s="113"/>
      <c r="R611" s="113"/>
      <c r="T611" s="113"/>
      <c r="U611" s="113"/>
      <c r="V611" s="113"/>
    </row>
    <row r="612" customFormat="false" ht="15" hidden="false" customHeight="true" outlineLevel="0" collapsed="false">
      <c r="H612" s="113"/>
      <c r="I612" s="113"/>
      <c r="J612" s="113"/>
      <c r="L612" s="113"/>
      <c r="M612" s="113"/>
      <c r="N612" s="113"/>
      <c r="P612" s="113"/>
      <c r="Q612" s="113"/>
      <c r="R612" s="113"/>
      <c r="T612" s="113"/>
      <c r="U612" s="113"/>
      <c r="V612" s="113"/>
    </row>
    <row r="613" customFormat="false" ht="15" hidden="false" customHeight="true" outlineLevel="0" collapsed="false">
      <c r="H613" s="113"/>
      <c r="I613" s="113"/>
      <c r="J613" s="113"/>
      <c r="L613" s="113"/>
      <c r="M613" s="113"/>
      <c r="N613" s="113"/>
      <c r="P613" s="113"/>
      <c r="Q613" s="113"/>
      <c r="R613" s="113"/>
      <c r="T613" s="113"/>
      <c r="U613" s="113"/>
      <c r="V613" s="113"/>
    </row>
    <row r="614" customFormat="false" ht="15" hidden="false" customHeight="true" outlineLevel="0" collapsed="false">
      <c r="H614" s="113"/>
      <c r="I614" s="113"/>
      <c r="J614" s="113"/>
      <c r="L614" s="113"/>
      <c r="M614" s="113"/>
      <c r="N614" s="113"/>
      <c r="P614" s="113"/>
      <c r="Q614" s="113"/>
      <c r="R614" s="113"/>
      <c r="T614" s="113"/>
      <c r="U614" s="113"/>
      <c r="V614" s="113"/>
    </row>
    <row r="615" customFormat="false" ht="15" hidden="false" customHeight="true" outlineLevel="0" collapsed="false">
      <c r="H615" s="113"/>
      <c r="I615" s="113"/>
      <c r="J615" s="113"/>
      <c r="L615" s="113"/>
      <c r="M615" s="113"/>
      <c r="N615" s="113"/>
      <c r="P615" s="113"/>
      <c r="Q615" s="113"/>
      <c r="R615" s="113"/>
      <c r="T615" s="113"/>
      <c r="U615" s="113"/>
      <c r="V615" s="113"/>
    </row>
    <row r="616" customFormat="false" ht="15" hidden="false" customHeight="true" outlineLevel="0" collapsed="false">
      <c r="H616" s="113"/>
      <c r="I616" s="113"/>
      <c r="J616" s="113"/>
      <c r="L616" s="113"/>
      <c r="M616" s="113"/>
      <c r="N616" s="113"/>
      <c r="P616" s="113"/>
      <c r="Q616" s="113"/>
      <c r="R616" s="113"/>
      <c r="T616" s="113"/>
      <c r="U616" s="113"/>
      <c r="V616" s="113"/>
    </row>
    <row r="617" customFormat="false" ht="15" hidden="false" customHeight="true" outlineLevel="0" collapsed="false">
      <c r="H617" s="113"/>
      <c r="I617" s="113"/>
      <c r="J617" s="113"/>
      <c r="L617" s="113"/>
      <c r="M617" s="113"/>
      <c r="N617" s="113"/>
      <c r="P617" s="113"/>
      <c r="Q617" s="113"/>
      <c r="R617" s="113"/>
      <c r="T617" s="113"/>
      <c r="U617" s="113"/>
      <c r="V617" s="113"/>
    </row>
    <row r="618" customFormat="false" ht="15" hidden="false" customHeight="true" outlineLevel="0" collapsed="false">
      <c r="H618" s="113"/>
      <c r="I618" s="113"/>
      <c r="J618" s="113"/>
      <c r="L618" s="113"/>
      <c r="M618" s="113"/>
      <c r="N618" s="113"/>
      <c r="P618" s="113"/>
      <c r="Q618" s="113"/>
      <c r="R618" s="113"/>
      <c r="T618" s="113"/>
      <c r="U618" s="113"/>
      <c r="V618" s="113"/>
    </row>
    <row r="619" customFormat="false" ht="15" hidden="false" customHeight="true" outlineLevel="0" collapsed="false">
      <c r="H619" s="113"/>
      <c r="I619" s="113"/>
      <c r="J619" s="113"/>
      <c r="L619" s="113"/>
      <c r="M619" s="113"/>
      <c r="N619" s="113"/>
      <c r="P619" s="113"/>
      <c r="Q619" s="113"/>
      <c r="R619" s="113"/>
      <c r="T619" s="113"/>
      <c r="U619" s="113"/>
      <c r="V619" s="113"/>
    </row>
    <row r="620" customFormat="false" ht="15" hidden="false" customHeight="true" outlineLevel="0" collapsed="false">
      <c r="H620" s="113"/>
      <c r="I620" s="113"/>
      <c r="J620" s="113"/>
      <c r="L620" s="113"/>
      <c r="M620" s="113"/>
      <c r="N620" s="113"/>
      <c r="P620" s="113"/>
      <c r="Q620" s="113"/>
      <c r="R620" s="113"/>
      <c r="T620" s="113"/>
      <c r="U620" s="113"/>
      <c r="V620" s="113"/>
    </row>
    <row r="621" customFormat="false" ht="15" hidden="false" customHeight="true" outlineLevel="0" collapsed="false">
      <c r="H621" s="113"/>
      <c r="I621" s="113"/>
      <c r="J621" s="113"/>
      <c r="L621" s="113"/>
      <c r="M621" s="113"/>
      <c r="N621" s="113"/>
      <c r="P621" s="113"/>
      <c r="Q621" s="113"/>
      <c r="R621" s="113"/>
      <c r="T621" s="113"/>
      <c r="U621" s="113"/>
      <c r="V621" s="113"/>
    </row>
    <row r="622" customFormat="false" ht="15" hidden="false" customHeight="true" outlineLevel="0" collapsed="false">
      <c r="H622" s="113"/>
      <c r="I622" s="113"/>
      <c r="J622" s="113"/>
      <c r="L622" s="113"/>
      <c r="M622" s="113"/>
      <c r="N622" s="113"/>
      <c r="P622" s="113"/>
      <c r="Q622" s="113"/>
      <c r="R622" s="113"/>
      <c r="T622" s="113"/>
      <c r="U622" s="113"/>
      <c r="V622" s="113"/>
    </row>
    <row r="623" customFormat="false" ht="15" hidden="false" customHeight="true" outlineLevel="0" collapsed="false">
      <c r="H623" s="113"/>
      <c r="I623" s="113"/>
      <c r="J623" s="113"/>
      <c r="L623" s="113"/>
      <c r="M623" s="113"/>
      <c r="N623" s="113"/>
      <c r="P623" s="113"/>
      <c r="Q623" s="113"/>
      <c r="R623" s="113"/>
      <c r="T623" s="113"/>
      <c r="U623" s="113"/>
      <c r="V623" s="113"/>
    </row>
    <row r="624" customFormat="false" ht="15" hidden="false" customHeight="true" outlineLevel="0" collapsed="false">
      <c r="H624" s="113"/>
      <c r="I624" s="113"/>
      <c r="J624" s="113"/>
      <c r="L624" s="113"/>
      <c r="M624" s="113"/>
      <c r="N624" s="113"/>
      <c r="P624" s="113"/>
      <c r="Q624" s="113"/>
      <c r="R624" s="113"/>
      <c r="T624" s="113"/>
      <c r="U624" s="113"/>
      <c r="V624" s="113"/>
    </row>
    <row r="625" customFormat="false" ht="15" hidden="false" customHeight="true" outlineLevel="0" collapsed="false">
      <c r="H625" s="113"/>
      <c r="I625" s="113"/>
      <c r="J625" s="113"/>
      <c r="L625" s="113"/>
      <c r="M625" s="113"/>
      <c r="N625" s="113"/>
      <c r="P625" s="113"/>
      <c r="Q625" s="113"/>
      <c r="R625" s="113"/>
      <c r="T625" s="113"/>
      <c r="U625" s="113"/>
      <c r="V625" s="113"/>
    </row>
    <row r="626" customFormat="false" ht="15" hidden="false" customHeight="true" outlineLevel="0" collapsed="false">
      <c r="H626" s="113"/>
      <c r="I626" s="113"/>
      <c r="J626" s="113"/>
      <c r="L626" s="113"/>
      <c r="M626" s="113"/>
      <c r="N626" s="113"/>
      <c r="P626" s="113"/>
      <c r="Q626" s="113"/>
      <c r="R626" s="113"/>
      <c r="T626" s="113"/>
      <c r="U626" s="113"/>
      <c r="V626" s="113"/>
    </row>
    <row r="627" customFormat="false" ht="15" hidden="false" customHeight="true" outlineLevel="0" collapsed="false">
      <c r="H627" s="113"/>
      <c r="I627" s="113"/>
      <c r="J627" s="113"/>
      <c r="L627" s="113"/>
      <c r="M627" s="113"/>
      <c r="N627" s="113"/>
      <c r="P627" s="113"/>
      <c r="Q627" s="113"/>
      <c r="R627" s="113"/>
      <c r="T627" s="113"/>
      <c r="U627" s="113"/>
      <c r="V627" s="113"/>
    </row>
    <row r="628" customFormat="false" ht="15" hidden="false" customHeight="true" outlineLevel="0" collapsed="false">
      <c r="H628" s="113"/>
      <c r="I628" s="113"/>
      <c r="J628" s="113"/>
      <c r="L628" s="113"/>
      <c r="M628" s="113"/>
      <c r="N628" s="113"/>
      <c r="P628" s="113"/>
      <c r="Q628" s="113"/>
      <c r="R628" s="113"/>
      <c r="T628" s="113"/>
      <c r="U628" s="113"/>
      <c r="V628" s="113"/>
    </row>
    <row r="629" customFormat="false" ht="15" hidden="false" customHeight="true" outlineLevel="0" collapsed="false">
      <c r="H629" s="113"/>
      <c r="I629" s="113"/>
      <c r="J629" s="113"/>
      <c r="L629" s="113"/>
      <c r="M629" s="113"/>
      <c r="N629" s="113"/>
      <c r="P629" s="113"/>
      <c r="Q629" s="113"/>
      <c r="R629" s="113"/>
      <c r="T629" s="113"/>
      <c r="U629" s="113"/>
      <c r="V629" s="113"/>
    </row>
    <row r="630" customFormat="false" ht="15" hidden="false" customHeight="true" outlineLevel="0" collapsed="false">
      <c r="H630" s="113"/>
      <c r="I630" s="113"/>
      <c r="J630" s="113"/>
      <c r="L630" s="113"/>
      <c r="M630" s="113"/>
      <c r="N630" s="113"/>
      <c r="P630" s="113"/>
      <c r="Q630" s="113"/>
      <c r="R630" s="113"/>
      <c r="T630" s="113"/>
      <c r="U630" s="113"/>
      <c r="V630" s="113"/>
    </row>
    <row r="631" customFormat="false" ht="15" hidden="false" customHeight="true" outlineLevel="0" collapsed="false">
      <c r="H631" s="113"/>
      <c r="I631" s="113"/>
      <c r="J631" s="113"/>
      <c r="L631" s="113"/>
      <c r="M631" s="113"/>
      <c r="N631" s="113"/>
      <c r="P631" s="113"/>
      <c r="Q631" s="113"/>
      <c r="R631" s="113"/>
      <c r="T631" s="113"/>
      <c r="U631" s="113"/>
      <c r="V631" s="113"/>
    </row>
    <row r="632" customFormat="false" ht="15" hidden="false" customHeight="true" outlineLevel="0" collapsed="false">
      <c r="H632" s="113"/>
      <c r="I632" s="113"/>
      <c r="J632" s="113"/>
      <c r="L632" s="113"/>
      <c r="M632" s="113"/>
      <c r="N632" s="113"/>
      <c r="P632" s="113"/>
      <c r="Q632" s="113"/>
      <c r="R632" s="113"/>
      <c r="T632" s="113"/>
      <c r="U632" s="113"/>
      <c r="V632" s="113"/>
    </row>
    <row r="633" customFormat="false" ht="15" hidden="false" customHeight="true" outlineLevel="0" collapsed="false">
      <c r="H633" s="113"/>
      <c r="I633" s="113"/>
      <c r="J633" s="113"/>
      <c r="L633" s="113"/>
      <c r="M633" s="113"/>
      <c r="N633" s="113"/>
      <c r="P633" s="113"/>
      <c r="Q633" s="113"/>
      <c r="R633" s="113"/>
      <c r="T633" s="113"/>
      <c r="U633" s="113"/>
      <c r="V633" s="113"/>
    </row>
    <row r="634" customFormat="false" ht="15" hidden="false" customHeight="true" outlineLevel="0" collapsed="false">
      <c r="H634" s="113"/>
      <c r="I634" s="113"/>
      <c r="J634" s="113"/>
      <c r="L634" s="113"/>
      <c r="M634" s="113"/>
      <c r="N634" s="113"/>
      <c r="P634" s="113"/>
      <c r="Q634" s="113"/>
      <c r="R634" s="113"/>
      <c r="T634" s="113"/>
      <c r="U634" s="113"/>
      <c r="V634" s="113"/>
    </row>
    <row r="635" customFormat="false" ht="15" hidden="false" customHeight="true" outlineLevel="0" collapsed="false">
      <c r="H635" s="113"/>
      <c r="I635" s="113"/>
      <c r="J635" s="113"/>
      <c r="L635" s="113"/>
      <c r="M635" s="113"/>
      <c r="N635" s="113"/>
      <c r="P635" s="113"/>
      <c r="Q635" s="113"/>
      <c r="R635" s="113"/>
      <c r="T635" s="113"/>
      <c r="U635" s="113"/>
      <c r="V635" s="113"/>
    </row>
    <row r="636" customFormat="false" ht="15" hidden="false" customHeight="true" outlineLevel="0" collapsed="false">
      <c r="H636" s="113"/>
      <c r="I636" s="113"/>
      <c r="J636" s="113"/>
      <c r="L636" s="113"/>
      <c r="M636" s="113"/>
      <c r="N636" s="113"/>
      <c r="P636" s="113"/>
      <c r="Q636" s="113"/>
      <c r="R636" s="113"/>
      <c r="T636" s="113"/>
      <c r="U636" s="113"/>
      <c r="V636" s="113"/>
    </row>
    <row r="637" customFormat="false" ht="15" hidden="false" customHeight="true" outlineLevel="0" collapsed="false">
      <c r="H637" s="113"/>
      <c r="I637" s="113"/>
      <c r="J637" s="113"/>
      <c r="L637" s="113"/>
      <c r="M637" s="113"/>
      <c r="N637" s="113"/>
      <c r="P637" s="113"/>
      <c r="Q637" s="113"/>
      <c r="R637" s="113"/>
      <c r="T637" s="113"/>
      <c r="U637" s="113"/>
      <c r="V637" s="113"/>
    </row>
    <row r="638" customFormat="false" ht="15" hidden="false" customHeight="true" outlineLevel="0" collapsed="false">
      <c r="H638" s="113"/>
      <c r="I638" s="113"/>
      <c r="J638" s="113"/>
      <c r="L638" s="113"/>
      <c r="M638" s="113"/>
      <c r="N638" s="113"/>
      <c r="P638" s="113"/>
      <c r="Q638" s="113"/>
      <c r="R638" s="113"/>
      <c r="T638" s="113"/>
      <c r="U638" s="113"/>
      <c r="V638" s="113"/>
    </row>
    <row r="639" customFormat="false" ht="15" hidden="false" customHeight="true" outlineLevel="0" collapsed="false">
      <c r="H639" s="113"/>
      <c r="I639" s="113"/>
      <c r="J639" s="113"/>
      <c r="L639" s="113"/>
      <c r="M639" s="113"/>
      <c r="N639" s="113"/>
      <c r="P639" s="113"/>
      <c r="Q639" s="113"/>
      <c r="R639" s="113"/>
      <c r="T639" s="113"/>
      <c r="U639" s="113"/>
      <c r="V639" s="113"/>
    </row>
    <row r="640" customFormat="false" ht="15" hidden="false" customHeight="true" outlineLevel="0" collapsed="false">
      <c r="H640" s="113"/>
      <c r="I640" s="113"/>
      <c r="J640" s="113"/>
      <c r="L640" s="113"/>
      <c r="M640" s="113"/>
      <c r="N640" s="113"/>
      <c r="P640" s="113"/>
      <c r="Q640" s="113"/>
      <c r="R640" s="113"/>
      <c r="T640" s="113"/>
      <c r="U640" s="113"/>
      <c r="V640" s="113"/>
    </row>
    <row r="641" customFormat="false" ht="15" hidden="false" customHeight="true" outlineLevel="0" collapsed="false">
      <c r="H641" s="113"/>
      <c r="I641" s="113"/>
      <c r="J641" s="113"/>
      <c r="L641" s="113"/>
      <c r="M641" s="113"/>
      <c r="N641" s="113"/>
      <c r="P641" s="113"/>
      <c r="Q641" s="113"/>
      <c r="R641" s="113"/>
      <c r="T641" s="113"/>
      <c r="U641" s="113"/>
      <c r="V641" s="113"/>
    </row>
    <row r="642" customFormat="false" ht="15" hidden="false" customHeight="true" outlineLevel="0" collapsed="false">
      <c r="H642" s="113"/>
      <c r="I642" s="113"/>
      <c r="J642" s="113"/>
      <c r="L642" s="113"/>
      <c r="M642" s="113"/>
      <c r="N642" s="113"/>
      <c r="P642" s="113"/>
      <c r="Q642" s="113"/>
      <c r="R642" s="113"/>
      <c r="T642" s="113"/>
      <c r="U642" s="113"/>
      <c r="V642" s="113"/>
    </row>
    <row r="643" customFormat="false" ht="15" hidden="false" customHeight="true" outlineLevel="0" collapsed="false">
      <c r="H643" s="113"/>
      <c r="I643" s="113"/>
      <c r="J643" s="113"/>
      <c r="L643" s="113"/>
      <c r="M643" s="113"/>
      <c r="N643" s="113"/>
      <c r="P643" s="113"/>
      <c r="Q643" s="113"/>
      <c r="R643" s="113"/>
      <c r="T643" s="113"/>
      <c r="U643" s="113"/>
      <c r="V643" s="113"/>
    </row>
    <row r="644" customFormat="false" ht="15" hidden="false" customHeight="true" outlineLevel="0" collapsed="false">
      <c r="H644" s="113"/>
      <c r="I644" s="113"/>
      <c r="J644" s="113"/>
      <c r="L644" s="113"/>
      <c r="M644" s="113"/>
      <c r="N644" s="113"/>
      <c r="P644" s="113"/>
      <c r="Q644" s="113"/>
      <c r="R644" s="113"/>
      <c r="T644" s="113"/>
      <c r="U644" s="113"/>
      <c r="V644" s="113"/>
    </row>
    <row r="645" customFormat="false" ht="15" hidden="false" customHeight="true" outlineLevel="0" collapsed="false">
      <c r="H645" s="113"/>
      <c r="I645" s="113"/>
      <c r="J645" s="113"/>
      <c r="L645" s="113"/>
      <c r="M645" s="113"/>
      <c r="N645" s="113"/>
      <c r="P645" s="113"/>
      <c r="Q645" s="113"/>
      <c r="R645" s="113"/>
      <c r="T645" s="113"/>
      <c r="U645" s="113"/>
      <c r="V645" s="113"/>
    </row>
    <row r="646" customFormat="false" ht="15" hidden="false" customHeight="true" outlineLevel="0" collapsed="false">
      <c r="H646" s="113"/>
      <c r="I646" s="113"/>
      <c r="J646" s="113"/>
      <c r="L646" s="113"/>
      <c r="M646" s="113"/>
      <c r="N646" s="113"/>
      <c r="P646" s="113"/>
      <c r="Q646" s="113"/>
      <c r="R646" s="113"/>
      <c r="T646" s="113"/>
      <c r="U646" s="113"/>
      <c r="V646" s="113"/>
    </row>
    <row r="647" customFormat="false" ht="15" hidden="false" customHeight="true" outlineLevel="0" collapsed="false">
      <c r="H647" s="113"/>
      <c r="I647" s="113"/>
      <c r="J647" s="113"/>
      <c r="L647" s="113"/>
      <c r="M647" s="113"/>
      <c r="N647" s="113"/>
      <c r="P647" s="113"/>
      <c r="Q647" s="113"/>
      <c r="R647" s="113"/>
      <c r="T647" s="113"/>
      <c r="U647" s="113"/>
      <c r="V647" s="113"/>
    </row>
    <row r="648" customFormat="false" ht="15" hidden="false" customHeight="true" outlineLevel="0" collapsed="false">
      <c r="H648" s="113"/>
      <c r="I648" s="113"/>
      <c r="J648" s="113"/>
      <c r="L648" s="113"/>
      <c r="M648" s="113"/>
      <c r="N648" s="113"/>
      <c r="P648" s="113"/>
      <c r="Q648" s="113"/>
      <c r="R648" s="113"/>
      <c r="T648" s="113"/>
      <c r="U648" s="113"/>
      <c r="V648" s="113"/>
    </row>
    <row r="649" customFormat="false" ht="15" hidden="false" customHeight="true" outlineLevel="0" collapsed="false">
      <c r="H649" s="113"/>
      <c r="I649" s="113"/>
      <c r="J649" s="113"/>
      <c r="L649" s="113"/>
      <c r="M649" s="113"/>
      <c r="N649" s="113"/>
      <c r="P649" s="113"/>
      <c r="Q649" s="113"/>
      <c r="R649" s="113"/>
      <c r="T649" s="113"/>
      <c r="U649" s="113"/>
      <c r="V649" s="113"/>
    </row>
    <row r="650" customFormat="false" ht="15" hidden="false" customHeight="true" outlineLevel="0" collapsed="false">
      <c r="H650" s="113"/>
      <c r="I650" s="113"/>
      <c r="J650" s="113"/>
      <c r="L650" s="113"/>
      <c r="M650" s="113"/>
      <c r="N650" s="113"/>
      <c r="P650" s="113"/>
      <c r="Q650" s="113"/>
      <c r="R650" s="113"/>
      <c r="T650" s="113"/>
      <c r="U650" s="113"/>
      <c r="V650" s="113"/>
    </row>
    <row r="651" customFormat="false" ht="15" hidden="false" customHeight="true" outlineLevel="0" collapsed="false">
      <c r="H651" s="113"/>
      <c r="I651" s="113"/>
      <c r="J651" s="113"/>
      <c r="L651" s="113"/>
      <c r="M651" s="113"/>
      <c r="N651" s="113"/>
      <c r="P651" s="113"/>
      <c r="Q651" s="113"/>
      <c r="R651" s="113"/>
      <c r="T651" s="113"/>
      <c r="U651" s="113"/>
      <c r="V651" s="113"/>
    </row>
    <row r="652" customFormat="false" ht="15" hidden="false" customHeight="true" outlineLevel="0" collapsed="false">
      <c r="H652" s="113"/>
      <c r="I652" s="113"/>
      <c r="J652" s="113"/>
      <c r="L652" s="113"/>
      <c r="M652" s="113"/>
      <c r="N652" s="113"/>
      <c r="P652" s="113"/>
      <c r="Q652" s="113"/>
      <c r="R652" s="113"/>
      <c r="T652" s="113"/>
      <c r="U652" s="113"/>
      <c r="V652" s="113"/>
    </row>
    <row r="653" customFormat="false" ht="15" hidden="false" customHeight="true" outlineLevel="0" collapsed="false">
      <c r="H653" s="113"/>
      <c r="I653" s="113"/>
      <c r="J653" s="113"/>
      <c r="L653" s="113"/>
      <c r="M653" s="113"/>
      <c r="N653" s="113"/>
      <c r="P653" s="113"/>
      <c r="Q653" s="113"/>
      <c r="R653" s="113"/>
      <c r="T653" s="113"/>
      <c r="U653" s="113"/>
      <c r="V653" s="113"/>
    </row>
    <row r="654" customFormat="false" ht="15" hidden="false" customHeight="true" outlineLevel="0" collapsed="false">
      <c r="H654" s="113"/>
      <c r="I654" s="113"/>
      <c r="J654" s="113"/>
      <c r="L654" s="113"/>
      <c r="M654" s="113"/>
      <c r="N654" s="113"/>
      <c r="P654" s="113"/>
      <c r="Q654" s="113"/>
      <c r="R654" s="113"/>
      <c r="T654" s="113"/>
      <c r="U654" s="113"/>
      <c r="V654" s="113"/>
    </row>
    <row r="655" customFormat="false" ht="15" hidden="false" customHeight="true" outlineLevel="0" collapsed="false">
      <c r="H655" s="113"/>
      <c r="I655" s="113"/>
      <c r="J655" s="113"/>
      <c r="L655" s="113"/>
      <c r="M655" s="113"/>
      <c r="N655" s="113"/>
      <c r="P655" s="113"/>
      <c r="Q655" s="113"/>
      <c r="R655" s="113"/>
      <c r="T655" s="113"/>
      <c r="U655" s="113"/>
      <c r="V655" s="113"/>
    </row>
    <row r="656" customFormat="false" ht="15" hidden="false" customHeight="true" outlineLevel="0" collapsed="false">
      <c r="H656" s="113"/>
      <c r="I656" s="113"/>
      <c r="J656" s="113"/>
      <c r="L656" s="113"/>
      <c r="M656" s="113"/>
      <c r="N656" s="113"/>
      <c r="P656" s="113"/>
      <c r="Q656" s="113"/>
      <c r="R656" s="113"/>
      <c r="T656" s="113"/>
      <c r="U656" s="113"/>
      <c r="V656" s="113"/>
    </row>
    <row r="657" customFormat="false" ht="15" hidden="false" customHeight="true" outlineLevel="0" collapsed="false">
      <c r="H657" s="113"/>
      <c r="I657" s="113"/>
      <c r="J657" s="113"/>
      <c r="L657" s="113"/>
      <c r="M657" s="113"/>
      <c r="N657" s="113"/>
      <c r="P657" s="113"/>
      <c r="Q657" s="113"/>
      <c r="R657" s="113"/>
      <c r="T657" s="113"/>
      <c r="U657" s="113"/>
      <c r="V657" s="113"/>
    </row>
    <row r="658" customFormat="false" ht="15" hidden="false" customHeight="true" outlineLevel="0" collapsed="false">
      <c r="H658" s="113"/>
      <c r="I658" s="113"/>
      <c r="J658" s="113"/>
      <c r="L658" s="113"/>
      <c r="M658" s="113"/>
      <c r="N658" s="113"/>
      <c r="P658" s="113"/>
      <c r="Q658" s="113"/>
      <c r="R658" s="113"/>
      <c r="T658" s="113"/>
      <c r="U658" s="113"/>
      <c r="V658" s="113"/>
    </row>
    <row r="659" customFormat="false" ht="15" hidden="false" customHeight="true" outlineLevel="0" collapsed="false">
      <c r="H659" s="113"/>
      <c r="I659" s="113"/>
      <c r="J659" s="113"/>
      <c r="L659" s="113"/>
      <c r="M659" s="113"/>
      <c r="N659" s="113"/>
      <c r="P659" s="113"/>
      <c r="Q659" s="113"/>
      <c r="R659" s="113"/>
      <c r="T659" s="113"/>
      <c r="U659" s="113"/>
      <c r="V659" s="113"/>
    </row>
    <row r="660" customFormat="false" ht="15" hidden="false" customHeight="true" outlineLevel="0" collapsed="false">
      <c r="H660" s="113"/>
      <c r="I660" s="113"/>
      <c r="J660" s="113"/>
      <c r="L660" s="113"/>
      <c r="M660" s="113"/>
      <c r="N660" s="113"/>
      <c r="P660" s="113"/>
      <c r="Q660" s="113"/>
      <c r="R660" s="113"/>
      <c r="T660" s="113"/>
      <c r="U660" s="113"/>
      <c r="V660" s="113"/>
    </row>
    <row r="661" customFormat="false" ht="15" hidden="false" customHeight="true" outlineLevel="0" collapsed="false">
      <c r="H661" s="113"/>
      <c r="I661" s="113"/>
      <c r="J661" s="113"/>
      <c r="L661" s="113"/>
      <c r="M661" s="113"/>
      <c r="N661" s="113"/>
      <c r="P661" s="113"/>
      <c r="Q661" s="113"/>
      <c r="R661" s="113"/>
      <c r="T661" s="113"/>
      <c r="U661" s="113"/>
      <c r="V661" s="113"/>
    </row>
    <row r="662" customFormat="false" ht="15" hidden="false" customHeight="true" outlineLevel="0" collapsed="false">
      <c r="H662" s="113"/>
      <c r="I662" s="113"/>
      <c r="J662" s="113"/>
      <c r="L662" s="113"/>
      <c r="M662" s="113"/>
      <c r="N662" s="113"/>
      <c r="P662" s="113"/>
      <c r="Q662" s="113"/>
      <c r="R662" s="113"/>
      <c r="T662" s="113"/>
      <c r="U662" s="113"/>
      <c r="V662" s="113"/>
    </row>
    <row r="663" customFormat="false" ht="15" hidden="false" customHeight="true" outlineLevel="0" collapsed="false">
      <c r="H663" s="113"/>
      <c r="I663" s="113"/>
      <c r="J663" s="113"/>
      <c r="L663" s="113"/>
      <c r="M663" s="113"/>
      <c r="N663" s="113"/>
      <c r="P663" s="113"/>
      <c r="Q663" s="113"/>
      <c r="R663" s="113"/>
      <c r="T663" s="113"/>
      <c r="U663" s="113"/>
      <c r="V663" s="113"/>
    </row>
    <row r="664" customFormat="false" ht="15" hidden="false" customHeight="true" outlineLevel="0" collapsed="false">
      <c r="H664" s="113"/>
      <c r="I664" s="113"/>
      <c r="J664" s="113"/>
      <c r="L664" s="113"/>
      <c r="M664" s="113"/>
      <c r="N664" s="113"/>
      <c r="P664" s="113"/>
      <c r="Q664" s="113"/>
      <c r="R664" s="113"/>
      <c r="T664" s="113"/>
      <c r="U664" s="113"/>
      <c r="V664" s="113"/>
    </row>
    <row r="665" customFormat="false" ht="15" hidden="false" customHeight="true" outlineLevel="0" collapsed="false"/>
    <row r="666" customFormat="false" ht="15" hidden="false" customHeight="true" outlineLevel="0" collapsed="false"/>
    <row r="667" customFormat="false" ht="15" hidden="false" customHeight="true" outlineLevel="0" collapsed="false"/>
    <row r="668" customFormat="false" ht="15" hidden="false" customHeight="true" outlineLevel="0" collapsed="false"/>
    <row r="669" customFormat="false" ht="15" hidden="false" customHeight="true" outlineLevel="0" collapsed="false"/>
    <row r="670" customFormat="false" ht="15" hidden="false" customHeight="true" outlineLevel="0" collapsed="false"/>
    <row r="671" customFormat="false" ht="15" hidden="false" customHeight="true" outlineLevel="0" collapsed="false"/>
    <row r="672" customFormat="false" ht="15" hidden="false" customHeight="true" outlineLevel="0" collapsed="false"/>
    <row r="673" customFormat="false" ht="15" hidden="false" customHeight="true" outlineLevel="0" collapsed="false"/>
    <row r="674" customFormat="false" ht="15" hidden="false" customHeight="true" outlineLevel="0" collapsed="false"/>
    <row r="675" customFormat="false" ht="15" hidden="false" customHeight="true" outlineLevel="0" collapsed="false"/>
    <row r="676" customFormat="false" ht="15" hidden="false" customHeight="true" outlineLevel="0" collapsed="false"/>
    <row r="677" customFormat="false" ht="15" hidden="false" customHeight="true" outlineLevel="0" collapsed="false"/>
    <row r="678" customFormat="false" ht="15" hidden="false" customHeight="true" outlineLevel="0" collapsed="false"/>
    <row r="679" customFormat="false" ht="15" hidden="false" customHeight="true" outlineLevel="0" collapsed="false"/>
    <row r="680" customFormat="false" ht="15" hidden="false" customHeight="true" outlineLevel="0" collapsed="false"/>
    <row r="681" customFormat="false" ht="15" hidden="false" customHeight="true" outlineLevel="0" collapsed="false"/>
    <row r="682" customFormat="false" ht="15" hidden="false" customHeight="true" outlineLevel="0" collapsed="false"/>
    <row r="683" customFormat="false" ht="15" hidden="false" customHeight="true" outlineLevel="0" collapsed="false"/>
    <row r="684" customFormat="false" ht="15" hidden="false" customHeight="true" outlineLevel="0" collapsed="false"/>
    <row r="685" customFormat="false" ht="15" hidden="false" customHeight="true" outlineLevel="0" collapsed="false"/>
    <row r="686" customFormat="false" ht="15" hidden="false" customHeight="true" outlineLevel="0" collapsed="false"/>
    <row r="687" customFormat="false" ht="15" hidden="false" customHeight="true" outlineLevel="0" collapsed="false"/>
    <row r="688" customFormat="false" ht="15" hidden="false" customHeight="true" outlineLevel="0" collapsed="false"/>
    <row r="689" customFormat="false" ht="15" hidden="false" customHeight="true" outlineLevel="0" collapsed="false"/>
    <row r="690" customFormat="false" ht="15" hidden="false" customHeight="true" outlineLevel="0" collapsed="false"/>
    <row r="691" customFormat="false" ht="15" hidden="false" customHeight="true" outlineLevel="0" collapsed="false"/>
    <row r="692" customFormat="false" ht="15" hidden="false" customHeight="true" outlineLevel="0" collapsed="false"/>
    <row r="693" customFormat="false" ht="15" hidden="false" customHeight="true" outlineLevel="0" collapsed="false"/>
    <row r="694" customFormat="false" ht="15" hidden="false" customHeight="true" outlineLevel="0" collapsed="false"/>
    <row r="695" customFormat="false" ht="15" hidden="false" customHeight="true" outlineLevel="0" collapsed="false"/>
    <row r="696" customFormat="false" ht="15" hidden="false" customHeight="true" outlineLevel="0" collapsed="false"/>
    <row r="697" customFormat="false" ht="15" hidden="false" customHeight="true" outlineLevel="0" collapsed="false"/>
    <row r="698" customFormat="false" ht="15" hidden="false" customHeight="true" outlineLevel="0" collapsed="false"/>
    <row r="699" customFormat="false" ht="15" hidden="false" customHeight="true" outlineLevel="0" collapsed="false"/>
    <row r="700" customFormat="false" ht="15" hidden="false" customHeight="true" outlineLevel="0" collapsed="false"/>
    <row r="701" customFormat="false" ht="15" hidden="false" customHeight="true" outlineLevel="0" collapsed="false"/>
    <row r="702" customFormat="false" ht="15" hidden="false" customHeight="true" outlineLevel="0" collapsed="false"/>
  </sheetData>
  <mergeCells count="62">
    <mergeCell ref="A7:Y7"/>
    <mergeCell ref="B9:I9"/>
    <mergeCell ref="K9:R9"/>
    <mergeCell ref="B10:C10"/>
    <mergeCell ref="D10:E10"/>
    <mergeCell ref="F10:G10"/>
    <mergeCell ref="H10:I10"/>
    <mergeCell ref="K10:L10"/>
    <mergeCell ref="M10:N10"/>
    <mergeCell ref="O10:P10"/>
    <mergeCell ref="Q10:R10"/>
    <mergeCell ref="B11:C11"/>
    <mergeCell ref="D11:E11"/>
    <mergeCell ref="F11:G11"/>
    <mergeCell ref="H11:I11"/>
    <mergeCell ref="K11:L11"/>
    <mergeCell ref="M11:N11"/>
    <mergeCell ref="O11:P11"/>
    <mergeCell ref="Q11:R11"/>
    <mergeCell ref="B12:C13"/>
    <mergeCell ref="D12:E13"/>
    <mergeCell ref="F12:G13"/>
    <mergeCell ref="H12:I13"/>
    <mergeCell ref="K12:L13"/>
    <mergeCell ref="M12:N13"/>
    <mergeCell ref="O12:P13"/>
    <mergeCell ref="Q12:R13"/>
    <mergeCell ref="B14:C14"/>
    <mergeCell ref="D14:E14"/>
    <mergeCell ref="F14:G14"/>
    <mergeCell ref="H14:I14"/>
    <mergeCell ref="K14:L14"/>
    <mergeCell ref="M14:N14"/>
    <mergeCell ref="O14:P14"/>
    <mergeCell ref="Q14:R14"/>
    <mergeCell ref="B16:R16"/>
    <mergeCell ref="B17:D17"/>
    <mergeCell ref="E17:G17"/>
    <mergeCell ref="I17:K17"/>
    <mergeCell ref="M17:O17"/>
    <mergeCell ref="Q17:S17"/>
    <mergeCell ref="B18:D18"/>
    <mergeCell ref="E18:G18"/>
    <mergeCell ref="I18:K18"/>
    <mergeCell ref="M18:O18"/>
    <mergeCell ref="Q18:S18"/>
    <mergeCell ref="B19:D20"/>
    <mergeCell ref="E19:G20"/>
    <mergeCell ref="I19:K20"/>
    <mergeCell ref="M19:O20"/>
    <mergeCell ref="Q19:S20"/>
    <mergeCell ref="B21:D21"/>
    <mergeCell ref="E21:G21"/>
    <mergeCell ref="I21:K21"/>
    <mergeCell ref="M21:O21"/>
    <mergeCell ref="Q21:S21"/>
    <mergeCell ref="B22:D22"/>
    <mergeCell ref="E22:G22"/>
    <mergeCell ref="I22:K22"/>
    <mergeCell ref="M22:O22"/>
    <mergeCell ref="Q22:S22"/>
    <mergeCell ref="B23:S23"/>
  </mergeCells>
  <conditionalFormatting sqref="M49">
    <cfRule type="expression" priority="2" aboveAverage="0" equalAverage="0" bottom="0" percent="0" rank="0" text="" dxfId="0">
      <formula>AND(ISNUMBER(M49),ISNUMBER($G49),OR(AND($D49="P",M49&gt;=$G49),AND($D49="N",M49&lt;=$G49)))</formula>
    </cfRule>
    <cfRule type="expression" priority="3" aboveAverage="0" equalAverage="0" bottom="0" percent="0" rank="0" text="" dxfId="1">
      <formula>AND(ISNUMBER(M49),ISNUMBER($G49),OR(AND($D49="P",M49&lt;$G49),AND($D49="N",M49&gt;$G49)))</formula>
    </cfRule>
  </conditionalFormatting>
  <conditionalFormatting sqref="L49">
    <cfRule type="expression" priority="4" aboveAverage="0" equalAverage="0" bottom="0" percent="0" rank="0" text="" dxfId="0">
      <formula>AND(ISNUMBER(L49),ISNUMBER($G49),OR(AND($D49="P",L49&gt;=$G49),AND($D49="N",L49&lt;=$G49)))</formula>
    </cfRule>
    <cfRule type="expression" priority="5" aboveAverage="0" equalAverage="0" bottom="0" percent="0" rank="0" text="" dxfId="1">
      <formula>AND(ISNUMBER(L49),ISNUMBER($G49),OR(AND($D49="P",L49&lt;$G49),AND($D49="N",L49&gt;$G49)))</formula>
    </cfRule>
  </conditionalFormatting>
  <conditionalFormatting sqref="X36:X106">
    <cfRule type="expression" priority="6" aboveAverage="0" equalAverage="0" bottom="0" percent="0" rank="0" text="" dxfId="0">
      <formula>$Y36="✓ On Target"</formula>
    </cfRule>
    <cfRule type="expression" priority="7" aboveAverage="0" equalAverage="0" bottom="0" percent="0" rank="0" text="" dxfId="1">
      <formula>$Y36="✗ Off Target"</formula>
    </cfRule>
    <cfRule type="expression" priority="8" aboveAverage="0" equalAverage="0" bottom="0" percent="0" rank="0" text="" dxfId="2">
      <formula>$Y36="— No Data"</formula>
    </cfRule>
    <cfRule type="expression" priority="9" aboveAverage="0" equalAverage="0" bottom="0" percent="0" rank="0" text="" dxfId="3">
      <formula>$Y36="⊘ Non Target"</formula>
    </cfRule>
  </conditionalFormatting>
  <conditionalFormatting sqref="Y36:Y106">
    <cfRule type="expression" priority="10" aboveAverage="0" equalAverage="0" bottom="0" percent="0" rank="0" text="" dxfId="0">
      <formula>Y36="✓ On Target"</formula>
    </cfRule>
    <cfRule type="expression" priority="11" aboveAverage="0" equalAverage="0" bottom="0" percent="0" rank="0" text="" dxfId="1">
      <formula>Y36="✗ Off Target"</formula>
    </cfRule>
    <cfRule type="expression" priority="12" aboveAverage="0" equalAverage="0" bottom="0" percent="0" rank="0" text="" dxfId="2">
      <formula>Y36="— No Data"</formula>
    </cfRule>
    <cfRule type="expression" priority="13" aboveAverage="0" equalAverage="0" bottom="0" percent="0" rank="0" text="" dxfId="3">
      <formula>Y36="⊘ Non Target"</formula>
    </cfRule>
  </conditionalFormatting>
  <conditionalFormatting sqref="H36:W48 H49:K49 H50:W106 N49:W49">
    <cfRule type="expression" priority="14" aboveAverage="0" equalAverage="0" bottom="0" percent="0" rank="0" text="" dxfId="0">
      <formula>AND(ISNUMBER(H36),ISNUMBER($G36),OR(AND($D36="P",H36&gt;=$G36),AND($D36="N",H36&lt;=$G36)))</formula>
    </cfRule>
    <cfRule type="expression" priority="15" aboveAverage="0" equalAverage="0" bottom="0" percent="0" rank="0" text="" dxfId="1">
      <formula>AND(ISNUMBER(H36),ISNUMBER($G36),OR(AND($D36="P",H36&lt;$G36),AND($D36="N",H36&gt;$G36)))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01"/>
  <sheetViews>
    <sheetView showFormulas="false" showGridLines="fals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J59" activeCellId="0" sqref="J5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8"/>
    <col collapsed="false" customWidth="true" hidden="false" outlineLevel="0" max="3" min="3" style="1" width="13"/>
    <col collapsed="false" customWidth="true" hidden="true" outlineLevel="0" max="4" min="4" style="1" width="3"/>
    <col collapsed="false" customWidth="true" hidden="false" outlineLevel="0" max="5" min="5" style="1" width="9"/>
    <col collapsed="false" customWidth="true" hidden="false" outlineLevel="0" max="7" min="6" style="1" width="10"/>
    <col collapsed="false" customWidth="true" hidden="false" outlineLevel="0" max="10" min="8" style="1" width="7"/>
    <col collapsed="false" customWidth="true" hidden="false" outlineLevel="0" max="11" min="11" style="1" width="8"/>
    <col collapsed="false" customWidth="true" hidden="false" outlineLevel="0" max="14" min="12" style="1" width="7"/>
    <col collapsed="false" customWidth="true" hidden="false" outlineLevel="0" max="15" min="15" style="1" width="8"/>
    <col collapsed="false" customWidth="true" hidden="false" outlineLevel="0" max="18" min="16" style="1" width="7"/>
    <col collapsed="false" customWidth="true" hidden="false" outlineLevel="0" max="19" min="19" style="1" width="8"/>
    <col collapsed="false" customWidth="true" hidden="false" outlineLevel="0" max="22" min="20" style="1" width="7"/>
    <col collapsed="false" customWidth="true" hidden="false" outlineLevel="0" max="23" min="23" style="1" width="8"/>
    <col collapsed="false" customWidth="true" hidden="false" outlineLevel="0" max="24" min="24" style="1" width="10"/>
    <col collapsed="false" customWidth="true" hidden="false" outlineLevel="0" max="25" min="25" style="1" width="14"/>
    <col collapsed="false" customWidth="true" hidden="false" outlineLevel="0" max="26" min="26" style="1" width="16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30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30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30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2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21.75" hidden="false" customHeight="true" outlineLevel="0" collapsed="false">
      <c r="A7" s="3" t="s">
        <v>551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9" customFormat="false" ht="24" hidden="false" customHeight="true" outlineLevel="0" collapsed="false">
      <c r="B9" s="159" t="s">
        <v>486</v>
      </c>
      <c r="C9" s="159"/>
      <c r="D9" s="159"/>
      <c r="E9" s="159"/>
      <c r="F9" s="159"/>
      <c r="G9" s="159"/>
      <c r="H9" s="159"/>
      <c r="I9" s="159"/>
      <c r="K9" s="159" t="s">
        <v>487</v>
      </c>
      <c r="L9" s="159"/>
      <c r="M9" s="159"/>
      <c r="N9" s="159"/>
      <c r="O9" s="159"/>
      <c r="P9" s="159"/>
      <c r="Q9" s="159"/>
      <c r="R9" s="159"/>
    </row>
    <row r="10" customFormat="false" ht="6" hidden="false" customHeight="true" outlineLevel="0" collapsed="false">
      <c r="B10" s="4"/>
      <c r="C10" s="4"/>
      <c r="D10" s="5"/>
      <c r="E10" s="5"/>
      <c r="F10" s="6"/>
      <c r="G10" s="6"/>
      <c r="H10" s="7"/>
      <c r="I10" s="7"/>
      <c r="K10" s="4"/>
      <c r="L10" s="4"/>
      <c r="M10" s="5"/>
      <c r="N10" s="5"/>
      <c r="O10" s="6"/>
      <c r="P10" s="6"/>
      <c r="Q10" s="7"/>
      <c r="R10" s="7"/>
    </row>
    <row r="11" customFormat="false" ht="19.5" hidden="false" customHeight="true" outlineLevel="0" collapsed="false">
      <c r="B11" s="9" t="s">
        <v>488</v>
      </c>
      <c r="C11" s="9"/>
      <c r="D11" s="9" t="s">
        <v>489</v>
      </c>
      <c r="E11" s="9"/>
      <c r="F11" s="9" t="s">
        <v>490</v>
      </c>
      <c r="G11" s="9"/>
      <c r="H11" s="9" t="s">
        <v>248</v>
      </c>
      <c r="I11" s="9"/>
      <c r="K11" s="9" t="s">
        <v>488</v>
      </c>
      <c r="L11" s="9"/>
      <c r="M11" s="9" t="s">
        <v>489</v>
      </c>
      <c r="N11" s="9"/>
      <c r="O11" s="9" t="s">
        <v>490</v>
      </c>
      <c r="P11" s="9"/>
      <c r="Q11" s="9" t="s">
        <v>248</v>
      </c>
      <c r="R11" s="9"/>
    </row>
    <row r="12" customFormat="false" ht="24" hidden="false" customHeight="true" outlineLevel="0" collapsed="false">
      <c r="B12" s="160" t="n">
        <v>25</v>
      </c>
      <c r="C12" s="160"/>
      <c r="D12" s="161" t="n">
        <v>15</v>
      </c>
      <c r="E12" s="161"/>
      <c r="F12" s="162" t="n">
        <v>4</v>
      </c>
      <c r="G12" s="162"/>
      <c r="H12" s="163" t="n">
        <v>1</v>
      </c>
      <c r="I12" s="163"/>
      <c r="K12" s="160" t="n">
        <v>7</v>
      </c>
      <c r="L12" s="160"/>
      <c r="M12" s="161" t="n">
        <v>1</v>
      </c>
      <c r="N12" s="161"/>
      <c r="O12" s="162" t="n">
        <v>2</v>
      </c>
      <c r="P12" s="162"/>
      <c r="Q12" s="163" t="n">
        <v>0</v>
      </c>
      <c r="R12" s="163"/>
    </row>
    <row r="13" customFormat="false" ht="24" hidden="false" customHeight="true" outlineLevel="0" collapsed="false">
      <c r="B13" s="160"/>
      <c r="C13" s="160"/>
      <c r="D13" s="161"/>
      <c r="E13" s="161"/>
      <c r="F13" s="162"/>
      <c r="G13" s="162"/>
      <c r="H13" s="163"/>
      <c r="I13" s="163"/>
      <c r="K13" s="160"/>
      <c r="L13" s="160"/>
      <c r="M13" s="161"/>
      <c r="N13" s="161"/>
      <c r="O13" s="162"/>
      <c r="P13" s="162"/>
      <c r="Q13" s="163"/>
      <c r="R13" s="163"/>
    </row>
    <row r="14" customFormat="false" ht="3.75" hidden="false" customHeight="true" outlineLevel="0" collapsed="false">
      <c r="B14" s="18"/>
      <c r="C14" s="18"/>
      <c r="D14" s="18"/>
      <c r="E14" s="18"/>
      <c r="F14" s="18"/>
      <c r="G14" s="18"/>
      <c r="H14" s="18"/>
      <c r="I14" s="18"/>
      <c r="K14" s="18"/>
      <c r="L14" s="18"/>
      <c r="M14" s="18"/>
      <c r="N14" s="18"/>
      <c r="O14" s="18"/>
      <c r="P14" s="18"/>
      <c r="Q14" s="18"/>
      <c r="R14" s="18"/>
    </row>
    <row r="16" customFormat="false" ht="25.5" hidden="false" customHeight="true" outlineLevel="0" collapsed="false">
      <c r="B16" s="164" t="s">
        <v>552</v>
      </c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</row>
    <row r="17" customFormat="false" ht="6" hidden="false" customHeight="true" outlineLevel="0" collapsed="false">
      <c r="B17" s="165"/>
      <c r="C17" s="165"/>
      <c r="D17" s="165"/>
      <c r="E17" s="5"/>
      <c r="F17" s="5"/>
      <c r="G17" s="5"/>
      <c r="I17" s="6"/>
      <c r="J17" s="6"/>
      <c r="K17" s="6"/>
      <c r="M17" s="7"/>
      <c r="N17" s="7"/>
      <c r="O17" s="7"/>
      <c r="Q17" s="8"/>
      <c r="R17" s="8"/>
      <c r="S17" s="8"/>
    </row>
    <row r="18" customFormat="false" ht="21.75" hidden="false" customHeight="true" outlineLevel="0" collapsed="false">
      <c r="B18" s="9" t="s">
        <v>492</v>
      </c>
      <c r="C18" s="9"/>
      <c r="D18" s="9"/>
      <c r="E18" s="9" t="s">
        <v>489</v>
      </c>
      <c r="F18" s="9"/>
      <c r="G18" s="9"/>
      <c r="I18" s="9" t="s">
        <v>490</v>
      </c>
      <c r="J18" s="9"/>
      <c r="K18" s="9"/>
      <c r="M18" s="9" t="s">
        <v>248</v>
      </c>
      <c r="N18" s="9"/>
      <c r="O18" s="9"/>
      <c r="Q18" s="166" t="s">
        <v>5</v>
      </c>
      <c r="R18" s="166"/>
      <c r="S18" s="166"/>
    </row>
    <row r="19" customFormat="false" ht="27.75" hidden="false" customHeight="true" outlineLevel="0" collapsed="false">
      <c r="B19" s="167" t="n">
        <v>32</v>
      </c>
      <c r="C19" s="167"/>
      <c r="D19" s="167"/>
      <c r="E19" s="168" t="n">
        <v>16</v>
      </c>
      <c r="F19" s="168"/>
      <c r="G19" s="168"/>
      <c r="I19" s="169" t="n">
        <v>6</v>
      </c>
      <c r="J19" s="169"/>
      <c r="K19" s="169"/>
      <c r="M19" s="170" t="n">
        <v>1</v>
      </c>
      <c r="N19" s="170"/>
      <c r="O19" s="170"/>
      <c r="Q19" s="171" t="n">
        <v>27</v>
      </c>
      <c r="R19" s="171"/>
      <c r="S19" s="171"/>
    </row>
    <row r="20" customFormat="false" ht="27.75" hidden="false" customHeight="true" outlineLevel="0" collapsed="false">
      <c r="B20" s="167"/>
      <c r="C20" s="167"/>
      <c r="D20" s="167"/>
      <c r="E20" s="168"/>
      <c r="F20" s="168"/>
      <c r="G20" s="168"/>
      <c r="I20" s="169"/>
      <c r="J20" s="169"/>
      <c r="K20" s="169"/>
      <c r="M20" s="170"/>
      <c r="N20" s="170"/>
      <c r="O20" s="170"/>
      <c r="Q20" s="171"/>
      <c r="R20" s="171"/>
      <c r="S20" s="171"/>
    </row>
    <row r="21" customFormat="false" ht="21.75" hidden="false" customHeight="true" outlineLevel="0" collapsed="false">
      <c r="B21" s="15" t="s">
        <v>493</v>
      </c>
      <c r="C21" s="15"/>
      <c r="D21" s="15"/>
      <c r="E21" s="15" t="s">
        <v>553</v>
      </c>
      <c r="F21" s="15"/>
      <c r="G21" s="15"/>
      <c r="I21" s="15" t="s">
        <v>554</v>
      </c>
      <c r="J21" s="15"/>
      <c r="K21" s="15"/>
      <c r="M21" s="15" t="s">
        <v>545</v>
      </c>
      <c r="N21" s="15"/>
      <c r="O21" s="15"/>
      <c r="Q21" s="172" t="s">
        <v>555</v>
      </c>
      <c r="R21" s="172"/>
      <c r="S21" s="172"/>
    </row>
    <row r="22" customFormat="false" ht="3.75" hidden="false" customHeight="true" outlineLevel="0" collapsed="false">
      <c r="B22" s="18"/>
      <c r="C22" s="18"/>
      <c r="D22" s="18"/>
      <c r="E22" s="18"/>
      <c r="F22" s="18"/>
      <c r="G22" s="18"/>
      <c r="I22" s="18"/>
      <c r="J22" s="18"/>
      <c r="K22" s="18"/>
      <c r="M22" s="18"/>
      <c r="N22" s="18"/>
      <c r="O22" s="18"/>
      <c r="Q22" s="18"/>
      <c r="R22" s="18"/>
      <c r="S22" s="18"/>
    </row>
    <row r="23" customFormat="false" ht="24" hidden="false" customHeight="true" outlineLevel="0" collapsed="false">
      <c r="B23" s="47" t="s">
        <v>556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</row>
    <row r="24" customFormat="false" ht="24" hidden="false" customHeight="true" outlineLevel="0" collapsed="false">
      <c r="B24" s="48" t="s">
        <v>23</v>
      </c>
      <c r="C24" s="48" t="s">
        <v>29</v>
      </c>
      <c r="D24" s="48" t="s">
        <v>65</v>
      </c>
      <c r="E24" s="48" t="s">
        <v>66</v>
      </c>
      <c r="F24" s="48" t="s">
        <v>67</v>
      </c>
      <c r="G24" s="48" t="s">
        <v>30</v>
      </c>
    </row>
    <row r="25" customFormat="false" ht="21.75" hidden="false" customHeight="true" outlineLevel="0" collapsed="false">
      <c r="B25" s="55" t="s">
        <v>35</v>
      </c>
      <c r="C25" s="65" t="n">
        <v>10</v>
      </c>
      <c r="D25" s="57" t="n">
        <v>3</v>
      </c>
      <c r="E25" s="58" t="n">
        <v>1</v>
      </c>
      <c r="F25" s="59" t="n">
        <v>1</v>
      </c>
      <c r="G25" s="60" t="n">
        <v>0.75</v>
      </c>
    </row>
    <row r="26" customFormat="false" ht="21.75" hidden="false" customHeight="true" outlineLevel="0" collapsed="false">
      <c r="B26" s="49" t="s">
        <v>34</v>
      </c>
      <c r="C26" s="66" t="n">
        <v>6</v>
      </c>
      <c r="D26" s="51" t="n">
        <v>5</v>
      </c>
      <c r="E26" s="52" t="n">
        <v>0</v>
      </c>
      <c r="F26" s="53" t="n">
        <v>0</v>
      </c>
      <c r="G26" s="54" t="n">
        <v>1</v>
      </c>
    </row>
    <row r="27" customFormat="false" ht="21.75" hidden="false" customHeight="true" outlineLevel="0" collapsed="false">
      <c r="B27" s="55" t="s">
        <v>36</v>
      </c>
      <c r="C27" s="65" t="n">
        <v>13</v>
      </c>
      <c r="D27" s="57" t="n">
        <v>8</v>
      </c>
      <c r="E27" s="58" t="n">
        <v>4</v>
      </c>
      <c r="F27" s="59" t="n">
        <v>0</v>
      </c>
      <c r="G27" s="60" t="n">
        <v>0.666666666666667</v>
      </c>
    </row>
    <row r="28" customFormat="false" ht="21.75" hidden="false" customHeight="true" outlineLevel="0" collapsed="false">
      <c r="B28" s="49" t="s">
        <v>39</v>
      </c>
      <c r="C28" s="66" t="n">
        <v>0</v>
      </c>
      <c r="D28" s="51" t="n">
        <v>0</v>
      </c>
      <c r="E28" s="52" t="n">
        <v>0</v>
      </c>
      <c r="F28" s="53" t="n">
        <v>0</v>
      </c>
      <c r="G28" s="54" t="s">
        <v>32</v>
      </c>
    </row>
    <row r="29" customFormat="false" ht="21.75" hidden="false" customHeight="true" outlineLevel="0" collapsed="false">
      <c r="B29" s="55" t="s">
        <v>37</v>
      </c>
      <c r="C29" s="65" t="n">
        <v>2</v>
      </c>
      <c r="D29" s="57" t="n">
        <v>0</v>
      </c>
      <c r="E29" s="58" t="n">
        <v>1</v>
      </c>
      <c r="F29" s="59" t="n">
        <v>0</v>
      </c>
      <c r="G29" s="60" t="n">
        <v>0</v>
      </c>
    </row>
    <row r="30" customFormat="false" ht="25.5" hidden="false" customHeight="true" outlineLevel="0" collapsed="false">
      <c r="B30" s="61" t="s">
        <v>49</v>
      </c>
      <c r="C30" s="63" t="n">
        <v>32</v>
      </c>
      <c r="D30" s="63" t="n">
        <v>16</v>
      </c>
      <c r="E30" s="63" t="n">
        <v>6</v>
      </c>
      <c r="F30" s="63" t="n">
        <v>1</v>
      </c>
      <c r="G30" s="64" t="n">
        <v>0.727272727272727</v>
      </c>
    </row>
    <row r="31" customFormat="false" ht="15.75" hidden="false" customHeight="true" outlineLevel="0" collapsed="false"/>
    <row r="32" customFormat="false" ht="15.75" hidden="false" customHeight="true" outlineLevel="0" collapsed="false"/>
    <row r="35" customFormat="false" ht="25.5" hidden="false" customHeight="true" outlineLevel="0" collapsed="false">
      <c r="A35" s="67" t="s">
        <v>69</v>
      </c>
      <c r="B35" s="67" t="s">
        <v>70</v>
      </c>
      <c r="C35" s="67" t="s">
        <v>71</v>
      </c>
      <c r="D35" s="67" t="s">
        <v>72</v>
      </c>
      <c r="E35" s="67" t="s">
        <v>499</v>
      </c>
      <c r="F35" s="67" t="s">
        <v>500</v>
      </c>
      <c r="G35" s="67" t="s">
        <v>74</v>
      </c>
      <c r="H35" s="67" t="s">
        <v>75</v>
      </c>
      <c r="I35" s="67" t="s">
        <v>76</v>
      </c>
      <c r="J35" s="67" t="s">
        <v>77</v>
      </c>
      <c r="K35" s="173" t="s">
        <v>78</v>
      </c>
      <c r="L35" s="67" t="s">
        <v>79</v>
      </c>
      <c r="M35" s="67" t="s">
        <v>80</v>
      </c>
      <c r="N35" s="67" t="s">
        <v>81</v>
      </c>
      <c r="O35" s="173" t="s">
        <v>82</v>
      </c>
      <c r="P35" s="67" t="s">
        <v>83</v>
      </c>
      <c r="Q35" s="67" t="s">
        <v>84</v>
      </c>
      <c r="R35" s="67" t="s">
        <v>85</v>
      </c>
      <c r="S35" s="173" t="s">
        <v>86</v>
      </c>
      <c r="T35" s="67" t="s">
        <v>87</v>
      </c>
      <c r="U35" s="67" t="s">
        <v>88</v>
      </c>
      <c r="V35" s="67" t="s">
        <v>89</v>
      </c>
      <c r="W35" s="173" t="s">
        <v>90</v>
      </c>
      <c r="X35" s="67" t="s">
        <v>91</v>
      </c>
      <c r="Y35" s="67" t="s">
        <v>92</v>
      </c>
      <c r="Z35" s="68" t="s">
        <v>93</v>
      </c>
    </row>
    <row r="36" customFormat="false" ht="25.5" hidden="false" customHeight="true" outlineLevel="0" collapsed="false">
      <c r="A36" s="69" t="s">
        <v>111</v>
      </c>
      <c r="B36" s="70" t="s">
        <v>112</v>
      </c>
      <c r="C36" s="71" t="s">
        <v>35</v>
      </c>
      <c r="D36" s="71" t="s">
        <v>97</v>
      </c>
      <c r="E36" s="69" t="s">
        <v>501</v>
      </c>
      <c r="F36" s="87" t="n">
        <v>0.017</v>
      </c>
      <c r="G36" s="88" t="n">
        <v>0.0145</v>
      </c>
      <c r="H36" s="89" t="n">
        <v>0.0101010101010101</v>
      </c>
      <c r="I36" s="89" t="n">
        <v>0.00854700854700855</v>
      </c>
      <c r="J36" s="89" t="n">
        <v>0.0125</v>
      </c>
      <c r="K36" s="174" t="n">
        <f aca="false">IF(COUNT(H36:J36)=0,"",AVERAGE(H36:J36))</f>
        <v>0.0103826728826729</v>
      </c>
      <c r="L36" s="90" t="n">
        <v>0.003125</v>
      </c>
      <c r="M36" s="90" t="n">
        <v>0.00826446280991736</v>
      </c>
      <c r="N36" s="90" t="n">
        <v>0.00826446280991736</v>
      </c>
      <c r="O36" s="174" t="n">
        <f aca="false">IF(COUNT(L36:N36)=0,"",AVERAGE(L36:N36))</f>
        <v>0.00655130853994491</v>
      </c>
      <c r="P36" s="90" t="n">
        <v>0.0109489051094891</v>
      </c>
      <c r="Q36" s="90"/>
      <c r="R36" s="90"/>
      <c r="S36" s="174" t="n">
        <f aca="false">IF(COUNT(P36:R36)=0,"",AVERAGE(P36:R36))</f>
        <v>0.0109489051094891</v>
      </c>
      <c r="T36" s="90"/>
      <c r="U36" s="90"/>
      <c r="V36" s="90"/>
      <c r="W36" s="174" t="str">
        <f aca="false">IF(COUNT(T36:V36)=0,"",AVERAGE(T36:V36))</f>
        <v/>
      </c>
      <c r="X36" s="92" t="n">
        <v>0.00675383644133644</v>
      </c>
      <c r="Y36" s="114" t="s">
        <v>104</v>
      </c>
      <c r="Z36" s="78" t="s">
        <v>100</v>
      </c>
    </row>
    <row r="37" customFormat="false" ht="25.5" hidden="false" customHeight="true" outlineLevel="0" collapsed="false">
      <c r="A37" s="69" t="s">
        <v>116</v>
      </c>
      <c r="B37" s="70" t="s">
        <v>117</v>
      </c>
      <c r="C37" s="71" t="s">
        <v>35</v>
      </c>
      <c r="D37" s="71" t="s">
        <v>97</v>
      </c>
      <c r="E37" s="69" t="s">
        <v>501</v>
      </c>
      <c r="F37" s="94" t="n">
        <v>0.0054</v>
      </c>
      <c r="G37" s="88" t="n">
        <v>0.0046</v>
      </c>
      <c r="H37" s="89" t="n">
        <v>0</v>
      </c>
      <c r="I37" s="89" t="n">
        <v>0</v>
      </c>
      <c r="J37" s="89" t="n">
        <v>0</v>
      </c>
      <c r="K37" s="174" t="n">
        <f aca="false">IF(COUNT(H37:J37)=0,"",AVERAGE(H37:J37))</f>
        <v>0</v>
      </c>
      <c r="L37" s="90" t="n">
        <v>0</v>
      </c>
      <c r="M37" s="90" t="n">
        <v>0</v>
      </c>
      <c r="N37" s="90" t="n">
        <v>0</v>
      </c>
      <c r="O37" s="175" t="n">
        <f aca="false">IF(COUNT(L37:N37)=0,"",AVERAGE(L37:N37))</f>
        <v>0</v>
      </c>
      <c r="P37" s="124" t="n">
        <v>0</v>
      </c>
      <c r="Q37" s="124"/>
      <c r="R37" s="124"/>
      <c r="S37" s="175" t="n">
        <f aca="false">IF(COUNT(P37:R37)=0,"",AVERAGE(P37:R37))</f>
        <v>0</v>
      </c>
      <c r="T37" s="124"/>
      <c r="U37" s="124"/>
      <c r="V37" s="124"/>
      <c r="W37" s="175" t="str">
        <f aca="false">IF(COUNT(T37:V37)=0,"",AVERAGE(T37:V37))</f>
        <v/>
      </c>
      <c r="X37" s="125" t="n">
        <v>0</v>
      </c>
      <c r="Y37" s="114" t="s">
        <v>104</v>
      </c>
      <c r="Z37" s="78" t="s">
        <v>100</v>
      </c>
    </row>
    <row r="38" customFormat="false" ht="25.5" hidden="false" customHeight="true" outlineLevel="0" collapsed="false">
      <c r="A38" s="69" t="s">
        <v>118</v>
      </c>
      <c r="B38" s="70" t="s">
        <v>119</v>
      </c>
      <c r="C38" s="71" t="s">
        <v>35</v>
      </c>
      <c r="D38" s="71" t="s">
        <v>97</v>
      </c>
      <c r="E38" s="69" t="s">
        <v>501</v>
      </c>
      <c r="F38" s="87" t="s">
        <v>32</v>
      </c>
      <c r="G38" s="91" t="s">
        <v>32</v>
      </c>
      <c r="H38" s="89" t="n">
        <v>0.0484913793103448</v>
      </c>
      <c r="I38" s="89" t="n">
        <v>0.00102171136653895</v>
      </c>
      <c r="J38" s="89" t="n">
        <v>0.00250178699070765</v>
      </c>
      <c r="K38" s="174" t="n">
        <f aca="false">IF(COUNT(H38:J38)=0,"",AVERAGE(H38:J38))</f>
        <v>0.0173382925558638</v>
      </c>
      <c r="L38" s="90" t="n">
        <v>0.00244823013363256</v>
      </c>
      <c r="M38" s="90" t="n">
        <v>0.000832441431799263</v>
      </c>
      <c r="N38" s="90" t="n">
        <v>0.000356760613628255</v>
      </c>
      <c r="O38" s="174" t="n">
        <f aca="false">IF(COUNT(L38:N38)=0,"",AVERAGE(L38:N38))</f>
        <v>0.00121247739302003</v>
      </c>
      <c r="P38" s="90" t="n">
        <v>0.000486854917234664</v>
      </c>
      <c r="Q38" s="90"/>
      <c r="R38" s="90"/>
      <c r="S38" s="174" t="n">
        <f aca="false">IF(COUNT(P38:R38)=0,"",AVERAGE(P38:R38))</f>
        <v>0.000486854917234664</v>
      </c>
      <c r="T38" s="90"/>
      <c r="U38" s="90"/>
      <c r="V38" s="90"/>
      <c r="W38" s="174" t="str">
        <f aca="false">IF(COUNT(T38:V38)=0,"",AVERAGE(T38:V38))</f>
        <v/>
      </c>
      <c r="X38" s="92" t="n">
        <v>0.00989326134474818</v>
      </c>
      <c r="Y38" s="114" t="s">
        <v>120</v>
      </c>
      <c r="Z38" s="78" t="s">
        <v>100</v>
      </c>
    </row>
    <row r="39" customFormat="false" ht="25.5" hidden="false" customHeight="true" outlineLevel="0" collapsed="false">
      <c r="A39" s="69" t="s">
        <v>127</v>
      </c>
      <c r="B39" s="70" t="s">
        <v>128</v>
      </c>
      <c r="C39" s="71" t="s">
        <v>35</v>
      </c>
      <c r="D39" s="71" t="s">
        <v>110</v>
      </c>
      <c r="E39" s="69" t="s">
        <v>501</v>
      </c>
      <c r="F39" s="102" t="s">
        <v>32</v>
      </c>
      <c r="G39" s="75" t="s">
        <v>32</v>
      </c>
      <c r="H39" s="81" t="n">
        <v>0.00370218017276841</v>
      </c>
      <c r="I39" s="81" t="n">
        <v>0.00615174299384826</v>
      </c>
      <c r="J39" s="81" t="n">
        <v>0.00709219858156028</v>
      </c>
      <c r="K39" s="176" t="n">
        <f aca="false">IF(COUNT(H39:J39)=0,"",AVERAGE(H39:J39))</f>
        <v>0.00564870724939232</v>
      </c>
      <c r="L39" s="103" t="n">
        <v>0.00441392839627268</v>
      </c>
      <c r="M39" s="103" t="n">
        <v>0.00590938936309915</v>
      </c>
      <c r="N39" s="103" t="n">
        <v>0.00590938936309915</v>
      </c>
      <c r="O39" s="176" t="n">
        <f aca="false">IF(COUNT(L39:N39)=0,"",AVERAGE(L39:N39))</f>
        <v>0.00541090237415699</v>
      </c>
      <c r="P39" s="103" t="n">
        <v>0.00544135429262394</v>
      </c>
      <c r="Q39" s="103"/>
      <c r="R39" s="103"/>
      <c r="S39" s="176" t="n">
        <f aca="false">IF(COUNT(P39:R39)=0,"",AVERAGE(P39:R39))</f>
        <v>0.00544135429262394</v>
      </c>
      <c r="T39" s="103"/>
      <c r="U39" s="103"/>
      <c r="V39" s="103"/>
      <c r="W39" s="176" t="str">
        <f aca="false">IF(COUNT(T39:V39)=0,"",AVERAGE(T39:V39))</f>
        <v/>
      </c>
      <c r="X39" s="104" t="n">
        <v>0.0050313178228325</v>
      </c>
      <c r="Y39" s="114" t="s">
        <v>120</v>
      </c>
      <c r="Z39" s="78" t="s">
        <v>100</v>
      </c>
    </row>
    <row r="40" customFormat="false" ht="25.5" hidden="false" customHeight="true" outlineLevel="0" collapsed="false">
      <c r="A40" s="69" t="s">
        <v>129</v>
      </c>
      <c r="B40" s="70" t="s">
        <v>130</v>
      </c>
      <c r="C40" s="71" t="s">
        <v>35</v>
      </c>
      <c r="D40" s="71" t="s">
        <v>110</v>
      </c>
      <c r="E40" s="69" t="s">
        <v>501</v>
      </c>
      <c r="F40" s="102" t="s">
        <v>32</v>
      </c>
      <c r="G40" s="75" t="s">
        <v>32</v>
      </c>
      <c r="H40" s="81" t="n">
        <v>0.00155131264916468</v>
      </c>
      <c r="I40" s="81" t="n">
        <v>0.00165858637407502</v>
      </c>
      <c r="J40" s="81" t="n">
        <v>0.00154486036838978</v>
      </c>
      <c r="K40" s="176" t="n">
        <f aca="false">IF(COUNT(H40:J40)=0,"",AVERAGE(H40:J40))</f>
        <v>0.00158491979720983</v>
      </c>
      <c r="L40" s="103" t="n">
        <v>0.00132288592652895</v>
      </c>
      <c r="M40" s="103" t="n">
        <v>0.00154467680608365</v>
      </c>
      <c r="N40" s="103" t="n">
        <v>0.00154467680608365</v>
      </c>
      <c r="O40" s="176" t="n">
        <f aca="false">IF(COUNT(L40:N40)=0,"",AVERAGE(L40:N40))</f>
        <v>0.00147074651289875</v>
      </c>
      <c r="P40" s="103" t="n">
        <v>0.00182481751824818</v>
      </c>
      <c r="Q40" s="103"/>
      <c r="R40" s="103"/>
      <c r="S40" s="176" t="n">
        <f aca="false">IF(COUNT(P40:R40)=0,"",AVERAGE(P40:R40))</f>
        <v>0.00182481751824818</v>
      </c>
      <c r="T40" s="103"/>
      <c r="U40" s="103"/>
      <c r="V40" s="103"/>
      <c r="W40" s="176" t="str">
        <f aca="false">IF(COUNT(T40:V40)=0,"",AVERAGE(T40:V40))</f>
        <v/>
      </c>
      <c r="X40" s="104" t="n">
        <v>0.00145390286186939</v>
      </c>
      <c r="Y40" s="114" t="s">
        <v>120</v>
      </c>
      <c r="Z40" s="78" t="s">
        <v>100</v>
      </c>
    </row>
    <row r="41" customFormat="false" ht="25.5" hidden="false" customHeight="true" outlineLevel="0" collapsed="false">
      <c r="A41" s="69" t="s">
        <v>139</v>
      </c>
      <c r="B41" s="70" t="s">
        <v>140</v>
      </c>
      <c r="C41" s="71" t="s">
        <v>35</v>
      </c>
      <c r="D41" s="71" t="s">
        <v>97</v>
      </c>
      <c r="E41" s="69" t="s">
        <v>501</v>
      </c>
      <c r="F41" s="87" t="n">
        <v>0.646</v>
      </c>
      <c r="G41" s="88" t="s">
        <v>141</v>
      </c>
      <c r="H41" s="89" t="n">
        <v>0.00586510263929619</v>
      </c>
      <c r="I41" s="89" t="n">
        <v>0.036525974025974</v>
      </c>
      <c r="J41" s="89" t="n">
        <v>0.105026256564141</v>
      </c>
      <c r="K41" s="174" t="n">
        <f aca="false">IF(COUNT(H41:J41)=0,"",AVERAGE(H41:J41))</f>
        <v>0.0491391110764704</v>
      </c>
      <c r="L41" s="90" t="n">
        <v>0.072093023255814</v>
      </c>
      <c r="M41" s="90" t="n">
        <v>0.027006751687922</v>
      </c>
      <c r="N41" s="90" t="n">
        <v>0.0131782945736434</v>
      </c>
      <c r="O41" s="174" t="n">
        <f aca="false">IF(COUNT(L41:N41)=0,"",AVERAGE(L41:N41))</f>
        <v>0.0374260231724598</v>
      </c>
      <c r="P41" s="90" t="n">
        <v>0.00975243810952738</v>
      </c>
      <c r="Q41" s="90"/>
      <c r="R41" s="90"/>
      <c r="S41" s="174" t="n">
        <f aca="false">IF(COUNT(P41:R41)=0,"",AVERAGE(P41:R41))</f>
        <v>0.00975243810952738</v>
      </c>
      <c r="T41" s="90"/>
      <c r="U41" s="90"/>
      <c r="V41" s="90"/>
      <c r="W41" s="174" t="str">
        <f aca="false">IF(COUNT(T41:V41)=0,"",AVERAGE(T41:V41))</f>
        <v/>
      </c>
      <c r="X41" s="92" t="n">
        <v>0.0606160671661422</v>
      </c>
      <c r="Y41" s="114" t="s">
        <v>104</v>
      </c>
      <c r="Z41" s="78" t="s">
        <v>100</v>
      </c>
    </row>
    <row r="42" customFormat="false" ht="25.5" hidden="false" customHeight="true" outlineLevel="0" collapsed="false">
      <c r="A42" s="69" t="s">
        <v>142</v>
      </c>
      <c r="B42" s="70" t="s">
        <v>143</v>
      </c>
      <c r="C42" s="71" t="s">
        <v>35</v>
      </c>
      <c r="D42" s="71" t="s">
        <v>97</v>
      </c>
      <c r="E42" s="69" t="s">
        <v>501</v>
      </c>
      <c r="F42" s="96" t="n">
        <v>3.9</v>
      </c>
      <c r="G42" s="97" t="n">
        <v>3.77</v>
      </c>
      <c r="H42" s="120" t="n">
        <v>8</v>
      </c>
      <c r="I42" s="120" t="n">
        <v>5.625</v>
      </c>
      <c r="J42" s="120" t="n">
        <v>7.73333333333333</v>
      </c>
      <c r="K42" s="180" t="n">
        <f aca="false">IF(COUNT(H42:J42)=0,"",AVERAGE(H42:J42))</f>
        <v>7.11944444444444</v>
      </c>
      <c r="L42" s="98" t="n">
        <v>3.875</v>
      </c>
      <c r="M42" s="98" t="n">
        <v>5.14285714285714</v>
      </c>
      <c r="N42" s="98" t="n">
        <v>5.66666666666667</v>
      </c>
      <c r="O42" s="180" t="n">
        <f aca="false">IF(COUNT(L42:N42)=0,"",AVERAGE(L42:N42))</f>
        <v>4.89484126984127</v>
      </c>
      <c r="P42" s="98" t="n">
        <v>3.25</v>
      </c>
      <c r="Q42" s="98"/>
      <c r="R42" s="98"/>
      <c r="S42" s="180" t="n">
        <f aca="false">IF(COUNT(P42:R42)=0,"",AVERAGE(P42:R42))</f>
        <v>3.25</v>
      </c>
      <c r="T42" s="98"/>
      <c r="U42" s="98"/>
      <c r="V42" s="98"/>
      <c r="W42" s="180" t="str">
        <f aca="false">IF(COUNT(T42:V42)=0,"",AVERAGE(T42:V42))</f>
        <v/>
      </c>
      <c r="X42" s="100" t="n">
        <v>5.49722222222222</v>
      </c>
      <c r="Y42" s="114" t="s">
        <v>113</v>
      </c>
      <c r="Z42" s="78" t="s">
        <v>100</v>
      </c>
    </row>
    <row r="43" customFormat="false" ht="25.5" hidden="false" customHeight="true" outlineLevel="0" collapsed="false">
      <c r="A43" s="69" t="s">
        <v>152</v>
      </c>
      <c r="B43" s="70" t="s">
        <v>153</v>
      </c>
      <c r="C43" s="71" t="s">
        <v>34</v>
      </c>
      <c r="D43" s="71" t="s">
        <v>97</v>
      </c>
      <c r="E43" s="69" t="s">
        <v>501</v>
      </c>
      <c r="F43" s="87" t="n">
        <v>0.253</v>
      </c>
      <c r="G43" s="88" t="n">
        <v>0.2</v>
      </c>
      <c r="H43" s="89" t="n">
        <v>0.0833333333333333</v>
      </c>
      <c r="I43" s="89" t="n">
        <v>0.173913043478261</v>
      </c>
      <c r="J43" s="89" t="n">
        <v>0.264705882352941</v>
      </c>
      <c r="K43" s="174" t="n">
        <f aca="false">IF(COUNT(H43:J43)=0,"",AVERAGE(H43:J43))</f>
        <v>0.173984086388178</v>
      </c>
      <c r="L43" s="90" t="n">
        <v>0.148936170212766</v>
      </c>
      <c r="M43" s="90" t="n">
        <v>0.0975609756097561</v>
      </c>
      <c r="N43" s="90" t="n">
        <v>0.0882352941176471</v>
      </c>
      <c r="O43" s="174" t="n">
        <f aca="false">IF(COUNT(L43:N43)=0,"",AVERAGE(L43:N43))</f>
        <v>0.111577479980056</v>
      </c>
      <c r="P43" s="90" t="n">
        <v>0.25</v>
      </c>
      <c r="Q43" s="90"/>
      <c r="R43" s="90"/>
      <c r="S43" s="174" t="n">
        <f aca="false">IF(COUNT(P43:R43)=0,"",AVERAGE(P43:R43))</f>
        <v>0.25</v>
      </c>
      <c r="T43" s="90"/>
      <c r="U43" s="90"/>
      <c r="V43" s="90"/>
      <c r="W43" s="174" t="str">
        <f aca="false">IF(COUNT(T43:V43)=0,"",AVERAGE(T43:V43))</f>
        <v/>
      </c>
      <c r="X43" s="92" t="n">
        <v>0.161460128300472</v>
      </c>
      <c r="Y43" s="114" t="s">
        <v>104</v>
      </c>
      <c r="Z43" s="78" t="s">
        <v>100</v>
      </c>
    </row>
    <row r="44" customFormat="false" ht="25.5" hidden="false" customHeight="true" outlineLevel="0" collapsed="false">
      <c r="A44" s="69" t="s">
        <v>154</v>
      </c>
      <c r="B44" s="70" t="s">
        <v>155</v>
      </c>
      <c r="C44" s="71" t="s">
        <v>34</v>
      </c>
      <c r="D44" s="71" t="s">
        <v>97</v>
      </c>
      <c r="E44" s="69" t="s">
        <v>501</v>
      </c>
      <c r="F44" s="102" t="n">
        <v>0.18</v>
      </c>
      <c r="G44" s="82" t="n">
        <v>0</v>
      </c>
      <c r="H44" s="103"/>
      <c r="I44" s="103"/>
      <c r="J44" s="81" t="n">
        <v>0</v>
      </c>
      <c r="K44" s="176" t="n">
        <f aca="false">IF(COUNT(H44:J44)=0,"",SUM(H44:J44))</f>
        <v>0</v>
      </c>
      <c r="L44" s="74" t="n">
        <v>0</v>
      </c>
      <c r="M44" s="103" t="n">
        <v>0</v>
      </c>
      <c r="N44" s="103" t="n">
        <v>0</v>
      </c>
      <c r="O44" s="176" t="n">
        <f aca="false">IF(COUNT(L44:N44)=0,"",SUM(L44:N44))</f>
        <v>0</v>
      </c>
      <c r="P44" s="103" t="n">
        <v>0</v>
      </c>
      <c r="Q44" s="103"/>
      <c r="R44" s="103"/>
      <c r="S44" s="176" t="n">
        <v>0</v>
      </c>
      <c r="T44" s="103"/>
      <c r="U44" s="103"/>
      <c r="V44" s="103"/>
      <c r="W44" s="176" t="n">
        <v>0</v>
      </c>
      <c r="X44" s="104" t="n">
        <v>0</v>
      </c>
      <c r="Y44" s="114" t="s">
        <v>104</v>
      </c>
      <c r="Z44" s="78" t="s">
        <v>100</v>
      </c>
    </row>
    <row r="45" customFormat="false" ht="25.5" hidden="false" customHeight="true" outlineLevel="0" collapsed="false">
      <c r="A45" s="69" t="s">
        <v>156</v>
      </c>
      <c r="B45" s="70" t="s">
        <v>157</v>
      </c>
      <c r="C45" s="71" t="s">
        <v>34</v>
      </c>
      <c r="D45" s="71" t="s">
        <v>110</v>
      </c>
      <c r="E45" s="69" t="s">
        <v>501</v>
      </c>
      <c r="F45" s="87" t="n">
        <v>0.974</v>
      </c>
      <c r="G45" s="88" t="n">
        <v>0.98</v>
      </c>
      <c r="H45" s="89" t="n">
        <v>0.99921875</v>
      </c>
      <c r="I45" s="89" t="n">
        <v>1</v>
      </c>
      <c r="J45" s="89" t="n">
        <v>1</v>
      </c>
      <c r="K45" s="174" t="n">
        <f aca="false">IF(COUNT(H45:J45)=0,"",AVERAGE(H45:J45))</f>
        <v>0.999739583333333</v>
      </c>
      <c r="L45" s="90" t="n">
        <v>1</v>
      </c>
      <c r="M45" s="90" t="n">
        <v>1</v>
      </c>
      <c r="N45" s="90" t="n">
        <v>1</v>
      </c>
      <c r="O45" s="174" t="n">
        <f aca="false">IF(COUNT(L45:N45)=0,"",AVERAGE(L45:N45))</f>
        <v>1</v>
      </c>
      <c r="P45" s="90" t="n">
        <v>1</v>
      </c>
      <c r="Q45" s="90"/>
      <c r="R45" s="90"/>
      <c r="S45" s="174" t="n">
        <f aca="false">IF(COUNT(P45:R45)=0,"",AVERAGE(P45:R45))</f>
        <v>1</v>
      </c>
      <c r="T45" s="90"/>
      <c r="U45" s="90"/>
      <c r="V45" s="90"/>
      <c r="W45" s="174" t="str">
        <f aca="false">IF(COUNT(T45:V45)=0,"",AVERAGE(T45:V45))</f>
        <v/>
      </c>
      <c r="X45" s="92" t="n">
        <v>0.999869791666667</v>
      </c>
      <c r="Y45" s="114" t="s">
        <v>104</v>
      </c>
      <c r="Z45" s="78" t="s">
        <v>100</v>
      </c>
    </row>
    <row r="46" customFormat="false" ht="25.5" hidden="false" customHeight="true" outlineLevel="0" collapsed="false">
      <c r="A46" s="69" t="s">
        <v>160</v>
      </c>
      <c r="B46" s="70" t="s">
        <v>161</v>
      </c>
      <c r="C46" s="71" t="s">
        <v>34</v>
      </c>
      <c r="D46" s="71" t="s">
        <v>110</v>
      </c>
      <c r="E46" s="69" t="s">
        <v>501</v>
      </c>
      <c r="F46" s="87" t="n">
        <v>1</v>
      </c>
      <c r="G46" s="88" t="n">
        <v>1</v>
      </c>
      <c r="H46" s="89" t="n">
        <v>1</v>
      </c>
      <c r="I46" s="89" t="n">
        <v>1</v>
      </c>
      <c r="J46" s="89" t="n">
        <v>1</v>
      </c>
      <c r="K46" s="174" t="n">
        <f aca="false">IF(COUNT(H46:J46)=0,"",AVERAGE(H46:J46))</f>
        <v>1</v>
      </c>
      <c r="L46" s="90" t="n">
        <v>1</v>
      </c>
      <c r="M46" s="90" t="n">
        <v>1</v>
      </c>
      <c r="N46" s="90" t="n">
        <v>1</v>
      </c>
      <c r="O46" s="174" t="n">
        <f aca="false">IF(COUNT(L46:N46)=0,"",AVERAGE(L46:N46))</f>
        <v>1</v>
      </c>
      <c r="P46" s="90" t="n">
        <v>1</v>
      </c>
      <c r="Q46" s="90"/>
      <c r="R46" s="90"/>
      <c r="S46" s="174" t="n">
        <f aca="false">IF(COUNT(P46:R46)=0,"",AVERAGE(P46:R46))</f>
        <v>1</v>
      </c>
      <c r="T46" s="90"/>
      <c r="U46" s="90"/>
      <c r="V46" s="90"/>
      <c r="W46" s="174" t="str">
        <f aca="false">IF(COUNT(T46:V46)=0,"",AVERAGE(T46:V46))</f>
        <v/>
      </c>
      <c r="X46" s="92" t="n">
        <v>1</v>
      </c>
      <c r="Y46" s="114" t="s">
        <v>104</v>
      </c>
      <c r="Z46" s="78" t="s">
        <v>100</v>
      </c>
    </row>
    <row r="47" customFormat="false" ht="25.5" hidden="false" customHeight="true" outlineLevel="0" collapsed="false">
      <c r="A47" s="69" t="s">
        <v>162</v>
      </c>
      <c r="B47" s="70" t="s">
        <v>163</v>
      </c>
      <c r="C47" s="71" t="s">
        <v>34</v>
      </c>
      <c r="D47" s="71" t="s">
        <v>97</v>
      </c>
      <c r="E47" s="69" t="s">
        <v>501</v>
      </c>
      <c r="F47" s="87" t="n">
        <v>0.01</v>
      </c>
      <c r="G47" s="88" t="n">
        <v>0.012</v>
      </c>
      <c r="H47" s="89" t="n">
        <v>0.000301477238468496</v>
      </c>
      <c r="I47" s="89" t="n">
        <v>0.000262605042016807</v>
      </c>
      <c r="J47" s="89" t="n">
        <v>0.000280701754385965</v>
      </c>
      <c r="K47" s="174" t="n">
        <f aca="false">IF(COUNT(H47:J47)=0,"",AVERAGE(H47:J47))</f>
        <v>0.000281594678290423</v>
      </c>
      <c r="L47" s="90" t="n">
        <v>0.000257599175682638</v>
      </c>
      <c r="M47" s="90" t="n">
        <v>0.000290444379901249</v>
      </c>
      <c r="N47" s="90" t="n">
        <v>0</v>
      </c>
      <c r="O47" s="174" t="n">
        <f aca="false">IF(COUNT(L47:N47)=0,"",AVERAGE(L47:N47))</f>
        <v>0.000182681185194629</v>
      </c>
      <c r="P47" s="90" t="n">
        <v>0.000247770069375619</v>
      </c>
      <c r="Q47" s="90"/>
      <c r="R47" s="90"/>
      <c r="S47" s="174" t="n">
        <f aca="false">IF(COUNT(P47:R47)=0,"",AVERAGE(P47:R47))</f>
        <v>0.000247770069375619</v>
      </c>
      <c r="T47" s="90"/>
      <c r="U47" s="90"/>
      <c r="V47" s="90"/>
      <c r="W47" s="174" t="str">
        <f aca="false">IF(COUNT(T47:V47)=0,"",AVERAGE(T47:V47))</f>
        <v/>
      </c>
      <c r="X47" s="92" t="n">
        <v>0.00026959692698653</v>
      </c>
      <c r="Y47" s="114" t="s">
        <v>104</v>
      </c>
      <c r="Z47" s="78" t="s">
        <v>100</v>
      </c>
    </row>
    <row r="48" customFormat="false" ht="25.5" hidden="false" customHeight="true" outlineLevel="0" collapsed="false">
      <c r="A48" s="69" t="s">
        <v>164</v>
      </c>
      <c r="B48" s="70" t="s">
        <v>165</v>
      </c>
      <c r="C48" s="71" t="s">
        <v>166</v>
      </c>
      <c r="D48" s="71" t="s">
        <v>110</v>
      </c>
      <c r="E48" s="69" t="s">
        <v>501</v>
      </c>
      <c r="F48" s="87" t="n">
        <v>0.788</v>
      </c>
      <c r="G48" s="88" t="n">
        <v>0.9</v>
      </c>
      <c r="H48" s="89" t="n">
        <v>0.8372</v>
      </c>
      <c r="I48" s="90" t="n">
        <v>0.78</v>
      </c>
      <c r="J48" s="90" t="n">
        <v>0.734</v>
      </c>
      <c r="K48" s="174" t="n">
        <f aca="false">IF(COUNT(H48:J48)=0,"",AVERAGE(H48:J48))</f>
        <v>0.783733333333333</v>
      </c>
      <c r="L48" s="90" t="n">
        <v>0.7907</v>
      </c>
      <c r="M48" s="90" t="n">
        <v>0.75</v>
      </c>
      <c r="N48" s="90" t="n">
        <v>0.7619</v>
      </c>
      <c r="O48" s="174" t="n">
        <f aca="false">IF(COUNT(L48:N48)=0,"",AVERAGE(L48:N48))</f>
        <v>0.767533333333333</v>
      </c>
      <c r="P48" s="90" t="n">
        <v>0.831</v>
      </c>
      <c r="Q48" s="90"/>
      <c r="R48" s="90"/>
      <c r="S48" s="174" t="n">
        <f aca="false">IF(COUNT(P48:R48)=0,"",AVERAGE(P48:R48))</f>
        <v>0.831</v>
      </c>
      <c r="T48" s="90"/>
      <c r="U48" s="90"/>
      <c r="V48" s="90"/>
      <c r="W48" s="174" t="str">
        <f aca="false">IF(COUNT(T48:V48)=0,"",AVERAGE(T48:V48))</f>
        <v/>
      </c>
      <c r="X48" s="92" t="n">
        <v>0.8372</v>
      </c>
      <c r="Y48" s="114" t="s">
        <v>113</v>
      </c>
      <c r="Z48" s="78" t="s">
        <v>105</v>
      </c>
    </row>
    <row r="49" customFormat="false" ht="25.5" hidden="false" customHeight="true" outlineLevel="0" collapsed="false">
      <c r="A49" s="69" t="s">
        <v>167</v>
      </c>
      <c r="B49" s="70" t="s">
        <v>168</v>
      </c>
      <c r="C49" s="71" t="s">
        <v>166</v>
      </c>
      <c r="D49" s="71" t="s">
        <v>110</v>
      </c>
      <c r="E49" s="69" t="s">
        <v>501</v>
      </c>
      <c r="F49" s="87" t="n">
        <v>0.988</v>
      </c>
      <c r="G49" s="88" t="n">
        <v>0.99</v>
      </c>
      <c r="H49" s="89" t="n">
        <v>1</v>
      </c>
      <c r="I49" s="89" t="n">
        <v>1</v>
      </c>
      <c r="J49" s="89" t="n">
        <v>1</v>
      </c>
      <c r="K49" s="174" t="n">
        <f aca="false">IF(COUNT(H49:J49)=0,"",AVERAGE(H49:J49))</f>
        <v>1</v>
      </c>
      <c r="L49" s="174" t="n">
        <f aca="false">IF(COUNT(I49:K49)=0,"",AVERAGE(I49:K49))</f>
        <v>1</v>
      </c>
      <c r="M49" s="174" t="n">
        <f aca="false">IF(COUNT(J49:L49)=0,"",AVERAGE(J49:L49))</f>
        <v>1</v>
      </c>
      <c r="N49" s="90"/>
      <c r="O49" s="174" t="n">
        <f aca="false">IF(COUNT(L49:N49)=0,"",AVERAGE(L49:N49))</f>
        <v>1</v>
      </c>
      <c r="P49" s="90"/>
      <c r="Q49" s="90"/>
      <c r="R49" s="90"/>
      <c r="S49" s="174" t="str">
        <f aca="false">IF(COUNT(P49:R49)=0,"",AVERAGE(P49:R49))</f>
        <v/>
      </c>
      <c r="T49" s="90"/>
      <c r="U49" s="90"/>
      <c r="V49" s="90"/>
      <c r="W49" s="174" t="str">
        <f aca="false">IF(COUNT(T49:V49)=0,"",AVERAGE(T49:V49))</f>
        <v/>
      </c>
      <c r="X49" s="92" t="n">
        <v>1</v>
      </c>
      <c r="Y49" s="114" t="s">
        <v>104</v>
      </c>
      <c r="Z49" s="78" t="s">
        <v>100</v>
      </c>
    </row>
    <row r="50" customFormat="false" ht="25.5" hidden="false" customHeight="true" outlineLevel="0" collapsed="false">
      <c r="A50" s="69" t="s">
        <v>169</v>
      </c>
      <c r="B50" s="70" t="s">
        <v>170</v>
      </c>
      <c r="C50" s="71" t="s">
        <v>166</v>
      </c>
      <c r="D50" s="71" t="s">
        <v>110</v>
      </c>
      <c r="E50" s="69" t="s">
        <v>501</v>
      </c>
      <c r="F50" s="87" t="n">
        <v>0.92</v>
      </c>
      <c r="G50" s="88" t="n">
        <v>0.93</v>
      </c>
      <c r="H50" s="89" t="n">
        <v>1</v>
      </c>
      <c r="I50" s="89" t="n">
        <v>1</v>
      </c>
      <c r="J50" s="89" t="n">
        <v>1</v>
      </c>
      <c r="K50" s="174" t="n">
        <f aca="false">IF(COUNT(H50:J50)=0,"",AVERAGE(H50:J50))</f>
        <v>1</v>
      </c>
      <c r="L50" s="90" t="n">
        <v>1</v>
      </c>
      <c r="M50" s="90" t="n">
        <v>0.9769</v>
      </c>
      <c r="N50" s="90" t="n">
        <v>1</v>
      </c>
      <c r="O50" s="174" t="n">
        <f aca="false">IF(COUNT(L50:N50)=0,"",AVERAGE(L50:N50))</f>
        <v>0.9923</v>
      </c>
      <c r="P50" s="90" t="n">
        <v>1</v>
      </c>
      <c r="Q50" s="90"/>
      <c r="R50" s="90"/>
      <c r="S50" s="174" t="n">
        <f aca="false">IF(COUNT(P50:R50)=0,"",AVERAGE(P50:R50))</f>
        <v>1</v>
      </c>
      <c r="T50" s="90"/>
      <c r="U50" s="90"/>
      <c r="V50" s="90"/>
      <c r="W50" s="174" t="str">
        <f aca="false">IF(COUNT(T50:V50)=0,"",AVERAGE(T50:V50))</f>
        <v/>
      </c>
      <c r="X50" s="92" t="n">
        <v>1</v>
      </c>
      <c r="Y50" s="114" t="s">
        <v>104</v>
      </c>
      <c r="Z50" s="78" t="s">
        <v>100</v>
      </c>
    </row>
    <row r="51" customFormat="false" ht="25.5" hidden="false" customHeight="true" outlineLevel="0" collapsed="false">
      <c r="A51" s="69" t="s">
        <v>171</v>
      </c>
      <c r="B51" s="70" t="s">
        <v>172</v>
      </c>
      <c r="C51" s="71" t="s">
        <v>166</v>
      </c>
      <c r="D51" s="71" t="s">
        <v>97</v>
      </c>
      <c r="E51" s="69" t="s">
        <v>501</v>
      </c>
      <c r="F51" s="72" t="n">
        <v>0.55</v>
      </c>
      <c r="G51" s="73" t="s">
        <v>32</v>
      </c>
      <c r="H51" s="106" t="n">
        <v>0</v>
      </c>
      <c r="I51" s="106" t="n">
        <v>0</v>
      </c>
      <c r="J51" s="106" t="n">
        <v>0</v>
      </c>
      <c r="K51" s="182" t="n">
        <f aca="false">IF(COUNT(H51:J51)=0,"",SUM(H51:J51))</f>
        <v>0</v>
      </c>
      <c r="L51" s="74" t="n">
        <v>0</v>
      </c>
      <c r="M51" s="74" t="n">
        <v>0</v>
      </c>
      <c r="N51" s="74" t="n">
        <v>0</v>
      </c>
      <c r="O51" s="182" t="n">
        <f aca="false">IF(COUNT(L51:N51)=0,"",SUM(L51:N51))</f>
        <v>0</v>
      </c>
      <c r="P51" s="74" t="n">
        <v>0</v>
      </c>
      <c r="Q51" s="74"/>
      <c r="R51" s="74"/>
      <c r="S51" s="182" t="n">
        <v>0</v>
      </c>
      <c r="T51" s="74"/>
      <c r="U51" s="74"/>
      <c r="V51" s="74"/>
      <c r="W51" s="182" t="n">
        <v>0</v>
      </c>
      <c r="X51" s="76" t="n">
        <v>0</v>
      </c>
      <c r="Y51" s="114" t="s">
        <v>120</v>
      </c>
      <c r="Z51" s="78" t="s">
        <v>100</v>
      </c>
    </row>
    <row r="52" customFormat="false" ht="25.5" hidden="false" customHeight="true" outlineLevel="0" collapsed="false">
      <c r="A52" s="69" t="s">
        <v>178</v>
      </c>
      <c r="B52" s="70" t="s">
        <v>179</v>
      </c>
      <c r="C52" s="71" t="s">
        <v>166</v>
      </c>
      <c r="D52" s="71" t="s">
        <v>97</v>
      </c>
      <c r="E52" s="69" t="s">
        <v>501</v>
      </c>
      <c r="F52" s="87" t="n">
        <v>0.019</v>
      </c>
      <c r="G52" s="88" t="n">
        <v>0.0162</v>
      </c>
      <c r="H52" s="89" t="n">
        <v>0.01</v>
      </c>
      <c r="I52" s="89" t="n">
        <v>0.00262605042016807</v>
      </c>
      <c r="J52" s="89" t="n">
        <v>0.000842105263157895</v>
      </c>
      <c r="K52" s="174" t="n">
        <f aca="false">IF(COUNT(H52:J52)=0,"",AVERAGE(H52:J52))</f>
        <v>0.00448938522777532</v>
      </c>
      <c r="L52" s="90" t="n">
        <v>0.00128799587841319</v>
      </c>
      <c r="M52" s="90" t="n">
        <v>0.0045</v>
      </c>
      <c r="N52" s="90" t="n">
        <v>0.00507944777285752</v>
      </c>
      <c r="O52" s="174" t="n">
        <f aca="false">IF(COUNT(L52:N52)=0,"",AVERAGE(L52:N52))</f>
        <v>0.00362248121709024</v>
      </c>
      <c r="P52" s="90" t="n">
        <v>0.0052</v>
      </c>
      <c r="Q52" s="90"/>
      <c r="R52" s="90"/>
      <c r="S52" s="174" t="n">
        <f aca="false">IF(COUNT(P52:R52)=0,"",AVERAGE(P52:R52))</f>
        <v>0.0052</v>
      </c>
      <c r="T52" s="90"/>
      <c r="U52" s="90"/>
      <c r="V52" s="90"/>
      <c r="W52" s="174" t="str">
        <f aca="false">IF(COUNT(T52:V52)=0,"",AVERAGE(T52:V52))</f>
        <v/>
      </c>
      <c r="X52" s="92" t="n">
        <v>0.00288869055309426</v>
      </c>
      <c r="Y52" s="114" t="s">
        <v>104</v>
      </c>
      <c r="Z52" s="78" t="s">
        <v>100</v>
      </c>
    </row>
    <row r="53" customFormat="false" ht="25.5" hidden="false" customHeight="true" outlineLevel="0" collapsed="false">
      <c r="A53" s="69" t="s">
        <v>182</v>
      </c>
      <c r="B53" s="70" t="s">
        <v>183</v>
      </c>
      <c r="C53" s="71" t="s">
        <v>166</v>
      </c>
      <c r="D53" s="71" t="s">
        <v>97</v>
      </c>
      <c r="E53" s="69" t="s">
        <v>501</v>
      </c>
      <c r="F53" s="87" t="n">
        <v>0.072</v>
      </c>
      <c r="G53" s="88" t="n">
        <v>0.0612</v>
      </c>
      <c r="H53" s="89" t="n">
        <v>0</v>
      </c>
      <c r="I53" s="89" t="n">
        <v>0.25</v>
      </c>
      <c r="J53" s="89" t="n">
        <v>0.166666666666667</v>
      </c>
      <c r="K53" s="174" t="n">
        <f aca="false">IF(COUNT(H53:J53)=0,"",AVERAGE(H53:J53))</f>
        <v>0.138888888888889</v>
      </c>
      <c r="L53" s="90" t="n">
        <v>0.166666666666667</v>
      </c>
      <c r="M53" s="90" t="n">
        <v>0</v>
      </c>
      <c r="N53" s="90"/>
      <c r="O53" s="174" t="n">
        <f aca="false">IF(COUNT(L53:N53)=0,"",AVERAGE(L53:N53))</f>
        <v>0.0833333333333335</v>
      </c>
      <c r="P53" s="90" t="n">
        <v>0.005</v>
      </c>
      <c r="Q53" s="90"/>
      <c r="R53" s="90"/>
      <c r="S53" s="174" t="n">
        <f aca="false">IF(COUNT(P53:R53)=0,"",AVERAGE(P53:R53))</f>
        <v>0.005</v>
      </c>
      <c r="T53" s="90"/>
      <c r="U53" s="90"/>
      <c r="V53" s="90"/>
      <c r="W53" s="174" t="str">
        <f aca="false">IF(COUNT(T53:V53)=0,"",AVERAGE(T53:V53))</f>
        <v/>
      </c>
      <c r="X53" s="92" t="n">
        <v>0.152777777777778</v>
      </c>
      <c r="Y53" s="114" t="s">
        <v>113</v>
      </c>
      <c r="Z53" s="78" t="s">
        <v>100</v>
      </c>
    </row>
    <row r="54" customFormat="false" ht="25.5" hidden="false" customHeight="true" outlineLevel="0" collapsed="false">
      <c r="A54" s="69" t="s">
        <v>186</v>
      </c>
      <c r="B54" s="70" t="s">
        <v>187</v>
      </c>
      <c r="C54" s="71" t="s">
        <v>166</v>
      </c>
      <c r="D54" s="71" t="s">
        <v>97</v>
      </c>
      <c r="E54" s="69" t="s">
        <v>501</v>
      </c>
      <c r="F54" s="102" t="n">
        <v>0.027</v>
      </c>
      <c r="G54" s="82" t="n">
        <v>0.0135</v>
      </c>
      <c r="H54" s="81" t="n">
        <v>0.06</v>
      </c>
      <c r="I54" s="81" t="n">
        <v>0.25</v>
      </c>
      <c r="J54" s="81" t="n">
        <v>0.733333333333333</v>
      </c>
      <c r="K54" s="176" t="n">
        <f aca="false">IF(COUNT(H54:J54)=0,"",AVERAGE(H54:J54))</f>
        <v>0.347777777777778</v>
      </c>
      <c r="L54" s="103" t="n">
        <v>0.130434782608696</v>
      </c>
      <c r="M54" s="103" t="n">
        <v>0.714285714285714</v>
      </c>
      <c r="N54" s="103" t="n">
        <v>0</v>
      </c>
      <c r="O54" s="176" t="n">
        <f aca="false">IF(COUNT(L54:N54)=0,"",AVERAGE(L54:N54))</f>
        <v>0.281573498964803</v>
      </c>
      <c r="P54" s="103" t="n">
        <v>0</v>
      </c>
      <c r="Q54" s="103"/>
      <c r="R54" s="103"/>
      <c r="S54" s="176" t="n">
        <f aca="false">IF(COUNT(P54:R54)=0,"",AVERAGE(P54:R54))</f>
        <v>0</v>
      </c>
      <c r="T54" s="103"/>
      <c r="U54" s="103"/>
      <c r="V54" s="103"/>
      <c r="W54" s="176" t="str">
        <f aca="false">IF(COUNT(T54:V54)=0,"",AVERAGE(T54:V54))</f>
        <v/>
      </c>
      <c r="X54" s="104" t="n">
        <v>0.239106280193237</v>
      </c>
      <c r="Y54" s="114" t="s">
        <v>113</v>
      </c>
      <c r="Z54" s="78" t="s">
        <v>100</v>
      </c>
    </row>
    <row r="55" customFormat="false" ht="25.5" hidden="false" customHeight="true" outlineLevel="0" collapsed="false">
      <c r="A55" s="69" t="s">
        <v>191</v>
      </c>
      <c r="B55" s="70" t="s">
        <v>192</v>
      </c>
      <c r="C55" s="71" t="s">
        <v>166</v>
      </c>
      <c r="D55" s="71" t="s">
        <v>110</v>
      </c>
      <c r="E55" s="69" t="s">
        <v>501</v>
      </c>
      <c r="F55" s="87" t="n">
        <v>0.8863</v>
      </c>
      <c r="G55" s="88" t="n">
        <v>0.8938</v>
      </c>
      <c r="H55" s="89" t="n">
        <v>1</v>
      </c>
      <c r="I55" s="89" t="n">
        <v>0.8513</v>
      </c>
      <c r="J55" s="89" t="n">
        <v>0.9363</v>
      </c>
      <c r="K55" s="174" t="n">
        <f aca="false">IF(COUNT(H55:J55)=0,"",AVERAGE(H55:J55))</f>
        <v>0.9292</v>
      </c>
      <c r="L55" s="90" t="n">
        <v>0.9166</v>
      </c>
      <c r="M55" s="90" t="n">
        <v>1</v>
      </c>
      <c r="N55" s="90" t="n">
        <v>1</v>
      </c>
      <c r="O55" s="174" t="n">
        <f aca="false">IF(COUNT(L55:N55)=0,"",AVERAGE(L55:N55))</f>
        <v>0.9722</v>
      </c>
      <c r="P55" s="90" t="n">
        <v>1</v>
      </c>
      <c r="Q55" s="90"/>
      <c r="R55" s="90"/>
      <c r="S55" s="174" t="n">
        <f aca="false">IF(COUNT(P55:R55)=0,"",AVERAGE(P55:R55))</f>
        <v>1</v>
      </c>
      <c r="T55" s="90"/>
      <c r="U55" s="90"/>
      <c r="V55" s="90"/>
      <c r="W55" s="174" t="str">
        <f aca="false">IF(COUNT(T55:V55)=0,"",AVERAGE(T55:V55))</f>
        <v/>
      </c>
      <c r="X55" s="92" t="n">
        <v>0.9166</v>
      </c>
      <c r="Y55" s="114" t="s">
        <v>104</v>
      </c>
      <c r="Z55" s="78" t="s">
        <v>100</v>
      </c>
    </row>
    <row r="56" customFormat="false" ht="25.5" hidden="false" customHeight="true" outlineLevel="0" collapsed="false">
      <c r="A56" s="69" t="s">
        <v>193</v>
      </c>
      <c r="B56" s="70" t="s">
        <v>194</v>
      </c>
      <c r="C56" s="71" t="s">
        <v>166</v>
      </c>
      <c r="D56" s="71" t="s">
        <v>110</v>
      </c>
      <c r="E56" s="69" t="s">
        <v>501</v>
      </c>
      <c r="F56" s="87" t="n">
        <v>0.9024</v>
      </c>
      <c r="G56" s="88" t="n">
        <v>0.8658</v>
      </c>
      <c r="H56" s="89" t="n">
        <v>0.9979</v>
      </c>
      <c r="I56" s="90"/>
      <c r="J56" s="90"/>
      <c r="K56" s="174" t="n">
        <f aca="false">IF(COUNT(H56:J56)=0,"",AVERAGE(H56:J56))</f>
        <v>0.9979</v>
      </c>
      <c r="L56" s="90"/>
      <c r="M56" s="90"/>
      <c r="N56" s="90" t="s">
        <v>195</v>
      </c>
      <c r="O56" s="174" t="str">
        <f aca="false">IF(COUNT(L56:N56)=0,"",AVERAGE(L56:N56))</f>
        <v/>
      </c>
      <c r="P56" s="90"/>
      <c r="Q56" s="90"/>
      <c r="R56" s="90"/>
      <c r="S56" s="174" t="str">
        <f aca="false">IF(COUNT(P56:R56)=0,"",AVERAGE(P56:R56))</f>
        <v/>
      </c>
      <c r="T56" s="90"/>
      <c r="U56" s="90"/>
      <c r="V56" s="90"/>
      <c r="W56" s="174" t="str">
        <f aca="false">IF(COUNT(T56:V56)=0,"",AVERAGE(T56:V56))</f>
        <v/>
      </c>
      <c r="X56" s="92" t="n">
        <v>0.9979</v>
      </c>
      <c r="Y56" s="114" t="s">
        <v>104</v>
      </c>
      <c r="Z56" s="78" t="s">
        <v>100</v>
      </c>
    </row>
    <row r="57" customFormat="false" ht="25.5" hidden="false" customHeight="true" outlineLevel="0" collapsed="false">
      <c r="A57" s="69" t="s">
        <v>196</v>
      </c>
      <c r="B57" s="70" t="s">
        <v>197</v>
      </c>
      <c r="C57" s="71" t="s">
        <v>166</v>
      </c>
      <c r="D57" s="71" t="s">
        <v>110</v>
      </c>
      <c r="E57" s="69" t="s">
        <v>501</v>
      </c>
      <c r="F57" s="87" t="n">
        <v>0.782</v>
      </c>
      <c r="G57" s="88" t="n">
        <v>0.807</v>
      </c>
      <c r="H57" s="89" t="n">
        <v>1</v>
      </c>
      <c r="I57" s="89" t="n">
        <v>1</v>
      </c>
      <c r="J57" s="89" t="n">
        <v>1</v>
      </c>
      <c r="K57" s="174" t="n">
        <f aca="false">IF(COUNT(H57:J57)=0,"",AVERAGE(H57:J57))</f>
        <v>1</v>
      </c>
      <c r="L57" s="90" t="n">
        <v>1</v>
      </c>
      <c r="M57" s="90" t="n">
        <v>1</v>
      </c>
      <c r="N57" s="90" t="n">
        <v>1</v>
      </c>
      <c r="O57" s="174" t="n">
        <f aca="false">IF(COUNT(L57:N57)=0,"",AVERAGE(L57:N57))</f>
        <v>1</v>
      </c>
      <c r="P57" s="90" t="n">
        <v>1</v>
      </c>
      <c r="Q57" s="90"/>
      <c r="R57" s="90"/>
      <c r="S57" s="174" t="n">
        <f aca="false">IF(COUNT(P57:R57)=0,"",AVERAGE(P57:R57))</f>
        <v>1</v>
      </c>
      <c r="T57" s="90"/>
      <c r="U57" s="90"/>
      <c r="V57" s="90"/>
      <c r="W57" s="174" t="str">
        <f aca="false">IF(COUNT(T57:V57)=0,"",AVERAGE(T57:V57))</f>
        <v/>
      </c>
      <c r="X57" s="92" t="n">
        <v>1</v>
      </c>
      <c r="Y57" s="114" t="s">
        <v>104</v>
      </c>
      <c r="Z57" s="78" t="s">
        <v>100</v>
      </c>
    </row>
    <row r="58" customFormat="false" ht="25.5" hidden="false" customHeight="true" outlineLevel="0" collapsed="false">
      <c r="A58" s="69" t="s">
        <v>198</v>
      </c>
      <c r="B58" s="70" t="s">
        <v>199</v>
      </c>
      <c r="C58" s="71" t="s">
        <v>166</v>
      </c>
      <c r="D58" s="71" t="s">
        <v>110</v>
      </c>
      <c r="E58" s="69" t="s">
        <v>501</v>
      </c>
      <c r="F58" s="87" t="n">
        <v>0.821</v>
      </c>
      <c r="G58" s="88" t="n">
        <v>0.848</v>
      </c>
      <c r="H58" s="89" t="n">
        <v>0.9176</v>
      </c>
      <c r="I58" s="89" t="n">
        <v>0.8333</v>
      </c>
      <c r="J58" s="90" t="n">
        <v>1</v>
      </c>
      <c r="K58" s="174" t="n">
        <f aca="false">IF(COUNT(H58:J58)=0,"",AVERAGE(H58:J58))</f>
        <v>0.916966666666667</v>
      </c>
      <c r="L58" s="90" t="n">
        <v>0.9544</v>
      </c>
      <c r="M58" s="90" t="n">
        <v>1</v>
      </c>
      <c r="N58" s="90" t="n">
        <v>1</v>
      </c>
      <c r="O58" s="174" t="n">
        <f aca="false">IF(COUNT(L58:N58)=0,"",AVERAGE(L58:N58))</f>
        <v>0.9848</v>
      </c>
      <c r="P58" s="90" t="n">
        <v>0.8889</v>
      </c>
      <c r="Q58" s="90"/>
      <c r="R58" s="90"/>
      <c r="S58" s="174" t="n">
        <f aca="false">IF(COUNT(P58:R58)=0,"",AVERAGE(P58:R58))</f>
        <v>0.8889</v>
      </c>
      <c r="T58" s="90"/>
      <c r="U58" s="90"/>
      <c r="V58" s="90"/>
      <c r="W58" s="174" t="str">
        <f aca="false">IF(COUNT(T58:V58)=0,"",AVERAGE(T58:V58))</f>
        <v/>
      </c>
      <c r="X58" s="92" t="n">
        <v>0.9544</v>
      </c>
      <c r="Y58" s="114" t="s">
        <v>104</v>
      </c>
      <c r="Z58" s="78" t="s">
        <v>190</v>
      </c>
    </row>
    <row r="59" customFormat="false" ht="25.5" hidden="false" customHeight="true" outlineLevel="0" collapsed="false">
      <c r="A59" s="69" t="s">
        <v>211</v>
      </c>
      <c r="B59" s="70" t="s">
        <v>212</v>
      </c>
      <c r="C59" s="71" t="s">
        <v>213</v>
      </c>
      <c r="D59" s="71" t="s">
        <v>110</v>
      </c>
      <c r="E59" s="69" t="s">
        <v>501</v>
      </c>
      <c r="F59" s="87" t="s">
        <v>32</v>
      </c>
      <c r="G59" s="91" t="n">
        <v>1</v>
      </c>
      <c r="H59" s="89" t="n">
        <v>0</v>
      </c>
      <c r="I59" s="89" t="n">
        <v>0</v>
      </c>
      <c r="J59" s="89" t="n">
        <v>1</v>
      </c>
      <c r="K59" s="174" t="n">
        <f aca="false">IF(COUNT(H59:J59)=0,"",LOOKUP(2,1/(H59:J59&lt;&gt;""),H59:J59))</f>
        <v>1</v>
      </c>
      <c r="L59" s="90" t="n">
        <v>1</v>
      </c>
      <c r="M59" s="90" t="n">
        <v>1</v>
      </c>
      <c r="N59" s="90" t="n">
        <v>1</v>
      </c>
      <c r="O59" s="174" t="n">
        <f aca="false">IF(COUNT(L59:N59)=0,"",LOOKUP(2,1/(L59:N59&lt;&gt;""),L59:N59))</f>
        <v>1</v>
      </c>
      <c r="P59" s="90" t="n">
        <v>1</v>
      </c>
      <c r="Q59" s="90"/>
      <c r="R59" s="90"/>
      <c r="S59" s="174" t="n">
        <f aca="false">IF(COUNT(P59:R59)=0,"",LOOKUP(2,1/(P59:R59&lt;&gt;""),P59:R59))</f>
        <v>1</v>
      </c>
      <c r="T59" s="90"/>
      <c r="U59" s="90"/>
      <c r="V59" s="90"/>
      <c r="W59" s="174" t="str">
        <f aca="false">IF(COUNT(T59:V59)=0,"",LOOKUP(2,1/(T59:V59&lt;&gt;""),T59:V59))</f>
        <v/>
      </c>
      <c r="X59" s="92" t="n">
        <v>0.611111111111111</v>
      </c>
      <c r="Y59" s="114" t="s">
        <v>120</v>
      </c>
      <c r="Z59" s="78" t="s">
        <v>214</v>
      </c>
    </row>
    <row r="60" customFormat="false" ht="25.5" hidden="false" customHeight="true" outlineLevel="0" collapsed="false">
      <c r="A60" s="69" t="s">
        <v>262</v>
      </c>
      <c r="B60" s="70" t="s">
        <v>263</v>
      </c>
      <c r="C60" s="71" t="s">
        <v>35</v>
      </c>
      <c r="D60" s="71" t="s">
        <v>110</v>
      </c>
      <c r="E60" s="183" t="s">
        <v>502</v>
      </c>
      <c r="F60" s="87" t="s">
        <v>32</v>
      </c>
      <c r="G60" s="91" t="s">
        <v>32</v>
      </c>
      <c r="H60" s="184"/>
      <c r="I60" s="184"/>
      <c r="J60" s="184"/>
      <c r="K60" s="185" t="n">
        <v>1</v>
      </c>
      <c r="L60" s="184"/>
      <c r="M60" s="184"/>
      <c r="N60" s="184"/>
      <c r="O60" s="186"/>
      <c r="P60" s="184"/>
      <c r="Q60" s="184"/>
      <c r="R60" s="184"/>
      <c r="S60" s="186"/>
      <c r="T60" s="184"/>
      <c r="U60" s="184"/>
      <c r="V60" s="184"/>
      <c r="W60" s="186"/>
      <c r="X60" s="92" t="n">
        <v>1</v>
      </c>
      <c r="Y60" s="114" t="s">
        <v>120</v>
      </c>
      <c r="Z60" s="78" t="s">
        <v>264</v>
      </c>
    </row>
    <row r="61" customFormat="false" ht="25.5" hidden="false" customHeight="true" outlineLevel="0" collapsed="false">
      <c r="A61" s="69" t="s">
        <v>277</v>
      </c>
      <c r="B61" s="70" t="s">
        <v>278</v>
      </c>
      <c r="C61" s="71" t="s">
        <v>35</v>
      </c>
      <c r="D61" s="71" t="s">
        <v>110</v>
      </c>
      <c r="E61" s="183" t="s">
        <v>502</v>
      </c>
      <c r="F61" s="87" t="n">
        <v>0.5879</v>
      </c>
      <c r="G61" s="91" t="s">
        <v>32</v>
      </c>
      <c r="H61" s="184"/>
      <c r="I61" s="184"/>
      <c r="J61" s="184"/>
      <c r="K61" s="185" t="n">
        <v>0.9451</v>
      </c>
      <c r="L61" s="184"/>
      <c r="M61" s="184"/>
      <c r="N61" s="184"/>
      <c r="O61" s="186" t="n">
        <v>1</v>
      </c>
      <c r="P61" s="184"/>
      <c r="Q61" s="184"/>
      <c r="R61" s="184"/>
      <c r="S61" s="186"/>
      <c r="T61" s="184"/>
      <c r="U61" s="184"/>
      <c r="V61" s="184"/>
      <c r="W61" s="186"/>
      <c r="X61" s="92" t="n">
        <v>0.9451</v>
      </c>
      <c r="Y61" s="114" t="s">
        <v>120</v>
      </c>
      <c r="Z61" s="78" t="s">
        <v>190</v>
      </c>
    </row>
    <row r="62" customFormat="false" ht="25.5" hidden="false" customHeight="true" outlineLevel="0" collapsed="false">
      <c r="A62" s="69" t="s">
        <v>305</v>
      </c>
      <c r="B62" s="70" t="s">
        <v>306</v>
      </c>
      <c r="C62" s="71" t="s">
        <v>34</v>
      </c>
      <c r="D62" s="71" t="s">
        <v>97</v>
      </c>
      <c r="E62" s="183" t="s">
        <v>502</v>
      </c>
      <c r="F62" s="87" t="s">
        <v>32</v>
      </c>
      <c r="G62" s="91" t="s">
        <v>32</v>
      </c>
      <c r="H62" s="184"/>
      <c r="I62" s="184"/>
      <c r="J62" s="184"/>
      <c r="K62" s="185" t="n">
        <v>0.254237288135593</v>
      </c>
      <c r="L62" s="184"/>
      <c r="M62" s="184"/>
      <c r="N62" s="184"/>
      <c r="O62" s="186" t="n">
        <v>180</v>
      </c>
      <c r="P62" s="184"/>
      <c r="Q62" s="184"/>
      <c r="R62" s="184"/>
      <c r="S62" s="186"/>
      <c r="T62" s="184"/>
      <c r="U62" s="184"/>
      <c r="V62" s="184"/>
      <c r="W62" s="186"/>
      <c r="X62" s="92" t="n">
        <v>0.254237288135593</v>
      </c>
      <c r="Y62" s="114" t="s">
        <v>120</v>
      </c>
      <c r="Z62" s="78" t="s">
        <v>307</v>
      </c>
    </row>
    <row r="63" customFormat="false" ht="25.5" hidden="false" customHeight="true" outlineLevel="0" collapsed="false">
      <c r="A63" s="69" t="s">
        <v>339</v>
      </c>
      <c r="B63" s="70" t="s">
        <v>340</v>
      </c>
      <c r="C63" s="71" t="s">
        <v>166</v>
      </c>
      <c r="D63" s="71" t="s">
        <v>110</v>
      </c>
      <c r="E63" s="183" t="s">
        <v>502</v>
      </c>
      <c r="F63" s="87" t="n">
        <v>0.91</v>
      </c>
      <c r="G63" s="88" t="n">
        <v>0.92</v>
      </c>
      <c r="H63" s="184"/>
      <c r="I63" s="184"/>
      <c r="J63" s="184"/>
      <c r="K63" s="185" t="n">
        <v>0.857142857142857</v>
      </c>
      <c r="L63" s="184"/>
      <c r="M63" s="184"/>
      <c r="N63" s="184"/>
      <c r="O63" s="186" t="n">
        <v>0.8571</v>
      </c>
      <c r="P63" s="184"/>
      <c r="Q63" s="184"/>
      <c r="R63" s="184"/>
      <c r="S63" s="186"/>
      <c r="T63" s="184"/>
      <c r="U63" s="184"/>
      <c r="V63" s="184"/>
      <c r="W63" s="186"/>
      <c r="X63" s="92" t="n">
        <v>0.857142857142857</v>
      </c>
      <c r="Y63" s="114" t="s">
        <v>113</v>
      </c>
      <c r="Z63" s="78" t="s">
        <v>341</v>
      </c>
    </row>
    <row r="64" customFormat="false" ht="25.5" hidden="false" customHeight="true" outlineLevel="0" collapsed="false">
      <c r="A64" s="69" t="s">
        <v>357</v>
      </c>
      <c r="B64" s="70" t="s">
        <v>358</v>
      </c>
      <c r="C64" s="71" t="s">
        <v>166</v>
      </c>
      <c r="D64" s="71" t="s">
        <v>97</v>
      </c>
      <c r="E64" s="183" t="s">
        <v>502</v>
      </c>
      <c r="F64" s="102" t="n">
        <v>15.7</v>
      </c>
      <c r="G64" s="122" t="n">
        <v>7.85</v>
      </c>
      <c r="H64" s="191"/>
      <c r="I64" s="191"/>
      <c r="J64" s="191"/>
      <c r="K64" s="192" t="n">
        <v>0</v>
      </c>
      <c r="L64" s="191"/>
      <c r="M64" s="191"/>
      <c r="N64" s="191"/>
      <c r="O64" s="193" t="n">
        <v>0</v>
      </c>
      <c r="P64" s="191"/>
      <c r="Q64" s="191"/>
      <c r="R64" s="191"/>
      <c r="S64" s="193"/>
      <c r="T64" s="191"/>
      <c r="U64" s="191"/>
      <c r="V64" s="191"/>
      <c r="W64" s="193"/>
      <c r="X64" s="104" t="n">
        <v>0</v>
      </c>
      <c r="Y64" s="114" t="s">
        <v>104</v>
      </c>
      <c r="Z64" s="78" t="s">
        <v>100</v>
      </c>
    </row>
    <row r="65" customFormat="false" ht="25.5" hidden="false" customHeight="true" outlineLevel="0" collapsed="false">
      <c r="A65" s="69" t="s">
        <v>377</v>
      </c>
      <c r="B65" s="70" t="s">
        <v>378</v>
      </c>
      <c r="C65" s="71" t="s">
        <v>236</v>
      </c>
      <c r="D65" s="71" t="s">
        <v>110</v>
      </c>
      <c r="E65" s="183" t="s">
        <v>502</v>
      </c>
      <c r="F65" s="87" t="n">
        <v>0.483</v>
      </c>
      <c r="G65" s="88" t="n">
        <v>0.5606</v>
      </c>
      <c r="H65" s="184"/>
      <c r="I65" s="184"/>
      <c r="J65" s="184"/>
      <c r="K65" s="185" t="n">
        <v>0.444444444444444</v>
      </c>
      <c r="L65" s="184"/>
      <c r="M65" s="184"/>
      <c r="N65" s="184"/>
      <c r="O65" s="186" t="n">
        <v>0.346153846153846</v>
      </c>
      <c r="P65" s="184"/>
      <c r="Q65" s="184"/>
      <c r="R65" s="184"/>
      <c r="S65" s="186"/>
      <c r="T65" s="184"/>
      <c r="U65" s="184"/>
      <c r="V65" s="184"/>
      <c r="W65" s="186"/>
      <c r="X65" s="92" t="n">
        <v>0.444444444444444</v>
      </c>
      <c r="Y65" s="114" t="s">
        <v>113</v>
      </c>
      <c r="Z65" s="78" t="s">
        <v>190</v>
      </c>
    </row>
    <row r="66" customFormat="false" ht="25.5" hidden="false" customHeight="true" outlineLevel="0" collapsed="false">
      <c r="A66" s="69" t="s">
        <v>379</v>
      </c>
      <c r="B66" s="70" t="s">
        <v>380</v>
      </c>
      <c r="C66" s="71" t="s">
        <v>236</v>
      </c>
      <c r="D66" s="71" t="s">
        <v>97</v>
      </c>
      <c r="E66" s="183" t="s">
        <v>502</v>
      </c>
      <c r="F66" s="87" t="s">
        <v>32</v>
      </c>
      <c r="G66" s="91" t="s">
        <v>32</v>
      </c>
      <c r="H66" s="184"/>
      <c r="I66" s="184"/>
      <c r="J66" s="184"/>
      <c r="K66" s="185" t="n">
        <v>0.133587786259542</v>
      </c>
      <c r="L66" s="184"/>
      <c r="M66" s="184"/>
      <c r="N66" s="184"/>
      <c r="O66" s="186"/>
      <c r="P66" s="184"/>
      <c r="Q66" s="184"/>
      <c r="R66" s="184"/>
      <c r="S66" s="186"/>
      <c r="T66" s="184"/>
      <c r="U66" s="184"/>
      <c r="V66" s="184"/>
      <c r="W66" s="186"/>
      <c r="X66" s="92" t="n">
        <v>0.133587786259542</v>
      </c>
      <c r="Y66" s="114" t="s">
        <v>120</v>
      </c>
      <c r="Z66" s="78" t="s">
        <v>105</v>
      </c>
    </row>
    <row r="67" customFormat="false" ht="25.5" hidden="false" customHeight="true" outlineLevel="0" collapsed="false">
      <c r="A67" s="69" t="s">
        <v>220</v>
      </c>
      <c r="B67" s="70" t="s">
        <v>221</v>
      </c>
      <c r="C67" s="71" t="s">
        <v>35</v>
      </c>
      <c r="D67" s="71" t="s">
        <v>97</v>
      </c>
      <c r="E67" s="183" t="s">
        <v>501</v>
      </c>
      <c r="F67" s="115" t="n">
        <v>6</v>
      </c>
      <c r="G67" s="116" t="n">
        <v>5</v>
      </c>
      <c r="H67" s="184"/>
      <c r="I67" s="184"/>
      <c r="J67" s="184"/>
      <c r="K67" s="187" t="str">
        <f aca="false">IF(COUNT(H67:J67)=0,"",AVERAGE(H67:J67))</f>
        <v/>
      </c>
      <c r="L67" s="184"/>
      <c r="M67" s="184"/>
      <c r="N67" s="184"/>
      <c r="O67" s="187" t="str">
        <f aca="false">IF(COUNT(L67:N67)=0,"",AVERAGE(L67:N67))</f>
        <v/>
      </c>
      <c r="P67" s="184"/>
      <c r="Q67" s="184"/>
      <c r="R67" s="184"/>
      <c r="S67" s="187" t="str">
        <f aca="false">IF(COUNT(P67:R67)=0,"",AVERAGE(P67:R67))</f>
        <v/>
      </c>
      <c r="T67" s="184"/>
      <c r="U67" s="184"/>
      <c r="V67" s="184"/>
      <c r="W67" s="187" t="str">
        <f aca="false">IF(COUNT(T67:V67)=0,"",AVERAGE(T67:V67))</f>
        <v/>
      </c>
      <c r="X67" s="118"/>
      <c r="Y67" s="114" t="s">
        <v>99</v>
      </c>
      <c r="Z67" s="78" t="s">
        <v>100</v>
      </c>
    </row>
    <row r="68" customFormat="false" ht="25.5" hidden="false" customHeight="true" outlineLevel="0" collapsed="false">
      <c r="H68" s="113"/>
      <c r="I68" s="113"/>
      <c r="J68" s="113"/>
      <c r="L68" s="113"/>
      <c r="M68" s="113"/>
      <c r="N68" s="113"/>
      <c r="P68" s="113"/>
      <c r="Q68" s="113"/>
      <c r="R68" s="113"/>
      <c r="T68" s="113"/>
      <c r="U68" s="113"/>
      <c r="V68" s="113"/>
    </row>
    <row r="69" customFormat="false" ht="25.5" hidden="false" customHeight="true" outlineLevel="0" collapsed="false">
      <c r="H69" s="113"/>
      <c r="I69" s="113"/>
      <c r="J69" s="113"/>
      <c r="L69" s="113"/>
      <c r="M69" s="113"/>
      <c r="N69" s="113"/>
      <c r="P69" s="113"/>
      <c r="Q69" s="113"/>
      <c r="R69" s="113"/>
      <c r="T69" s="113"/>
      <c r="U69" s="113"/>
      <c r="V69" s="113"/>
    </row>
    <row r="70" customFormat="false" ht="25.5" hidden="false" customHeight="true" outlineLevel="0" collapsed="false">
      <c r="H70" s="113"/>
      <c r="I70" s="113"/>
      <c r="J70" s="113"/>
      <c r="L70" s="113"/>
      <c r="M70" s="113"/>
      <c r="N70" s="113"/>
      <c r="P70" s="113"/>
      <c r="Q70" s="113"/>
      <c r="R70" s="113"/>
      <c r="T70" s="113"/>
      <c r="U70" s="113"/>
      <c r="V70" s="113"/>
    </row>
    <row r="71" customFormat="false" ht="25.5" hidden="false" customHeight="true" outlineLevel="0" collapsed="false">
      <c r="H71" s="113"/>
      <c r="I71" s="113"/>
      <c r="J71" s="113"/>
      <c r="L71" s="113"/>
      <c r="M71" s="113"/>
      <c r="N71" s="113"/>
      <c r="P71" s="113"/>
      <c r="Q71" s="113"/>
      <c r="R71" s="113"/>
      <c r="T71" s="113"/>
      <c r="U71" s="113"/>
      <c r="V71" s="113"/>
    </row>
    <row r="72" customFormat="false" ht="25.5" hidden="false" customHeight="true" outlineLevel="0" collapsed="false">
      <c r="H72" s="113"/>
      <c r="I72" s="113"/>
      <c r="J72" s="113"/>
      <c r="L72" s="113"/>
      <c r="M72" s="113"/>
      <c r="N72" s="113"/>
      <c r="P72" s="113"/>
      <c r="Q72" s="113"/>
      <c r="R72" s="113"/>
      <c r="T72" s="113"/>
      <c r="U72" s="113"/>
      <c r="V72" s="113"/>
    </row>
    <row r="73" customFormat="false" ht="25.5" hidden="false" customHeight="true" outlineLevel="0" collapsed="false">
      <c r="H73" s="113"/>
      <c r="I73" s="113"/>
      <c r="J73" s="113"/>
      <c r="L73" s="113"/>
      <c r="M73" s="113"/>
      <c r="N73" s="113"/>
      <c r="P73" s="113"/>
      <c r="Q73" s="113"/>
      <c r="R73" s="113"/>
      <c r="T73" s="113"/>
      <c r="U73" s="113"/>
      <c r="V73" s="113"/>
    </row>
    <row r="74" customFormat="false" ht="25.5" hidden="false" customHeight="true" outlineLevel="0" collapsed="false">
      <c r="H74" s="113"/>
      <c r="I74" s="113"/>
      <c r="J74" s="113"/>
      <c r="L74" s="113"/>
      <c r="M74" s="113"/>
      <c r="N74" s="113"/>
      <c r="P74" s="113"/>
      <c r="Q74" s="113"/>
      <c r="R74" s="113"/>
      <c r="T74" s="113"/>
      <c r="U74" s="113"/>
      <c r="V74" s="113"/>
    </row>
    <row r="75" customFormat="false" ht="25.5" hidden="false" customHeight="true" outlineLevel="0" collapsed="false">
      <c r="H75" s="113"/>
      <c r="I75" s="113"/>
      <c r="J75" s="113"/>
      <c r="L75" s="113"/>
      <c r="M75" s="113"/>
      <c r="N75" s="113"/>
      <c r="P75" s="113"/>
      <c r="Q75" s="113"/>
      <c r="R75" s="113"/>
      <c r="T75" s="113"/>
      <c r="U75" s="113"/>
      <c r="V75" s="113"/>
    </row>
    <row r="76" customFormat="false" ht="25.5" hidden="false" customHeight="true" outlineLevel="0" collapsed="false">
      <c r="H76" s="113"/>
      <c r="I76" s="113"/>
      <c r="J76" s="113"/>
      <c r="L76" s="113"/>
      <c r="M76" s="113"/>
      <c r="N76" s="113"/>
      <c r="P76" s="113"/>
      <c r="Q76" s="113"/>
      <c r="R76" s="113"/>
      <c r="T76" s="113"/>
      <c r="U76" s="113"/>
      <c r="V76" s="113"/>
    </row>
    <row r="77" customFormat="false" ht="25.5" hidden="false" customHeight="true" outlineLevel="0" collapsed="false">
      <c r="H77" s="113"/>
      <c r="I77" s="113"/>
      <c r="J77" s="113"/>
      <c r="L77" s="113"/>
      <c r="M77" s="113"/>
      <c r="N77" s="113"/>
      <c r="P77" s="113"/>
      <c r="Q77" s="113"/>
      <c r="R77" s="113"/>
      <c r="T77" s="113"/>
      <c r="U77" s="113"/>
      <c r="V77" s="113"/>
    </row>
    <row r="78" customFormat="false" ht="25.5" hidden="false" customHeight="true" outlineLevel="0" collapsed="false">
      <c r="H78" s="113"/>
      <c r="I78" s="113"/>
      <c r="J78" s="113"/>
      <c r="L78" s="113"/>
      <c r="M78" s="113"/>
      <c r="N78" s="113"/>
      <c r="P78" s="113"/>
      <c r="Q78" s="113"/>
      <c r="R78" s="113"/>
      <c r="T78" s="113"/>
      <c r="U78" s="113"/>
      <c r="V78" s="113"/>
    </row>
    <row r="79" customFormat="false" ht="25.5" hidden="false" customHeight="true" outlineLevel="0" collapsed="false">
      <c r="H79" s="113"/>
      <c r="I79" s="113"/>
      <c r="J79" s="113"/>
      <c r="L79" s="113"/>
      <c r="M79" s="113"/>
      <c r="N79" s="113"/>
      <c r="P79" s="113"/>
      <c r="Q79" s="113"/>
      <c r="R79" s="113"/>
      <c r="T79" s="113"/>
      <c r="U79" s="113"/>
      <c r="V79" s="113"/>
    </row>
    <row r="80" customFormat="false" ht="25.5" hidden="false" customHeight="true" outlineLevel="0" collapsed="false">
      <c r="H80" s="113"/>
      <c r="I80" s="113"/>
      <c r="J80" s="113"/>
      <c r="L80" s="113"/>
      <c r="M80" s="113"/>
      <c r="N80" s="113"/>
      <c r="P80" s="113"/>
      <c r="Q80" s="113"/>
      <c r="R80" s="113"/>
      <c r="T80" s="113"/>
      <c r="U80" s="113"/>
      <c r="V80" s="113"/>
    </row>
    <row r="81" customFormat="false" ht="25.5" hidden="false" customHeight="true" outlineLevel="0" collapsed="false">
      <c r="H81" s="113"/>
      <c r="I81" s="113"/>
      <c r="J81" s="113"/>
      <c r="L81" s="113"/>
      <c r="M81" s="113"/>
      <c r="N81" s="113"/>
      <c r="P81" s="113"/>
      <c r="Q81" s="113"/>
      <c r="R81" s="113"/>
      <c r="T81" s="113"/>
      <c r="U81" s="113"/>
      <c r="V81" s="113"/>
    </row>
    <row r="82" customFormat="false" ht="25.5" hidden="false" customHeight="true" outlineLevel="0" collapsed="false">
      <c r="H82" s="113"/>
      <c r="I82" s="113"/>
      <c r="J82" s="113"/>
      <c r="L82" s="113"/>
      <c r="M82" s="113"/>
      <c r="N82" s="113"/>
      <c r="P82" s="113"/>
      <c r="Q82" s="113"/>
      <c r="R82" s="113"/>
      <c r="T82" s="113"/>
      <c r="U82" s="113"/>
      <c r="V82" s="113"/>
    </row>
    <row r="83" customFormat="false" ht="25.5" hidden="false" customHeight="true" outlineLevel="0" collapsed="false">
      <c r="H83" s="113"/>
      <c r="I83" s="113"/>
      <c r="J83" s="113"/>
      <c r="L83" s="113"/>
      <c r="M83" s="113"/>
      <c r="N83" s="113"/>
      <c r="P83" s="113"/>
      <c r="Q83" s="113"/>
      <c r="R83" s="113"/>
      <c r="T83" s="113"/>
      <c r="U83" s="113"/>
      <c r="V83" s="113"/>
    </row>
    <row r="84" customFormat="false" ht="25.5" hidden="false" customHeight="true" outlineLevel="0" collapsed="false">
      <c r="H84" s="113"/>
      <c r="I84" s="113"/>
      <c r="J84" s="113"/>
      <c r="L84" s="113"/>
      <c r="M84" s="113"/>
      <c r="N84" s="113"/>
      <c r="P84" s="113"/>
      <c r="Q84" s="113"/>
      <c r="R84" s="113"/>
      <c r="T84" s="113"/>
      <c r="U84" s="113"/>
      <c r="V84" s="113"/>
    </row>
    <row r="85" customFormat="false" ht="25.5" hidden="false" customHeight="true" outlineLevel="0" collapsed="false">
      <c r="H85" s="113"/>
      <c r="I85" s="113"/>
      <c r="J85" s="113"/>
      <c r="L85" s="113"/>
      <c r="M85" s="113"/>
      <c r="N85" s="113"/>
      <c r="P85" s="113"/>
      <c r="Q85" s="113"/>
      <c r="R85" s="113"/>
      <c r="T85" s="113"/>
      <c r="U85" s="113"/>
      <c r="V85" s="113"/>
    </row>
    <row r="86" customFormat="false" ht="25.5" hidden="false" customHeight="true" outlineLevel="0" collapsed="false">
      <c r="H86" s="113"/>
      <c r="I86" s="113"/>
      <c r="J86" s="113"/>
      <c r="L86" s="113"/>
      <c r="M86" s="113"/>
      <c r="N86" s="113"/>
      <c r="P86" s="113"/>
      <c r="Q86" s="113"/>
      <c r="R86" s="113"/>
      <c r="T86" s="113"/>
      <c r="U86" s="113"/>
      <c r="V86" s="113"/>
    </row>
    <row r="87" customFormat="false" ht="25.5" hidden="false" customHeight="true" outlineLevel="0" collapsed="false">
      <c r="H87" s="113"/>
      <c r="I87" s="113"/>
      <c r="J87" s="113"/>
      <c r="L87" s="113"/>
      <c r="M87" s="113"/>
      <c r="N87" s="113"/>
      <c r="P87" s="113"/>
      <c r="Q87" s="113"/>
      <c r="R87" s="113"/>
      <c r="T87" s="113"/>
      <c r="U87" s="113"/>
      <c r="V87" s="113"/>
    </row>
    <row r="88" customFormat="false" ht="25.5" hidden="false" customHeight="true" outlineLevel="0" collapsed="false">
      <c r="H88" s="113"/>
      <c r="I88" s="113"/>
      <c r="J88" s="113"/>
      <c r="L88" s="113"/>
      <c r="M88" s="113"/>
      <c r="N88" s="113"/>
      <c r="P88" s="113"/>
      <c r="Q88" s="113"/>
      <c r="R88" s="113"/>
      <c r="T88" s="113"/>
      <c r="U88" s="113"/>
      <c r="V88" s="113"/>
    </row>
    <row r="89" customFormat="false" ht="25.5" hidden="false" customHeight="true" outlineLevel="0" collapsed="false">
      <c r="H89" s="113"/>
      <c r="I89" s="113"/>
      <c r="J89" s="113"/>
      <c r="L89" s="113"/>
      <c r="M89" s="113"/>
      <c r="N89" s="113"/>
      <c r="P89" s="113"/>
      <c r="Q89" s="113"/>
      <c r="R89" s="113"/>
      <c r="T89" s="113"/>
      <c r="U89" s="113"/>
      <c r="V89" s="113"/>
    </row>
    <row r="90" customFormat="false" ht="25.5" hidden="false" customHeight="true" outlineLevel="0" collapsed="false">
      <c r="H90" s="113"/>
      <c r="I90" s="113"/>
      <c r="J90" s="113"/>
      <c r="L90" s="113"/>
      <c r="M90" s="113"/>
      <c r="N90" s="113"/>
      <c r="P90" s="113"/>
      <c r="Q90" s="113"/>
      <c r="R90" s="113"/>
      <c r="T90" s="113"/>
      <c r="U90" s="113"/>
      <c r="V90" s="113"/>
    </row>
    <row r="91" customFormat="false" ht="25.5" hidden="false" customHeight="true" outlineLevel="0" collapsed="false">
      <c r="H91" s="113"/>
      <c r="I91" s="113"/>
      <c r="J91" s="113"/>
      <c r="L91" s="113"/>
      <c r="M91" s="113"/>
      <c r="N91" s="113"/>
      <c r="P91" s="113"/>
      <c r="Q91" s="113"/>
      <c r="R91" s="113"/>
      <c r="T91" s="113"/>
      <c r="U91" s="113"/>
      <c r="V91" s="113"/>
    </row>
    <row r="92" customFormat="false" ht="25.5" hidden="false" customHeight="true" outlineLevel="0" collapsed="false">
      <c r="H92" s="113"/>
      <c r="I92" s="113"/>
      <c r="J92" s="113"/>
      <c r="L92" s="113"/>
      <c r="M92" s="113"/>
      <c r="N92" s="113"/>
      <c r="P92" s="113"/>
      <c r="Q92" s="113"/>
      <c r="R92" s="113"/>
      <c r="T92" s="113"/>
      <c r="U92" s="113"/>
      <c r="V92" s="113"/>
    </row>
    <row r="93" customFormat="false" ht="25.5" hidden="false" customHeight="true" outlineLevel="0" collapsed="false">
      <c r="H93" s="113"/>
      <c r="I93" s="113"/>
      <c r="J93" s="113"/>
      <c r="L93" s="113"/>
      <c r="M93" s="113"/>
      <c r="N93" s="113"/>
      <c r="P93" s="113"/>
      <c r="Q93" s="113"/>
      <c r="R93" s="113"/>
      <c r="T93" s="113"/>
      <c r="U93" s="113"/>
      <c r="V93" s="113"/>
    </row>
    <row r="94" customFormat="false" ht="25.5" hidden="false" customHeight="true" outlineLevel="0" collapsed="false">
      <c r="H94" s="113"/>
      <c r="I94" s="113"/>
      <c r="J94" s="113"/>
      <c r="L94" s="113"/>
      <c r="M94" s="113"/>
      <c r="N94" s="113"/>
      <c r="P94" s="113"/>
      <c r="Q94" s="113"/>
      <c r="R94" s="113"/>
      <c r="T94" s="113"/>
      <c r="U94" s="113"/>
      <c r="V94" s="113"/>
    </row>
    <row r="95" customFormat="false" ht="25.5" hidden="false" customHeight="true" outlineLevel="0" collapsed="false">
      <c r="H95" s="113"/>
      <c r="I95" s="113"/>
      <c r="J95" s="113"/>
      <c r="L95" s="113"/>
      <c r="M95" s="113"/>
      <c r="N95" s="113"/>
      <c r="P95" s="113"/>
      <c r="Q95" s="113"/>
      <c r="R95" s="113"/>
      <c r="T95" s="113"/>
      <c r="U95" s="113"/>
      <c r="V95" s="113"/>
    </row>
    <row r="96" customFormat="false" ht="25.5" hidden="false" customHeight="true" outlineLevel="0" collapsed="false">
      <c r="H96" s="113"/>
      <c r="I96" s="113"/>
      <c r="J96" s="113"/>
      <c r="L96" s="113"/>
      <c r="M96" s="113"/>
      <c r="N96" s="113"/>
      <c r="P96" s="113"/>
      <c r="Q96" s="113"/>
      <c r="R96" s="113"/>
      <c r="T96" s="113"/>
      <c r="U96" s="113"/>
      <c r="V96" s="113"/>
    </row>
    <row r="97" customFormat="false" ht="25.5" hidden="false" customHeight="true" outlineLevel="0" collapsed="false">
      <c r="H97" s="113"/>
      <c r="I97" s="113"/>
      <c r="J97" s="113"/>
      <c r="L97" s="113"/>
      <c r="M97" s="113"/>
      <c r="N97" s="113"/>
      <c r="P97" s="113"/>
      <c r="Q97" s="113"/>
      <c r="R97" s="113"/>
      <c r="T97" s="113"/>
      <c r="U97" s="113"/>
      <c r="V97" s="113"/>
    </row>
    <row r="98" customFormat="false" ht="25.5" hidden="false" customHeight="true" outlineLevel="0" collapsed="false">
      <c r="H98" s="113"/>
      <c r="I98" s="113"/>
      <c r="J98" s="113"/>
      <c r="L98" s="113"/>
      <c r="M98" s="113"/>
      <c r="N98" s="113"/>
      <c r="P98" s="113"/>
      <c r="Q98" s="113"/>
      <c r="R98" s="113"/>
      <c r="T98" s="113"/>
      <c r="U98" s="113"/>
      <c r="V98" s="113"/>
    </row>
    <row r="99" customFormat="false" ht="25.5" hidden="false" customHeight="true" outlineLevel="0" collapsed="false">
      <c r="H99" s="113"/>
      <c r="I99" s="113"/>
      <c r="J99" s="113"/>
      <c r="L99" s="113"/>
      <c r="M99" s="113"/>
      <c r="N99" s="113"/>
      <c r="P99" s="113"/>
      <c r="Q99" s="113"/>
      <c r="R99" s="113"/>
      <c r="T99" s="113"/>
      <c r="U99" s="113"/>
      <c r="V99" s="113"/>
    </row>
    <row r="100" customFormat="false" ht="25.5" hidden="false" customHeight="true" outlineLevel="0" collapsed="false">
      <c r="H100" s="113"/>
      <c r="I100" s="113"/>
      <c r="J100" s="113"/>
      <c r="L100" s="113"/>
      <c r="M100" s="113"/>
      <c r="N100" s="113"/>
      <c r="P100" s="113"/>
      <c r="Q100" s="113"/>
      <c r="R100" s="113"/>
      <c r="T100" s="113"/>
      <c r="U100" s="113"/>
      <c r="V100" s="113"/>
    </row>
    <row r="101" customFormat="false" ht="25.5" hidden="false" customHeight="true" outlineLevel="0" collapsed="false">
      <c r="H101" s="113"/>
      <c r="I101" s="113"/>
      <c r="J101" s="113"/>
      <c r="L101" s="113"/>
      <c r="M101" s="113"/>
      <c r="N101" s="113"/>
      <c r="P101" s="113"/>
      <c r="Q101" s="113"/>
      <c r="R101" s="113"/>
      <c r="T101" s="113"/>
      <c r="U101" s="113"/>
      <c r="V101" s="113"/>
    </row>
    <row r="102" customFormat="false" ht="25.5" hidden="false" customHeight="true" outlineLevel="0" collapsed="false">
      <c r="H102" s="113"/>
      <c r="I102" s="113"/>
      <c r="J102" s="113"/>
      <c r="L102" s="113"/>
      <c r="M102" s="113"/>
      <c r="N102" s="113"/>
      <c r="P102" s="113"/>
      <c r="Q102" s="113"/>
      <c r="R102" s="113"/>
      <c r="T102" s="113"/>
      <c r="U102" s="113"/>
      <c r="V102" s="113"/>
    </row>
    <row r="103" customFormat="false" ht="25.5" hidden="false" customHeight="true" outlineLevel="0" collapsed="false">
      <c r="H103" s="113"/>
      <c r="I103" s="113"/>
      <c r="J103" s="113"/>
      <c r="L103" s="113"/>
      <c r="M103" s="113"/>
      <c r="N103" s="113"/>
      <c r="P103" s="113"/>
      <c r="Q103" s="113"/>
      <c r="R103" s="113"/>
      <c r="T103" s="113"/>
      <c r="U103" s="113"/>
      <c r="V103" s="113"/>
    </row>
    <row r="104" customFormat="false" ht="25.5" hidden="false" customHeight="true" outlineLevel="0" collapsed="false">
      <c r="H104" s="113"/>
      <c r="I104" s="113"/>
      <c r="J104" s="113"/>
      <c r="L104" s="113"/>
      <c r="M104" s="113"/>
      <c r="N104" s="113"/>
      <c r="P104" s="113"/>
      <c r="Q104" s="113"/>
      <c r="R104" s="113"/>
      <c r="T104" s="113"/>
      <c r="U104" s="113"/>
      <c r="V104" s="113"/>
    </row>
    <row r="105" customFormat="false" ht="25.5" hidden="false" customHeight="true" outlineLevel="0" collapsed="false">
      <c r="H105" s="113"/>
      <c r="I105" s="113"/>
      <c r="J105" s="113"/>
      <c r="L105" s="113"/>
      <c r="M105" s="113"/>
      <c r="N105" s="113"/>
      <c r="P105" s="113"/>
      <c r="Q105" s="113"/>
      <c r="R105" s="113"/>
      <c r="T105" s="113"/>
      <c r="U105" s="113"/>
      <c r="V105" s="113"/>
    </row>
    <row r="106" customFormat="false" ht="15" hidden="false" customHeight="true" outlineLevel="0" collapsed="false">
      <c r="H106" s="113"/>
      <c r="I106" s="113"/>
      <c r="J106" s="113"/>
      <c r="L106" s="113"/>
      <c r="M106" s="113"/>
      <c r="N106" s="113"/>
      <c r="P106" s="113"/>
      <c r="Q106" s="113"/>
      <c r="R106" s="113"/>
      <c r="T106" s="113"/>
      <c r="U106" s="113"/>
      <c r="V106" s="113"/>
    </row>
    <row r="107" customFormat="false" ht="15" hidden="false" customHeight="true" outlineLevel="0" collapsed="false">
      <c r="H107" s="113"/>
      <c r="I107" s="113"/>
      <c r="J107" s="113"/>
      <c r="L107" s="113"/>
      <c r="M107" s="113"/>
      <c r="N107" s="113"/>
      <c r="P107" s="113"/>
      <c r="Q107" s="113"/>
      <c r="R107" s="113"/>
      <c r="T107" s="113"/>
      <c r="U107" s="113"/>
      <c r="V107" s="113"/>
    </row>
    <row r="108" customFormat="false" ht="15" hidden="false" customHeight="true" outlineLevel="0" collapsed="false">
      <c r="H108" s="113"/>
      <c r="I108" s="113"/>
      <c r="J108" s="113"/>
      <c r="L108" s="113"/>
      <c r="M108" s="113"/>
      <c r="N108" s="113"/>
      <c r="P108" s="113"/>
      <c r="Q108" s="113"/>
      <c r="R108" s="113"/>
      <c r="T108" s="113"/>
      <c r="U108" s="113"/>
      <c r="V108" s="113"/>
    </row>
    <row r="109" customFormat="false" ht="15" hidden="false" customHeight="true" outlineLevel="0" collapsed="false">
      <c r="H109" s="113"/>
      <c r="I109" s="113"/>
      <c r="J109" s="113"/>
      <c r="L109" s="113"/>
      <c r="M109" s="113"/>
      <c r="N109" s="113"/>
      <c r="P109" s="113"/>
      <c r="Q109" s="113"/>
      <c r="R109" s="113"/>
      <c r="T109" s="113"/>
      <c r="U109" s="113"/>
      <c r="V109" s="113"/>
    </row>
    <row r="110" customFormat="false" ht="15" hidden="false" customHeight="true" outlineLevel="0" collapsed="false">
      <c r="H110" s="113"/>
      <c r="I110" s="113"/>
      <c r="J110" s="113"/>
      <c r="L110" s="113"/>
      <c r="M110" s="113"/>
      <c r="N110" s="113"/>
      <c r="P110" s="113"/>
      <c r="Q110" s="113"/>
      <c r="R110" s="113"/>
      <c r="T110" s="113"/>
      <c r="U110" s="113"/>
      <c r="V110" s="113"/>
    </row>
    <row r="111" customFormat="false" ht="15" hidden="false" customHeight="true" outlineLevel="0" collapsed="false">
      <c r="H111" s="113"/>
      <c r="I111" s="113"/>
      <c r="J111" s="113"/>
      <c r="L111" s="113"/>
      <c r="M111" s="113"/>
      <c r="N111" s="113"/>
      <c r="P111" s="113"/>
      <c r="Q111" s="113"/>
      <c r="R111" s="113"/>
      <c r="T111" s="113"/>
      <c r="U111" s="113"/>
      <c r="V111" s="113"/>
    </row>
    <row r="112" customFormat="false" ht="15" hidden="false" customHeight="true" outlineLevel="0" collapsed="false">
      <c r="H112" s="113"/>
      <c r="I112" s="113"/>
      <c r="J112" s="113"/>
      <c r="L112" s="113"/>
      <c r="M112" s="113"/>
      <c r="N112" s="113"/>
      <c r="P112" s="113"/>
      <c r="Q112" s="113"/>
      <c r="R112" s="113"/>
      <c r="T112" s="113"/>
      <c r="U112" s="113"/>
      <c r="V112" s="113"/>
    </row>
    <row r="113" customFormat="false" ht="15" hidden="false" customHeight="true" outlineLevel="0" collapsed="false">
      <c r="H113" s="113"/>
      <c r="I113" s="113"/>
      <c r="J113" s="113"/>
      <c r="L113" s="113"/>
      <c r="M113" s="113"/>
      <c r="N113" s="113"/>
      <c r="P113" s="113"/>
      <c r="Q113" s="113"/>
      <c r="R113" s="113"/>
      <c r="T113" s="113"/>
      <c r="U113" s="113"/>
      <c r="V113" s="113"/>
    </row>
    <row r="114" customFormat="false" ht="15" hidden="false" customHeight="true" outlineLevel="0" collapsed="false">
      <c r="H114" s="113"/>
      <c r="I114" s="113"/>
      <c r="J114" s="113"/>
      <c r="L114" s="113"/>
      <c r="M114" s="113"/>
      <c r="N114" s="113"/>
      <c r="P114" s="113"/>
      <c r="Q114" s="113"/>
      <c r="R114" s="113"/>
      <c r="T114" s="113"/>
      <c r="U114" s="113"/>
      <c r="V114" s="113"/>
    </row>
    <row r="115" customFormat="false" ht="15" hidden="false" customHeight="true" outlineLevel="0" collapsed="false">
      <c r="H115" s="113"/>
      <c r="I115" s="113"/>
      <c r="J115" s="113"/>
      <c r="L115" s="113"/>
      <c r="M115" s="113"/>
      <c r="N115" s="113"/>
      <c r="P115" s="113"/>
      <c r="Q115" s="113"/>
      <c r="R115" s="113"/>
      <c r="T115" s="113"/>
      <c r="U115" s="113"/>
      <c r="V115" s="113"/>
    </row>
    <row r="116" customFormat="false" ht="15" hidden="false" customHeight="true" outlineLevel="0" collapsed="false">
      <c r="H116" s="113"/>
      <c r="I116" s="113"/>
      <c r="J116" s="113"/>
      <c r="L116" s="113"/>
      <c r="M116" s="113"/>
      <c r="N116" s="113"/>
      <c r="P116" s="113"/>
      <c r="Q116" s="113"/>
      <c r="R116" s="113"/>
      <c r="T116" s="113"/>
      <c r="U116" s="113"/>
      <c r="V116" s="113"/>
    </row>
    <row r="117" customFormat="false" ht="15" hidden="false" customHeight="true" outlineLevel="0" collapsed="false">
      <c r="H117" s="113"/>
      <c r="I117" s="113"/>
      <c r="J117" s="113"/>
      <c r="L117" s="113"/>
      <c r="M117" s="113"/>
      <c r="N117" s="113"/>
      <c r="P117" s="113"/>
      <c r="Q117" s="113"/>
      <c r="R117" s="113"/>
      <c r="T117" s="113"/>
      <c r="U117" s="113"/>
      <c r="V117" s="113"/>
    </row>
    <row r="118" customFormat="false" ht="15" hidden="false" customHeight="true" outlineLevel="0" collapsed="false">
      <c r="H118" s="113"/>
      <c r="I118" s="113"/>
      <c r="J118" s="113"/>
      <c r="L118" s="113"/>
      <c r="M118" s="113"/>
      <c r="N118" s="113"/>
      <c r="P118" s="113"/>
      <c r="Q118" s="113"/>
      <c r="R118" s="113"/>
      <c r="T118" s="113"/>
      <c r="U118" s="113"/>
      <c r="V118" s="113"/>
    </row>
    <row r="119" customFormat="false" ht="15" hidden="false" customHeight="true" outlineLevel="0" collapsed="false">
      <c r="H119" s="113"/>
      <c r="I119" s="113"/>
      <c r="J119" s="113"/>
      <c r="L119" s="113"/>
      <c r="M119" s="113"/>
      <c r="N119" s="113"/>
      <c r="P119" s="113"/>
      <c r="Q119" s="113"/>
      <c r="R119" s="113"/>
      <c r="T119" s="113"/>
      <c r="U119" s="113"/>
      <c r="V119" s="113"/>
    </row>
    <row r="120" customFormat="false" ht="15" hidden="false" customHeight="true" outlineLevel="0" collapsed="false">
      <c r="H120" s="113"/>
      <c r="I120" s="113"/>
      <c r="J120" s="113"/>
      <c r="L120" s="113"/>
      <c r="M120" s="113"/>
      <c r="N120" s="113"/>
      <c r="P120" s="113"/>
      <c r="Q120" s="113"/>
      <c r="R120" s="113"/>
      <c r="T120" s="113"/>
      <c r="U120" s="113"/>
      <c r="V120" s="113"/>
    </row>
    <row r="121" customFormat="false" ht="15" hidden="false" customHeight="true" outlineLevel="0" collapsed="false">
      <c r="H121" s="113"/>
      <c r="I121" s="113"/>
      <c r="J121" s="113"/>
      <c r="L121" s="113"/>
      <c r="M121" s="113"/>
      <c r="N121" s="113"/>
      <c r="P121" s="113"/>
      <c r="Q121" s="113"/>
      <c r="R121" s="113"/>
      <c r="T121" s="113"/>
      <c r="U121" s="113"/>
      <c r="V121" s="113"/>
    </row>
    <row r="122" customFormat="false" ht="15" hidden="false" customHeight="true" outlineLevel="0" collapsed="false">
      <c r="H122" s="113"/>
      <c r="I122" s="113"/>
      <c r="J122" s="113"/>
      <c r="L122" s="113"/>
      <c r="M122" s="113"/>
      <c r="N122" s="113"/>
      <c r="P122" s="113"/>
      <c r="Q122" s="113"/>
      <c r="R122" s="113"/>
      <c r="T122" s="113"/>
      <c r="U122" s="113"/>
      <c r="V122" s="113"/>
    </row>
    <row r="123" customFormat="false" ht="15" hidden="false" customHeight="true" outlineLevel="0" collapsed="false">
      <c r="H123" s="113"/>
      <c r="I123" s="113"/>
      <c r="J123" s="113"/>
      <c r="L123" s="113"/>
      <c r="M123" s="113"/>
      <c r="N123" s="113"/>
      <c r="P123" s="113"/>
      <c r="Q123" s="113"/>
      <c r="R123" s="113"/>
      <c r="T123" s="113"/>
      <c r="U123" s="113"/>
      <c r="V123" s="113"/>
    </row>
    <row r="124" customFormat="false" ht="15" hidden="false" customHeight="true" outlineLevel="0" collapsed="false">
      <c r="H124" s="113"/>
      <c r="I124" s="113"/>
      <c r="J124" s="113"/>
      <c r="L124" s="113"/>
      <c r="M124" s="113"/>
      <c r="N124" s="113"/>
      <c r="P124" s="113"/>
      <c r="Q124" s="113"/>
      <c r="R124" s="113"/>
      <c r="T124" s="113"/>
      <c r="U124" s="113"/>
      <c r="V124" s="113"/>
    </row>
    <row r="125" customFormat="false" ht="15" hidden="false" customHeight="true" outlineLevel="0" collapsed="false">
      <c r="H125" s="113"/>
      <c r="I125" s="113"/>
      <c r="J125" s="113"/>
      <c r="L125" s="113"/>
      <c r="M125" s="113"/>
      <c r="N125" s="113"/>
      <c r="P125" s="113"/>
      <c r="Q125" s="113"/>
      <c r="R125" s="113"/>
      <c r="T125" s="113"/>
      <c r="U125" s="113"/>
      <c r="V125" s="113"/>
    </row>
    <row r="126" customFormat="false" ht="15" hidden="false" customHeight="true" outlineLevel="0" collapsed="false">
      <c r="H126" s="113"/>
      <c r="I126" s="113"/>
      <c r="J126" s="113"/>
      <c r="L126" s="113"/>
      <c r="M126" s="113"/>
      <c r="N126" s="113"/>
      <c r="P126" s="113"/>
      <c r="Q126" s="113"/>
      <c r="R126" s="113"/>
      <c r="T126" s="113"/>
      <c r="U126" s="113"/>
      <c r="V126" s="113"/>
    </row>
    <row r="127" customFormat="false" ht="15" hidden="false" customHeight="true" outlineLevel="0" collapsed="false">
      <c r="H127" s="113"/>
      <c r="I127" s="113"/>
      <c r="J127" s="113"/>
      <c r="L127" s="113"/>
      <c r="M127" s="113"/>
      <c r="N127" s="113"/>
      <c r="P127" s="113"/>
      <c r="Q127" s="113"/>
      <c r="R127" s="113"/>
      <c r="T127" s="113"/>
      <c r="U127" s="113"/>
      <c r="V127" s="113"/>
    </row>
    <row r="128" customFormat="false" ht="15" hidden="false" customHeight="true" outlineLevel="0" collapsed="false">
      <c r="H128" s="113"/>
      <c r="I128" s="113"/>
      <c r="J128" s="113"/>
      <c r="L128" s="113"/>
      <c r="M128" s="113"/>
      <c r="N128" s="113"/>
      <c r="P128" s="113"/>
      <c r="Q128" s="113"/>
      <c r="R128" s="113"/>
      <c r="T128" s="113"/>
      <c r="U128" s="113"/>
      <c r="V128" s="113"/>
    </row>
    <row r="129" customFormat="false" ht="15" hidden="false" customHeight="true" outlineLevel="0" collapsed="false">
      <c r="H129" s="113"/>
      <c r="I129" s="113"/>
      <c r="J129" s="113"/>
      <c r="L129" s="113"/>
      <c r="M129" s="113"/>
      <c r="N129" s="113"/>
      <c r="P129" s="113"/>
      <c r="Q129" s="113"/>
      <c r="R129" s="113"/>
      <c r="T129" s="113"/>
      <c r="U129" s="113"/>
      <c r="V129" s="113"/>
    </row>
    <row r="130" customFormat="false" ht="15" hidden="false" customHeight="true" outlineLevel="0" collapsed="false">
      <c r="H130" s="113"/>
      <c r="I130" s="113"/>
      <c r="J130" s="113"/>
      <c r="L130" s="113"/>
      <c r="M130" s="113"/>
      <c r="N130" s="113"/>
      <c r="P130" s="113"/>
      <c r="Q130" s="113"/>
      <c r="R130" s="113"/>
      <c r="T130" s="113"/>
      <c r="U130" s="113"/>
      <c r="V130" s="113"/>
    </row>
    <row r="131" customFormat="false" ht="15" hidden="false" customHeight="true" outlineLevel="0" collapsed="false">
      <c r="H131" s="113"/>
      <c r="I131" s="113"/>
      <c r="J131" s="113"/>
      <c r="L131" s="113"/>
      <c r="M131" s="113"/>
      <c r="N131" s="113"/>
      <c r="P131" s="113"/>
      <c r="Q131" s="113"/>
      <c r="R131" s="113"/>
      <c r="T131" s="113"/>
      <c r="U131" s="113"/>
      <c r="V131" s="113"/>
    </row>
    <row r="132" customFormat="false" ht="15" hidden="false" customHeight="true" outlineLevel="0" collapsed="false">
      <c r="H132" s="113"/>
      <c r="I132" s="113"/>
      <c r="J132" s="113"/>
      <c r="L132" s="113"/>
      <c r="M132" s="113"/>
      <c r="N132" s="113"/>
      <c r="P132" s="113"/>
      <c r="Q132" s="113"/>
      <c r="R132" s="113"/>
      <c r="T132" s="113"/>
      <c r="U132" s="113"/>
      <c r="V132" s="113"/>
    </row>
    <row r="133" customFormat="false" ht="15" hidden="false" customHeight="true" outlineLevel="0" collapsed="false">
      <c r="H133" s="113"/>
      <c r="I133" s="113"/>
      <c r="J133" s="113"/>
      <c r="L133" s="113"/>
      <c r="M133" s="113"/>
      <c r="N133" s="113"/>
      <c r="P133" s="113"/>
      <c r="Q133" s="113"/>
      <c r="R133" s="113"/>
      <c r="T133" s="113"/>
      <c r="U133" s="113"/>
      <c r="V133" s="113"/>
    </row>
    <row r="134" customFormat="false" ht="15" hidden="false" customHeight="true" outlineLevel="0" collapsed="false">
      <c r="H134" s="113"/>
      <c r="I134" s="113"/>
      <c r="J134" s="113"/>
      <c r="L134" s="113"/>
      <c r="M134" s="113"/>
      <c r="N134" s="113"/>
      <c r="P134" s="113"/>
      <c r="Q134" s="113"/>
      <c r="R134" s="113"/>
      <c r="T134" s="113"/>
      <c r="U134" s="113"/>
      <c r="V134" s="113"/>
    </row>
    <row r="135" customFormat="false" ht="15" hidden="false" customHeight="true" outlineLevel="0" collapsed="false">
      <c r="H135" s="113"/>
      <c r="I135" s="113"/>
      <c r="J135" s="113"/>
      <c r="L135" s="113"/>
      <c r="M135" s="113"/>
      <c r="N135" s="113"/>
      <c r="P135" s="113"/>
      <c r="Q135" s="113"/>
      <c r="R135" s="113"/>
      <c r="T135" s="113"/>
      <c r="U135" s="113"/>
      <c r="V135" s="113"/>
    </row>
    <row r="136" customFormat="false" ht="15" hidden="false" customHeight="true" outlineLevel="0" collapsed="false">
      <c r="H136" s="113"/>
      <c r="I136" s="113"/>
      <c r="J136" s="113"/>
      <c r="L136" s="113"/>
      <c r="M136" s="113"/>
      <c r="N136" s="113"/>
      <c r="P136" s="113"/>
      <c r="Q136" s="113"/>
      <c r="R136" s="113"/>
      <c r="T136" s="113"/>
      <c r="U136" s="113"/>
      <c r="V136" s="113"/>
    </row>
    <row r="137" customFormat="false" ht="15" hidden="false" customHeight="true" outlineLevel="0" collapsed="false">
      <c r="H137" s="113"/>
      <c r="I137" s="113"/>
      <c r="J137" s="113"/>
      <c r="L137" s="113"/>
      <c r="M137" s="113"/>
      <c r="N137" s="113"/>
      <c r="P137" s="113"/>
      <c r="Q137" s="113"/>
      <c r="R137" s="113"/>
      <c r="T137" s="113"/>
      <c r="U137" s="113"/>
      <c r="V137" s="113"/>
    </row>
    <row r="138" customFormat="false" ht="15" hidden="false" customHeight="true" outlineLevel="0" collapsed="false">
      <c r="H138" s="113"/>
      <c r="I138" s="113"/>
      <c r="J138" s="113"/>
      <c r="L138" s="113"/>
      <c r="M138" s="113"/>
      <c r="N138" s="113"/>
      <c r="P138" s="113"/>
      <c r="Q138" s="113"/>
      <c r="R138" s="113"/>
      <c r="T138" s="113"/>
      <c r="U138" s="113"/>
      <c r="V138" s="113"/>
    </row>
    <row r="139" customFormat="false" ht="15" hidden="false" customHeight="true" outlineLevel="0" collapsed="false">
      <c r="H139" s="113"/>
      <c r="I139" s="113"/>
      <c r="J139" s="113"/>
      <c r="L139" s="113"/>
      <c r="M139" s="113"/>
      <c r="N139" s="113"/>
      <c r="P139" s="113"/>
      <c r="Q139" s="113"/>
      <c r="R139" s="113"/>
      <c r="T139" s="113"/>
      <c r="U139" s="113"/>
      <c r="V139" s="113"/>
    </row>
    <row r="140" customFormat="false" ht="15" hidden="false" customHeight="true" outlineLevel="0" collapsed="false">
      <c r="H140" s="113"/>
      <c r="I140" s="113"/>
      <c r="J140" s="113"/>
      <c r="L140" s="113"/>
      <c r="M140" s="113"/>
      <c r="N140" s="113"/>
      <c r="P140" s="113"/>
      <c r="Q140" s="113"/>
      <c r="R140" s="113"/>
      <c r="T140" s="113"/>
      <c r="U140" s="113"/>
      <c r="V140" s="113"/>
    </row>
    <row r="141" customFormat="false" ht="15" hidden="false" customHeight="true" outlineLevel="0" collapsed="false">
      <c r="H141" s="113"/>
      <c r="I141" s="113"/>
      <c r="J141" s="113"/>
      <c r="L141" s="113"/>
      <c r="M141" s="113"/>
      <c r="N141" s="113"/>
      <c r="P141" s="113"/>
      <c r="Q141" s="113"/>
      <c r="R141" s="113"/>
      <c r="T141" s="113"/>
      <c r="U141" s="113"/>
      <c r="V141" s="113"/>
    </row>
    <row r="142" customFormat="false" ht="15" hidden="false" customHeight="true" outlineLevel="0" collapsed="false">
      <c r="H142" s="113"/>
      <c r="I142" s="113"/>
      <c r="J142" s="113"/>
      <c r="L142" s="113"/>
      <c r="M142" s="113"/>
      <c r="N142" s="113"/>
      <c r="P142" s="113"/>
      <c r="Q142" s="113"/>
      <c r="R142" s="113"/>
      <c r="T142" s="113"/>
      <c r="U142" s="113"/>
      <c r="V142" s="113"/>
    </row>
    <row r="143" customFormat="false" ht="15" hidden="false" customHeight="true" outlineLevel="0" collapsed="false">
      <c r="H143" s="113"/>
      <c r="I143" s="113"/>
      <c r="J143" s="113"/>
      <c r="L143" s="113"/>
      <c r="M143" s="113"/>
      <c r="N143" s="113"/>
      <c r="P143" s="113"/>
      <c r="Q143" s="113"/>
      <c r="R143" s="113"/>
      <c r="T143" s="113"/>
      <c r="U143" s="113"/>
      <c r="V143" s="113"/>
    </row>
    <row r="144" customFormat="false" ht="15" hidden="false" customHeight="true" outlineLevel="0" collapsed="false">
      <c r="H144" s="113"/>
      <c r="I144" s="113"/>
      <c r="J144" s="113"/>
      <c r="L144" s="113"/>
      <c r="M144" s="113"/>
      <c r="N144" s="113"/>
      <c r="P144" s="113"/>
      <c r="Q144" s="113"/>
      <c r="R144" s="113"/>
      <c r="T144" s="113"/>
      <c r="U144" s="113"/>
      <c r="V144" s="113"/>
    </row>
    <row r="145" customFormat="false" ht="15" hidden="false" customHeight="true" outlineLevel="0" collapsed="false">
      <c r="H145" s="113"/>
      <c r="I145" s="113"/>
      <c r="J145" s="113"/>
      <c r="L145" s="113"/>
      <c r="M145" s="113"/>
      <c r="N145" s="113"/>
      <c r="P145" s="113"/>
      <c r="Q145" s="113"/>
      <c r="R145" s="113"/>
      <c r="T145" s="113"/>
      <c r="U145" s="113"/>
      <c r="V145" s="113"/>
    </row>
    <row r="146" customFormat="false" ht="15" hidden="false" customHeight="true" outlineLevel="0" collapsed="false">
      <c r="H146" s="113"/>
      <c r="I146" s="113"/>
      <c r="J146" s="113"/>
      <c r="L146" s="113"/>
      <c r="M146" s="113"/>
      <c r="N146" s="113"/>
      <c r="P146" s="113"/>
      <c r="Q146" s="113"/>
      <c r="R146" s="113"/>
      <c r="T146" s="113"/>
      <c r="U146" s="113"/>
      <c r="V146" s="113"/>
    </row>
    <row r="147" customFormat="false" ht="15" hidden="false" customHeight="true" outlineLevel="0" collapsed="false">
      <c r="H147" s="113"/>
      <c r="I147" s="113"/>
      <c r="J147" s="113"/>
      <c r="L147" s="113"/>
      <c r="M147" s="113"/>
      <c r="N147" s="113"/>
      <c r="P147" s="113"/>
      <c r="Q147" s="113"/>
      <c r="R147" s="113"/>
      <c r="T147" s="113"/>
      <c r="U147" s="113"/>
      <c r="V147" s="113"/>
    </row>
    <row r="148" customFormat="false" ht="15" hidden="false" customHeight="true" outlineLevel="0" collapsed="false">
      <c r="H148" s="113"/>
      <c r="I148" s="113"/>
      <c r="J148" s="113"/>
      <c r="L148" s="113"/>
      <c r="M148" s="113"/>
      <c r="N148" s="113"/>
      <c r="P148" s="113"/>
      <c r="Q148" s="113"/>
      <c r="R148" s="113"/>
      <c r="T148" s="113"/>
      <c r="U148" s="113"/>
      <c r="V148" s="113"/>
    </row>
    <row r="149" customFormat="false" ht="15" hidden="false" customHeight="true" outlineLevel="0" collapsed="false">
      <c r="H149" s="113"/>
      <c r="I149" s="113"/>
      <c r="J149" s="113"/>
      <c r="L149" s="113"/>
      <c r="M149" s="113"/>
      <c r="N149" s="113"/>
      <c r="P149" s="113"/>
      <c r="Q149" s="113"/>
      <c r="R149" s="113"/>
      <c r="T149" s="113"/>
      <c r="U149" s="113"/>
      <c r="V149" s="113"/>
    </row>
    <row r="150" customFormat="false" ht="15" hidden="false" customHeight="true" outlineLevel="0" collapsed="false">
      <c r="H150" s="113"/>
      <c r="I150" s="113"/>
      <c r="J150" s="113"/>
      <c r="L150" s="113"/>
      <c r="M150" s="113"/>
      <c r="N150" s="113"/>
      <c r="P150" s="113"/>
      <c r="Q150" s="113"/>
      <c r="R150" s="113"/>
      <c r="T150" s="113"/>
      <c r="U150" s="113"/>
      <c r="V150" s="113"/>
    </row>
    <row r="151" customFormat="false" ht="15" hidden="false" customHeight="true" outlineLevel="0" collapsed="false">
      <c r="H151" s="113"/>
      <c r="I151" s="113"/>
      <c r="J151" s="113"/>
      <c r="L151" s="113"/>
      <c r="M151" s="113"/>
      <c r="N151" s="113"/>
      <c r="P151" s="113"/>
      <c r="Q151" s="113"/>
      <c r="R151" s="113"/>
      <c r="T151" s="113"/>
      <c r="U151" s="113"/>
      <c r="V151" s="113"/>
    </row>
    <row r="152" customFormat="false" ht="15" hidden="false" customHeight="true" outlineLevel="0" collapsed="false">
      <c r="H152" s="113"/>
      <c r="I152" s="113"/>
      <c r="J152" s="113"/>
      <c r="L152" s="113"/>
      <c r="M152" s="113"/>
      <c r="N152" s="113"/>
      <c r="P152" s="113"/>
      <c r="Q152" s="113"/>
      <c r="R152" s="113"/>
      <c r="T152" s="113"/>
      <c r="U152" s="113"/>
      <c r="V152" s="113"/>
    </row>
    <row r="153" customFormat="false" ht="15" hidden="false" customHeight="true" outlineLevel="0" collapsed="false">
      <c r="H153" s="113"/>
      <c r="I153" s="113"/>
      <c r="J153" s="113"/>
      <c r="L153" s="113"/>
      <c r="M153" s="113"/>
      <c r="N153" s="113"/>
      <c r="P153" s="113"/>
      <c r="Q153" s="113"/>
      <c r="R153" s="113"/>
      <c r="T153" s="113"/>
      <c r="U153" s="113"/>
      <c r="V153" s="113"/>
    </row>
    <row r="154" customFormat="false" ht="15" hidden="false" customHeight="true" outlineLevel="0" collapsed="false">
      <c r="H154" s="113"/>
      <c r="I154" s="113"/>
      <c r="J154" s="113"/>
      <c r="L154" s="113"/>
      <c r="M154" s="113"/>
      <c r="N154" s="113"/>
      <c r="P154" s="113"/>
      <c r="Q154" s="113"/>
      <c r="R154" s="113"/>
      <c r="T154" s="113"/>
      <c r="U154" s="113"/>
      <c r="V154" s="113"/>
    </row>
    <row r="155" customFormat="false" ht="15" hidden="false" customHeight="true" outlineLevel="0" collapsed="false">
      <c r="H155" s="113"/>
      <c r="I155" s="113"/>
      <c r="J155" s="113"/>
      <c r="L155" s="113"/>
      <c r="M155" s="113"/>
      <c r="N155" s="113"/>
      <c r="P155" s="113"/>
      <c r="Q155" s="113"/>
      <c r="R155" s="113"/>
      <c r="T155" s="113"/>
      <c r="U155" s="113"/>
      <c r="V155" s="113"/>
    </row>
    <row r="156" customFormat="false" ht="15" hidden="false" customHeight="true" outlineLevel="0" collapsed="false">
      <c r="H156" s="113"/>
      <c r="I156" s="113"/>
      <c r="J156" s="113"/>
      <c r="L156" s="113"/>
      <c r="M156" s="113"/>
      <c r="N156" s="113"/>
      <c r="P156" s="113"/>
      <c r="Q156" s="113"/>
      <c r="R156" s="113"/>
      <c r="T156" s="113"/>
      <c r="U156" s="113"/>
      <c r="V156" s="113"/>
    </row>
    <row r="157" customFormat="false" ht="15" hidden="false" customHeight="true" outlineLevel="0" collapsed="false">
      <c r="H157" s="113"/>
      <c r="I157" s="113"/>
      <c r="J157" s="113"/>
      <c r="L157" s="113"/>
      <c r="M157" s="113"/>
      <c r="N157" s="113"/>
      <c r="P157" s="113"/>
      <c r="Q157" s="113"/>
      <c r="R157" s="113"/>
      <c r="T157" s="113"/>
      <c r="U157" s="113"/>
      <c r="V157" s="113"/>
    </row>
    <row r="158" customFormat="false" ht="15" hidden="false" customHeight="true" outlineLevel="0" collapsed="false">
      <c r="H158" s="113"/>
      <c r="I158" s="113"/>
      <c r="J158" s="113"/>
      <c r="L158" s="113"/>
      <c r="M158" s="113"/>
      <c r="N158" s="113"/>
      <c r="P158" s="113"/>
      <c r="Q158" s="113"/>
      <c r="R158" s="113"/>
      <c r="T158" s="113"/>
      <c r="U158" s="113"/>
      <c r="V158" s="113"/>
    </row>
    <row r="159" customFormat="false" ht="15" hidden="false" customHeight="true" outlineLevel="0" collapsed="false">
      <c r="H159" s="113"/>
      <c r="I159" s="113"/>
      <c r="J159" s="113"/>
      <c r="L159" s="113"/>
      <c r="M159" s="113"/>
      <c r="N159" s="113"/>
      <c r="P159" s="113"/>
      <c r="Q159" s="113"/>
      <c r="R159" s="113"/>
      <c r="T159" s="113"/>
      <c r="U159" s="113"/>
      <c r="V159" s="113"/>
    </row>
    <row r="160" customFormat="false" ht="15" hidden="false" customHeight="true" outlineLevel="0" collapsed="false">
      <c r="H160" s="113"/>
      <c r="I160" s="113"/>
      <c r="J160" s="113"/>
      <c r="L160" s="113"/>
      <c r="M160" s="113"/>
      <c r="N160" s="113"/>
      <c r="P160" s="113"/>
      <c r="Q160" s="113"/>
      <c r="R160" s="113"/>
      <c r="T160" s="113"/>
      <c r="U160" s="113"/>
      <c r="V160" s="113"/>
    </row>
    <row r="161" customFormat="false" ht="15" hidden="false" customHeight="true" outlineLevel="0" collapsed="false">
      <c r="H161" s="113"/>
      <c r="I161" s="113"/>
      <c r="J161" s="113"/>
      <c r="L161" s="113"/>
      <c r="M161" s="113"/>
      <c r="N161" s="113"/>
      <c r="P161" s="113"/>
      <c r="Q161" s="113"/>
      <c r="R161" s="113"/>
      <c r="T161" s="113"/>
      <c r="U161" s="113"/>
      <c r="V161" s="113"/>
    </row>
    <row r="162" customFormat="false" ht="15" hidden="false" customHeight="true" outlineLevel="0" collapsed="false">
      <c r="H162" s="113"/>
      <c r="I162" s="113"/>
      <c r="J162" s="113"/>
      <c r="L162" s="113"/>
      <c r="M162" s="113"/>
      <c r="N162" s="113"/>
      <c r="P162" s="113"/>
      <c r="Q162" s="113"/>
      <c r="R162" s="113"/>
      <c r="T162" s="113"/>
      <c r="U162" s="113"/>
      <c r="V162" s="113"/>
    </row>
    <row r="163" customFormat="false" ht="15" hidden="false" customHeight="true" outlineLevel="0" collapsed="false">
      <c r="H163" s="113"/>
      <c r="I163" s="113"/>
      <c r="J163" s="113"/>
      <c r="L163" s="113"/>
      <c r="M163" s="113"/>
      <c r="N163" s="113"/>
      <c r="P163" s="113"/>
      <c r="Q163" s="113"/>
      <c r="R163" s="113"/>
      <c r="T163" s="113"/>
      <c r="U163" s="113"/>
      <c r="V163" s="113"/>
    </row>
    <row r="164" customFormat="false" ht="15" hidden="false" customHeight="true" outlineLevel="0" collapsed="false">
      <c r="H164" s="113"/>
      <c r="I164" s="113"/>
      <c r="J164" s="113"/>
      <c r="L164" s="113"/>
      <c r="M164" s="113"/>
      <c r="N164" s="113"/>
      <c r="P164" s="113"/>
      <c r="Q164" s="113"/>
      <c r="R164" s="113"/>
      <c r="T164" s="113"/>
      <c r="U164" s="113"/>
      <c r="V164" s="113"/>
    </row>
    <row r="165" customFormat="false" ht="15" hidden="false" customHeight="true" outlineLevel="0" collapsed="false">
      <c r="H165" s="113"/>
      <c r="I165" s="113"/>
      <c r="J165" s="113"/>
      <c r="L165" s="113"/>
      <c r="M165" s="113"/>
      <c r="N165" s="113"/>
      <c r="P165" s="113"/>
      <c r="Q165" s="113"/>
      <c r="R165" s="113"/>
      <c r="T165" s="113"/>
      <c r="U165" s="113"/>
      <c r="V165" s="113"/>
    </row>
    <row r="166" customFormat="false" ht="15" hidden="false" customHeight="true" outlineLevel="0" collapsed="false">
      <c r="H166" s="113"/>
      <c r="I166" s="113"/>
      <c r="J166" s="113"/>
      <c r="L166" s="113"/>
      <c r="M166" s="113"/>
      <c r="N166" s="113"/>
      <c r="P166" s="113"/>
      <c r="Q166" s="113"/>
      <c r="R166" s="113"/>
      <c r="T166" s="113"/>
      <c r="U166" s="113"/>
      <c r="V166" s="113"/>
    </row>
    <row r="167" customFormat="false" ht="15" hidden="false" customHeight="true" outlineLevel="0" collapsed="false">
      <c r="H167" s="113"/>
      <c r="I167" s="113"/>
      <c r="J167" s="113"/>
      <c r="L167" s="113"/>
      <c r="M167" s="113"/>
      <c r="N167" s="113"/>
      <c r="P167" s="113"/>
      <c r="Q167" s="113"/>
      <c r="R167" s="113"/>
      <c r="T167" s="113"/>
      <c r="U167" s="113"/>
      <c r="V167" s="113"/>
    </row>
    <row r="168" customFormat="false" ht="15" hidden="false" customHeight="true" outlineLevel="0" collapsed="false">
      <c r="H168" s="113"/>
      <c r="I168" s="113"/>
      <c r="J168" s="113"/>
      <c r="L168" s="113"/>
      <c r="M168" s="113"/>
      <c r="N168" s="113"/>
      <c r="P168" s="113"/>
      <c r="Q168" s="113"/>
      <c r="R168" s="113"/>
      <c r="T168" s="113"/>
      <c r="U168" s="113"/>
      <c r="V168" s="113"/>
    </row>
    <row r="169" customFormat="false" ht="15" hidden="false" customHeight="true" outlineLevel="0" collapsed="false">
      <c r="H169" s="113"/>
      <c r="I169" s="113"/>
      <c r="J169" s="113"/>
      <c r="L169" s="113"/>
      <c r="M169" s="113"/>
      <c r="N169" s="113"/>
      <c r="P169" s="113"/>
      <c r="Q169" s="113"/>
      <c r="R169" s="113"/>
      <c r="T169" s="113"/>
      <c r="U169" s="113"/>
      <c r="V169" s="113"/>
    </row>
    <row r="170" customFormat="false" ht="15" hidden="false" customHeight="true" outlineLevel="0" collapsed="false">
      <c r="H170" s="113"/>
      <c r="I170" s="113"/>
      <c r="J170" s="113"/>
      <c r="L170" s="113"/>
      <c r="M170" s="113"/>
      <c r="N170" s="113"/>
      <c r="P170" s="113"/>
      <c r="Q170" s="113"/>
      <c r="R170" s="113"/>
      <c r="T170" s="113"/>
      <c r="U170" s="113"/>
      <c r="V170" s="113"/>
    </row>
    <row r="171" customFormat="false" ht="15" hidden="false" customHeight="true" outlineLevel="0" collapsed="false">
      <c r="H171" s="113"/>
      <c r="I171" s="113"/>
      <c r="J171" s="113"/>
      <c r="L171" s="113"/>
      <c r="M171" s="113"/>
      <c r="N171" s="113"/>
      <c r="P171" s="113"/>
      <c r="Q171" s="113"/>
      <c r="R171" s="113"/>
      <c r="T171" s="113"/>
      <c r="U171" s="113"/>
      <c r="V171" s="113"/>
    </row>
    <row r="172" customFormat="false" ht="15" hidden="false" customHeight="true" outlineLevel="0" collapsed="false">
      <c r="H172" s="113"/>
      <c r="I172" s="113"/>
      <c r="J172" s="113"/>
      <c r="L172" s="113"/>
      <c r="M172" s="113"/>
      <c r="N172" s="113"/>
      <c r="P172" s="113"/>
      <c r="Q172" s="113"/>
      <c r="R172" s="113"/>
      <c r="T172" s="113"/>
      <c r="U172" s="113"/>
      <c r="V172" s="113"/>
    </row>
    <row r="173" customFormat="false" ht="15" hidden="false" customHeight="true" outlineLevel="0" collapsed="false">
      <c r="H173" s="113"/>
      <c r="I173" s="113"/>
      <c r="J173" s="113"/>
      <c r="L173" s="113"/>
      <c r="M173" s="113"/>
      <c r="N173" s="113"/>
      <c r="P173" s="113"/>
      <c r="Q173" s="113"/>
      <c r="R173" s="113"/>
      <c r="T173" s="113"/>
      <c r="U173" s="113"/>
      <c r="V173" s="113"/>
    </row>
    <row r="174" customFormat="false" ht="15" hidden="false" customHeight="true" outlineLevel="0" collapsed="false">
      <c r="H174" s="113"/>
      <c r="I174" s="113"/>
      <c r="J174" s="113"/>
      <c r="L174" s="113"/>
      <c r="M174" s="113"/>
      <c r="N174" s="113"/>
      <c r="P174" s="113"/>
      <c r="Q174" s="113"/>
      <c r="R174" s="113"/>
      <c r="T174" s="113"/>
      <c r="U174" s="113"/>
      <c r="V174" s="113"/>
    </row>
    <row r="175" customFormat="false" ht="15" hidden="false" customHeight="true" outlineLevel="0" collapsed="false">
      <c r="H175" s="113"/>
      <c r="I175" s="113"/>
      <c r="J175" s="113"/>
      <c r="L175" s="113"/>
      <c r="M175" s="113"/>
      <c r="N175" s="113"/>
      <c r="P175" s="113"/>
      <c r="Q175" s="113"/>
      <c r="R175" s="113"/>
      <c r="T175" s="113"/>
      <c r="U175" s="113"/>
      <c r="V175" s="113"/>
    </row>
    <row r="176" customFormat="false" ht="15" hidden="false" customHeight="true" outlineLevel="0" collapsed="false">
      <c r="H176" s="113"/>
      <c r="I176" s="113"/>
      <c r="J176" s="113"/>
      <c r="L176" s="113"/>
      <c r="M176" s="113"/>
      <c r="N176" s="113"/>
      <c r="P176" s="113"/>
      <c r="Q176" s="113"/>
      <c r="R176" s="113"/>
      <c r="T176" s="113"/>
      <c r="U176" s="113"/>
      <c r="V176" s="113"/>
    </row>
    <row r="177" customFormat="false" ht="15" hidden="false" customHeight="true" outlineLevel="0" collapsed="false">
      <c r="H177" s="113"/>
      <c r="I177" s="113"/>
      <c r="J177" s="113"/>
      <c r="L177" s="113"/>
      <c r="M177" s="113"/>
      <c r="N177" s="113"/>
      <c r="P177" s="113"/>
      <c r="Q177" s="113"/>
      <c r="R177" s="113"/>
      <c r="T177" s="113"/>
      <c r="U177" s="113"/>
      <c r="V177" s="113"/>
    </row>
    <row r="178" customFormat="false" ht="15" hidden="false" customHeight="true" outlineLevel="0" collapsed="false">
      <c r="H178" s="113"/>
      <c r="I178" s="113"/>
      <c r="J178" s="113"/>
      <c r="L178" s="113"/>
      <c r="M178" s="113"/>
      <c r="N178" s="113"/>
      <c r="P178" s="113"/>
      <c r="Q178" s="113"/>
      <c r="R178" s="113"/>
      <c r="T178" s="113"/>
      <c r="U178" s="113"/>
      <c r="V178" s="113"/>
    </row>
    <row r="179" customFormat="false" ht="15" hidden="false" customHeight="true" outlineLevel="0" collapsed="false">
      <c r="H179" s="113"/>
      <c r="I179" s="113"/>
      <c r="J179" s="113"/>
      <c r="L179" s="113"/>
      <c r="M179" s="113"/>
      <c r="N179" s="113"/>
      <c r="P179" s="113"/>
      <c r="Q179" s="113"/>
      <c r="R179" s="113"/>
      <c r="T179" s="113"/>
      <c r="U179" s="113"/>
      <c r="V179" s="113"/>
    </row>
    <row r="180" customFormat="false" ht="15" hidden="false" customHeight="true" outlineLevel="0" collapsed="false">
      <c r="H180" s="113"/>
      <c r="I180" s="113"/>
      <c r="J180" s="113"/>
      <c r="L180" s="113"/>
      <c r="M180" s="113"/>
      <c r="N180" s="113"/>
      <c r="P180" s="113"/>
      <c r="Q180" s="113"/>
      <c r="R180" s="113"/>
      <c r="T180" s="113"/>
      <c r="U180" s="113"/>
      <c r="V180" s="113"/>
    </row>
    <row r="181" customFormat="false" ht="15" hidden="false" customHeight="true" outlineLevel="0" collapsed="false">
      <c r="H181" s="113"/>
      <c r="I181" s="113"/>
      <c r="J181" s="113"/>
      <c r="L181" s="113"/>
      <c r="M181" s="113"/>
      <c r="N181" s="113"/>
      <c r="P181" s="113"/>
      <c r="Q181" s="113"/>
      <c r="R181" s="113"/>
      <c r="T181" s="113"/>
      <c r="U181" s="113"/>
      <c r="V181" s="113"/>
    </row>
    <row r="182" customFormat="false" ht="15" hidden="false" customHeight="true" outlineLevel="0" collapsed="false">
      <c r="H182" s="113"/>
      <c r="I182" s="113"/>
      <c r="J182" s="113"/>
      <c r="L182" s="113"/>
      <c r="M182" s="113"/>
      <c r="N182" s="113"/>
      <c r="P182" s="113"/>
      <c r="Q182" s="113"/>
      <c r="R182" s="113"/>
      <c r="T182" s="113"/>
      <c r="U182" s="113"/>
      <c r="V182" s="113"/>
    </row>
    <row r="183" customFormat="false" ht="15" hidden="false" customHeight="true" outlineLevel="0" collapsed="false">
      <c r="H183" s="113"/>
      <c r="I183" s="113"/>
      <c r="J183" s="113"/>
      <c r="L183" s="113"/>
      <c r="M183" s="113"/>
      <c r="N183" s="113"/>
      <c r="P183" s="113"/>
      <c r="Q183" s="113"/>
      <c r="R183" s="113"/>
      <c r="T183" s="113"/>
      <c r="U183" s="113"/>
      <c r="V183" s="113"/>
    </row>
    <row r="184" customFormat="false" ht="15" hidden="false" customHeight="true" outlineLevel="0" collapsed="false">
      <c r="H184" s="113"/>
      <c r="I184" s="113"/>
      <c r="J184" s="113"/>
      <c r="L184" s="113"/>
      <c r="M184" s="113"/>
      <c r="N184" s="113"/>
      <c r="P184" s="113"/>
      <c r="Q184" s="113"/>
      <c r="R184" s="113"/>
      <c r="T184" s="113"/>
      <c r="U184" s="113"/>
      <c r="V184" s="113"/>
    </row>
    <row r="185" customFormat="false" ht="15" hidden="false" customHeight="true" outlineLevel="0" collapsed="false">
      <c r="H185" s="113"/>
      <c r="I185" s="113"/>
      <c r="J185" s="113"/>
      <c r="L185" s="113"/>
      <c r="M185" s="113"/>
      <c r="N185" s="113"/>
      <c r="P185" s="113"/>
      <c r="Q185" s="113"/>
      <c r="R185" s="113"/>
      <c r="T185" s="113"/>
      <c r="U185" s="113"/>
      <c r="V185" s="113"/>
    </row>
    <row r="186" customFormat="false" ht="15" hidden="false" customHeight="true" outlineLevel="0" collapsed="false">
      <c r="H186" s="113"/>
      <c r="I186" s="113"/>
      <c r="J186" s="113"/>
      <c r="L186" s="113"/>
      <c r="M186" s="113"/>
      <c r="N186" s="113"/>
      <c r="P186" s="113"/>
      <c r="Q186" s="113"/>
      <c r="R186" s="113"/>
      <c r="T186" s="113"/>
      <c r="U186" s="113"/>
      <c r="V186" s="113"/>
    </row>
    <row r="187" customFormat="false" ht="15" hidden="false" customHeight="true" outlineLevel="0" collapsed="false">
      <c r="H187" s="113"/>
      <c r="I187" s="113"/>
      <c r="J187" s="113"/>
      <c r="L187" s="113"/>
      <c r="M187" s="113"/>
      <c r="N187" s="113"/>
      <c r="P187" s="113"/>
      <c r="Q187" s="113"/>
      <c r="R187" s="113"/>
      <c r="T187" s="113"/>
      <c r="U187" s="113"/>
      <c r="V187" s="113"/>
    </row>
    <row r="188" customFormat="false" ht="15" hidden="false" customHeight="true" outlineLevel="0" collapsed="false">
      <c r="H188" s="113"/>
      <c r="I188" s="113"/>
      <c r="J188" s="113"/>
      <c r="L188" s="113"/>
      <c r="M188" s="113"/>
      <c r="N188" s="113"/>
      <c r="P188" s="113"/>
      <c r="Q188" s="113"/>
      <c r="R188" s="113"/>
      <c r="T188" s="113"/>
      <c r="U188" s="113"/>
      <c r="V188" s="113"/>
    </row>
    <row r="189" customFormat="false" ht="15" hidden="false" customHeight="true" outlineLevel="0" collapsed="false">
      <c r="H189" s="113"/>
      <c r="I189" s="113"/>
      <c r="J189" s="113"/>
      <c r="L189" s="113"/>
      <c r="M189" s="113"/>
      <c r="N189" s="113"/>
      <c r="P189" s="113"/>
      <c r="Q189" s="113"/>
      <c r="R189" s="113"/>
      <c r="T189" s="113"/>
      <c r="U189" s="113"/>
      <c r="V189" s="113"/>
    </row>
    <row r="190" customFormat="false" ht="15" hidden="false" customHeight="true" outlineLevel="0" collapsed="false">
      <c r="H190" s="113"/>
      <c r="I190" s="113"/>
      <c r="J190" s="113"/>
      <c r="L190" s="113"/>
      <c r="M190" s="113"/>
      <c r="N190" s="113"/>
      <c r="P190" s="113"/>
      <c r="Q190" s="113"/>
      <c r="R190" s="113"/>
      <c r="T190" s="113"/>
      <c r="U190" s="113"/>
      <c r="V190" s="113"/>
    </row>
    <row r="191" customFormat="false" ht="15" hidden="false" customHeight="true" outlineLevel="0" collapsed="false">
      <c r="H191" s="113"/>
      <c r="I191" s="113"/>
      <c r="J191" s="113"/>
      <c r="L191" s="113"/>
      <c r="M191" s="113"/>
      <c r="N191" s="113"/>
      <c r="P191" s="113"/>
      <c r="Q191" s="113"/>
      <c r="R191" s="113"/>
      <c r="T191" s="113"/>
      <c r="U191" s="113"/>
      <c r="V191" s="113"/>
    </row>
    <row r="192" customFormat="false" ht="15" hidden="false" customHeight="true" outlineLevel="0" collapsed="false">
      <c r="H192" s="113"/>
      <c r="I192" s="113"/>
      <c r="J192" s="113"/>
      <c r="L192" s="113"/>
      <c r="M192" s="113"/>
      <c r="N192" s="113"/>
      <c r="P192" s="113"/>
      <c r="Q192" s="113"/>
      <c r="R192" s="113"/>
      <c r="T192" s="113"/>
      <c r="U192" s="113"/>
      <c r="V192" s="113"/>
    </row>
    <row r="193" customFormat="false" ht="15" hidden="false" customHeight="true" outlineLevel="0" collapsed="false">
      <c r="H193" s="113"/>
      <c r="I193" s="113"/>
      <c r="J193" s="113"/>
      <c r="L193" s="113"/>
      <c r="M193" s="113"/>
      <c r="N193" s="113"/>
      <c r="P193" s="113"/>
      <c r="Q193" s="113"/>
      <c r="R193" s="113"/>
      <c r="T193" s="113"/>
      <c r="U193" s="113"/>
      <c r="V193" s="113"/>
    </row>
    <row r="194" customFormat="false" ht="15" hidden="false" customHeight="true" outlineLevel="0" collapsed="false">
      <c r="H194" s="113"/>
      <c r="I194" s="113"/>
      <c r="J194" s="113"/>
      <c r="L194" s="113"/>
      <c r="M194" s="113"/>
      <c r="N194" s="113"/>
      <c r="P194" s="113"/>
      <c r="Q194" s="113"/>
      <c r="R194" s="113"/>
      <c r="T194" s="113"/>
      <c r="U194" s="113"/>
      <c r="V194" s="113"/>
    </row>
    <row r="195" customFormat="false" ht="15" hidden="false" customHeight="true" outlineLevel="0" collapsed="false">
      <c r="H195" s="113"/>
      <c r="I195" s="113"/>
      <c r="J195" s="113"/>
      <c r="L195" s="113"/>
      <c r="M195" s="113"/>
      <c r="N195" s="113"/>
      <c r="P195" s="113"/>
      <c r="Q195" s="113"/>
      <c r="R195" s="113"/>
      <c r="T195" s="113"/>
      <c r="U195" s="113"/>
      <c r="V195" s="113"/>
    </row>
    <row r="196" customFormat="false" ht="15" hidden="false" customHeight="true" outlineLevel="0" collapsed="false">
      <c r="H196" s="113"/>
      <c r="I196" s="113"/>
      <c r="J196" s="113"/>
      <c r="L196" s="113"/>
      <c r="M196" s="113"/>
      <c r="N196" s="113"/>
      <c r="P196" s="113"/>
      <c r="Q196" s="113"/>
      <c r="R196" s="113"/>
      <c r="T196" s="113"/>
      <c r="U196" s="113"/>
      <c r="V196" s="113"/>
    </row>
    <row r="197" customFormat="false" ht="15" hidden="false" customHeight="true" outlineLevel="0" collapsed="false">
      <c r="H197" s="113"/>
      <c r="I197" s="113"/>
      <c r="J197" s="113"/>
      <c r="L197" s="113"/>
      <c r="M197" s="113"/>
      <c r="N197" s="113"/>
      <c r="P197" s="113"/>
      <c r="Q197" s="113"/>
      <c r="R197" s="113"/>
      <c r="T197" s="113"/>
      <c r="U197" s="113"/>
      <c r="V197" s="113"/>
    </row>
    <row r="198" customFormat="false" ht="15" hidden="false" customHeight="true" outlineLevel="0" collapsed="false">
      <c r="H198" s="113"/>
      <c r="I198" s="113"/>
      <c r="J198" s="113"/>
      <c r="L198" s="113"/>
      <c r="M198" s="113"/>
      <c r="N198" s="113"/>
      <c r="P198" s="113"/>
      <c r="Q198" s="113"/>
      <c r="R198" s="113"/>
      <c r="T198" s="113"/>
      <c r="U198" s="113"/>
      <c r="V198" s="113"/>
    </row>
    <row r="199" customFormat="false" ht="15" hidden="false" customHeight="true" outlineLevel="0" collapsed="false">
      <c r="H199" s="113"/>
      <c r="I199" s="113"/>
      <c r="J199" s="113"/>
      <c r="L199" s="113"/>
      <c r="M199" s="113"/>
      <c r="N199" s="113"/>
      <c r="P199" s="113"/>
      <c r="Q199" s="113"/>
      <c r="R199" s="113"/>
      <c r="T199" s="113"/>
      <c r="U199" s="113"/>
      <c r="V199" s="113"/>
    </row>
    <row r="200" customFormat="false" ht="15" hidden="false" customHeight="true" outlineLevel="0" collapsed="false">
      <c r="H200" s="113"/>
      <c r="I200" s="113"/>
      <c r="J200" s="113"/>
      <c r="L200" s="113"/>
      <c r="M200" s="113"/>
      <c r="N200" s="113"/>
      <c r="P200" s="113"/>
      <c r="Q200" s="113"/>
      <c r="R200" s="113"/>
      <c r="T200" s="113"/>
      <c r="U200" s="113"/>
      <c r="V200" s="113"/>
    </row>
    <row r="201" customFormat="false" ht="15" hidden="false" customHeight="true" outlineLevel="0" collapsed="false">
      <c r="H201" s="113"/>
      <c r="I201" s="113"/>
      <c r="J201" s="113"/>
      <c r="L201" s="113"/>
      <c r="M201" s="113"/>
      <c r="N201" s="113"/>
      <c r="P201" s="113"/>
      <c r="Q201" s="113"/>
      <c r="R201" s="113"/>
      <c r="T201" s="113"/>
      <c r="U201" s="113"/>
      <c r="V201" s="113"/>
    </row>
    <row r="202" customFormat="false" ht="15" hidden="false" customHeight="true" outlineLevel="0" collapsed="false">
      <c r="H202" s="113"/>
      <c r="I202" s="113"/>
      <c r="J202" s="113"/>
      <c r="L202" s="113"/>
      <c r="M202" s="113"/>
      <c r="N202" s="113"/>
      <c r="P202" s="113"/>
      <c r="Q202" s="113"/>
      <c r="R202" s="113"/>
      <c r="T202" s="113"/>
      <c r="U202" s="113"/>
      <c r="V202" s="113"/>
    </row>
    <row r="203" customFormat="false" ht="15" hidden="false" customHeight="true" outlineLevel="0" collapsed="false">
      <c r="H203" s="113"/>
      <c r="I203" s="113"/>
      <c r="J203" s="113"/>
      <c r="L203" s="113"/>
      <c r="M203" s="113"/>
      <c r="N203" s="113"/>
      <c r="P203" s="113"/>
      <c r="Q203" s="113"/>
      <c r="R203" s="113"/>
      <c r="T203" s="113"/>
      <c r="U203" s="113"/>
      <c r="V203" s="113"/>
    </row>
    <row r="204" customFormat="false" ht="15" hidden="false" customHeight="true" outlineLevel="0" collapsed="false">
      <c r="H204" s="113"/>
      <c r="I204" s="113"/>
      <c r="J204" s="113"/>
      <c r="L204" s="113"/>
      <c r="M204" s="113"/>
      <c r="N204" s="113"/>
      <c r="P204" s="113"/>
      <c r="Q204" s="113"/>
      <c r="R204" s="113"/>
      <c r="T204" s="113"/>
      <c r="U204" s="113"/>
      <c r="V204" s="113"/>
    </row>
    <row r="205" customFormat="false" ht="15" hidden="false" customHeight="true" outlineLevel="0" collapsed="false">
      <c r="H205" s="113"/>
      <c r="I205" s="113"/>
      <c r="J205" s="113"/>
      <c r="L205" s="113"/>
      <c r="M205" s="113"/>
      <c r="N205" s="113"/>
      <c r="P205" s="113"/>
      <c r="Q205" s="113"/>
      <c r="R205" s="113"/>
      <c r="T205" s="113"/>
      <c r="U205" s="113"/>
      <c r="V205" s="113"/>
    </row>
    <row r="206" customFormat="false" ht="15" hidden="false" customHeight="true" outlineLevel="0" collapsed="false">
      <c r="H206" s="113"/>
      <c r="I206" s="113"/>
      <c r="J206" s="113"/>
      <c r="L206" s="113"/>
      <c r="M206" s="113"/>
      <c r="N206" s="113"/>
      <c r="P206" s="113"/>
      <c r="Q206" s="113"/>
      <c r="R206" s="113"/>
      <c r="T206" s="113"/>
      <c r="U206" s="113"/>
      <c r="V206" s="113"/>
    </row>
    <row r="207" customFormat="false" ht="15" hidden="false" customHeight="true" outlineLevel="0" collapsed="false">
      <c r="H207" s="113"/>
      <c r="I207" s="113"/>
      <c r="J207" s="113"/>
      <c r="L207" s="113"/>
      <c r="M207" s="113"/>
      <c r="N207" s="113"/>
      <c r="P207" s="113"/>
      <c r="Q207" s="113"/>
      <c r="R207" s="113"/>
      <c r="T207" s="113"/>
      <c r="U207" s="113"/>
      <c r="V207" s="113"/>
    </row>
    <row r="208" customFormat="false" ht="15" hidden="false" customHeight="true" outlineLevel="0" collapsed="false">
      <c r="H208" s="113"/>
      <c r="I208" s="113"/>
      <c r="J208" s="113"/>
      <c r="L208" s="113"/>
      <c r="M208" s="113"/>
      <c r="N208" s="113"/>
      <c r="P208" s="113"/>
      <c r="Q208" s="113"/>
      <c r="R208" s="113"/>
      <c r="T208" s="113"/>
      <c r="U208" s="113"/>
      <c r="V208" s="113"/>
    </row>
    <row r="209" customFormat="false" ht="15" hidden="false" customHeight="true" outlineLevel="0" collapsed="false">
      <c r="H209" s="113"/>
      <c r="I209" s="113"/>
      <c r="J209" s="113"/>
      <c r="L209" s="113"/>
      <c r="M209" s="113"/>
      <c r="N209" s="113"/>
      <c r="P209" s="113"/>
      <c r="Q209" s="113"/>
      <c r="R209" s="113"/>
      <c r="T209" s="113"/>
      <c r="U209" s="113"/>
      <c r="V209" s="113"/>
    </row>
    <row r="210" customFormat="false" ht="15" hidden="false" customHeight="true" outlineLevel="0" collapsed="false">
      <c r="H210" s="113"/>
      <c r="I210" s="113"/>
      <c r="J210" s="113"/>
      <c r="L210" s="113"/>
      <c r="M210" s="113"/>
      <c r="N210" s="113"/>
      <c r="P210" s="113"/>
      <c r="Q210" s="113"/>
      <c r="R210" s="113"/>
      <c r="T210" s="113"/>
      <c r="U210" s="113"/>
      <c r="V210" s="113"/>
    </row>
    <row r="211" customFormat="false" ht="15" hidden="false" customHeight="true" outlineLevel="0" collapsed="false">
      <c r="H211" s="113"/>
      <c r="I211" s="113"/>
      <c r="J211" s="113"/>
      <c r="L211" s="113"/>
      <c r="M211" s="113"/>
      <c r="N211" s="113"/>
      <c r="P211" s="113"/>
      <c r="Q211" s="113"/>
      <c r="R211" s="113"/>
      <c r="T211" s="113"/>
      <c r="U211" s="113"/>
      <c r="V211" s="113"/>
    </row>
    <row r="212" customFormat="false" ht="15" hidden="false" customHeight="true" outlineLevel="0" collapsed="false">
      <c r="H212" s="113"/>
      <c r="I212" s="113"/>
      <c r="J212" s="113"/>
      <c r="L212" s="113"/>
      <c r="M212" s="113"/>
      <c r="N212" s="113"/>
      <c r="P212" s="113"/>
      <c r="Q212" s="113"/>
      <c r="R212" s="113"/>
      <c r="T212" s="113"/>
      <c r="U212" s="113"/>
      <c r="V212" s="113"/>
    </row>
    <row r="213" customFormat="false" ht="15" hidden="false" customHeight="true" outlineLevel="0" collapsed="false">
      <c r="H213" s="113"/>
      <c r="I213" s="113"/>
      <c r="J213" s="113"/>
      <c r="L213" s="113"/>
      <c r="M213" s="113"/>
      <c r="N213" s="113"/>
      <c r="P213" s="113"/>
      <c r="Q213" s="113"/>
      <c r="R213" s="113"/>
      <c r="T213" s="113"/>
      <c r="U213" s="113"/>
      <c r="V213" s="113"/>
    </row>
    <row r="214" customFormat="false" ht="15" hidden="false" customHeight="true" outlineLevel="0" collapsed="false">
      <c r="H214" s="113"/>
      <c r="I214" s="113"/>
      <c r="J214" s="113"/>
      <c r="L214" s="113"/>
      <c r="M214" s="113"/>
      <c r="N214" s="113"/>
      <c r="P214" s="113"/>
      <c r="Q214" s="113"/>
      <c r="R214" s="113"/>
      <c r="T214" s="113"/>
      <c r="U214" s="113"/>
      <c r="V214" s="113"/>
    </row>
    <row r="215" customFormat="false" ht="15" hidden="false" customHeight="true" outlineLevel="0" collapsed="false">
      <c r="H215" s="113"/>
      <c r="I215" s="113"/>
      <c r="J215" s="113"/>
      <c r="L215" s="113"/>
      <c r="M215" s="113"/>
      <c r="N215" s="113"/>
      <c r="P215" s="113"/>
      <c r="Q215" s="113"/>
      <c r="R215" s="113"/>
      <c r="T215" s="113"/>
      <c r="U215" s="113"/>
      <c r="V215" s="113"/>
    </row>
    <row r="216" customFormat="false" ht="15" hidden="false" customHeight="true" outlineLevel="0" collapsed="false">
      <c r="H216" s="113"/>
      <c r="I216" s="113"/>
      <c r="J216" s="113"/>
      <c r="L216" s="113"/>
      <c r="M216" s="113"/>
      <c r="N216" s="113"/>
      <c r="P216" s="113"/>
      <c r="Q216" s="113"/>
      <c r="R216" s="113"/>
      <c r="T216" s="113"/>
      <c r="U216" s="113"/>
      <c r="V216" s="113"/>
    </row>
    <row r="217" customFormat="false" ht="15" hidden="false" customHeight="true" outlineLevel="0" collapsed="false">
      <c r="H217" s="113"/>
      <c r="I217" s="113"/>
      <c r="J217" s="113"/>
      <c r="L217" s="113"/>
      <c r="M217" s="113"/>
      <c r="N217" s="113"/>
      <c r="P217" s="113"/>
      <c r="Q217" s="113"/>
      <c r="R217" s="113"/>
      <c r="T217" s="113"/>
      <c r="U217" s="113"/>
      <c r="V217" s="113"/>
    </row>
    <row r="218" customFormat="false" ht="15" hidden="false" customHeight="true" outlineLevel="0" collapsed="false">
      <c r="H218" s="113"/>
      <c r="I218" s="113"/>
      <c r="J218" s="113"/>
      <c r="L218" s="113"/>
      <c r="M218" s="113"/>
      <c r="N218" s="113"/>
      <c r="P218" s="113"/>
      <c r="Q218" s="113"/>
      <c r="R218" s="113"/>
      <c r="T218" s="113"/>
      <c r="U218" s="113"/>
      <c r="V218" s="113"/>
    </row>
    <row r="219" customFormat="false" ht="15" hidden="false" customHeight="true" outlineLevel="0" collapsed="false">
      <c r="H219" s="113"/>
      <c r="I219" s="113"/>
      <c r="J219" s="113"/>
      <c r="L219" s="113"/>
      <c r="M219" s="113"/>
      <c r="N219" s="113"/>
      <c r="P219" s="113"/>
      <c r="Q219" s="113"/>
      <c r="R219" s="113"/>
      <c r="T219" s="113"/>
      <c r="U219" s="113"/>
      <c r="V219" s="113"/>
    </row>
    <row r="220" customFormat="false" ht="15" hidden="false" customHeight="true" outlineLevel="0" collapsed="false">
      <c r="H220" s="113"/>
      <c r="I220" s="113"/>
      <c r="J220" s="113"/>
      <c r="L220" s="113"/>
      <c r="M220" s="113"/>
      <c r="N220" s="113"/>
      <c r="P220" s="113"/>
      <c r="Q220" s="113"/>
      <c r="R220" s="113"/>
      <c r="T220" s="113"/>
      <c r="U220" s="113"/>
      <c r="V220" s="113"/>
    </row>
    <row r="221" customFormat="false" ht="15" hidden="false" customHeight="true" outlineLevel="0" collapsed="false">
      <c r="H221" s="113"/>
      <c r="I221" s="113"/>
      <c r="J221" s="113"/>
      <c r="L221" s="113"/>
      <c r="M221" s="113"/>
      <c r="N221" s="113"/>
      <c r="P221" s="113"/>
      <c r="Q221" s="113"/>
      <c r="R221" s="113"/>
      <c r="T221" s="113"/>
      <c r="U221" s="113"/>
      <c r="V221" s="113"/>
    </row>
    <row r="222" customFormat="false" ht="15" hidden="false" customHeight="true" outlineLevel="0" collapsed="false">
      <c r="H222" s="113"/>
      <c r="I222" s="113"/>
      <c r="J222" s="113"/>
      <c r="L222" s="113"/>
      <c r="M222" s="113"/>
      <c r="N222" s="113"/>
      <c r="P222" s="113"/>
      <c r="Q222" s="113"/>
      <c r="R222" s="113"/>
      <c r="T222" s="113"/>
      <c r="U222" s="113"/>
      <c r="V222" s="113"/>
    </row>
    <row r="223" customFormat="false" ht="15" hidden="false" customHeight="true" outlineLevel="0" collapsed="false">
      <c r="H223" s="113"/>
      <c r="I223" s="113"/>
      <c r="J223" s="113"/>
      <c r="L223" s="113"/>
      <c r="M223" s="113"/>
      <c r="N223" s="113"/>
      <c r="P223" s="113"/>
      <c r="Q223" s="113"/>
      <c r="R223" s="113"/>
      <c r="T223" s="113"/>
      <c r="U223" s="113"/>
      <c r="V223" s="113"/>
    </row>
    <row r="224" customFormat="false" ht="15" hidden="false" customHeight="true" outlineLevel="0" collapsed="false">
      <c r="H224" s="113"/>
      <c r="I224" s="113"/>
      <c r="J224" s="113"/>
      <c r="L224" s="113"/>
      <c r="M224" s="113"/>
      <c r="N224" s="113"/>
      <c r="P224" s="113"/>
      <c r="Q224" s="113"/>
      <c r="R224" s="113"/>
      <c r="T224" s="113"/>
      <c r="U224" s="113"/>
      <c r="V224" s="113"/>
    </row>
    <row r="225" customFormat="false" ht="15" hidden="false" customHeight="true" outlineLevel="0" collapsed="false">
      <c r="H225" s="113"/>
      <c r="I225" s="113"/>
      <c r="J225" s="113"/>
      <c r="L225" s="113"/>
      <c r="M225" s="113"/>
      <c r="N225" s="113"/>
      <c r="P225" s="113"/>
      <c r="Q225" s="113"/>
      <c r="R225" s="113"/>
      <c r="T225" s="113"/>
      <c r="U225" s="113"/>
      <c r="V225" s="113"/>
    </row>
    <row r="226" customFormat="false" ht="15" hidden="false" customHeight="true" outlineLevel="0" collapsed="false">
      <c r="H226" s="113"/>
      <c r="I226" s="113"/>
      <c r="J226" s="113"/>
      <c r="L226" s="113"/>
      <c r="M226" s="113"/>
      <c r="N226" s="113"/>
      <c r="P226" s="113"/>
      <c r="Q226" s="113"/>
      <c r="R226" s="113"/>
      <c r="T226" s="113"/>
      <c r="U226" s="113"/>
      <c r="V226" s="113"/>
    </row>
    <row r="227" customFormat="false" ht="15" hidden="false" customHeight="true" outlineLevel="0" collapsed="false">
      <c r="H227" s="113"/>
      <c r="I227" s="113"/>
      <c r="J227" s="113"/>
      <c r="L227" s="113"/>
      <c r="M227" s="113"/>
      <c r="N227" s="113"/>
      <c r="P227" s="113"/>
      <c r="Q227" s="113"/>
      <c r="R227" s="113"/>
      <c r="T227" s="113"/>
      <c r="U227" s="113"/>
      <c r="V227" s="113"/>
    </row>
    <row r="228" customFormat="false" ht="15" hidden="false" customHeight="true" outlineLevel="0" collapsed="false">
      <c r="H228" s="113"/>
      <c r="I228" s="113"/>
      <c r="J228" s="113"/>
      <c r="L228" s="113"/>
      <c r="M228" s="113"/>
      <c r="N228" s="113"/>
      <c r="P228" s="113"/>
      <c r="Q228" s="113"/>
      <c r="R228" s="113"/>
      <c r="T228" s="113"/>
      <c r="U228" s="113"/>
      <c r="V228" s="113"/>
    </row>
    <row r="229" customFormat="false" ht="15" hidden="false" customHeight="true" outlineLevel="0" collapsed="false">
      <c r="H229" s="113"/>
      <c r="I229" s="113"/>
      <c r="J229" s="113"/>
      <c r="L229" s="113"/>
      <c r="M229" s="113"/>
      <c r="N229" s="113"/>
      <c r="P229" s="113"/>
      <c r="Q229" s="113"/>
      <c r="R229" s="113"/>
      <c r="T229" s="113"/>
      <c r="U229" s="113"/>
      <c r="V229" s="113"/>
    </row>
    <row r="230" customFormat="false" ht="15" hidden="false" customHeight="true" outlineLevel="0" collapsed="false">
      <c r="H230" s="113"/>
      <c r="I230" s="113"/>
      <c r="J230" s="113"/>
      <c r="L230" s="113"/>
      <c r="M230" s="113"/>
      <c r="N230" s="113"/>
      <c r="P230" s="113"/>
      <c r="Q230" s="113"/>
      <c r="R230" s="113"/>
      <c r="T230" s="113"/>
      <c r="U230" s="113"/>
      <c r="V230" s="113"/>
    </row>
    <row r="231" customFormat="false" ht="15" hidden="false" customHeight="true" outlineLevel="0" collapsed="false">
      <c r="H231" s="113"/>
      <c r="I231" s="113"/>
      <c r="J231" s="113"/>
      <c r="L231" s="113"/>
      <c r="M231" s="113"/>
      <c r="N231" s="113"/>
      <c r="P231" s="113"/>
      <c r="Q231" s="113"/>
      <c r="R231" s="113"/>
      <c r="T231" s="113"/>
      <c r="U231" s="113"/>
      <c r="V231" s="113"/>
    </row>
    <row r="232" customFormat="false" ht="15" hidden="false" customHeight="true" outlineLevel="0" collapsed="false">
      <c r="H232" s="113"/>
      <c r="I232" s="113"/>
      <c r="J232" s="113"/>
      <c r="L232" s="113"/>
      <c r="M232" s="113"/>
      <c r="N232" s="113"/>
      <c r="P232" s="113"/>
      <c r="Q232" s="113"/>
      <c r="R232" s="113"/>
      <c r="T232" s="113"/>
      <c r="U232" s="113"/>
      <c r="V232" s="113"/>
    </row>
    <row r="233" customFormat="false" ht="15" hidden="false" customHeight="true" outlineLevel="0" collapsed="false">
      <c r="H233" s="113"/>
      <c r="I233" s="113"/>
      <c r="J233" s="113"/>
      <c r="L233" s="113"/>
      <c r="M233" s="113"/>
      <c r="N233" s="113"/>
      <c r="P233" s="113"/>
      <c r="Q233" s="113"/>
      <c r="R233" s="113"/>
      <c r="T233" s="113"/>
      <c r="U233" s="113"/>
      <c r="V233" s="113"/>
    </row>
    <row r="234" customFormat="false" ht="15" hidden="false" customHeight="true" outlineLevel="0" collapsed="false">
      <c r="H234" s="113"/>
      <c r="I234" s="113"/>
      <c r="J234" s="113"/>
      <c r="L234" s="113"/>
      <c r="M234" s="113"/>
      <c r="N234" s="113"/>
      <c r="P234" s="113"/>
      <c r="Q234" s="113"/>
      <c r="R234" s="113"/>
      <c r="T234" s="113"/>
      <c r="U234" s="113"/>
      <c r="V234" s="113"/>
    </row>
    <row r="235" customFormat="false" ht="15" hidden="false" customHeight="true" outlineLevel="0" collapsed="false">
      <c r="H235" s="113"/>
      <c r="I235" s="113"/>
      <c r="J235" s="113"/>
      <c r="L235" s="113"/>
      <c r="M235" s="113"/>
      <c r="N235" s="113"/>
      <c r="P235" s="113"/>
      <c r="Q235" s="113"/>
      <c r="R235" s="113"/>
      <c r="T235" s="113"/>
      <c r="U235" s="113"/>
      <c r="V235" s="113"/>
    </row>
    <row r="236" customFormat="false" ht="15" hidden="false" customHeight="true" outlineLevel="0" collapsed="false">
      <c r="H236" s="113"/>
      <c r="I236" s="113"/>
      <c r="J236" s="113"/>
      <c r="L236" s="113"/>
      <c r="M236" s="113"/>
      <c r="N236" s="113"/>
      <c r="P236" s="113"/>
      <c r="Q236" s="113"/>
      <c r="R236" s="113"/>
      <c r="T236" s="113"/>
      <c r="U236" s="113"/>
      <c r="V236" s="113"/>
    </row>
    <row r="237" customFormat="false" ht="15" hidden="false" customHeight="true" outlineLevel="0" collapsed="false">
      <c r="H237" s="113"/>
      <c r="I237" s="113"/>
      <c r="J237" s="113"/>
      <c r="L237" s="113"/>
      <c r="M237" s="113"/>
      <c r="N237" s="113"/>
      <c r="P237" s="113"/>
      <c r="Q237" s="113"/>
      <c r="R237" s="113"/>
      <c r="T237" s="113"/>
      <c r="U237" s="113"/>
      <c r="V237" s="113"/>
    </row>
    <row r="238" customFormat="false" ht="15" hidden="false" customHeight="true" outlineLevel="0" collapsed="false">
      <c r="H238" s="113"/>
      <c r="I238" s="113"/>
      <c r="J238" s="113"/>
      <c r="L238" s="113"/>
      <c r="M238" s="113"/>
      <c r="N238" s="113"/>
      <c r="P238" s="113"/>
      <c r="Q238" s="113"/>
      <c r="R238" s="113"/>
      <c r="T238" s="113"/>
      <c r="U238" s="113"/>
      <c r="V238" s="113"/>
    </row>
    <row r="239" customFormat="false" ht="15" hidden="false" customHeight="true" outlineLevel="0" collapsed="false">
      <c r="H239" s="113"/>
      <c r="I239" s="113"/>
      <c r="J239" s="113"/>
      <c r="L239" s="113"/>
      <c r="M239" s="113"/>
      <c r="N239" s="113"/>
      <c r="P239" s="113"/>
      <c r="Q239" s="113"/>
      <c r="R239" s="113"/>
      <c r="T239" s="113"/>
      <c r="U239" s="113"/>
      <c r="V239" s="113"/>
    </row>
    <row r="240" customFormat="false" ht="15" hidden="false" customHeight="true" outlineLevel="0" collapsed="false">
      <c r="H240" s="113"/>
      <c r="I240" s="113"/>
      <c r="J240" s="113"/>
      <c r="L240" s="113"/>
      <c r="M240" s="113"/>
      <c r="N240" s="113"/>
      <c r="P240" s="113"/>
      <c r="Q240" s="113"/>
      <c r="R240" s="113"/>
      <c r="T240" s="113"/>
      <c r="U240" s="113"/>
      <c r="V240" s="113"/>
    </row>
    <row r="241" customFormat="false" ht="15" hidden="false" customHeight="true" outlineLevel="0" collapsed="false">
      <c r="H241" s="113"/>
      <c r="I241" s="113"/>
      <c r="J241" s="113"/>
      <c r="L241" s="113"/>
      <c r="M241" s="113"/>
      <c r="N241" s="113"/>
      <c r="P241" s="113"/>
      <c r="Q241" s="113"/>
      <c r="R241" s="113"/>
      <c r="T241" s="113"/>
      <c r="U241" s="113"/>
      <c r="V241" s="113"/>
    </row>
    <row r="242" customFormat="false" ht="15" hidden="false" customHeight="true" outlineLevel="0" collapsed="false">
      <c r="H242" s="113"/>
      <c r="I242" s="113"/>
      <c r="J242" s="113"/>
      <c r="L242" s="113"/>
      <c r="M242" s="113"/>
      <c r="N242" s="113"/>
      <c r="P242" s="113"/>
      <c r="Q242" s="113"/>
      <c r="R242" s="113"/>
      <c r="T242" s="113"/>
      <c r="U242" s="113"/>
      <c r="V242" s="113"/>
    </row>
    <row r="243" customFormat="false" ht="15" hidden="false" customHeight="true" outlineLevel="0" collapsed="false">
      <c r="H243" s="113"/>
      <c r="I243" s="113"/>
      <c r="J243" s="113"/>
      <c r="L243" s="113"/>
      <c r="M243" s="113"/>
      <c r="N243" s="113"/>
      <c r="P243" s="113"/>
      <c r="Q243" s="113"/>
      <c r="R243" s="113"/>
      <c r="T243" s="113"/>
      <c r="U243" s="113"/>
      <c r="V243" s="113"/>
    </row>
    <row r="244" customFormat="false" ht="15" hidden="false" customHeight="true" outlineLevel="0" collapsed="false">
      <c r="H244" s="113"/>
      <c r="I244" s="113"/>
      <c r="J244" s="113"/>
      <c r="L244" s="113"/>
      <c r="M244" s="113"/>
      <c r="N244" s="113"/>
      <c r="P244" s="113"/>
      <c r="Q244" s="113"/>
      <c r="R244" s="113"/>
      <c r="T244" s="113"/>
      <c r="U244" s="113"/>
      <c r="V244" s="113"/>
    </row>
    <row r="245" customFormat="false" ht="15" hidden="false" customHeight="true" outlineLevel="0" collapsed="false">
      <c r="H245" s="113"/>
      <c r="I245" s="113"/>
      <c r="J245" s="113"/>
      <c r="L245" s="113"/>
      <c r="M245" s="113"/>
      <c r="N245" s="113"/>
      <c r="P245" s="113"/>
      <c r="Q245" s="113"/>
      <c r="R245" s="113"/>
      <c r="T245" s="113"/>
      <c r="U245" s="113"/>
      <c r="V245" s="113"/>
    </row>
    <row r="246" customFormat="false" ht="15" hidden="false" customHeight="true" outlineLevel="0" collapsed="false">
      <c r="H246" s="113"/>
      <c r="I246" s="113"/>
      <c r="J246" s="113"/>
      <c r="L246" s="113"/>
      <c r="M246" s="113"/>
      <c r="N246" s="113"/>
      <c r="P246" s="113"/>
      <c r="Q246" s="113"/>
      <c r="R246" s="113"/>
      <c r="T246" s="113"/>
      <c r="U246" s="113"/>
      <c r="V246" s="113"/>
    </row>
    <row r="247" customFormat="false" ht="15" hidden="false" customHeight="true" outlineLevel="0" collapsed="false">
      <c r="H247" s="113"/>
      <c r="I247" s="113"/>
      <c r="J247" s="113"/>
      <c r="L247" s="113"/>
      <c r="M247" s="113"/>
      <c r="N247" s="113"/>
      <c r="P247" s="113"/>
      <c r="Q247" s="113"/>
      <c r="R247" s="113"/>
      <c r="T247" s="113"/>
      <c r="U247" s="113"/>
      <c r="V247" s="113"/>
    </row>
    <row r="248" customFormat="false" ht="15" hidden="false" customHeight="true" outlineLevel="0" collapsed="false">
      <c r="H248" s="113"/>
      <c r="I248" s="113"/>
      <c r="J248" s="113"/>
      <c r="L248" s="113"/>
      <c r="M248" s="113"/>
      <c r="N248" s="113"/>
      <c r="P248" s="113"/>
      <c r="Q248" s="113"/>
      <c r="R248" s="113"/>
      <c r="T248" s="113"/>
      <c r="U248" s="113"/>
      <c r="V248" s="113"/>
    </row>
    <row r="249" customFormat="false" ht="15" hidden="false" customHeight="true" outlineLevel="0" collapsed="false">
      <c r="H249" s="113"/>
      <c r="I249" s="113"/>
      <c r="J249" s="113"/>
      <c r="L249" s="113"/>
      <c r="M249" s="113"/>
      <c r="N249" s="113"/>
      <c r="P249" s="113"/>
      <c r="Q249" s="113"/>
      <c r="R249" s="113"/>
      <c r="T249" s="113"/>
      <c r="U249" s="113"/>
      <c r="V249" s="113"/>
    </row>
    <row r="250" customFormat="false" ht="15" hidden="false" customHeight="true" outlineLevel="0" collapsed="false">
      <c r="H250" s="113"/>
      <c r="I250" s="113"/>
      <c r="J250" s="113"/>
      <c r="L250" s="113"/>
      <c r="M250" s="113"/>
      <c r="N250" s="113"/>
      <c r="P250" s="113"/>
      <c r="Q250" s="113"/>
      <c r="R250" s="113"/>
      <c r="T250" s="113"/>
      <c r="U250" s="113"/>
      <c r="V250" s="113"/>
    </row>
    <row r="251" customFormat="false" ht="15" hidden="false" customHeight="true" outlineLevel="0" collapsed="false">
      <c r="H251" s="113"/>
      <c r="I251" s="113"/>
      <c r="J251" s="113"/>
      <c r="L251" s="113"/>
      <c r="M251" s="113"/>
      <c r="N251" s="113"/>
      <c r="P251" s="113"/>
      <c r="Q251" s="113"/>
      <c r="R251" s="113"/>
      <c r="T251" s="113"/>
      <c r="U251" s="113"/>
      <c r="V251" s="113"/>
    </row>
    <row r="252" customFormat="false" ht="15" hidden="false" customHeight="true" outlineLevel="0" collapsed="false">
      <c r="H252" s="113"/>
      <c r="I252" s="113"/>
      <c r="J252" s="113"/>
      <c r="L252" s="113"/>
      <c r="M252" s="113"/>
      <c r="N252" s="113"/>
      <c r="P252" s="113"/>
      <c r="Q252" s="113"/>
      <c r="R252" s="113"/>
      <c r="T252" s="113"/>
      <c r="U252" s="113"/>
      <c r="V252" s="113"/>
    </row>
    <row r="253" customFormat="false" ht="15" hidden="false" customHeight="true" outlineLevel="0" collapsed="false">
      <c r="H253" s="113"/>
      <c r="I253" s="113"/>
      <c r="J253" s="113"/>
      <c r="L253" s="113"/>
      <c r="M253" s="113"/>
      <c r="N253" s="113"/>
      <c r="P253" s="113"/>
      <c r="Q253" s="113"/>
      <c r="R253" s="113"/>
      <c r="T253" s="113"/>
      <c r="U253" s="113"/>
      <c r="V253" s="113"/>
    </row>
    <row r="254" customFormat="false" ht="15" hidden="false" customHeight="true" outlineLevel="0" collapsed="false">
      <c r="H254" s="113"/>
      <c r="I254" s="113"/>
      <c r="J254" s="113"/>
      <c r="L254" s="113"/>
      <c r="M254" s="113"/>
      <c r="N254" s="113"/>
      <c r="P254" s="113"/>
      <c r="Q254" s="113"/>
      <c r="R254" s="113"/>
      <c r="T254" s="113"/>
      <c r="U254" s="113"/>
      <c r="V254" s="113"/>
    </row>
    <row r="255" customFormat="false" ht="15" hidden="false" customHeight="true" outlineLevel="0" collapsed="false">
      <c r="H255" s="113"/>
      <c r="I255" s="113"/>
      <c r="J255" s="113"/>
      <c r="L255" s="113"/>
      <c r="M255" s="113"/>
      <c r="N255" s="113"/>
      <c r="P255" s="113"/>
      <c r="Q255" s="113"/>
      <c r="R255" s="113"/>
      <c r="T255" s="113"/>
      <c r="U255" s="113"/>
      <c r="V255" s="113"/>
    </row>
    <row r="256" customFormat="false" ht="15" hidden="false" customHeight="true" outlineLevel="0" collapsed="false">
      <c r="H256" s="113"/>
      <c r="I256" s="113"/>
      <c r="J256" s="113"/>
      <c r="L256" s="113"/>
      <c r="M256" s="113"/>
      <c r="N256" s="113"/>
      <c r="P256" s="113"/>
      <c r="Q256" s="113"/>
      <c r="R256" s="113"/>
      <c r="T256" s="113"/>
      <c r="U256" s="113"/>
      <c r="V256" s="113"/>
    </row>
    <row r="257" customFormat="false" ht="15" hidden="false" customHeight="true" outlineLevel="0" collapsed="false">
      <c r="H257" s="113"/>
      <c r="I257" s="113"/>
      <c r="J257" s="113"/>
      <c r="L257" s="113"/>
      <c r="M257" s="113"/>
      <c r="N257" s="113"/>
      <c r="P257" s="113"/>
      <c r="Q257" s="113"/>
      <c r="R257" s="113"/>
      <c r="T257" s="113"/>
      <c r="U257" s="113"/>
      <c r="V257" s="113"/>
    </row>
    <row r="258" customFormat="false" ht="15" hidden="false" customHeight="true" outlineLevel="0" collapsed="false">
      <c r="H258" s="113"/>
      <c r="I258" s="113"/>
      <c r="J258" s="113"/>
      <c r="L258" s="113"/>
      <c r="M258" s="113"/>
      <c r="N258" s="113"/>
      <c r="P258" s="113"/>
      <c r="Q258" s="113"/>
      <c r="R258" s="113"/>
      <c r="T258" s="113"/>
      <c r="U258" s="113"/>
      <c r="V258" s="113"/>
    </row>
    <row r="259" customFormat="false" ht="15" hidden="false" customHeight="true" outlineLevel="0" collapsed="false">
      <c r="H259" s="113"/>
      <c r="I259" s="113"/>
      <c r="J259" s="113"/>
      <c r="L259" s="113"/>
      <c r="M259" s="113"/>
      <c r="N259" s="113"/>
      <c r="P259" s="113"/>
      <c r="Q259" s="113"/>
      <c r="R259" s="113"/>
      <c r="T259" s="113"/>
      <c r="U259" s="113"/>
      <c r="V259" s="113"/>
    </row>
    <row r="260" customFormat="false" ht="15" hidden="false" customHeight="true" outlineLevel="0" collapsed="false">
      <c r="H260" s="113"/>
      <c r="I260" s="113"/>
      <c r="J260" s="113"/>
      <c r="L260" s="113"/>
      <c r="M260" s="113"/>
      <c r="N260" s="113"/>
      <c r="P260" s="113"/>
      <c r="Q260" s="113"/>
      <c r="R260" s="113"/>
      <c r="T260" s="113"/>
      <c r="U260" s="113"/>
      <c r="V260" s="113"/>
    </row>
    <row r="261" customFormat="false" ht="15" hidden="false" customHeight="true" outlineLevel="0" collapsed="false">
      <c r="H261" s="113"/>
      <c r="I261" s="113"/>
      <c r="J261" s="113"/>
      <c r="L261" s="113"/>
      <c r="M261" s="113"/>
      <c r="N261" s="113"/>
      <c r="P261" s="113"/>
      <c r="Q261" s="113"/>
      <c r="R261" s="113"/>
      <c r="T261" s="113"/>
      <c r="U261" s="113"/>
      <c r="V261" s="113"/>
    </row>
    <row r="262" customFormat="false" ht="15" hidden="false" customHeight="true" outlineLevel="0" collapsed="false">
      <c r="H262" s="113"/>
      <c r="I262" s="113"/>
      <c r="J262" s="113"/>
      <c r="L262" s="113"/>
      <c r="M262" s="113"/>
      <c r="N262" s="113"/>
      <c r="P262" s="113"/>
      <c r="Q262" s="113"/>
      <c r="R262" s="113"/>
      <c r="T262" s="113"/>
      <c r="U262" s="113"/>
      <c r="V262" s="113"/>
    </row>
    <row r="263" customFormat="false" ht="15" hidden="false" customHeight="true" outlineLevel="0" collapsed="false">
      <c r="H263" s="113"/>
      <c r="I263" s="113"/>
      <c r="J263" s="113"/>
      <c r="L263" s="113"/>
      <c r="M263" s="113"/>
      <c r="N263" s="113"/>
      <c r="P263" s="113"/>
      <c r="Q263" s="113"/>
      <c r="R263" s="113"/>
      <c r="T263" s="113"/>
      <c r="U263" s="113"/>
      <c r="V263" s="113"/>
    </row>
    <row r="264" customFormat="false" ht="15" hidden="false" customHeight="true" outlineLevel="0" collapsed="false">
      <c r="H264" s="113"/>
      <c r="I264" s="113"/>
      <c r="J264" s="113"/>
      <c r="L264" s="113"/>
      <c r="M264" s="113"/>
      <c r="N264" s="113"/>
      <c r="P264" s="113"/>
      <c r="Q264" s="113"/>
      <c r="R264" s="113"/>
      <c r="T264" s="113"/>
      <c r="U264" s="113"/>
      <c r="V264" s="113"/>
    </row>
    <row r="265" customFormat="false" ht="15" hidden="false" customHeight="true" outlineLevel="0" collapsed="false">
      <c r="H265" s="113"/>
      <c r="I265" s="113"/>
      <c r="J265" s="113"/>
      <c r="L265" s="113"/>
      <c r="M265" s="113"/>
      <c r="N265" s="113"/>
      <c r="P265" s="113"/>
      <c r="Q265" s="113"/>
      <c r="R265" s="113"/>
      <c r="T265" s="113"/>
      <c r="U265" s="113"/>
      <c r="V265" s="113"/>
    </row>
    <row r="266" customFormat="false" ht="15" hidden="false" customHeight="true" outlineLevel="0" collapsed="false">
      <c r="H266" s="113"/>
      <c r="I266" s="113"/>
      <c r="J266" s="113"/>
      <c r="L266" s="113"/>
      <c r="M266" s="113"/>
      <c r="N266" s="113"/>
      <c r="P266" s="113"/>
      <c r="Q266" s="113"/>
      <c r="R266" s="113"/>
      <c r="T266" s="113"/>
      <c r="U266" s="113"/>
      <c r="V266" s="113"/>
    </row>
    <row r="267" customFormat="false" ht="15" hidden="false" customHeight="true" outlineLevel="0" collapsed="false">
      <c r="H267" s="113"/>
      <c r="I267" s="113"/>
      <c r="J267" s="113"/>
      <c r="L267" s="113"/>
      <c r="M267" s="113"/>
      <c r="N267" s="113"/>
      <c r="P267" s="113"/>
      <c r="Q267" s="113"/>
      <c r="R267" s="113"/>
      <c r="T267" s="113"/>
      <c r="U267" s="113"/>
      <c r="V267" s="113"/>
    </row>
    <row r="268" customFormat="false" ht="15" hidden="false" customHeight="true" outlineLevel="0" collapsed="false">
      <c r="H268" s="113"/>
      <c r="I268" s="113"/>
      <c r="J268" s="113"/>
      <c r="L268" s="113"/>
      <c r="M268" s="113"/>
      <c r="N268" s="113"/>
      <c r="P268" s="113"/>
      <c r="Q268" s="113"/>
      <c r="R268" s="113"/>
      <c r="T268" s="113"/>
      <c r="U268" s="113"/>
      <c r="V268" s="113"/>
    </row>
    <row r="269" customFormat="false" ht="15" hidden="false" customHeight="true" outlineLevel="0" collapsed="false">
      <c r="H269" s="113"/>
      <c r="I269" s="113"/>
      <c r="J269" s="113"/>
      <c r="L269" s="113"/>
      <c r="M269" s="113"/>
      <c r="N269" s="113"/>
      <c r="P269" s="113"/>
      <c r="Q269" s="113"/>
      <c r="R269" s="113"/>
      <c r="T269" s="113"/>
      <c r="U269" s="113"/>
      <c r="V269" s="113"/>
    </row>
    <row r="270" customFormat="false" ht="15" hidden="false" customHeight="true" outlineLevel="0" collapsed="false">
      <c r="H270" s="113"/>
      <c r="I270" s="113"/>
      <c r="J270" s="113"/>
      <c r="L270" s="113"/>
      <c r="M270" s="113"/>
      <c r="N270" s="113"/>
      <c r="P270" s="113"/>
      <c r="Q270" s="113"/>
      <c r="R270" s="113"/>
      <c r="T270" s="113"/>
      <c r="U270" s="113"/>
      <c r="V270" s="113"/>
    </row>
    <row r="271" customFormat="false" ht="15" hidden="false" customHeight="true" outlineLevel="0" collapsed="false">
      <c r="H271" s="113"/>
      <c r="I271" s="113"/>
      <c r="J271" s="113"/>
      <c r="L271" s="113"/>
      <c r="M271" s="113"/>
      <c r="N271" s="113"/>
      <c r="P271" s="113"/>
      <c r="Q271" s="113"/>
      <c r="R271" s="113"/>
      <c r="T271" s="113"/>
      <c r="U271" s="113"/>
      <c r="V271" s="113"/>
    </row>
    <row r="272" customFormat="false" ht="15" hidden="false" customHeight="true" outlineLevel="0" collapsed="false">
      <c r="H272" s="113"/>
      <c r="I272" s="113"/>
      <c r="J272" s="113"/>
      <c r="L272" s="113"/>
      <c r="M272" s="113"/>
      <c r="N272" s="113"/>
      <c r="P272" s="113"/>
      <c r="Q272" s="113"/>
      <c r="R272" s="113"/>
      <c r="T272" s="113"/>
      <c r="U272" s="113"/>
      <c r="V272" s="113"/>
    </row>
    <row r="273" customFormat="false" ht="15" hidden="false" customHeight="true" outlineLevel="0" collapsed="false">
      <c r="H273" s="113"/>
      <c r="I273" s="113"/>
      <c r="J273" s="113"/>
      <c r="L273" s="113"/>
      <c r="M273" s="113"/>
      <c r="N273" s="113"/>
      <c r="P273" s="113"/>
      <c r="Q273" s="113"/>
      <c r="R273" s="113"/>
      <c r="T273" s="113"/>
      <c r="U273" s="113"/>
      <c r="V273" s="113"/>
    </row>
    <row r="274" customFormat="false" ht="15" hidden="false" customHeight="true" outlineLevel="0" collapsed="false">
      <c r="H274" s="113"/>
      <c r="I274" s="113"/>
      <c r="J274" s="113"/>
      <c r="L274" s="113"/>
      <c r="M274" s="113"/>
      <c r="N274" s="113"/>
      <c r="P274" s="113"/>
      <c r="Q274" s="113"/>
      <c r="R274" s="113"/>
      <c r="T274" s="113"/>
      <c r="U274" s="113"/>
      <c r="V274" s="113"/>
    </row>
    <row r="275" customFormat="false" ht="15" hidden="false" customHeight="true" outlineLevel="0" collapsed="false">
      <c r="H275" s="113"/>
      <c r="I275" s="113"/>
      <c r="J275" s="113"/>
      <c r="L275" s="113"/>
      <c r="M275" s="113"/>
      <c r="N275" s="113"/>
      <c r="P275" s="113"/>
      <c r="Q275" s="113"/>
      <c r="R275" s="113"/>
      <c r="T275" s="113"/>
      <c r="U275" s="113"/>
      <c r="V275" s="113"/>
    </row>
    <row r="276" customFormat="false" ht="15" hidden="false" customHeight="true" outlineLevel="0" collapsed="false">
      <c r="H276" s="113"/>
      <c r="I276" s="113"/>
      <c r="J276" s="113"/>
      <c r="L276" s="113"/>
      <c r="M276" s="113"/>
      <c r="N276" s="113"/>
      <c r="P276" s="113"/>
      <c r="Q276" s="113"/>
      <c r="R276" s="113"/>
      <c r="T276" s="113"/>
      <c r="U276" s="113"/>
      <c r="V276" s="113"/>
    </row>
    <row r="277" customFormat="false" ht="15" hidden="false" customHeight="true" outlineLevel="0" collapsed="false">
      <c r="H277" s="113"/>
      <c r="I277" s="113"/>
      <c r="J277" s="113"/>
      <c r="L277" s="113"/>
      <c r="M277" s="113"/>
      <c r="N277" s="113"/>
      <c r="P277" s="113"/>
      <c r="Q277" s="113"/>
      <c r="R277" s="113"/>
      <c r="T277" s="113"/>
      <c r="U277" s="113"/>
      <c r="V277" s="113"/>
    </row>
    <row r="278" customFormat="false" ht="15" hidden="false" customHeight="true" outlineLevel="0" collapsed="false">
      <c r="H278" s="113"/>
      <c r="I278" s="113"/>
      <c r="J278" s="113"/>
      <c r="L278" s="113"/>
      <c r="M278" s="113"/>
      <c r="N278" s="113"/>
      <c r="P278" s="113"/>
      <c r="Q278" s="113"/>
      <c r="R278" s="113"/>
      <c r="T278" s="113"/>
      <c r="U278" s="113"/>
      <c r="V278" s="113"/>
    </row>
    <row r="279" customFormat="false" ht="15" hidden="false" customHeight="true" outlineLevel="0" collapsed="false">
      <c r="H279" s="113"/>
      <c r="I279" s="113"/>
      <c r="J279" s="113"/>
      <c r="L279" s="113"/>
      <c r="M279" s="113"/>
      <c r="N279" s="113"/>
      <c r="P279" s="113"/>
      <c r="Q279" s="113"/>
      <c r="R279" s="113"/>
      <c r="T279" s="113"/>
      <c r="U279" s="113"/>
      <c r="V279" s="113"/>
    </row>
    <row r="280" customFormat="false" ht="15" hidden="false" customHeight="true" outlineLevel="0" collapsed="false">
      <c r="H280" s="113"/>
      <c r="I280" s="113"/>
      <c r="J280" s="113"/>
      <c r="L280" s="113"/>
      <c r="M280" s="113"/>
      <c r="N280" s="113"/>
      <c r="P280" s="113"/>
      <c r="Q280" s="113"/>
      <c r="R280" s="113"/>
      <c r="T280" s="113"/>
      <c r="U280" s="113"/>
      <c r="V280" s="113"/>
    </row>
    <row r="281" customFormat="false" ht="15" hidden="false" customHeight="true" outlineLevel="0" collapsed="false">
      <c r="H281" s="113"/>
      <c r="I281" s="113"/>
      <c r="J281" s="113"/>
      <c r="L281" s="113"/>
      <c r="M281" s="113"/>
      <c r="N281" s="113"/>
      <c r="P281" s="113"/>
      <c r="Q281" s="113"/>
      <c r="R281" s="113"/>
      <c r="T281" s="113"/>
      <c r="U281" s="113"/>
      <c r="V281" s="113"/>
    </row>
    <row r="282" customFormat="false" ht="15" hidden="false" customHeight="true" outlineLevel="0" collapsed="false">
      <c r="H282" s="113"/>
      <c r="I282" s="113"/>
      <c r="J282" s="113"/>
      <c r="L282" s="113"/>
      <c r="M282" s="113"/>
      <c r="N282" s="113"/>
      <c r="P282" s="113"/>
      <c r="Q282" s="113"/>
      <c r="R282" s="113"/>
      <c r="T282" s="113"/>
      <c r="U282" s="113"/>
      <c r="V282" s="113"/>
    </row>
    <row r="283" customFormat="false" ht="15" hidden="false" customHeight="true" outlineLevel="0" collapsed="false">
      <c r="H283" s="113"/>
      <c r="I283" s="113"/>
      <c r="J283" s="113"/>
      <c r="L283" s="113"/>
      <c r="M283" s="113"/>
      <c r="N283" s="113"/>
      <c r="P283" s="113"/>
      <c r="Q283" s="113"/>
      <c r="R283" s="113"/>
      <c r="T283" s="113"/>
      <c r="U283" s="113"/>
      <c r="V283" s="113"/>
    </row>
    <row r="284" customFormat="false" ht="15" hidden="false" customHeight="true" outlineLevel="0" collapsed="false">
      <c r="H284" s="113"/>
      <c r="I284" s="113"/>
      <c r="J284" s="113"/>
      <c r="L284" s="113"/>
      <c r="M284" s="113"/>
      <c r="N284" s="113"/>
      <c r="P284" s="113"/>
      <c r="Q284" s="113"/>
      <c r="R284" s="113"/>
      <c r="T284" s="113"/>
      <c r="U284" s="113"/>
      <c r="V284" s="113"/>
    </row>
    <row r="285" customFormat="false" ht="15" hidden="false" customHeight="true" outlineLevel="0" collapsed="false">
      <c r="H285" s="113"/>
      <c r="I285" s="113"/>
      <c r="J285" s="113"/>
      <c r="L285" s="113"/>
      <c r="M285" s="113"/>
      <c r="N285" s="113"/>
      <c r="P285" s="113"/>
      <c r="Q285" s="113"/>
      <c r="R285" s="113"/>
      <c r="T285" s="113"/>
      <c r="U285" s="113"/>
      <c r="V285" s="113"/>
    </row>
    <row r="286" customFormat="false" ht="15" hidden="false" customHeight="true" outlineLevel="0" collapsed="false">
      <c r="H286" s="113"/>
      <c r="I286" s="113"/>
      <c r="J286" s="113"/>
      <c r="L286" s="113"/>
      <c r="M286" s="113"/>
      <c r="N286" s="113"/>
      <c r="P286" s="113"/>
      <c r="Q286" s="113"/>
      <c r="R286" s="113"/>
      <c r="T286" s="113"/>
      <c r="U286" s="113"/>
      <c r="V286" s="113"/>
    </row>
    <row r="287" customFormat="false" ht="15" hidden="false" customHeight="true" outlineLevel="0" collapsed="false">
      <c r="H287" s="113"/>
      <c r="I287" s="113"/>
      <c r="J287" s="113"/>
      <c r="L287" s="113"/>
      <c r="M287" s="113"/>
      <c r="N287" s="113"/>
      <c r="P287" s="113"/>
      <c r="Q287" s="113"/>
      <c r="R287" s="113"/>
      <c r="T287" s="113"/>
      <c r="U287" s="113"/>
      <c r="V287" s="113"/>
    </row>
    <row r="288" customFormat="false" ht="15" hidden="false" customHeight="true" outlineLevel="0" collapsed="false">
      <c r="H288" s="113"/>
      <c r="I288" s="113"/>
      <c r="J288" s="113"/>
      <c r="L288" s="113"/>
      <c r="M288" s="113"/>
      <c r="N288" s="113"/>
      <c r="P288" s="113"/>
      <c r="Q288" s="113"/>
      <c r="R288" s="113"/>
      <c r="T288" s="113"/>
      <c r="U288" s="113"/>
      <c r="V288" s="113"/>
    </row>
    <row r="289" customFormat="false" ht="15" hidden="false" customHeight="true" outlineLevel="0" collapsed="false">
      <c r="H289" s="113"/>
      <c r="I289" s="113"/>
      <c r="J289" s="113"/>
      <c r="L289" s="113"/>
      <c r="M289" s="113"/>
      <c r="N289" s="113"/>
      <c r="P289" s="113"/>
      <c r="Q289" s="113"/>
      <c r="R289" s="113"/>
      <c r="T289" s="113"/>
      <c r="U289" s="113"/>
      <c r="V289" s="113"/>
    </row>
    <row r="290" customFormat="false" ht="15" hidden="false" customHeight="true" outlineLevel="0" collapsed="false">
      <c r="H290" s="113"/>
      <c r="I290" s="113"/>
      <c r="J290" s="113"/>
      <c r="L290" s="113"/>
      <c r="M290" s="113"/>
      <c r="N290" s="113"/>
      <c r="P290" s="113"/>
      <c r="Q290" s="113"/>
      <c r="R290" s="113"/>
      <c r="T290" s="113"/>
      <c r="U290" s="113"/>
      <c r="V290" s="113"/>
    </row>
    <row r="291" customFormat="false" ht="15" hidden="false" customHeight="true" outlineLevel="0" collapsed="false">
      <c r="H291" s="113"/>
      <c r="I291" s="113"/>
      <c r="J291" s="113"/>
      <c r="L291" s="113"/>
      <c r="M291" s="113"/>
      <c r="N291" s="113"/>
      <c r="P291" s="113"/>
      <c r="Q291" s="113"/>
      <c r="R291" s="113"/>
      <c r="T291" s="113"/>
      <c r="U291" s="113"/>
      <c r="V291" s="113"/>
    </row>
    <row r="292" customFormat="false" ht="15" hidden="false" customHeight="true" outlineLevel="0" collapsed="false">
      <c r="H292" s="113"/>
      <c r="I292" s="113"/>
      <c r="J292" s="113"/>
      <c r="L292" s="113"/>
      <c r="M292" s="113"/>
      <c r="N292" s="113"/>
      <c r="P292" s="113"/>
      <c r="Q292" s="113"/>
      <c r="R292" s="113"/>
      <c r="T292" s="113"/>
      <c r="U292" s="113"/>
      <c r="V292" s="113"/>
    </row>
    <row r="293" customFormat="false" ht="15" hidden="false" customHeight="true" outlineLevel="0" collapsed="false">
      <c r="H293" s="113"/>
      <c r="I293" s="113"/>
      <c r="J293" s="113"/>
      <c r="L293" s="113"/>
      <c r="M293" s="113"/>
      <c r="N293" s="113"/>
      <c r="P293" s="113"/>
      <c r="Q293" s="113"/>
      <c r="R293" s="113"/>
      <c r="T293" s="113"/>
      <c r="U293" s="113"/>
      <c r="V293" s="113"/>
    </row>
    <row r="294" customFormat="false" ht="15" hidden="false" customHeight="true" outlineLevel="0" collapsed="false">
      <c r="H294" s="113"/>
      <c r="I294" s="113"/>
      <c r="J294" s="113"/>
      <c r="L294" s="113"/>
      <c r="M294" s="113"/>
      <c r="N294" s="113"/>
      <c r="P294" s="113"/>
      <c r="Q294" s="113"/>
      <c r="R294" s="113"/>
      <c r="T294" s="113"/>
      <c r="U294" s="113"/>
      <c r="V294" s="113"/>
    </row>
    <row r="295" customFormat="false" ht="15" hidden="false" customHeight="true" outlineLevel="0" collapsed="false">
      <c r="H295" s="113"/>
      <c r="I295" s="113"/>
      <c r="J295" s="113"/>
      <c r="L295" s="113"/>
      <c r="M295" s="113"/>
      <c r="N295" s="113"/>
      <c r="P295" s="113"/>
      <c r="Q295" s="113"/>
      <c r="R295" s="113"/>
      <c r="T295" s="113"/>
      <c r="U295" s="113"/>
      <c r="V295" s="113"/>
    </row>
    <row r="296" customFormat="false" ht="15" hidden="false" customHeight="true" outlineLevel="0" collapsed="false">
      <c r="H296" s="113"/>
      <c r="I296" s="113"/>
      <c r="J296" s="113"/>
      <c r="L296" s="113"/>
      <c r="M296" s="113"/>
      <c r="N296" s="113"/>
      <c r="P296" s="113"/>
      <c r="Q296" s="113"/>
      <c r="R296" s="113"/>
      <c r="T296" s="113"/>
      <c r="U296" s="113"/>
      <c r="V296" s="113"/>
    </row>
    <row r="297" customFormat="false" ht="15" hidden="false" customHeight="true" outlineLevel="0" collapsed="false">
      <c r="H297" s="113"/>
      <c r="I297" s="113"/>
      <c r="J297" s="113"/>
      <c r="L297" s="113"/>
      <c r="M297" s="113"/>
      <c r="N297" s="113"/>
      <c r="P297" s="113"/>
      <c r="Q297" s="113"/>
      <c r="R297" s="113"/>
      <c r="T297" s="113"/>
      <c r="U297" s="113"/>
      <c r="V297" s="113"/>
    </row>
    <row r="298" customFormat="false" ht="15" hidden="false" customHeight="true" outlineLevel="0" collapsed="false">
      <c r="H298" s="113"/>
      <c r="I298" s="113"/>
      <c r="J298" s="113"/>
      <c r="L298" s="113"/>
      <c r="M298" s="113"/>
      <c r="N298" s="113"/>
      <c r="P298" s="113"/>
      <c r="Q298" s="113"/>
      <c r="R298" s="113"/>
      <c r="T298" s="113"/>
      <c r="U298" s="113"/>
      <c r="V298" s="113"/>
    </row>
    <row r="299" customFormat="false" ht="15" hidden="false" customHeight="true" outlineLevel="0" collapsed="false">
      <c r="H299" s="113"/>
      <c r="I299" s="113"/>
      <c r="J299" s="113"/>
      <c r="L299" s="113"/>
      <c r="M299" s="113"/>
      <c r="N299" s="113"/>
      <c r="P299" s="113"/>
      <c r="Q299" s="113"/>
      <c r="R299" s="113"/>
      <c r="T299" s="113"/>
      <c r="U299" s="113"/>
      <c r="V299" s="113"/>
    </row>
    <row r="300" customFormat="false" ht="15" hidden="false" customHeight="true" outlineLevel="0" collapsed="false">
      <c r="H300" s="113"/>
      <c r="I300" s="113"/>
      <c r="J300" s="113"/>
      <c r="L300" s="113"/>
      <c r="M300" s="113"/>
      <c r="N300" s="113"/>
      <c r="P300" s="113"/>
      <c r="Q300" s="113"/>
      <c r="R300" s="113"/>
      <c r="T300" s="113"/>
      <c r="U300" s="113"/>
      <c r="V300" s="113"/>
    </row>
    <row r="301" customFormat="false" ht="15" hidden="false" customHeight="true" outlineLevel="0" collapsed="false">
      <c r="H301" s="113"/>
      <c r="I301" s="113"/>
      <c r="J301" s="113"/>
      <c r="L301" s="113"/>
      <c r="M301" s="113"/>
      <c r="N301" s="113"/>
      <c r="P301" s="113"/>
      <c r="Q301" s="113"/>
      <c r="R301" s="113"/>
      <c r="T301" s="113"/>
      <c r="U301" s="113"/>
      <c r="V301" s="113"/>
    </row>
    <row r="302" customFormat="false" ht="15" hidden="false" customHeight="true" outlineLevel="0" collapsed="false">
      <c r="H302" s="113"/>
      <c r="I302" s="113"/>
      <c r="J302" s="113"/>
      <c r="L302" s="113"/>
      <c r="M302" s="113"/>
      <c r="N302" s="113"/>
      <c r="P302" s="113"/>
      <c r="Q302" s="113"/>
      <c r="R302" s="113"/>
      <c r="T302" s="113"/>
      <c r="U302" s="113"/>
      <c r="V302" s="113"/>
    </row>
    <row r="303" customFormat="false" ht="15" hidden="false" customHeight="true" outlineLevel="0" collapsed="false">
      <c r="H303" s="113"/>
      <c r="I303" s="113"/>
      <c r="J303" s="113"/>
      <c r="L303" s="113"/>
      <c r="M303" s="113"/>
      <c r="N303" s="113"/>
      <c r="P303" s="113"/>
      <c r="Q303" s="113"/>
      <c r="R303" s="113"/>
      <c r="T303" s="113"/>
      <c r="U303" s="113"/>
      <c r="V303" s="113"/>
    </row>
    <row r="304" customFormat="false" ht="15" hidden="false" customHeight="true" outlineLevel="0" collapsed="false">
      <c r="H304" s="113"/>
      <c r="I304" s="113"/>
      <c r="J304" s="113"/>
      <c r="L304" s="113"/>
      <c r="M304" s="113"/>
      <c r="N304" s="113"/>
      <c r="P304" s="113"/>
      <c r="Q304" s="113"/>
      <c r="R304" s="113"/>
      <c r="T304" s="113"/>
      <c r="U304" s="113"/>
      <c r="V304" s="113"/>
    </row>
    <row r="305" customFormat="false" ht="15" hidden="false" customHeight="true" outlineLevel="0" collapsed="false">
      <c r="H305" s="113"/>
      <c r="I305" s="113"/>
      <c r="J305" s="113"/>
      <c r="L305" s="113"/>
      <c r="M305" s="113"/>
      <c r="N305" s="113"/>
      <c r="P305" s="113"/>
      <c r="Q305" s="113"/>
      <c r="R305" s="113"/>
      <c r="T305" s="113"/>
      <c r="U305" s="113"/>
      <c r="V305" s="113"/>
    </row>
    <row r="306" customFormat="false" ht="15" hidden="false" customHeight="true" outlineLevel="0" collapsed="false">
      <c r="H306" s="113"/>
      <c r="I306" s="113"/>
      <c r="J306" s="113"/>
      <c r="L306" s="113"/>
      <c r="M306" s="113"/>
      <c r="N306" s="113"/>
      <c r="P306" s="113"/>
      <c r="Q306" s="113"/>
      <c r="R306" s="113"/>
      <c r="T306" s="113"/>
      <c r="U306" s="113"/>
      <c r="V306" s="113"/>
    </row>
    <row r="307" customFormat="false" ht="15" hidden="false" customHeight="true" outlineLevel="0" collapsed="false">
      <c r="H307" s="113"/>
      <c r="I307" s="113"/>
      <c r="J307" s="113"/>
      <c r="L307" s="113"/>
      <c r="M307" s="113"/>
      <c r="N307" s="113"/>
      <c r="P307" s="113"/>
      <c r="Q307" s="113"/>
      <c r="R307" s="113"/>
      <c r="T307" s="113"/>
      <c r="U307" s="113"/>
      <c r="V307" s="113"/>
    </row>
    <row r="308" customFormat="false" ht="15" hidden="false" customHeight="true" outlineLevel="0" collapsed="false">
      <c r="H308" s="113"/>
      <c r="I308" s="113"/>
      <c r="J308" s="113"/>
      <c r="L308" s="113"/>
      <c r="M308" s="113"/>
      <c r="N308" s="113"/>
      <c r="P308" s="113"/>
      <c r="Q308" s="113"/>
      <c r="R308" s="113"/>
      <c r="T308" s="113"/>
      <c r="U308" s="113"/>
      <c r="V308" s="113"/>
    </row>
    <row r="309" customFormat="false" ht="15" hidden="false" customHeight="true" outlineLevel="0" collapsed="false">
      <c r="H309" s="113"/>
      <c r="I309" s="113"/>
      <c r="J309" s="113"/>
      <c r="L309" s="113"/>
      <c r="M309" s="113"/>
      <c r="N309" s="113"/>
      <c r="P309" s="113"/>
      <c r="Q309" s="113"/>
      <c r="R309" s="113"/>
      <c r="T309" s="113"/>
      <c r="U309" s="113"/>
      <c r="V309" s="113"/>
    </row>
    <row r="310" customFormat="false" ht="15" hidden="false" customHeight="true" outlineLevel="0" collapsed="false">
      <c r="H310" s="113"/>
      <c r="I310" s="113"/>
      <c r="J310" s="113"/>
      <c r="L310" s="113"/>
      <c r="M310" s="113"/>
      <c r="N310" s="113"/>
      <c r="P310" s="113"/>
      <c r="Q310" s="113"/>
      <c r="R310" s="113"/>
      <c r="T310" s="113"/>
      <c r="U310" s="113"/>
      <c r="V310" s="113"/>
    </row>
    <row r="311" customFormat="false" ht="15" hidden="false" customHeight="true" outlineLevel="0" collapsed="false">
      <c r="H311" s="113"/>
      <c r="I311" s="113"/>
      <c r="J311" s="113"/>
      <c r="L311" s="113"/>
      <c r="M311" s="113"/>
      <c r="N311" s="113"/>
      <c r="P311" s="113"/>
      <c r="Q311" s="113"/>
      <c r="R311" s="113"/>
      <c r="T311" s="113"/>
      <c r="U311" s="113"/>
      <c r="V311" s="113"/>
    </row>
    <row r="312" customFormat="false" ht="15" hidden="false" customHeight="true" outlineLevel="0" collapsed="false">
      <c r="H312" s="113"/>
      <c r="I312" s="113"/>
      <c r="J312" s="113"/>
      <c r="L312" s="113"/>
      <c r="M312" s="113"/>
      <c r="N312" s="113"/>
      <c r="P312" s="113"/>
      <c r="Q312" s="113"/>
      <c r="R312" s="113"/>
      <c r="T312" s="113"/>
      <c r="U312" s="113"/>
      <c r="V312" s="113"/>
    </row>
    <row r="313" customFormat="false" ht="15" hidden="false" customHeight="true" outlineLevel="0" collapsed="false">
      <c r="H313" s="113"/>
      <c r="I313" s="113"/>
      <c r="J313" s="113"/>
      <c r="L313" s="113"/>
      <c r="M313" s="113"/>
      <c r="N313" s="113"/>
      <c r="P313" s="113"/>
      <c r="Q313" s="113"/>
      <c r="R313" s="113"/>
      <c r="T313" s="113"/>
      <c r="U313" s="113"/>
      <c r="V313" s="113"/>
    </row>
    <row r="314" customFormat="false" ht="15" hidden="false" customHeight="true" outlineLevel="0" collapsed="false">
      <c r="H314" s="113"/>
      <c r="I314" s="113"/>
      <c r="J314" s="113"/>
      <c r="L314" s="113"/>
      <c r="M314" s="113"/>
      <c r="N314" s="113"/>
      <c r="P314" s="113"/>
      <c r="Q314" s="113"/>
      <c r="R314" s="113"/>
      <c r="T314" s="113"/>
      <c r="U314" s="113"/>
      <c r="V314" s="113"/>
    </row>
    <row r="315" customFormat="false" ht="15" hidden="false" customHeight="true" outlineLevel="0" collapsed="false">
      <c r="H315" s="113"/>
      <c r="I315" s="113"/>
      <c r="J315" s="113"/>
      <c r="L315" s="113"/>
      <c r="M315" s="113"/>
      <c r="N315" s="113"/>
      <c r="P315" s="113"/>
      <c r="Q315" s="113"/>
      <c r="R315" s="113"/>
      <c r="T315" s="113"/>
      <c r="U315" s="113"/>
      <c r="V315" s="113"/>
    </row>
    <row r="316" customFormat="false" ht="15" hidden="false" customHeight="true" outlineLevel="0" collapsed="false">
      <c r="H316" s="113"/>
      <c r="I316" s="113"/>
      <c r="J316" s="113"/>
      <c r="L316" s="113"/>
      <c r="M316" s="113"/>
      <c r="N316" s="113"/>
      <c r="P316" s="113"/>
      <c r="Q316" s="113"/>
      <c r="R316" s="113"/>
      <c r="T316" s="113"/>
      <c r="U316" s="113"/>
      <c r="V316" s="113"/>
    </row>
    <row r="317" customFormat="false" ht="15" hidden="false" customHeight="true" outlineLevel="0" collapsed="false">
      <c r="H317" s="113"/>
      <c r="I317" s="113"/>
      <c r="J317" s="113"/>
      <c r="L317" s="113"/>
      <c r="M317" s="113"/>
      <c r="N317" s="113"/>
      <c r="P317" s="113"/>
      <c r="Q317" s="113"/>
      <c r="R317" s="113"/>
      <c r="T317" s="113"/>
      <c r="U317" s="113"/>
      <c r="V317" s="113"/>
    </row>
    <row r="318" customFormat="false" ht="15" hidden="false" customHeight="true" outlineLevel="0" collapsed="false">
      <c r="H318" s="113"/>
      <c r="I318" s="113"/>
      <c r="J318" s="113"/>
      <c r="L318" s="113"/>
      <c r="M318" s="113"/>
      <c r="N318" s="113"/>
      <c r="P318" s="113"/>
      <c r="Q318" s="113"/>
      <c r="R318" s="113"/>
      <c r="T318" s="113"/>
      <c r="U318" s="113"/>
      <c r="V318" s="113"/>
    </row>
    <row r="319" customFormat="false" ht="15" hidden="false" customHeight="true" outlineLevel="0" collapsed="false">
      <c r="H319" s="113"/>
      <c r="I319" s="113"/>
      <c r="J319" s="113"/>
      <c r="L319" s="113"/>
      <c r="M319" s="113"/>
      <c r="N319" s="113"/>
      <c r="P319" s="113"/>
      <c r="Q319" s="113"/>
      <c r="R319" s="113"/>
      <c r="T319" s="113"/>
      <c r="U319" s="113"/>
      <c r="V319" s="113"/>
    </row>
    <row r="320" customFormat="false" ht="15" hidden="false" customHeight="true" outlineLevel="0" collapsed="false">
      <c r="H320" s="113"/>
      <c r="I320" s="113"/>
      <c r="J320" s="113"/>
      <c r="L320" s="113"/>
      <c r="M320" s="113"/>
      <c r="N320" s="113"/>
      <c r="P320" s="113"/>
      <c r="Q320" s="113"/>
      <c r="R320" s="113"/>
      <c r="T320" s="113"/>
      <c r="U320" s="113"/>
      <c r="V320" s="113"/>
    </row>
    <row r="321" customFormat="false" ht="15" hidden="false" customHeight="true" outlineLevel="0" collapsed="false">
      <c r="H321" s="113"/>
      <c r="I321" s="113"/>
      <c r="J321" s="113"/>
      <c r="L321" s="113"/>
      <c r="M321" s="113"/>
      <c r="N321" s="113"/>
      <c r="P321" s="113"/>
      <c r="Q321" s="113"/>
      <c r="R321" s="113"/>
      <c r="T321" s="113"/>
      <c r="U321" s="113"/>
      <c r="V321" s="113"/>
    </row>
    <row r="322" customFormat="false" ht="15" hidden="false" customHeight="true" outlineLevel="0" collapsed="false">
      <c r="H322" s="113"/>
      <c r="I322" s="113"/>
      <c r="J322" s="113"/>
      <c r="L322" s="113"/>
      <c r="M322" s="113"/>
      <c r="N322" s="113"/>
      <c r="P322" s="113"/>
      <c r="Q322" s="113"/>
      <c r="R322" s="113"/>
      <c r="T322" s="113"/>
      <c r="U322" s="113"/>
      <c r="V322" s="113"/>
    </row>
    <row r="323" customFormat="false" ht="15" hidden="false" customHeight="true" outlineLevel="0" collapsed="false">
      <c r="H323" s="113"/>
      <c r="I323" s="113"/>
      <c r="J323" s="113"/>
      <c r="L323" s="113"/>
      <c r="M323" s="113"/>
      <c r="N323" s="113"/>
      <c r="P323" s="113"/>
      <c r="Q323" s="113"/>
      <c r="R323" s="113"/>
      <c r="T323" s="113"/>
      <c r="U323" s="113"/>
      <c r="V323" s="113"/>
    </row>
    <row r="324" customFormat="false" ht="15" hidden="false" customHeight="true" outlineLevel="0" collapsed="false">
      <c r="H324" s="113"/>
      <c r="I324" s="113"/>
      <c r="J324" s="113"/>
      <c r="L324" s="113"/>
      <c r="M324" s="113"/>
      <c r="N324" s="113"/>
      <c r="P324" s="113"/>
      <c r="Q324" s="113"/>
      <c r="R324" s="113"/>
      <c r="T324" s="113"/>
      <c r="U324" s="113"/>
      <c r="V324" s="113"/>
    </row>
    <row r="325" customFormat="false" ht="15" hidden="false" customHeight="true" outlineLevel="0" collapsed="false">
      <c r="H325" s="113"/>
      <c r="I325" s="113"/>
      <c r="J325" s="113"/>
      <c r="L325" s="113"/>
      <c r="M325" s="113"/>
      <c r="N325" s="113"/>
      <c r="P325" s="113"/>
      <c r="Q325" s="113"/>
      <c r="R325" s="113"/>
      <c r="T325" s="113"/>
      <c r="U325" s="113"/>
      <c r="V325" s="113"/>
    </row>
    <row r="326" customFormat="false" ht="15" hidden="false" customHeight="true" outlineLevel="0" collapsed="false">
      <c r="H326" s="113"/>
      <c r="I326" s="113"/>
      <c r="J326" s="113"/>
      <c r="L326" s="113"/>
      <c r="M326" s="113"/>
      <c r="N326" s="113"/>
      <c r="P326" s="113"/>
      <c r="Q326" s="113"/>
      <c r="R326" s="113"/>
      <c r="T326" s="113"/>
      <c r="U326" s="113"/>
      <c r="V326" s="113"/>
    </row>
    <row r="327" customFormat="false" ht="15" hidden="false" customHeight="true" outlineLevel="0" collapsed="false">
      <c r="H327" s="113"/>
      <c r="I327" s="113"/>
      <c r="J327" s="113"/>
      <c r="L327" s="113"/>
      <c r="M327" s="113"/>
      <c r="N327" s="113"/>
      <c r="P327" s="113"/>
      <c r="Q327" s="113"/>
      <c r="R327" s="113"/>
      <c r="T327" s="113"/>
      <c r="U327" s="113"/>
      <c r="V327" s="113"/>
    </row>
    <row r="328" customFormat="false" ht="15" hidden="false" customHeight="true" outlineLevel="0" collapsed="false">
      <c r="H328" s="113"/>
      <c r="I328" s="113"/>
      <c r="J328" s="113"/>
      <c r="L328" s="113"/>
      <c r="M328" s="113"/>
      <c r="N328" s="113"/>
      <c r="P328" s="113"/>
      <c r="Q328" s="113"/>
      <c r="R328" s="113"/>
      <c r="T328" s="113"/>
      <c r="U328" s="113"/>
      <c r="V328" s="113"/>
    </row>
    <row r="329" customFormat="false" ht="15" hidden="false" customHeight="true" outlineLevel="0" collapsed="false">
      <c r="H329" s="113"/>
      <c r="I329" s="113"/>
      <c r="J329" s="113"/>
      <c r="L329" s="113"/>
      <c r="M329" s="113"/>
      <c r="N329" s="113"/>
      <c r="P329" s="113"/>
      <c r="Q329" s="113"/>
      <c r="R329" s="113"/>
      <c r="T329" s="113"/>
      <c r="U329" s="113"/>
      <c r="V329" s="113"/>
    </row>
    <row r="330" customFormat="false" ht="15" hidden="false" customHeight="true" outlineLevel="0" collapsed="false">
      <c r="H330" s="113"/>
      <c r="I330" s="113"/>
      <c r="J330" s="113"/>
      <c r="L330" s="113"/>
      <c r="M330" s="113"/>
      <c r="N330" s="113"/>
      <c r="P330" s="113"/>
      <c r="Q330" s="113"/>
      <c r="R330" s="113"/>
      <c r="T330" s="113"/>
      <c r="U330" s="113"/>
      <c r="V330" s="113"/>
    </row>
    <row r="331" customFormat="false" ht="15" hidden="false" customHeight="true" outlineLevel="0" collapsed="false">
      <c r="H331" s="113"/>
      <c r="I331" s="113"/>
      <c r="J331" s="113"/>
      <c r="L331" s="113"/>
      <c r="M331" s="113"/>
      <c r="N331" s="113"/>
      <c r="P331" s="113"/>
      <c r="Q331" s="113"/>
      <c r="R331" s="113"/>
      <c r="T331" s="113"/>
      <c r="U331" s="113"/>
      <c r="V331" s="113"/>
    </row>
    <row r="332" customFormat="false" ht="15" hidden="false" customHeight="true" outlineLevel="0" collapsed="false">
      <c r="H332" s="113"/>
      <c r="I332" s="113"/>
      <c r="J332" s="113"/>
      <c r="L332" s="113"/>
      <c r="M332" s="113"/>
      <c r="N332" s="113"/>
      <c r="P332" s="113"/>
      <c r="Q332" s="113"/>
      <c r="R332" s="113"/>
      <c r="T332" s="113"/>
      <c r="U332" s="113"/>
      <c r="V332" s="113"/>
    </row>
    <row r="333" customFormat="false" ht="15" hidden="false" customHeight="true" outlineLevel="0" collapsed="false">
      <c r="H333" s="113"/>
      <c r="I333" s="113"/>
      <c r="J333" s="113"/>
      <c r="L333" s="113"/>
      <c r="M333" s="113"/>
      <c r="N333" s="113"/>
      <c r="P333" s="113"/>
      <c r="Q333" s="113"/>
      <c r="R333" s="113"/>
      <c r="T333" s="113"/>
      <c r="U333" s="113"/>
      <c r="V333" s="113"/>
    </row>
    <row r="334" customFormat="false" ht="15" hidden="false" customHeight="true" outlineLevel="0" collapsed="false">
      <c r="H334" s="113"/>
      <c r="I334" s="113"/>
      <c r="J334" s="113"/>
      <c r="L334" s="113"/>
      <c r="M334" s="113"/>
      <c r="N334" s="113"/>
      <c r="P334" s="113"/>
      <c r="Q334" s="113"/>
      <c r="R334" s="113"/>
      <c r="T334" s="113"/>
      <c r="U334" s="113"/>
      <c r="V334" s="113"/>
    </row>
    <row r="335" customFormat="false" ht="15" hidden="false" customHeight="true" outlineLevel="0" collapsed="false">
      <c r="H335" s="113"/>
      <c r="I335" s="113"/>
      <c r="J335" s="113"/>
      <c r="L335" s="113"/>
      <c r="M335" s="113"/>
      <c r="N335" s="113"/>
      <c r="P335" s="113"/>
      <c r="Q335" s="113"/>
      <c r="R335" s="113"/>
      <c r="T335" s="113"/>
      <c r="U335" s="113"/>
      <c r="V335" s="113"/>
    </row>
    <row r="336" customFormat="false" ht="15" hidden="false" customHeight="true" outlineLevel="0" collapsed="false">
      <c r="H336" s="113"/>
      <c r="I336" s="113"/>
      <c r="J336" s="113"/>
      <c r="L336" s="113"/>
      <c r="M336" s="113"/>
      <c r="N336" s="113"/>
      <c r="P336" s="113"/>
      <c r="Q336" s="113"/>
      <c r="R336" s="113"/>
      <c r="T336" s="113"/>
      <c r="U336" s="113"/>
      <c r="V336" s="113"/>
    </row>
    <row r="337" customFormat="false" ht="15" hidden="false" customHeight="true" outlineLevel="0" collapsed="false">
      <c r="H337" s="113"/>
      <c r="I337" s="113"/>
      <c r="J337" s="113"/>
      <c r="L337" s="113"/>
      <c r="M337" s="113"/>
      <c r="N337" s="113"/>
      <c r="P337" s="113"/>
      <c r="Q337" s="113"/>
      <c r="R337" s="113"/>
      <c r="T337" s="113"/>
      <c r="U337" s="113"/>
      <c r="V337" s="113"/>
    </row>
    <row r="338" customFormat="false" ht="15" hidden="false" customHeight="true" outlineLevel="0" collapsed="false">
      <c r="H338" s="113"/>
      <c r="I338" s="113"/>
      <c r="J338" s="113"/>
      <c r="L338" s="113"/>
      <c r="M338" s="113"/>
      <c r="N338" s="113"/>
      <c r="P338" s="113"/>
      <c r="Q338" s="113"/>
      <c r="R338" s="113"/>
      <c r="T338" s="113"/>
      <c r="U338" s="113"/>
      <c r="V338" s="113"/>
    </row>
    <row r="339" customFormat="false" ht="15" hidden="false" customHeight="true" outlineLevel="0" collapsed="false">
      <c r="H339" s="113"/>
      <c r="I339" s="113"/>
      <c r="J339" s="113"/>
      <c r="L339" s="113"/>
      <c r="M339" s="113"/>
      <c r="N339" s="113"/>
      <c r="P339" s="113"/>
      <c r="Q339" s="113"/>
      <c r="R339" s="113"/>
      <c r="T339" s="113"/>
      <c r="U339" s="113"/>
      <c r="V339" s="113"/>
    </row>
    <row r="340" customFormat="false" ht="15" hidden="false" customHeight="true" outlineLevel="0" collapsed="false">
      <c r="H340" s="113"/>
      <c r="I340" s="113"/>
      <c r="J340" s="113"/>
      <c r="L340" s="113"/>
      <c r="M340" s="113"/>
      <c r="N340" s="113"/>
      <c r="P340" s="113"/>
      <c r="Q340" s="113"/>
      <c r="R340" s="113"/>
      <c r="T340" s="113"/>
      <c r="U340" s="113"/>
      <c r="V340" s="113"/>
    </row>
    <row r="341" customFormat="false" ht="15" hidden="false" customHeight="true" outlineLevel="0" collapsed="false">
      <c r="H341" s="113"/>
      <c r="I341" s="113"/>
      <c r="J341" s="113"/>
      <c r="L341" s="113"/>
      <c r="M341" s="113"/>
      <c r="N341" s="113"/>
      <c r="P341" s="113"/>
      <c r="Q341" s="113"/>
      <c r="R341" s="113"/>
      <c r="T341" s="113"/>
      <c r="U341" s="113"/>
      <c r="V341" s="113"/>
    </row>
    <row r="342" customFormat="false" ht="15" hidden="false" customHeight="true" outlineLevel="0" collapsed="false">
      <c r="H342" s="113"/>
      <c r="I342" s="113"/>
      <c r="J342" s="113"/>
      <c r="L342" s="113"/>
      <c r="M342" s="113"/>
      <c r="N342" s="113"/>
      <c r="P342" s="113"/>
      <c r="Q342" s="113"/>
      <c r="R342" s="113"/>
      <c r="T342" s="113"/>
      <c r="U342" s="113"/>
      <c r="V342" s="113"/>
    </row>
    <row r="343" customFormat="false" ht="15" hidden="false" customHeight="true" outlineLevel="0" collapsed="false">
      <c r="H343" s="113"/>
      <c r="I343" s="113"/>
      <c r="J343" s="113"/>
      <c r="L343" s="113"/>
      <c r="M343" s="113"/>
      <c r="N343" s="113"/>
      <c r="P343" s="113"/>
      <c r="Q343" s="113"/>
      <c r="R343" s="113"/>
      <c r="T343" s="113"/>
      <c r="U343" s="113"/>
      <c r="V343" s="113"/>
    </row>
    <row r="344" customFormat="false" ht="15" hidden="false" customHeight="true" outlineLevel="0" collapsed="false">
      <c r="H344" s="113"/>
      <c r="I344" s="113"/>
      <c r="J344" s="113"/>
      <c r="L344" s="113"/>
      <c r="M344" s="113"/>
      <c r="N344" s="113"/>
      <c r="P344" s="113"/>
      <c r="Q344" s="113"/>
      <c r="R344" s="113"/>
      <c r="T344" s="113"/>
      <c r="U344" s="113"/>
      <c r="V344" s="113"/>
    </row>
    <row r="345" customFormat="false" ht="15" hidden="false" customHeight="true" outlineLevel="0" collapsed="false">
      <c r="H345" s="113"/>
      <c r="I345" s="113"/>
      <c r="J345" s="113"/>
      <c r="L345" s="113"/>
      <c r="M345" s="113"/>
      <c r="N345" s="113"/>
      <c r="P345" s="113"/>
      <c r="Q345" s="113"/>
      <c r="R345" s="113"/>
      <c r="T345" s="113"/>
      <c r="U345" s="113"/>
      <c r="V345" s="113"/>
    </row>
    <row r="346" customFormat="false" ht="15" hidden="false" customHeight="true" outlineLevel="0" collapsed="false">
      <c r="H346" s="113"/>
      <c r="I346" s="113"/>
      <c r="J346" s="113"/>
      <c r="L346" s="113"/>
      <c r="M346" s="113"/>
      <c r="N346" s="113"/>
      <c r="P346" s="113"/>
      <c r="Q346" s="113"/>
      <c r="R346" s="113"/>
      <c r="T346" s="113"/>
      <c r="U346" s="113"/>
      <c r="V346" s="113"/>
    </row>
    <row r="347" customFormat="false" ht="15" hidden="false" customHeight="true" outlineLevel="0" collapsed="false">
      <c r="H347" s="113"/>
      <c r="I347" s="113"/>
      <c r="J347" s="113"/>
      <c r="L347" s="113"/>
      <c r="M347" s="113"/>
      <c r="N347" s="113"/>
      <c r="P347" s="113"/>
      <c r="Q347" s="113"/>
      <c r="R347" s="113"/>
      <c r="T347" s="113"/>
      <c r="U347" s="113"/>
      <c r="V347" s="113"/>
    </row>
    <row r="348" customFormat="false" ht="15" hidden="false" customHeight="true" outlineLevel="0" collapsed="false">
      <c r="H348" s="113"/>
      <c r="I348" s="113"/>
      <c r="J348" s="113"/>
      <c r="L348" s="113"/>
      <c r="M348" s="113"/>
      <c r="N348" s="113"/>
      <c r="P348" s="113"/>
      <c r="Q348" s="113"/>
      <c r="R348" s="113"/>
      <c r="T348" s="113"/>
      <c r="U348" s="113"/>
      <c r="V348" s="113"/>
    </row>
    <row r="349" customFormat="false" ht="15" hidden="false" customHeight="true" outlineLevel="0" collapsed="false">
      <c r="H349" s="113"/>
      <c r="I349" s="113"/>
      <c r="J349" s="113"/>
      <c r="L349" s="113"/>
      <c r="M349" s="113"/>
      <c r="N349" s="113"/>
      <c r="P349" s="113"/>
      <c r="Q349" s="113"/>
      <c r="R349" s="113"/>
      <c r="T349" s="113"/>
      <c r="U349" s="113"/>
      <c r="V349" s="113"/>
    </row>
    <row r="350" customFormat="false" ht="15" hidden="false" customHeight="true" outlineLevel="0" collapsed="false">
      <c r="H350" s="113"/>
      <c r="I350" s="113"/>
      <c r="J350" s="113"/>
      <c r="L350" s="113"/>
      <c r="M350" s="113"/>
      <c r="N350" s="113"/>
      <c r="P350" s="113"/>
      <c r="Q350" s="113"/>
      <c r="R350" s="113"/>
      <c r="T350" s="113"/>
      <c r="U350" s="113"/>
      <c r="V350" s="113"/>
    </row>
    <row r="351" customFormat="false" ht="15" hidden="false" customHeight="true" outlineLevel="0" collapsed="false">
      <c r="H351" s="113"/>
      <c r="I351" s="113"/>
      <c r="J351" s="113"/>
      <c r="L351" s="113"/>
      <c r="M351" s="113"/>
      <c r="N351" s="113"/>
      <c r="P351" s="113"/>
      <c r="Q351" s="113"/>
      <c r="R351" s="113"/>
      <c r="T351" s="113"/>
      <c r="U351" s="113"/>
      <c r="V351" s="113"/>
    </row>
    <row r="352" customFormat="false" ht="15" hidden="false" customHeight="true" outlineLevel="0" collapsed="false">
      <c r="H352" s="113"/>
      <c r="I352" s="113"/>
      <c r="J352" s="113"/>
      <c r="L352" s="113"/>
      <c r="M352" s="113"/>
      <c r="N352" s="113"/>
      <c r="P352" s="113"/>
      <c r="Q352" s="113"/>
      <c r="R352" s="113"/>
      <c r="T352" s="113"/>
      <c r="U352" s="113"/>
      <c r="V352" s="113"/>
    </row>
    <row r="353" customFormat="false" ht="15" hidden="false" customHeight="true" outlineLevel="0" collapsed="false">
      <c r="H353" s="113"/>
      <c r="I353" s="113"/>
      <c r="J353" s="113"/>
      <c r="L353" s="113"/>
      <c r="M353" s="113"/>
      <c r="N353" s="113"/>
      <c r="P353" s="113"/>
      <c r="Q353" s="113"/>
      <c r="R353" s="113"/>
      <c r="T353" s="113"/>
      <c r="U353" s="113"/>
      <c r="V353" s="113"/>
    </row>
    <row r="354" customFormat="false" ht="15" hidden="false" customHeight="true" outlineLevel="0" collapsed="false">
      <c r="H354" s="113"/>
      <c r="I354" s="113"/>
      <c r="J354" s="113"/>
      <c r="L354" s="113"/>
      <c r="M354" s="113"/>
      <c r="N354" s="113"/>
      <c r="P354" s="113"/>
      <c r="Q354" s="113"/>
      <c r="R354" s="113"/>
      <c r="T354" s="113"/>
      <c r="U354" s="113"/>
      <c r="V354" s="113"/>
    </row>
    <row r="355" customFormat="false" ht="15" hidden="false" customHeight="true" outlineLevel="0" collapsed="false">
      <c r="H355" s="113"/>
      <c r="I355" s="113"/>
      <c r="J355" s="113"/>
      <c r="L355" s="113"/>
      <c r="M355" s="113"/>
      <c r="N355" s="113"/>
      <c r="P355" s="113"/>
      <c r="Q355" s="113"/>
      <c r="R355" s="113"/>
      <c r="T355" s="113"/>
      <c r="U355" s="113"/>
      <c r="V355" s="113"/>
    </row>
    <row r="356" customFormat="false" ht="15" hidden="false" customHeight="true" outlineLevel="0" collapsed="false">
      <c r="H356" s="113"/>
      <c r="I356" s="113"/>
      <c r="J356" s="113"/>
      <c r="L356" s="113"/>
      <c r="M356" s="113"/>
      <c r="N356" s="113"/>
      <c r="P356" s="113"/>
      <c r="Q356" s="113"/>
      <c r="R356" s="113"/>
      <c r="T356" s="113"/>
      <c r="U356" s="113"/>
      <c r="V356" s="113"/>
    </row>
    <row r="357" customFormat="false" ht="15" hidden="false" customHeight="true" outlineLevel="0" collapsed="false">
      <c r="H357" s="113"/>
      <c r="I357" s="113"/>
      <c r="J357" s="113"/>
      <c r="L357" s="113"/>
      <c r="M357" s="113"/>
      <c r="N357" s="113"/>
      <c r="P357" s="113"/>
      <c r="Q357" s="113"/>
      <c r="R357" s="113"/>
      <c r="T357" s="113"/>
      <c r="U357" s="113"/>
      <c r="V357" s="113"/>
    </row>
    <row r="358" customFormat="false" ht="15" hidden="false" customHeight="true" outlineLevel="0" collapsed="false">
      <c r="H358" s="113"/>
      <c r="I358" s="113"/>
      <c r="J358" s="113"/>
      <c r="L358" s="113"/>
      <c r="M358" s="113"/>
      <c r="N358" s="113"/>
      <c r="P358" s="113"/>
      <c r="Q358" s="113"/>
      <c r="R358" s="113"/>
      <c r="T358" s="113"/>
      <c r="U358" s="113"/>
      <c r="V358" s="113"/>
    </row>
    <row r="359" customFormat="false" ht="15" hidden="false" customHeight="true" outlineLevel="0" collapsed="false">
      <c r="H359" s="113"/>
      <c r="I359" s="113"/>
      <c r="J359" s="113"/>
      <c r="L359" s="113"/>
      <c r="M359" s="113"/>
      <c r="N359" s="113"/>
      <c r="P359" s="113"/>
      <c r="Q359" s="113"/>
      <c r="R359" s="113"/>
      <c r="T359" s="113"/>
      <c r="U359" s="113"/>
      <c r="V359" s="113"/>
    </row>
    <row r="360" customFormat="false" ht="15" hidden="false" customHeight="true" outlineLevel="0" collapsed="false">
      <c r="H360" s="113"/>
      <c r="I360" s="113"/>
      <c r="J360" s="113"/>
      <c r="L360" s="113"/>
      <c r="M360" s="113"/>
      <c r="N360" s="113"/>
      <c r="P360" s="113"/>
      <c r="Q360" s="113"/>
      <c r="R360" s="113"/>
      <c r="T360" s="113"/>
      <c r="U360" s="113"/>
      <c r="V360" s="113"/>
    </row>
    <row r="361" customFormat="false" ht="15" hidden="false" customHeight="true" outlineLevel="0" collapsed="false">
      <c r="H361" s="113"/>
      <c r="I361" s="113"/>
      <c r="J361" s="113"/>
      <c r="L361" s="113"/>
      <c r="M361" s="113"/>
      <c r="N361" s="113"/>
      <c r="P361" s="113"/>
      <c r="Q361" s="113"/>
      <c r="R361" s="113"/>
      <c r="T361" s="113"/>
      <c r="U361" s="113"/>
      <c r="V361" s="113"/>
    </row>
    <row r="362" customFormat="false" ht="15" hidden="false" customHeight="true" outlineLevel="0" collapsed="false">
      <c r="H362" s="113"/>
      <c r="I362" s="113"/>
      <c r="J362" s="113"/>
      <c r="L362" s="113"/>
      <c r="M362" s="113"/>
      <c r="N362" s="113"/>
      <c r="P362" s="113"/>
      <c r="Q362" s="113"/>
      <c r="R362" s="113"/>
      <c r="T362" s="113"/>
      <c r="U362" s="113"/>
      <c r="V362" s="113"/>
    </row>
    <row r="363" customFormat="false" ht="15" hidden="false" customHeight="true" outlineLevel="0" collapsed="false">
      <c r="H363" s="113"/>
      <c r="I363" s="113"/>
      <c r="J363" s="113"/>
      <c r="L363" s="113"/>
      <c r="M363" s="113"/>
      <c r="N363" s="113"/>
      <c r="P363" s="113"/>
      <c r="Q363" s="113"/>
      <c r="R363" s="113"/>
      <c r="T363" s="113"/>
      <c r="U363" s="113"/>
      <c r="V363" s="113"/>
    </row>
    <row r="364" customFormat="false" ht="15" hidden="false" customHeight="true" outlineLevel="0" collapsed="false">
      <c r="H364" s="113"/>
      <c r="I364" s="113"/>
      <c r="J364" s="113"/>
      <c r="L364" s="113"/>
      <c r="M364" s="113"/>
      <c r="N364" s="113"/>
      <c r="P364" s="113"/>
      <c r="Q364" s="113"/>
      <c r="R364" s="113"/>
      <c r="T364" s="113"/>
      <c r="U364" s="113"/>
      <c r="V364" s="113"/>
    </row>
    <row r="365" customFormat="false" ht="15" hidden="false" customHeight="true" outlineLevel="0" collapsed="false">
      <c r="H365" s="113"/>
      <c r="I365" s="113"/>
      <c r="J365" s="113"/>
      <c r="L365" s="113"/>
      <c r="M365" s="113"/>
      <c r="N365" s="113"/>
      <c r="P365" s="113"/>
      <c r="Q365" s="113"/>
      <c r="R365" s="113"/>
      <c r="T365" s="113"/>
      <c r="U365" s="113"/>
      <c r="V365" s="113"/>
    </row>
    <row r="366" customFormat="false" ht="15" hidden="false" customHeight="true" outlineLevel="0" collapsed="false">
      <c r="H366" s="113"/>
      <c r="I366" s="113"/>
      <c r="J366" s="113"/>
      <c r="L366" s="113"/>
      <c r="M366" s="113"/>
      <c r="N366" s="113"/>
      <c r="P366" s="113"/>
      <c r="Q366" s="113"/>
      <c r="R366" s="113"/>
      <c r="T366" s="113"/>
      <c r="U366" s="113"/>
      <c r="V366" s="113"/>
    </row>
    <row r="367" customFormat="false" ht="15" hidden="false" customHeight="true" outlineLevel="0" collapsed="false">
      <c r="H367" s="113"/>
      <c r="I367" s="113"/>
      <c r="J367" s="113"/>
      <c r="L367" s="113"/>
      <c r="M367" s="113"/>
      <c r="N367" s="113"/>
      <c r="P367" s="113"/>
      <c r="Q367" s="113"/>
      <c r="R367" s="113"/>
      <c r="T367" s="113"/>
      <c r="U367" s="113"/>
      <c r="V367" s="113"/>
    </row>
    <row r="368" customFormat="false" ht="15" hidden="false" customHeight="true" outlineLevel="0" collapsed="false">
      <c r="H368" s="113"/>
      <c r="I368" s="113"/>
      <c r="J368" s="113"/>
      <c r="L368" s="113"/>
      <c r="M368" s="113"/>
      <c r="N368" s="113"/>
      <c r="P368" s="113"/>
      <c r="Q368" s="113"/>
      <c r="R368" s="113"/>
      <c r="T368" s="113"/>
      <c r="U368" s="113"/>
      <c r="V368" s="113"/>
    </row>
    <row r="369" customFormat="false" ht="15" hidden="false" customHeight="true" outlineLevel="0" collapsed="false">
      <c r="H369" s="113"/>
      <c r="I369" s="113"/>
      <c r="J369" s="113"/>
      <c r="L369" s="113"/>
      <c r="M369" s="113"/>
      <c r="N369" s="113"/>
      <c r="P369" s="113"/>
      <c r="Q369" s="113"/>
      <c r="R369" s="113"/>
      <c r="T369" s="113"/>
      <c r="U369" s="113"/>
      <c r="V369" s="113"/>
    </row>
    <row r="370" customFormat="false" ht="15" hidden="false" customHeight="true" outlineLevel="0" collapsed="false">
      <c r="H370" s="113"/>
      <c r="I370" s="113"/>
      <c r="J370" s="113"/>
      <c r="L370" s="113"/>
      <c r="M370" s="113"/>
      <c r="N370" s="113"/>
      <c r="P370" s="113"/>
      <c r="Q370" s="113"/>
      <c r="R370" s="113"/>
      <c r="T370" s="113"/>
      <c r="U370" s="113"/>
      <c r="V370" s="113"/>
    </row>
    <row r="371" customFormat="false" ht="15" hidden="false" customHeight="true" outlineLevel="0" collapsed="false">
      <c r="H371" s="113"/>
      <c r="I371" s="113"/>
      <c r="J371" s="113"/>
      <c r="L371" s="113"/>
      <c r="M371" s="113"/>
      <c r="N371" s="113"/>
      <c r="P371" s="113"/>
      <c r="Q371" s="113"/>
      <c r="R371" s="113"/>
      <c r="T371" s="113"/>
      <c r="U371" s="113"/>
      <c r="V371" s="113"/>
    </row>
    <row r="372" customFormat="false" ht="15" hidden="false" customHeight="true" outlineLevel="0" collapsed="false">
      <c r="H372" s="113"/>
      <c r="I372" s="113"/>
      <c r="J372" s="113"/>
      <c r="L372" s="113"/>
      <c r="M372" s="113"/>
      <c r="N372" s="113"/>
      <c r="P372" s="113"/>
      <c r="Q372" s="113"/>
      <c r="R372" s="113"/>
      <c r="T372" s="113"/>
      <c r="U372" s="113"/>
      <c r="V372" s="113"/>
    </row>
    <row r="373" customFormat="false" ht="15" hidden="false" customHeight="true" outlineLevel="0" collapsed="false">
      <c r="H373" s="113"/>
      <c r="I373" s="113"/>
      <c r="J373" s="113"/>
      <c r="L373" s="113"/>
      <c r="M373" s="113"/>
      <c r="N373" s="113"/>
      <c r="P373" s="113"/>
      <c r="Q373" s="113"/>
      <c r="R373" s="113"/>
      <c r="T373" s="113"/>
      <c r="U373" s="113"/>
      <c r="V373" s="113"/>
    </row>
    <row r="374" customFormat="false" ht="15" hidden="false" customHeight="true" outlineLevel="0" collapsed="false">
      <c r="H374" s="113"/>
      <c r="I374" s="113"/>
      <c r="J374" s="113"/>
      <c r="L374" s="113"/>
      <c r="M374" s="113"/>
      <c r="N374" s="113"/>
      <c r="P374" s="113"/>
      <c r="Q374" s="113"/>
      <c r="R374" s="113"/>
      <c r="T374" s="113"/>
      <c r="U374" s="113"/>
      <c r="V374" s="113"/>
    </row>
    <row r="375" customFormat="false" ht="15" hidden="false" customHeight="true" outlineLevel="0" collapsed="false">
      <c r="H375" s="113"/>
      <c r="I375" s="113"/>
      <c r="J375" s="113"/>
      <c r="L375" s="113"/>
      <c r="M375" s="113"/>
      <c r="N375" s="113"/>
      <c r="P375" s="113"/>
      <c r="Q375" s="113"/>
      <c r="R375" s="113"/>
      <c r="T375" s="113"/>
      <c r="U375" s="113"/>
      <c r="V375" s="113"/>
    </row>
    <row r="376" customFormat="false" ht="15" hidden="false" customHeight="true" outlineLevel="0" collapsed="false">
      <c r="H376" s="113"/>
      <c r="I376" s="113"/>
      <c r="J376" s="113"/>
      <c r="L376" s="113"/>
      <c r="M376" s="113"/>
      <c r="N376" s="113"/>
      <c r="P376" s="113"/>
      <c r="Q376" s="113"/>
      <c r="R376" s="113"/>
      <c r="T376" s="113"/>
      <c r="U376" s="113"/>
      <c r="V376" s="113"/>
    </row>
    <row r="377" customFormat="false" ht="15" hidden="false" customHeight="true" outlineLevel="0" collapsed="false">
      <c r="H377" s="113"/>
      <c r="I377" s="113"/>
      <c r="J377" s="113"/>
      <c r="L377" s="113"/>
      <c r="M377" s="113"/>
      <c r="N377" s="113"/>
      <c r="P377" s="113"/>
      <c r="Q377" s="113"/>
      <c r="R377" s="113"/>
      <c r="T377" s="113"/>
      <c r="U377" s="113"/>
      <c r="V377" s="113"/>
    </row>
    <row r="378" customFormat="false" ht="15" hidden="false" customHeight="true" outlineLevel="0" collapsed="false">
      <c r="H378" s="113"/>
      <c r="I378" s="113"/>
      <c r="J378" s="113"/>
      <c r="L378" s="113"/>
      <c r="M378" s="113"/>
      <c r="N378" s="113"/>
      <c r="P378" s="113"/>
      <c r="Q378" s="113"/>
      <c r="R378" s="113"/>
      <c r="T378" s="113"/>
      <c r="U378" s="113"/>
      <c r="V378" s="113"/>
    </row>
    <row r="379" customFormat="false" ht="15" hidden="false" customHeight="true" outlineLevel="0" collapsed="false">
      <c r="H379" s="113"/>
      <c r="I379" s="113"/>
      <c r="J379" s="113"/>
      <c r="L379" s="113"/>
      <c r="M379" s="113"/>
      <c r="N379" s="113"/>
      <c r="P379" s="113"/>
      <c r="Q379" s="113"/>
      <c r="R379" s="113"/>
      <c r="T379" s="113"/>
      <c r="U379" s="113"/>
      <c r="V379" s="113"/>
    </row>
    <row r="380" customFormat="false" ht="15" hidden="false" customHeight="true" outlineLevel="0" collapsed="false">
      <c r="H380" s="113"/>
      <c r="I380" s="113"/>
      <c r="J380" s="113"/>
      <c r="L380" s="113"/>
      <c r="M380" s="113"/>
      <c r="N380" s="113"/>
      <c r="P380" s="113"/>
      <c r="Q380" s="113"/>
      <c r="R380" s="113"/>
      <c r="T380" s="113"/>
      <c r="U380" s="113"/>
      <c r="V380" s="113"/>
    </row>
    <row r="381" customFormat="false" ht="15" hidden="false" customHeight="true" outlineLevel="0" collapsed="false">
      <c r="H381" s="113"/>
      <c r="I381" s="113"/>
      <c r="J381" s="113"/>
      <c r="L381" s="113"/>
      <c r="M381" s="113"/>
      <c r="N381" s="113"/>
      <c r="P381" s="113"/>
      <c r="Q381" s="113"/>
      <c r="R381" s="113"/>
      <c r="T381" s="113"/>
      <c r="U381" s="113"/>
      <c r="V381" s="113"/>
    </row>
    <row r="382" customFormat="false" ht="15" hidden="false" customHeight="true" outlineLevel="0" collapsed="false">
      <c r="H382" s="113"/>
      <c r="I382" s="113"/>
      <c r="J382" s="113"/>
      <c r="L382" s="113"/>
      <c r="M382" s="113"/>
      <c r="N382" s="113"/>
      <c r="P382" s="113"/>
      <c r="Q382" s="113"/>
      <c r="R382" s="113"/>
      <c r="T382" s="113"/>
      <c r="U382" s="113"/>
      <c r="V382" s="113"/>
    </row>
    <row r="383" customFormat="false" ht="15" hidden="false" customHeight="true" outlineLevel="0" collapsed="false">
      <c r="H383" s="113"/>
      <c r="I383" s="113"/>
      <c r="J383" s="113"/>
      <c r="L383" s="113"/>
      <c r="M383" s="113"/>
      <c r="N383" s="113"/>
      <c r="P383" s="113"/>
      <c r="Q383" s="113"/>
      <c r="R383" s="113"/>
      <c r="T383" s="113"/>
      <c r="U383" s="113"/>
      <c r="V383" s="113"/>
    </row>
    <row r="384" customFormat="false" ht="15" hidden="false" customHeight="true" outlineLevel="0" collapsed="false">
      <c r="H384" s="113"/>
      <c r="I384" s="113"/>
      <c r="J384" s="113"/>
      <c r="L384" s="113"/>
      <c r="M384" s="113"/>
      <c r="N384" s="113"/>
      <c r="P384" s="113"/>
      <c r="Q384" s="113"/>
      <c r="R384" s="113"/>
      <c r="T384" s="113"/>
      <c r="U384" s="113"/>
      <c r="V384" s="113"/>
    </row>
    <row r="385" customFormat="false" ht="15" hidden="false" customHeight="true" outlineLevel="0" collapsed="false">
      <c r="H385" s="113"/>
      <c r="I385" s="113"/>
      <c r="J385" s="113"/>
      <c r="L385" s="113"/>
      <c r="M385" s="113"/>
      <c r="N385" s="113"/>
      <c r="P385" s="113"/>
      <c r="Q385" s="113"/>
      <c r="R385" s="113"/>
      <c r="T385" s="113"/>
      <c r="U385" s="113"/>
      <c r="V385" s="113"/>
    </row>
    <row r="386" customFormat="false" ht="15" hidden="false" customHeight="true" outlineLevel="0" collapsed="false">
      <c r="H386" s="113"/>
      <c r="I386" s="113"/>
      <c r="J386" s="113"/>
      <c r="L386" s="113"/>
      <c r="M386" s="113"/>
      <c r="N386" s="113"/>
      <c r="P386" s="113"/>
      <c r="Q386" s="113"/>
      <c r="R386" s="113"/>
      <c r="T386" s="113"/>
      <c r="U386" s="113"/>
      <c r="V386" s="113"/>
    </row>
    <row r="387" customFormat="false" ht="15" hidden="false" customHeight="true" outlineLevel="0" collapsed="false">
      <c r="H387" s="113"/>
      <c r="I387" s="113"/>
      <c r="J387" s="113"/>
      <c r="L387" s="113"/>
      <c r="M387" s="113"/>
      <c r="N387" s="113"/>
      <c r="P387" s="113"/>
      <c r="Q387" s="113"/>
      <c r="R387" s="113"/>
      <c r="T387" s="113"/>
      <c r="U387" s="113"/>
      <c r="V387" s="113"/>
    </row>
    <row r="388" customFormat="false" ht="15" hidden="false" customHeight="true" outlineLevel="0" collapsed="false">
      <c r="H388" s="113"/>
      <c r="I388" s="113"/>
      <c r="J388" s="113"/>
      <c r="L388" s="113"/>
      <c r="M388" s="113"/>
      <c r="N388" s="113"/>
      <c r="P388" s="113"/>
      <c r="Q388" s="113"/>
      <c r="R388" s="113"/>
      <c r="T388" s="113"/>
      <c r="U388" s="113"/>
      <c r="V388" s="113"/>
    </row>
    <row r="389" customFormat="false" ht="15" hidden="false" customHeight="true" outlineLevel="0" collapsed="false">
      <c r="H389" s="113"/>
      <c r="I389" s="113"/>
      <c r="J389" s="113"/>
      <c r="L389" s="113"/>
      <c r="M389" s="113"/>
      <c r="N389" s="113"/>
      <c r="P389" s="113"/>
      <c r="Q389" s="113"/>
      <c r="R389" s="113"/>
      <c r="T389" s="113"/>
      <c r="U389" s="113"/>
      <c r="V389" s="113"/>
    </row>
    <row r="390" customFormat="false" ht="15" hidden="false" customHeight="true" outlineLevel="0" collapsed="false">
      <c r="H390" s="113"/>
      <c r="I390" s="113"/>
      <c r="J390" s="113"/>
      <c r="L390" s="113"/>
      <c r="M390" s="113"/>
      <c r="N390" s="113"/>
      <c r="P390" s="113"/>
      <c r="Q390" s="113"/>
      <c r="R390" s="113"/>
      <c r="T390" s="113"/>
      <c r="U390" s="113"/>
      <c r="V390" s="113"/>
    </row>
    <row r="391" customFormat="false" ht="15" hidden="false" customHeight="true" outlineLevel="0" collapsed="false">
      <c r="H391" s="113"/>
      <c r="I391" s="113"/>
      <c r="J391" s="113"/>
      <c r="L391" s="113"/>
      <c r="M391" s="113"/>
      <c r="N391" s="113"/>
      <c r="P391" s="113"/>
      <c r="Q391" s="113"/>
      <c r="R391" s="113"/>
      <c r="T391" s="113"/>
      <c r="U391" s="113"/>
      <c r="V391" s="113"/>
    </row>
    <row r="392" customFormat="false" ht="15" hidden="false" customHeight="true" outlineLevel="0" collapsed="false">
      <c r="H392" s="113"/>
      <c r="I392" s="113"/>
      <c r="J392" s="113"/>
      <c r="L392" s="113"/>
      <c r="M392" s="113"/>
      <c r="N392" s="113"/>
      <c r="P392" s="113"/>
      <c r="Q392" s="113"/>
      <c r="R392" s="113"/>
      <c r="T392" s="113"/>
      <c r="U392" s="113"/>
      <c r="V392" s="113"/>
    </row>
    <row r="393" customFormat="false" ht="15" hidden="false" customHeight="true" outlineLevel="0" collapsed="false">
      <c r="H393" s="113"/>
      <c r="I393" s="113"/>
      <c r="J393" s="113"/>
      <c r="L393" s="113"/>
      <c r="M393" s="113"/>
      <c r="N393" s="113"/>
      <c r="P393" s="113"/>
      <c r="Q393" s="113"/>
      <c r="R393" s="113"/>
      <c r="T393" s="113"/>
      <c r="U393" s="113"/>
      <c r="V393" s="113"/>
    </row>
    <row r="394" customFormat="false" ht="15" hidden="false" customHeight="true" outlineLevel="0" collapsed="false">
      <c r="H394" s="113"/>
      <c r="I394" s="113"/>
      <c r="J394" s="113"/>
      <c r="L394" s="113"/>
      <c r="M394" s="113"/>
      <c r="N394" s="113"/>
      <c r="P394" s="113"/>
      <c r="Q394" s="113"/>
      <c r="R394" s="113"/>
      <c r="T394" s="113"/>
      <c r="U394" s="113"/>
      <c r="V394" s="113"/>
    </row>
    <row r="395" customFormat="false" ht="15" hidden="false" customHeight="true" outlineLevel="0" collapsed="false">
      <c r="H395" s="113"/>
      <c r="I395" s="113"/>
      <c r="J395" s="113"/>
      <c r="L395" s="113"/>
      <c r="M395" s="113"/>
      <c r="N395" s="113"/>
      <c r="P395" s="113"/>
      <c r="Q395" s="113"/>
      <c r="R395" s="113"/>
      <c r="T395" s="113"/>
      <c r="U395" s="113"/>
      <c r="V395" s="113"/>
    </row>
    <row r="396" customFormat="false" ht="15" hidden="false" customHeight="true" outlineLevel="0" collapsed="false">
      <c r="H396" s="113"/>
      <c r="I396" s="113"/>
      <c r="J396" s="113"/>
      <c r="L396" s="113"/>
      <c r="M396" s="113"/>
      <c r="N396" s="113"/>
      <c r="P396" s="113"/>
      <c r="Q396" s="113"/>
      <c r="R396" s="113"/>
      <c r="T396" s="113"/>
      <c r="U396" s="113"/>
      <c r="V396" s="113"/>
    </row>
    <row r="397" customFormat="false" ht="15" hidden="false" customHeight="true" outlineLevel="0" collapsed="false">
      <c r="H397" s="113"/>
      <c r="I397" s="113"/>
      <c r="J397" s="113"/>
      <c r="L397" s="113"/>
      <c r="M397" s="113"/>
      <c r="N397" s="113"/>
      <c r="P397" s="113"/>
      <c r="Q397" s="113"/>
      <c r="R397" s="113"/>
      <c r="T397" s="113"/>
      <c r="U397" s="113"/>
      <c r="V397" s="113"/>
    </row>
    <row r="398" customFormat="false" ht="15" hidden="false" customHeight="true" outlineLevel="0" collapsed="false">
      <c r="H398" s="113"/>
      <c r="I398" s="113"/>
      <c r="J398" s="113"/>
      <c r="L398" s="113"/>
      <c r="M398" s="113"/>
      <c r="N398" s="113"/>
      <c r="P398" s="113"/>
      <c r="Q398" s="113"/>
      <c r="R398" s="113"/>
      <c r="T398" s="113"/>
      <c r="U398" s="113"/>
      <c r="V398" s="113"/>
    </row>
    <row r="399" customFormat="false" ht="15" hidden="false" customHeight="true" outlineLevel="0" collapsed="false">
      <c r="H399" s="113"/>
      <c r="I399" s="113"/>
      <c r="J399" s="113"/>
      <c r="L399" s="113"/>
      <c r="M399" s="113"/>
      <c r="N399" s="113"/>
      <c r="P399" s="113"/>
      <c r="Q399" s="113"/>
      <c r="R399" s="113"/>
      <c r="T399" s="113"/>
      <c r="U399" s="113"/>
      <c r="V399" s="113"/>
    </row>
    <row r="400" customFormat="false" ht="15" hidden="false" customHeight="true" outlineLevel="0" collapsed="false">
      <c r="H400" s="113"/>
      <c r="I400" s="113"/>
      <c r="J400" s="113"/>
      <c r="L400" s="113"/>
      <c r="M400" s="113"/>
      <c r="N400" s="113"/>
      <c r="P400" s="113"/>
      <c r="Q400" s="113"/>
      <c r="R400" s="113"/>
      <c r="T400" s="113"/>
      <c r="U400" s="113"/>
      <c r="V400" s="113"/>
    </row>
    <row r="401" customFormat="false" ht="15" hidden="false" customHeight="true" outlineLevel="0" collapsed="false">
      <c r="H401" s="113"/>
      <c r="I401" s="113"/>
      <c r="J401" s="113"/>
      <c r="L401" s="113"/>
      <c r="M401" s="113"/>
      <c r="N401" s="113"/>
      <c r="P401" s="113"/>
      <c r="Q401" s="113"/>
      <c r="R401" s="113"/>
      <c r="T401" s="113"/>
      <c r="U401" s="113"/>
      <c r="V401" s="113"/>
    </row>
    <row r="402" customFormat="false" ht="15" hidden="false" customHeight="true" outlineLevel="0" collapsed="false">
      <c r="H402" s="113"/>
      <c r="I402" s="113"/>
      <c r="J402" s="113"/>
      <c r="L402" s="113"/>
      <c r="M402" s="113"/>
      <c r="N402" s="113"/>
      <c r="P402" s="113"/>
      <c r="Q402" s="113"/>
      <c r="R402" s="113"/>
      <c r="T402" s="113"/>
      <c r="U402" s="113"/>
      <c r="V402" s="113"/>
    </row>
    <row r="403" customFormat="false" ht="15" hidden="false" customHeight="true" outlineLevel="0" collapsed="false">
      <c r="H403" s="113"/>
      <c r="I403" s="113"/>
      <c r="J403" s="113"/>
      <c r="L403" s="113"/>
      <c r="M403" s="113"/>
      <c r="N403" s="113"/>
      <c r="P403" s="113"/>
      <c r="Q403" s="113"/>
      <c r="R403" s="113"/>
      <c r="T403" s="113"/>
      <c r="U403" s="113"/>
      <c r="V403" s="113"/>
    </row>
    <row r="404" customFormat="false" ht="15" hidden="false" customHeight="true" outlineLevel="0" collapsed="false">
      <c r="H404" s="113"/>
      <c r="I404" s="113"/>
      <c r="J404" s="113"/>
      <c r="L404" s="113"/>
      <c r="M404" s="113"/>
      <c r="N404" s="113"/>
      <c r="P404" s="113"/>
      <c r="Q404" s="113"/>
      <c r="R404" s="113"/>
      <c r="T404" s="113"/>
      <c r="U404" s="113"/>
      <c r="V404" s="113"/>
    </row>
    <row r="405" customFormat="false" ht="15" hidden="false" customHeight="true" outlineLevel="0" collapsed="false">
      <c r="H405" s="113"/>
      <c r="I405" s="113"/>
      <c r="J405" s="113"/>
      <c r="L405" s="113"/>
      <c r="M405" s="113"/>
      <c r="N405" s="113"/>
      <c r="P405" s="113"/>
      <c r="Q405" s="113"/>
      <c r="R405" s="113"/>
      <c r="T405" s="113"/>
      <c r="U405" s="113"/>
      <c r="V405" s="113"/>
    </row>
    <row r="406" customFormat="false" ht="15" hidden="false" customHeight="true" outlineLevel="0" collapsed="false">
      <c r="H406" s="113"/>
      <c r="I406" s="113"/>
      <c r="J406" s="113"/>
      <c r="L406" s="113"/>
      <c r="M406" s="113"/>
      <c r="N406" s="113"/>
      <c r="P406" s="113"/>
      <c r="Q406" s="113"/>
      <c r="R406" s="113"/>
      <c r="T406" s="113"/>
      <c r="U406" s="113"/>
      <c r="V406" s="113"/>
    </row>
    <row r="407" customFormat="false" ht="15" hidden="false" customHeight="true" outlineLevel="0" collapsed="false">
      <c r="H407" s="113"/>
      <c r="I407" s="113"/>
      <c r="J407" s="113"/>
      <c r="L407" s="113"/>
      <c r="M407" s="113"/>
      <c r="N407" s="113"/>
      <c r="P407" s="113"/>
      <c r="Q407" s="113"/>
      <c r="R407" s="113"/>
      <c r="T407" s="113"/>
      <c r="U407" s="113"/>
      <c r="V407" s="113"/>
    </row>
    <row r="408" customFormat="false" ht="15" hidden="false" customHeight="true" outlineLevel="0" collapsed="false">
      <c r="H408" s="113"/>
      <c r="I408" s="113"/>
      <c r="J408" s="113"/>
      <c r="L408" s="113"/>
      <c r="M408" s="113"/>
      <c r="N408" s="113"/>
      <c r="P408" s="113"/>
      <c r="Q408" s="113"/>
      <c r="R408" s="113"/>
      <c r="T408" s="113"/>
      <c r="U408" s="113"/>
      <c r="V408" s="113"/>
    </row>
    <row r="409" customFormat="false" ht="15" hidden="false" customHeight="true" outlineLevel="0" collapsed="false">
      <c r="H409" s="113"/>
      <c r="I409" s="113"/>
      <c r="J409" s="113"/>
      <c r="L409" s="113"/>
      <c r="M409" s="113"/>
      <c r="N409" s="113"/>
      <c r="P409" s="113"/>
      <c r="Q409" s="113"/>
      <c r="R409" s="113"/>
      <c r="T409" s="113"/>
      <c r="U409" s="113"/>
      <c r="V409" s="113"/>
    </row>
    <row r="410" customFormat="false" ht="15" hidden="false" customHeight="true" outlineLevel="0" collapsed="false">
      <c r="H410" s="113"/>
      <c r="I410" s="113"/>
      <c r="J410" s="113"/>
      <c r="L410" s="113"/>
      <c r="M410" s="113"/>
      <c r="N410" s="113"/>
      <c r="P410" s="113"/>
      <c r="Q410" s="113"/>
      <c r="R410" s="113"/>
      <c r="T410" s="113"/>
      <c r="U410" s="113"/>
      <c r="V410" s="113"/>
    </row>
    <row r="411" customFormat="false" ht="15" hidden="false" customHeight="true" outlineLevel="0" collapsed="false">
      <c r="H411" s="113"/>
      <c r="I411" s="113"/>
      <c r="J411" s="113"/>
      <c r="L411" s="113"/>
      <c r="M411" s="113"/>
      <c r="N411" s="113"/>
      <c r="P411" s="113"/>
      <c r="Q411" s="113"/>
      <c r="R411" s="113"/>
      <c r="T411" s="113"/>
      <c r="U411" s="113"/>
      <c r="V411" s="113"/>
    </row>
    <row r="412" customFormat="false" ht="15" hidden="false" customHeight="true" outlineLevel="0" collapsed="false">
      <c r="H412" s="113"/>
      <c r="I412" s="113"/>
      <c r="J412" s="113"/>
      <c r="L412" s="113"/>
      <c r="M412" s="113"/>
      <c r="N412" s="113"/>
      <c r="P412" s="113"/>
      <c r="Q412" s="113"/>
      <c r="R412" s="113"/>
      <c r="T412" s="113"/>
      <c r="U412" s="113"/>
      <c r="V412" s="113"/>
    </row>
    <row r="413" customFormat="false" ht="15" hidden="false" customHeight="true" outlineLevel="0" collapsed="false">
      <c r="H413" s="113"/>
      <c r="I413" s="113"/>
      <c r="J413" s="113"/>
      <c r="L413" s="113"/>
      <c r="M413" s="113"/>
      <c r="N413" s="113"/>
      <c r="P413" s="113"/>
      <c r="Q413" s="113"/>
      <c r="R413" s="113"/>
      <c r="T413" s="113"/>
      <c r="U413" s="113"/>
      <c r="V413" s="113"/>
    </row>
    <row r="414" customFormat="false" ht="15" hidden="false" customHeight="true" outlineLevel="0" collapsed="false">
      <c r="H414" s="113"/>
      <c r="I414" s="113"/>
      <c r="J414" s="113"/>
      <c r="L414" s="113"/>
      <c r="M414" s="113"/>
      <c r="N414" s="113"/>
      <c r="P414" s="113"/>
      <c r="Q414" s="113"/>
      <c r="R414" s="113"/>
      <c r="T414" s="113"/>
      <c r="U414" s="113"/>
      <c r="V414" s="113"/>
    </row>
    <row r="415" customFormat="false" ht="15" hidden="false" customHeight="true" outlineLevel="0" collapsed="false">
      <c r="H415" s="113"/>
      <c r="I415" s="113"/>
      <c r="J415" s="113"/>
      <c r="L415" s="113"/>
      <c r="M415" s="113"/>
      <c r="N415" s="113"/>
      <c r="P415" s="113"/>
      <c r="Q415" s="113"/>
      <c r="R415" s="113"/>
      <c r="T415" s="113"/>
      <c r="U415" s="113"/>
      <c r="V415" s="113"/>
    </row>
    <row r="416" customFormat="false" ht="15" hidden="false" customHeight="true" outlineLevel="0" collapsed="false">
      <c r="H416" s="113"/>
      <c r="I416" s="113"/>
      <c r="J416" s="113"/>
      <c r="L416" s="113"/>
      <c r="M416" s="113"/>
      <c r="N416" s="113"/>
      <c r="P416" s="113"/>
      <c r="Q416" s="113"/>
      <c r="R416" s="113"/>
      <c r="T416" s="113"/>
      <c r="U416" s="113"/>
      <c r="V416" s="113"/>
    </row>
    <row r="417" customFormat="false" ht="15" hidden="false" customHeight="true" outlineLevel="0" collapsed="false">
      <c r="H417" s="113"/>
      <c r="I417" s="113"/>
      <c r="J417" s="113"/>
      <c r="L417" s="113"/>
      <c r="M417" s="113"/>
      <c r="N417" s="113"/>
      <c r="P417" s="113"/>
      <c r="Q417" s="113"/>
      <c r="R417" s="113"/>
      <c r="T417" s="113"/>
      <c r="U417" s="113"/>
      <c r="V417" s="113"/>
    </row>
    <row r="418" customFormat="false" ht="15" hidden="false" customHeight="true" outlineLevel="0" collapsed="false">
      <c r="H418" s="113"/>
      <c r="I418" s="113"/>
      <c r="J418" s="113"/>
      <c r="L418" s="113"/>
      <c r="M418" s="113"/>
      <c r="N418" s="113"/>
      <c r="P418" s="113"/>
      <c r="Q418" s="113"/>
      <c r="R418" s="113"/>
      <c r="T418" s="113"/>
      <c r="U418" s="113"/>
      <c r="V418" s="113"/>
    </row>
    <row r="419" customFormat="false" ht="15" hidden="false" customHeight="true" outlineLevel="0" collapsed="false">
      <c r="H419" s="113"/>
      <c r="I419" s="113"/>
      <c r="J419" s="113"/>
      <c r="L419" s="113"/>
      <c r="M419" s="113"/>
      <c r="N419" s="113"/>
      <c r="P419" s="113"/>
      <c r="Q419" s="113"/>
      <c r="R419" s="113"/>
      <c r="T419" s="113"/>
      <c r="U419" s="113"/>
      <c r="V419" s="113"/>
    </row>
    <row r="420" customFormat="false" ht="15" hidden="false" customHeight="true" outlineLevel="0" collapsed="false">
      <c r="H420" s="113"/>
      <c r="I420" s="113"/>
      <c r="J420" s="113"/>
      <c r="L420" s="113"/>
      <c r="M420" s="113"/>
      <c r="N420" s="113"/>
      <c r="P420" s="113"/>
      <c r="Q420" s="113"/>
      <c r="R420" s="113"/>
      <c r="T420" s="113"/>
      <c r="U420" s="113"/>
      <c r="V420" s="113"/>
    </row>
    <row r="421" customFormat="false" ht="15" hidden="false" customHeight="true" outlineLevel="0" collapsed="false">
      <c r="H421" s="113"/>
      <c r="I421" s="113"/>
      <c r="J421" s="113"/>
      <c r="L421" s="113"/>
      <c r="M421" s="113"/>
      <c r="N421" s="113"/>
      <c r="P421" s="113"/>
      <c r="Q421" s="113"/>
      <c r="R421" s="113"/>
      <c r="T421" s="113"/>
      <c r="U421" s="113"/>
      <c r="V421" s="113"/>
    </row>
    <row r="422" customFormat="false" ht="15" hidden="false" customHeight="true" outlineLevel="0" collapsed="false">
      <c r="H422" s="113"/>
      <c r="I422" s="113"/>
      <c r="J422" s="113"/>
      <c r="L422" s="113"/>
      <c r="M422" s="113"/>
      <c r="N422" s="113"/>
      <c r="P422" s="113"/>
      <c r="Q422" s="113"/>
      <c r="R422" s="113"/>
      <c r="T422" s="113"/>
      <c r="U422" s="113"/>
      <c r="V422" s="113"/>
    </row>
    <row r="423" customFormat="false" ht="15" hidden="false" customHeight="true" outlineLevel="0" collapsed="false">
      <c r="H423" s="113"/>
      <c r="I423" s="113"/>
      <c r="J423" s="113"/>
      <c r="L423" s="113"/>
      <c r="M423" s="113"/>
      <c r="N423" s="113"/>
      <c r="P423" s="113"/>
      <c r="Q423" s="113"/>
      <c r="R423" s="113"/>
      <c r="T423" s="113"/>
      <c r="U423" s="113"/>
      <c r="V423" s="113"/>
    </row>
    <row r="424" customFormat="false" ht="15" hidden="false" customHeight="true" outlineLevel="0" collapsed="false">
      <c r="H424" s="113"/>
      <c r="I424" s="113"/>
      <c r="J424" s="113"/>
      <c r="L424" s="113"/>
      <c r="M424" s="113"/>
      <c r="N424" s="113"/>
      <c r="P424" s="113"/>
      <c r="Q424" s="113"/>
      <c r="R424" s="113"/>
      <c r="T424" s="113"/>
      <c r="U424" s="113"/>
      <c r="V424" s="113"/>
    </row>
    <row r="425" customFormat="false" ht="15" hidden="false" customHeight="true" outlineLevel="0" collapsed="false">
      <c r="H425" s="113"/>
      <c r="I425" s="113"/>
      <c r="J425" s="113"/>
      <c r="L425" s="113"/>
      <c r="M425" s="113"/>
      <c r="N425" s="113"/>
      <c r="P425" s="113"/>
      <c r="Q425" s="113"/>
      <c r="R425" s="113"/>
      <c r="T425" s="113"/>
      <c r="U425" s="113"/>
      <c r="V425" s="113"/>
    </row>
    <row r="426" customFormat="false" ht="15" hidden="false" customHeight="true" outlineLevel="0" collapsed="false">
      <c r="H426" s="113"/>
      <c r="I426" s="113"/>
      <c r="J426" s="113"/>
      <c r="L426" s="113"/>
      <c r="M426" s="113"/>
      <c r="N426" s="113"/>
      <c r="P426" s="113"/>
      <c r="Q426" s="113"/>
      <c r="R426" s="113"/>
      <c r="T426" s="113"/>
      <c r="U426" s="113"/>
      <c r="V426" s="113"/>
    </row>
    <row r="427" customFormat="false" ht="15" hidden="false" customHeight="true" outlineLevel="0" collapsed="false">
      <c r="H427" s="113"/>
      <c r="I427" s="113"/>
      <c r="J427" s="113"/>
      <c r="L427" s="113"/>
      <c r="M427" s="113"/>
      <c r="N427" s="113"/>
      <c r="P427" s="113"/>
      <c r="Q427" s="113"/>
      <c r="R427" s="113"/>
      <c r="T427" s="113"/>
      <c r="U427" s="113"/>
      <c r="V427" s="113"/>
    </row>
    <row r="428" customFormat="false" ht="15" hidden="false" customHeight="true" outlineLevel="0" collapsed="false">
      <c r="H428" s="113"/>
      <c r="I428" s="113"/>
      <c r="J428" s="113"/>
      <c r="L428" s="113"/>
      <c r="M428" s="113"/>
      <c r="N428" s="113"/>
      <c r="P428" s="113"/>
      <c r="Q428" s="113"/>
      <c r="R428" s="113"/>
      <c r="T428" s="113"/>
      <c r="U428" s="113"/>
      <c r="V428" s="113"/>
    </row>
    <row r="429" customFormat="false" ht="15" hidden="false" customHeight="true" outlineLevel="0" collapsed="false">
      <c r="H429" s="113"/>
      <c r="I429" s="113"/>
      <c r="J429" s="113"/>
      <c r="L429" s="113"/>
      <c r="M429" s="113"/>
      <c r="N429" s="113"/>
      <c r="P429" s="113"/>
      <c r="Q429" s="113"/>
      <c r="R429" s="113"/>
      <c r="T429" s="113"/>
      <c r="U429" s="113"/>
      <c r="V429" s="113"/>
    </row>
    <row r="430" customFormat="false" ht="15" hidden="false" customHeight="true" outlineLevel="0" collapsed="false">
      <c r="H430" s="113"/>
      <c r="I430" s="113"/>
      <c r="J430" s="113"/>
      <c r="L430" s="113"/>
      <c r="M430" s="113"/>
      <c r="N430" s="113"/>
      <c r="P430" s="113"/>
      <c r="Q430" s="113"/>
      <c r="R430" s="113"/>
      <c r="T430" s="113"/>
      <c r="U430" s="113"/>
      <c r="V430" s="113"/>
    </row>
    <row r="431" customFormat="false" ht="15" hidden="false" customHeight="true" outlineLevel="0" collapsed="false">
      <c r="H431" s="113"/>
      <c r="I431" s="113"/>
      <c r="J431" s="113"/>
      <c r="L431" s="113"/>
      <c r="M431" s="113"/>
      <c r="N431" s="113"/>
      <c r="P431" s="113"/>
      <c r="Q431" s="113"/>
      <c r="R431" s="113"/>
      <c r="T431" s="113"/>
      <c r="U431" s="113"/>
      <c r="V431" s="113"/>
    </row>
    <row r="432" customFormat="false" ht="15" hidden="false" customHeight="true" outlineLevel="0" collapsed="false">
      <c r="H432" s="113"/>
      <c r="I432" s="113"/>
      <c r="J432" s="113"/>
      <c r="L432" s="113"/>
      <c r="M432" s="113"/>
      <c r="N432" s="113"/>
      <c r="P432" s="113"/>
      <c r="Q432" s="113"/>
      <c r="R432" s="113"/>
      <c r="T432" s="113"/>
      <c r="U432" s="113"/>
      <c r="V432" s="113"/>
    </row>
    <row r="433" customFormat="false" ht="15" hidden="false" customHeight="true" outlineLevel="0" collapsed="false">
      <c r="H433" s="113"/>
      <c r="I433" s="113"/>
      <c r="J433" s="113"/>
      <c r="L433" s="113"/>
      <c r="M433" s="113"/>
      <c r="N433" s="113"/>
      <c r="P433" s="113"/>
      <c r="Q433" s="113"/>
      <c r="R433" s="113"/>
      <c r="T433" s="113"/>
      <c r="U433" s="113"/>
      <c r="V433" s="113"/>
    </row>
    <row r="434" customFormat="false" ht="15" hidden="false" customHeight="true" outlineLevel="0" collapsed="false">
      <c r="H434" s="113"/>
      <c r="I434" s="113"/>
      <c r="J434" s="113"/>
      <c r="L434" s="113"/>
      <c r="M434" s="113"/>
      <c r="N434" s="113"/>
      <c r="P434" s="113"/>
      <c r="Q434" s="113"/>
      <c r="R434" s="113"/>
      <c r="T434" s="113"/>
      <c r="U434" s="113"/>
      <c r="V434" s="113"/>
    </row>
    <row r="435" customFormat="false" ht="15" hidden="false" customHeight="true" outlineLevel="0" collapsed="false">
      <c r="H435" s="113"/>
      <c r="I435" s="113"/>
      <c r="J435" s="113"/>
      <c r="L435" s="113"/>
      <c r="M435" s="113"/>
      <c r="N435" s="113"/>
      <c r="P435" s="113"/>
      <c r="Q435" s="113"/>
      <c r="R435" s="113"/>
      <c r="T435" s="113"/>
      <c r="U435" s="113"/>
      <c r="V435" s="113"/>
    </row>
    <row r="436" customFormat="false" ht="15" hidden="false" customHeight="true" outlineLevel="0" collapsed="false">
      <c r="H436" s="113"/>
      <c r="I436" s="113"/>
      <c r="J436" s="113"/>
      <c r="L436" s="113"/>
      <c r="M436" s="113"/>
      <c r="N436" s="113"/>
      <c r="P436" s="113"/>
      <c r="Q436" s="113"/>
      <c r="R436" s="113"/>
      <c r="T436" s="113"/>
      <c r="U436" s="113"/>
      <c r="V436" s="113"/>
    </row>
    <row r="437" customFormat="false" ht="15" hidden="false" customHeight="true" outlineLevel="0" collapsed="false">
      <c r="H437" s="113"/>
      <c r="I437" s="113"/>
      <c r="J437" s="113"/>
      <c r="L437" s="113"/>
      <c r="M437" s="113"/>
      <c r="N437" s="113"/>
      <c r="P437" s="113"/>
      <c r="Q437" s="113"/>
      <c r="R437" s="113"/>
      <c r="T437" s="113"/>
      <c r="U437" s="113"/>
      <c r="V437" s="113"/>
    </row>
    <row r="438" customFormat="false" ht="15" hidden="false" customHeight="true" outlineLevel="0" collapsed="false">
      <c r="H438" s="113"/>
      <c r="I438" s="113"/>
      <c r="J438" s="113"/>
      <c r="L438" s="113"/>
      <c r="M438" s="113"/>
      <c r="N438" s="113"/>
      <c r="P438" s="113"/>
      <c r="Q438" s="113"/>
      <c r="R438" s="113"/>
      <c r="T438" s="113"/>
      <c r="U438" s="113"/>
      <c r="V438" s="113"/>
    </row>
    <row r="439" customFormat="false" ht="15" hidden="false" customHeight="true" outlineLevel="0" collapsed="false">
      <c r="H439" s="113"/>
      <c r="I439" s="113"/>
      <c r="J439" s="113"/>
      <c r="L439" s="113"/>
      <c r="M439" s="113"/>
      <c r="N439" s="113"/>
      <c r="P439" s="113"/>
      <c r="Q439" s="113"/>
      <c r="R439" s="113"/>
      <c r="T439" s="113"/>
      <c r="U439" s="113"/>
      <c r="V439" s="113"/>
    </row>
    <row r="440" customFormat="false" ht="15" hidden="false" customHeight="true" outlineLevel="0" collapsed="false">
      <c r="H440" s="113"/>
      <c r="I440" s="113"/>
      <c r="J440" s="113"/>
      <c r="L440" s="113"/>
      <c r="M440" s="113"/>
      <c r="N440" s="113"/>
      <c r="P440" s="113"/>
      <c r="Q440" s="113"/>
      <c r="R440" s="113"/>
      <c r="T440" s="113"/>
      <c r="U440" s="113"/>
      <c r="V440" s="113"/>
    </row>
    <row r="441" customFormat="false" ht="15" hidden="false" customHeight="true" outlineLevel="0" collapsed="false">
      <c r="H441" s="113"/>
      <c r="I441" s="113"/>
      <c r="J441" s="113"/>
      <c r="L441" s="113"/>
      <c r="M441" s="113"/>
      <c r="N441" s="113"/>
      <c r="P441" s="113"/>
      <c r="Q441" s="113"/>
      <c r="R441" s="113"/>
      <c r="T441" s="113"/>
      <c r="U441" s="113"/>
      <c r="V441" s="113"/>
    </row>
    <row r="442" customFormat="false" ht="15" hidden="false" customHeight="true" outlineLevel="0" collapsed="false">
      <c r="H442" s="113"/>
      <c r="I442" s="113"/>
      <c r="J442" s="113"/>
      <c r="L442" s="113"/>
      <c r="M442" s="113"/>
      <c r="N442" s="113"/>
      <c r="P442" s="113"/>
      <c r="Q442" s="113"/>
      <c r="R442" s="113"/>
      <c r="T442" s="113"/>
      <c r="U442" s="113"/>
      <c r="V442" s="113"/>
    </row>
    <row r="443" customFormat="false" ht="15" hidden="false" customHeight="true" outlineLevel="0" collapsed="false">
      <c r="H443" s="113"/>
      <c r="I443" s="113"/>
      <c r="J443" s="113"/>
      <c r="L443" s="113"/>
      <c r="M443" s="113"/>
      <c r="N443" s="113"/>
      <c r="P443" s="113"/>
      <c r="Q443" s="113"/>
      <c r="R443" s="113"/>
      <c r="T443" s="113"/>
      <c r="U443" s="113"/>
      <c r="V443" s="113"/>
    </row>
    <row r="444" customFormat="false" ht="15" hidden="false" customHeight="true" outlineLevel="0" collapsed="false">
      <c r="H444" s="113"/>
      <c r="I444" s="113"/>
      <c r="J444" s="113"/>
      <c r="L444" s="113"/>
      <c r="M444" s="113"/>
      <c r="N444" s="113"/>
      <c r="P444" s="113"/>
      <c r="Q444" s="113"/>
      <c r="R444" s="113"/>
      <c r="T444" s="113"/>
      <c r="U444" s="113"/>
      <c r="V444" s="113"/>
    </row>
    <row r="445" customFormat="false" ht="15" hidden="false" customHeight="true" outlineLevel="0" collapsed="false">
      <c r="H445" s="113"/>
      <c r="I445" s="113"/>
      <c r="J445" s="113"/>
      <c r="L445" s="113"/>
      <c r="M445" s="113"/>
      <c r="N445" s="113"/>
      <c r="P445" s="113"/>
      <c r="Q445" s="113"/>
      <c r="R445" s="113"/>
      <c r="T445" s="113"/>
      <c r="U445" s="113"/>
      <c r="V445" s="113"/>
    </row>
    <row r="446" customFormat="false" ht="15" hidden="false" customHeight="true" outlineLevel="0" collapsed="false">
      <c r="H446" s="113"/>
      <c r="I446" s="113"/>
      <c r="J446" s="113"/>
      <c r="L446" s="113"/>
      <c r="M446" s="113"/>
      <c r="N446" s="113"/>
      <c r="P446" s="113"/>
      <c r="Q446" s="113"/>
      <c r="R446" s="113"/>
      <c r="T446" s="113"/>
      <c r="U446" s="113"/>
      <c r="V446" s="113"/>
    </row>
    <row r="447" customFormat="false" ht="15" hidden="false" customHeight="true" outlineLevel="0" collapsed="false">
      <c r="H447" s="113"/>
      <c r="I447" s="113"/>
      <c r="J447" s="113"/>
      <c r="L447" s="113"/>
      <c r="M447" s="113"/>
      <c r="N447" s="113"/>
      <c r="P447" s="113"/>
      <c r="Q447" s="113"/>
      <c r="R447" s="113"/>
      <c r="T447" s="113"/>
      <c r="U447" s="113"/>
      <c r="V447" s="113"/>
    </row>
    <row r="448" customFormat="false" ht="15" hidden="false" customHeight="true" outlineLevel="0" collapsed="false">
      <c r="H448" s="113"/>
      <c r="I448" s="113"/>
      <c r="J448" s="113"/>
      <c r="L448" s="113"/>
      <c r="M448" s="113"/>
      <c r="N448" s="113"/>
      <c r="P448" s="113"/>
      <c r="Q448" s="113"/>
      <c r="R448" s="113"/>
      <c r="T448" s="113"/>
      <c r="U448" s="113"/>
      <c r="V448" s="113"/>
    </row>
    <row r="449" customFormat="false" ht="15" hidden="false" customHeight="true" outlineLevel="0" collapsed="false">
      <c r="H449" s="113"/>
      <c r="I449" s="113"/>
      <c r="J449" s="113"/>
      <c r="L449" s="113"/>
      <c r="M449" s="113"/>
      <c r="N449" s="113"/>
      <c r="P449" s="113"/>
      <c r="Q449" s="113"/>
      <c r="R449" s="113"/>
      <c r="T449" s="113"/>
      <c r="U449" s="113"/>
      <c r="V449" s="113"/>
    </row>
    <row r="450" customFormat="false" ht="15" hidden="false" customHeight="true" outlineLevel="0" collapsed="false">
      <c r="H450" s="113"/>
      <c r="I450" s="113"/>
      <c r="J450" s="113"/>
      <c r="L450" s="113"/>
      <c r="M450" s="113"/>
      <c r="N450" s="113"/>
      <c r="P450" s="113"/>
      <c r="Q450" s="113"/>
      <c r="R450" s="113"/>
      <c r="T450" s="113"/>
      <c r="U450" s="113"/>
      <c r="V450" s="113"/>
    </row>
    <row r="451" customFormat="false" ht="15" hidden="false" customHeight="true" outlineLevel="0" collapsed="false">
      <c r="H451" s="113"/>
      <c r="I451" s="113"/>
      <c r="J451" s="113"/>
      <c r="L451" s="113"/>
      <c r="M451" s="113"/>
      <c r="N451" s="113"/>
      <c r="P451" s="113"/>
      <c r="Q451" s="113"/>
      <c r="R451" s="113"/>
      <c r="T451" s="113"/>
      <c r="U451" s="113"/>
      <c r="V451" s="113"/>
    </row>
    <row r="452" customFormat="false" ht="15" hidden="false" customHeight="true" outlineLevel="0" collapsed="false">
      <c r="H452" s="113"/>
      <c r="I452" s="113"/>
      <c r="J452" s="113"/>
      <c r="L452" s="113"/>
      <c r="M452" s="113"/>
      <c r="N452" s="113"/>
      <c r="P452" s="113"/>
      <c r="Q452" s="113"/>
      <c r="R452" s="113"/>
      <c r="T452" s="113"/>
      <c r="U452" s="113"/>
      <c r="V452" s="113"/>
    </row>
    <row r="453" customFormat="false" ht="15" hidden="false" customHeight="true" outlineLevel="0" collapsed="false">
      <c r="H453" s="113"/>
      <c r="I453" s="113"/>
      <c r="J453" s="113"/>
      <c r="L453" s="113"/>
      <c r="M453" s="113"/>
      <c r="N453" s="113"/>
      <c r="P453" s="113"/>
      <c r="Q453" s="113"/>
      <c r="R453" s="113"/>
      <c r="T453" s="113"/>
      <c r="U453" s="113"/>
      <c r="V453" s="113"/>
    </row>
    <row r="454" customFormat="false" ht="15" hidden="false" customHeight="true" outlineLevel="0" collapsed="false">
      <c r="H454" s="113"/>
      <c r="I454" s="113"/>
      <c r="J454" s="113"/>
      <c r="L454" s="113"/>
      <c r="M454" s="113"/>
      <c r="N454" s="113"/>
      <c r="P454" s="113"/>
      <c r="Q454" s="113"/>
      <c r="R454" s="113"/>
      <c r="T454" s="113"/>
      <c r="U454" s="113"/>
      <c r="V454" s="113"/>
    </row>
    <row r="455" customFormat="false" ht="15" hidden="false" customHeight="true" outlineLevel="0" collapsed="false">
      <c r="H455" s="113"/>
      <c r="I455" s="113"/>
      <c r="J455" s="113"/>
      <c r="L455" s="113"/>
      <c r="M455" s="113"/>
      <c r="N455" s="113"/>
      <c r="P455" s="113"/>
      <c r="Q455" s="113"/>
      <c r="R455" s="113"/>
      <c r="T455" s="113"/>
      <c r="U455" s="113"/>
      <c r="V455" s="113"/>
    </row>
    <row r="456" customFormat="false" ht="15" hidden="false" customHeight="true" outlineLevel="0" collapsed="false">
      <c r="H456" s="113"/>
      <c r="I456" s="113"/>
      <c r="J456" s="113"/>
      <c r="L456" s="113"/>
      <c r="M456" s="113"/>
      <c r="N456" s="113"/>
      <c r="P456" s="113"/>
      <c r="Q456" s="113"/>
      <c r="R456" s="113"/>
      <c r="T456" s="113"/>
      <c r="U456" s="113"/>
      <c r="V456" s="113"/>
    </row>
    <row r="457" customFormat="false" ht="15" hidden="false" customHeight="true" outlineLevel="0" collapsed="false">
      <c r="H457" s="113"/>
      <c r="I457" s="113"/>
      <c r="J457" s="113"/>
      <c r="L457" s="113"/>
      <c r="M457" s="113"/>
      <c r="N457" s="113"/>
      <c r="P457" s="113"/>
      <c r="Q457" s="113"/>
      <c r="R457" s="113"/>
      <c r="T457" s="113"/>
      <c r="U457" s="113"/>
      <c r="V457" s="113"/>
    </row>
    <row r="458" customFormat="false" ht="15" hidden="false" customHeight="true" outlineLevel="0" collapsed="false">
      <c r="H458" s="113"/>
      <c r="I458" s="113"/>
      <c r="J458" s="113"/>
      <c r="L458" s="113"/>
      <c r="M458" s="113"/>
      <c r="N458" s="113"/>
      <c r="P458" s="113"/>
      <c r="Q458" s="113"/>
      <c r="R458" s="113"/>
      <c r="T458" s="113"/>
      <c r="U458" s="113"/>
      <c r="V458" s="113"/>
    </row>
    <row r="459" customFormat="false" ht="15" hidden="false" customHeight="true" outlineLevel="0" collapsed="false">
      <c r="H459" s="113"/>
      <c r="I459" s="113"/>
      <c r="J459" s="113"/>
      <c r="L459" s="113"/>
      <c r="M459" s="113"/>
      <c r="N459" s="113"/>
      <c r="P459" s="113"/>
      <c r="Q459" s="113"/>
      <c r="R459" s="113"/>
      <c r="T459" s="113"/>
      <c r="U459" s="113"/>
      <c r="V459" s="113"/>
    </row>
    <row r="460" customFormat="false" ht="15" hidden="false" customHeight="true" outlineLevel="0" collapsed="false">
      <c r="H460" s="113"/>
      <c r="I460" s="113"/>
      <c r="J460" s="113"/>
      <c r="L460" s="113"/>
      <c r="M460" s="113"/>
      <c r="N460" s="113"/>
      <c r="P460" s="113"/>
      <c r="Q460" s="113"/>
      <c r="R460" s="113"/>
      <c r="T460" s="113"/>
      <c r="U460" s="113"/>
      <c r="V460" s="113"/>
    </row>
    <row r="461" customFormat="false" ht="15" hidden="false" customHeight="true" outlineLevel="0" collapsed="false">
      <c r="H461" s="113"/>
      <c r="I461" s="113"/>
      <c r="J461" s="113"/>
      <c r="L461" s="113"/>
      <c r="M461" s="113"/>
      <c r="N461" s="113"/>
      <c r="P461" s="113"/>
      <c r="Q461" s="113"/>
      <c r="R461" s="113"/>
      <c r="T461" s="113"/>
      <c r="U461" s="113"/>
      <c r="V461" s="113"/>
    </row>
    <row r="462" customFormat="false" ht="15" hidden="false" customHeight="true" outlineLevel="0" collapsed="false">
      <c r="H462" s="113"/>
      <c r="I462" s="113"/>
      <c r="J462" s="113"/>
      <c r="L462" s="113"/>
      <c r="M462" s="113"/>
      <c r="N462" s="113"/>
      <c r="P462" s="113"/>
      <c r="Q462" s="113"/>
      <c r="R462" s="113"/>
      <c r="T462" s="113"/>
      <c r="U462" s="113"/>
      <c r="V462" s="113"/>
    </row>
    <row r="463" customFormat="false" ht="15" hidden="false" customHeight="true" outlineLevel="0" collapsed="false">
      <c r="H463" s="113"/>
      <c r="I463" s="113"/>
      <c r="J463" s="113"/>
      <c r="L463" s="113"/>
      <c r="M463" s="113"/>
      <c r="N463" s="113"/>
      <c r="P463" s="113"/>
      <c r="Q463" s="113"/>
      <c r="R463" s="113"/>
      <c r="T463" s="113"/>
      <c r="U463" s="113"/>
      <c r="V463" s="113"/>
    </row>
    <row r="464" customFormat="false" ht="15" hidden="false" customHeight="true" outlineLevel="0" collapsed="false">
      <c r="H464" s="113"/>
      <c r="I464" s="113"/>
      <c r="J464" s="113"/>
      <c r="L464" s="113"/>
      <c r="M464" s="113"/>
      <c r="N464" s="113"/>
      <c r="P464" s="113"/>
      <c r="Q464" s="113"/>
      <c r="R464" s="113"/>
      <c r="T464" s="113"/>
      <c r="U464" s="113"/>
      <c r="V464" s="113"/>
    </row>
    <row r="465" customFormat="false" ht="15" hidden="false" customHeight="true" outlineLevel="0" collapsed="false">
      <c r="H465" s="113"/>
      <c r="I465" s="113"/>
      <c r="J465" s="113"/>
      <c r="L465" s="113"/>
      <c r="M465" s="113"/>
      <c r="N465" s="113"/>
      <c r="P465" s="113"/>
      <c r="Q465" s="113"/>
      <c r="R465" s="113"/>
      <c r="T465" s="113"/>
      <c r="U465" s="113"/>
      <c r="V465" s="113"/>
    </row>
    <row r="466" customFormat="false" ht="15" hidden="false" customHeight="true" outlineLevel="0" collapsed="false">
      <c r="H466" s="113"/>
      <c r="I466" s="113"/>
      <c r="J466" s="113"/>
      <c r="L466" s="113"/>
      <c r="M466" s="113"/>
      <c r="N466" s="113"/>
      <c r="P466" s="113"/>
      <c r="Q466" s="113"/>
      <c r="R466" s="113"/>
      <c r="T466" s="113"/>
      <c r="U466" s="113"/>
      <c r="V466" s="113"/>
    </row>
    <row r="467" customFormat="false" ht="15" hidden="false" customHeight="true" outlineLevel="0" collapsed="false">
      <c r="H467" s="113"/>
      <c r="I467" s="113"/>
      <c r="J467" s="113"/>
      <c r="L467" s="113"/>
      <c r="M467" s="113"/>
      <c r="N467" s="113"/>
      <c r="P467" s="113"/>
      <c r="Q467" s="113"/>
      <c r="R467" s="113"/>
      <c r="T467" s="113"/>
      <c r="U467" s="113"/>
      <c r="V467" s="113"/>
    </row>
    <row r="468" customFormat="false" ht="15" hidden="false" customHeight="true" outlineLevel="0" collapsed="false">
      <c r="H468" s="113"/>
      <c r="I468" s="113"/>
      <c r="J468" s="113"/>
      <c r="L468" s="113"/>
      <c r="M468" s="113"/>
      <c r="N468" s="113"/>
      <c r="P468" s="113"/>
      <c r="Q468" s="113"/>
      <c r="R468" s="113"/>
      <c r="T468" s="113"/>
      <c r="U468" s="113"/>
      <c r="V468" s="113"/>
    </row>
    <row r="469" customFormat="false" ht="15" hidden="false" customHeight="true" outlineLevel="0" collapsed="false">
      <c r="H469" s="113"/>
      <c r="I469" s="113"/>
      <c r="J469" s="113"/>
      <c r="L469" s="113"/>
      <c r="M469" s="113"/>
      <c r="N469" s="113"/>
      <c r="P469" s="113"/>
      <c r="Q469" s="113"/>
      <c r="R469" s="113"/>
      <c r="T469" s="113"/>
      <c r="U469" s="113"/>
      <c r="V469" s="113"/>
    </row>
    <row r="470" customFormat="false" ht="15" hidden="false" customHeight="true" outlineLevel="0" collapsed="false">
      <c r="H470" s="113"/>
      <c r="I470" s="113"/>
      <c r="J470" s="113"/>
      <c r="L470" s="113"/>
      <c r="M470" s="113"/>
      <c r="N470" s="113"/>
      <c r="P470" s="113"/>
      <c r="Q470" s="113"/>
      <c r="R470" s="113"/>
      <c r="T470" s="113"/>
      <c r="U470" s="113"/>
      <c r="V470" s="113"/>
    </row>
    <row r="471" customFormat="false" ht="15" hidden="false" customHeight="true" outlineLevel="0" collapsed="false">
      <c r="H471" s="113"/>
      <c r="I471" s="113"/>
      <c r="J471" s="113"/>
      <c r="L471" s="113"/>
      <c r="M471" s="113"/>
      <c r="N471" s="113"/>
      <c r="P471" s="113"/>
      <c r="Q471" s="113"/>
      <c r="R471" s="113"/>
      <c r="T471" s="113"/>
      <c r="U471" s="113"/>
      <c r="V471" s="113"/>
    </row>
    <row r="472" customFormat="false" ht="15" hidden="false" customHeight="true" outlineLevel="0" collapsed="false">
      <c r="H472" s="113"/>
      <c r="I472" s="113"/>
      <c r="J472" s="113"/>
      <c r="L472" s="113"/>
      <c r="M472" s="113"/>
      <c r="N472" s="113"/>
      <c r="P472" s="113"/>
      <c r="Q472" s="113"/>
      <c r="R472" s="113"/>
      <c r="T472" s="113"/>
      <c r="U472" s="113"/>
      <c r="V472" s="113"/>
    </row>
    <row r="473" customFormat="false" ht="15" hidden="false" customHeight="true" outlineLevel="0" collapsed="false">
      <c r="H473" s="113"/>
      <c r="I473" s="113"/>
      <c r="J473" s="113"/>
      <c r="L473" s="113"/>
      <c r="M473" s="113"/>
      <c r="N473" s="113"/>
      <c r="P473" s="113"/>
      <c r="Q473" s="113"/>
      <c r="R473" s="113"/>
      <c r="T473" s="113"/>
      <c r="U473" s="113"/>
      <c r="V473" s="113"/>
    </row>
    <row r="474" customFormat="false" ht="15" hidden="false" customHeight="true" outlineLevel="0" collapsed="false">
      <c r="H474" s="113"/>
      <c r="I474" s="113"/>
      <c r="J474" s="113"/>
      <c r="L474" s="113"/>
      <c r="M474" s="113"/>
      <c r="N474" s="113"/>
      <c r="P474" s="113"/>
      <c r="Q474" s="113"/>
      <c r="R474" s="113"/>
      <c r="T474" s="113"/>
      <c r="U474" s="113"/>
      <c r="V474" s="113"/>
    </row>
    <row r="475" customFormat="false" ht="15" hidden="false" customHeight="true" outlineLevel="0" collapsed="false">
      <c r="H475" s="113"/>
      <c r="I475" s="113"/>
      <c r="J475" s="113"/>
      <c r="L475" s="113"/>
      <c r="M475" s="113"/>
      <c r="N475" s="113"/>
      <c r="P475" s="113"/>
      <c r="Q475" s="113"/>
      <c r="R475" s="113"/>
      <c r="T475" s="113"/>
      <c r="U475" s="113"/>
      <c r="V475" s="113"/>
    </row>
    <row r="476" customFormat="false" ht="15" hidden="false" customHeight="true" outlineLevel="0" collapsed="false">
      <c r="H476" s="113"/>
      <c r="I476" s="113"/>
      <c r="J476" s="113"/>
      <c r="L476" s="113"/>
      <c r="M476" s="113"/>
      <c r="N476" s="113"/>
      <c r="P476" s="113"/>
      <c r="Q476" s="113"/>
      <c r="R476" s="113"/>
      <c r="T476" s="113"/>
      <c r="U476" s="113"/>
      <c r="V476" s="113"/>
    </row>
    <row r="477" customFormat="false" ht="15" hidden="false" customHeight="true" outlineLevel="0" collapsed="false">
      <c r="H477" s="113"/>
      <c r="I477" s="113"/>
      <c r="J477" s="113"/>
      <c r="L477" s="113"/>
      <c r="M477" s="113"/>
      <c r="N477" s="113"/>
      <c r="P477" s="113"/>
      <c r="Q477" s="113"/>
      <c r="R477" s="113"/>
      <c r="T477" s="113"/>
      <c r="U477" s="113"/>
      <c r="V477" s="113"/>
    </row>
    <row r="478" customFormat="false" ht="15" hidden="false" customHeight="true" outlineLevel="0" collapsed="false">
      <c r="H478" s="113"/>
      <c r="I478" s="113"/>
      <c r="J478" s="113"/>
      <c r="L478" s="113"/>
      <c r="M478" s="113"/>
      <c r="N478" s="113"/>
      <c r="P478" s="113"/>
      <c r="Q478" s="113"/>
      <c r="R478" s="113"/>
      <c r="T478" s="113"/>
      <c r="U478" s="113"/>
      <c r="V478" s="113"/>
    </row>
    <row r="479" customFormat="false" ht="15" hidden="false" customHeight="true" outlineLevel="0" collapsed="false">
      <c r="H479" s="113"/>
      <c r="I479" s="113"/>
      <c r="J479" s="113"/>
      <c r="L479" s="113"/>
      <c r="M479" s="113"/>
      <c r="N479" s="113"/>
      <c r="P479" s="113"/>
      <c r="Q479" s="113"/>
      <c r="R479" s="113"/>
      <c r="T479" s="113"/>
      <c r="U479" s="113"/>
      <c r="V479" s="113"/>
    </row>
    <row r="480" customFormat="false" ht="15" hidden="false" customHeight="true" outlineLevel="0" collapsed="false">
      <c r="H480" s="113"/>
      <c r="I480" s="113"/>
      <c r="J480" s="113"/>
      <c r="L480" s="113"/>
      <c r="M480" s="113"/>
      <c r="N480" s="113"/>
      <c r="P480" s="113"/>
      <c r="Q480" s="113"/>
      <c r="R480" s="113"/>
      <c r="T480" s="113"/>
      <c r="U480" s="113"/>
      <c r="V480" s="113"/>
    </row>
    <row r="481" customFormat="false" ht="15" hidden="false" customHeight="true" outlineLevel="0" collapsed="false">
      <c r="H481" s="113"/>
      <c r="I481" s="113"/>
      <c r="J481" s="113"/>
      <c r="L481" s="113"/>
      <c r="M481" s="113"/>
      <c r="N481" s="113"/>
      <c r="P481" s="113"/>
      <c r="Q481" s="113"/>
      <c r="R481" s="113"/>
      <c r="T481" s="113"/>
      <c r="U481" s="113"/>
      <c r="V481" s="113"/>
    </row>
    <row r="482" customFormat="false" ht="15" hidden="false" customHeight="true" outlineLevel="0" collapsed="false">
      <c r="H482" s="113"/>
      <c r="I482" s="113"/>
      <c r="J482" s="113"/>
      <c r="L482" s="113"/>
      <c r="M482" s="113"/>
      <c r="N482" s="113"/>
      <c r="P482" s="113"/>
      <c r="Q482" s="113"/>
      <c r="R482" s="113"/>
      <c r="T482" s="113"/>
      <c r="U482" s="113"/>
      <c r="V482" s="113"/>
    </row>
    <row r="483" customFormat="false" ht="15" hidden="false" customHeight="true" outlineLevel="0" collapsed="false">
      <c r="H483" s="113"/>
      <c r="I483" s="113"/>
      <c r="J483" s="113"/>
      <c r="L483" s="113"/>
      <c r="M483" s="113"/>
      <c r="N483" s="113"/>
      <c r="P483" s="113"/>
      <c r="Q483" s="113"/>
      <c r="R483" s="113"/>
      <c r="T483" s="113"/>
      <c r="U483" s="113"/>
      <c r="V483" s="113"/>
    </row>
    <row r="484" customFormat="false" ht="15" hidden="false" customHeight="true" outlineLevel="0" collapsed="false">
      <c r="H484" s="113"/>
      <c r="I484" s="113"/>
      <c r="J484" s="113"/>
      <c r="L484" s="113"/>
      <c r="M484" s="113"/>
      <c r="N484" s="113"/>
      <c r="P484" s="113"/>
      <c r="Q484" s="113"/>
      <c r="R484" s="113"/>
      <c r="T484" s="113"/>
      <c r="U484" s="113"/>
      <c r="V484" s="113"/>
    </row>
    <row r="485" customFormat="false" ht="15" hidden="false" customHeight="true" outlineLevel="0" collapsed="false">
      <c r="H485" s="113"/>
      <c r="I485" s="113"/>
      <c r="J485" s="113"/>
      <c r="L485" s="113"/>
      <c r="M485" s="113"/>
      <c r="N485" s="113"/>
      <c r="P485" s="113"/>
      <c r="Q485" s="113"/>
      <c r="R485" s="113"/>
      <c r="T485" s="113"/>
      <c r="U485" s="113"/>
      <c r="V485" s="113"/>
    </row>
    <row r="486" customFormat="false" ht="15" hidden="false" customHeight="true" outlineLevel="0" collapsed="false">
      <c r="H486" s="113"/>
      <c r="I486" s="113"/>
      <c r="J486" s="113"/>
      <c r="L486" s="113"/>
      <c r="M486" s="113"/>
      <c r="N486" s="113"/>
      <c r="P486" s="113"/>
      <c r="Q486" s="113"/>
      <c r="R486" s="113"/>
      <c r="T486" s="113"/>
      <c r="U486" s="113"/>
      <c r="V486" s="113"/>
    </row>
    <row r="487" customFormat="false" ht="15" hidden="false" customHeight="true" outlineLevel="0" collapsed="false">
      <c r="H487" s="113"/>
      <c r="I487" s="113"/>
      <c r="J487" s="113"/>
      <c r="L487" s="113"/>
      <c r="M487" s="113"/>
      <c r="N487" s="113"/>
      <c r="P487" s="113"/>
      <c r="Q487" s="113"/>
      <c r="R487" s="113"/>
      <c r="T487" s="113"/>
      <c r="U487" s="113"/>
      <c r="V487" s="113"/>
    </row>
    <row r="488" customFormat="false" ht="15" hidden="false" customHeight="true" outlineLevel="0" collapsed="false">
      <c r="H488" s="113"/>
      <c r="I488" s="113"/>
      <c r="J488" s="113"/>
      <c r="L488" s="113"/>
      <c r="M488" s="113"/>
      <c r="N488" s="113"/>
      <c r="P488" s="113"/>
      <c r="Q488" s="113"/>
      <c r="R488" s="113"/>
      <c r="T488" s="113"/>
      <c r="U488" s="113"/>
      <c r="V488" s="113"/>
    </row>
    <row r="489" customFormat="false" ht="15" hidden="false" customHeight="true" outlineLevel="0" collapsed="false">
      <c r="H489" s="113"/>
      <c r="I489" s="113"/>
      <c r="J489" s="113"/>
      <c r="L489" s="113"/>
      <c r="M489" s="113"/>
      <c r="N489" s="113"/>
      <c r="P489" s="113"/>
      <c r="Q489" s="113"/>
      <c r="R489" s="113"/>
      <c r="T489" s="113"/>
      <c r="U489" s="113"/>
      <c r="V489" s="113"/>
    </row>
    <row r="490" customFormat="false" ht="15" hidden="false" customHeight="true" outlineLevel="0" collapsed="false">
      <c r="H490" s="113"/>
      <c r="I490" s="113"/>
      <c r="J490" s="113"/>
      <c r="L490" s="113"/>
      <c r="M490" s="113"/>
      <c r="N490" s="113"/>
      <c r="P490" s="113"/>
      <c r="Q490" s="113"/>
      <c r="R490" s="113"/>
      <c r="T490" s="113"/>
      <c r="U490" s="113"/>
      <c r="V490" s="113"/>
    </row>
    <row r="491" customFormat="false" ht="15" hidden="false" customHeight="true" outlineLevel="0" collapsed="false">
      <c r="H491" s="113"/>
      <c r="I491" s="113"/>
      <c r="J491" s="113"/>
      <c r="L491" s="113"/>
      <c r="M491" s="113"/>
      <c r="N491" s="113"/>
      <c r="P491" s="113"/>
      <c r="Q491" s="113"/>
      <c r="R491" s="113"/>
      <c r="T491" s="113"/>
      <c r="U491" s="113"/>
      <c r="V491" s="113"/>
    </row>
    <row r="492" customFormat="false" ht="15" hidden="false" customHeight="true" outlineLevel="0" collapsed="false">
      <c r="H492" s="113"/>
      <c r="I492" s="113"/>
      <c r="J492" s="113"/>
      <c r="L492" s="113"/>
      <c r="M492" s="113"/>
      <c r="N492" s="113"/>
      <c r="P492" s="113"/>
      <c r="Q492" s="113"/>
      <c r="R492" s="113"/>
      <c r="T492" s="113"/>
      <c r="U492" s="113"/>
      <c r="V492" s="113"/>
    </row>
    <row r="493" customFormat="false" ht="15" hidden="false" customHeight="true" outlineLevel="0" collapsed="false">
      <c r="H493" s="113"/>
      <c r="I493" s="113"/>
      <c r="J493" s="113"/>
      <c r="L493" s="113"/>
      <c r="M493" s="113"/>
      <c r="N493" s="113"/>
      <c r="P493" s="113"/>
      <c r="Q493" s="113"/>
      <c r="R493" s="113"/>
      <c r="T493" s="113"/>
      <c r="U493" s="113"/>
      <c r="V493" s="113"/>
    </row>
    <row r="494" customFormat="false" ht="15" hidden="false" customHeight="true" outlineLevel="0" collapsed="false">
      <c r="H494" s="113"/>
      <c r="I494" s="113"/>
      <c r="J494" s="113"/>
      <c r="L494" s="113"/>
      <c r="M494" s="113"/>
      <c r="N494" s="113"/>
      <c r="P494" s="113"/>
      <c r="Q494" s="113"/>
      <c r="R494" s="113"/>
      <c r="T494" s="113"/>
      <c r="U494" s="113"/>
      <c r="V494" s="113"/>
    </row>
    <row r="495" customFormat="false" ht="15" hidden="false" customHeight="true" outlineLevel="0" collapsed="false">
      <c r="H495" s="113"/>
      <c r="I495" s="113"/>
      <c r="J495" s="113"/>
      <c r="L495" s="113"/>
      <c r="M495" s="113"/>
      <c r="N495" s="113"/>
      <c r="P495" s="113"/>
      <c r="Q495" s="113"/>
      <c r="R495" s="113"/>
      <c r="T495" s="113"/>
      <c r="U495" s="113"/>
      <c r="V495" s="113"/>
    </row>
    <row r="496" customFormat="false" ht="15" hidden="false" customHeight="true" outlineLevel="0" collapsed="false">
      <c r="H496" s="113"/>
      <c r="I496" s="113"/>
      <c r="J496" s="113"/>
      <c r="L496" s="113"/>
      <c r="M496" s="113"/>
      <c r="N496" s="113"/>
      <c r="P496" s="113"/>
      <c r="Q496" s="113"/>
      <c r="R496" s="113"/>
      <c r="T496" s="113"/>
      <c r="U496" s="113"/>
      <c r="V496" s="113"/>
    </row>
    <row r="497" customFormat="false" ht="15" hidden="false" customHeight="true" outlineLevel="0" collapsed="false">
      <c r="H497" s="113"/>
      <c r="I497" s="113"/>
      <c r="J497" s="113"/>
      <c r="L497" s="113"/>
      <c r="M497" s="113"/>
      <c r="N497" s="113"/>
      <c r="P497" s="113"/>
      <c r="Q497" s="113"/>
      <c r="R497" s="113"/>
      <c r="T497" s="113"/>
      <c r="U497" s="113"/>
      <c r="V497" s="113"/>
    </row>
    <row r="498" customFormat="false" ht="15" hidden="false" customHeight="true" outlineLevel="0" collapsed="false">
      <c r="H498" s="113"/>
      <c r="I498" s="113"/>
      <c r="J498" s="113"/>
      <c r="L498" s="113"/>
      <c r="M498" s="113"/>
      <c r="N498" s="113"/>
      <c r="P498" s="113"/>
      <c r="Q498" s="113"/>
      <c r="R498" s="113"/>
      <c r="T498" s="113"/>
      <c r="U498" s="113"/>
      <c r="V498" s="113"/>
    </row>
    <row r="499" customFormat="false" ht="15" hidden="false" customHeight="true" outlineLevel="0" collapsed="false">
      <c r="H499" s="113"/>
      <c r="I499" s="113"/>
      <c r="J499" s="113"/>
      <c r="L499" s="113"/>
      <c r="M499" s="113"/>
      <c r="N499" s="113"/>
      <c r="P499" s="113"/>
      <c r="Q499" s="113"/>
      <c r="R499" s="113"/>
      <c r="T499" s="113"/>
      <c r="U499" s="113"/>
      <c r="V499" s="113"/>
    </row>
    <row r="500" customFormat="false" ht="15" hidden="false" customHeight="true" outlineLevel="0" collapsed="false">
      <c r="H500" s="113"/>
      <c r="I500" s="113"/>
      <c r="J500" s="113"/>
      <c r="L500" s="113"/>
      <c r="M500" s="113"/>
      <c r="N500" s="113"/>
      <c r="P500" s="113"/>
      <c r="Q500" s="113"/>
      <c r="R500" s="113"/>
      <c r="T500" s="113"/>
      <c r="U500" s="113"/>
      <c r="V500" s="113"/>
    </row>
    <row r="501" customFormat="false" ht="15" hidden="false" customHeight="true" outlineLevel="0" collapsed="false">
      <c r="H501" s="113"/>
      <c r="I501" s="113"/>
      <c r="J501" s="113"/>
      <c r="L501" s="113"/>
      <c r="M501" s="113"/>
      <c r="N501" s="113"/>
      <c r="P501" s="113"/>
      <c r="Q501" s="113"/>
      <c r="R501" s="113"/>
      <c r="T501" s="113"/>
      <c r="U501" s="113"/>
      <c r="V501" s="113"/>
    </row>
    <row r="502" customFormat="false" ht="15" hidden="false" customHeight="true" outlineLevel="0" collapsed="false">
      <c r="H502" s="113"/>
      <c r="I502" s="113"/>
      <c r="J502" s="113"/>
      <c r="L502" s="113"/>
      <c r="M502" s="113"/>
      <c r="N502" s="113"/>
      <c r="P502" s="113"/>
      <c r="Q502" s="113"/>
      <c r="R502" s="113"/>
      <c r="T502" s="113"/>
      <c r="U502" s="113"/>
      <c r="V502" s="113"/>
    </row>
    <row r="503" customFormat="false" ht="15" hidden="false" customHeight="true" outlineLevel="0" collapsed="false">
      <c r="H503" s="113"/>
      <c r="I503" s="113"/>
      <c r="J503" s="113"/>
      <c r="L503" s="113"/>
      <c r="M503" s="113"/>
      <c r="N503" s="113"/>
      <c r="P503" s="113"/>
      <c r="Q503" s="113"/>
      <c r="R503" s="113"/>
      <c r="T503" s="113"/>
      <c r="U503" s="113"/>
      <c r="V503" s="113"/>
    </row>
    <row r="504" customFormat="false" ht="15" hidden="false" customHeight="true" outlineLevel="0" collapsed="false">
      <c r="H504" s="113"/>
      <c r="I504" s="113"/>
      <c r="J504" s="113"/>
      <c r="L504" s="113"/>
      <c r="M504" s="113"/>
      <c r="N504" s="113"/>
      <c r="P504" s="113"/>
      <c r="Q504" s="113"/>
      <c r="R504" s="113"/>
      <c r="T504" s="113"/>
      <c r="U504" s="113"/>
      <c r="V504" s="113"/>
    </row>
    <row r="505" customFormat="false" ht="15" hidden="false" customHeight="true" outlineLevel="0" collapsed="false">
      <c r="H505" s="113"/>
      <c r="I505" s="113"/>
      <c r="J505" s="113"/>
      <c r="L505" s="113"/>
      <c r="M505" s="113"/>
      <c r="N505" s="113"/>
      <c r="P505" s="113"/>
      <c r="Q505" s="113"/>
      <c r="R505" s="113"/>
      <c r="T505" s="113"/>
      <c r="U505" s="113"/>
      <c r="V505" s="113"/>
    </row>
    <row r="506" customFormat="false" ht="15" hidden="false" customHeight="true" outlineLevel="0" collapsed="false">
      <c r="H506" s="113"/>
      <c r="I506" s="113"/>
      <c r="J506" s="113"/>
      <c r="L506" s="113"/>
      <c r="M506" s="113"/>
      <c r="N506" s="113"/>
      <c r="P506" s="113"/>
      <c r="Q506" s="113"/>
      <c r="R506" s="113"/>
      <c r="T506" s="113"/>
      <c r="U506" s="113"/>
      <c r="V506" s="113"/>
    </row>
    <row r="507" customFormat="false" ht="15" hidden="false" customHeight="true" outlineLevel="0" collapsed="false">
      <c r="H507" s="113"/>
      <c r="I507" s="113"/>
      <c r="J507" s="113"/>
      <c r="L507" s="113"/>
      <c r="M507" s="113"/>
      <c r="N507" s="113"/>
      <c r="P507" s="113"/>
      <c r="Q507" s="113"/>
      <c r="R507" s="113"/>
      <c r="T507" s="113"/>
      <c r="U507" s="113"/>
      <c r="V507" s="113"/>
    </row>
    <row r="508" customFormat="false" ht="15" hidden="false" customHeight="true" outlineLevel="0" collapsed="false">
      <c r="H508" s="113"/>
      <c r="I508" s="113"/>
      <c r="J508" s="113"/>
      <c r="L508" s="113"/>
      <c r="M508" s="113"/>
      <c r="N508" s="113"/>
      <c r="P508" s="113"/>
      <c r="Q508" s="113"/>
      <c r="R508" s="113"/>
      <c r="T508" s="113"/>
      <c r="U508" s="113"/>
      <c r="V508" s="113"/>
    </row>
    <row r="509" customFormat="false" ht="15" hidden="false" customHeight="true" outlineLevel="0" collapsed="false">
      <c r="H509" s="113"/>
      <c r="I509" s="113"/>
      <c r="J509" s="113"/>
      <c r="L509" s="113"/>
      <c r="M509" s="113"/>
      <c r="N509" s="113"/>
      <c r="P509" s="113"/>
      <c r="Q509" s="113"/>
      <c r="R509" s="113"/>
      <c r="T509" s="113"/>
      <c r="U509" s="113"/>
      <c r="V509" s="113"/>
    </row>
    <row r="510" customFormat="false" ht="15" hidden="false" customHeight="true" outlineLevel="0" collapsed="false">
      <c r="H510" s="113"/>
      <c r="I510" s="113"/>
      <c r="J510" s="113"/>
      <c r="L510" s="113"/>
      <c r="M510" s="113"/>
      <c r="N510" s="113"/>
      <c r="P510" s="113"/>
      <c r="Q510" s="113"/>
      <c r="R510" s="113"/>
      <c r="T510" s="113"/>
      <c r="U510" s="113"/>
      <c r="V510" s="113"/>
    </row>
    <row r="511" customFormat="false" ht="15" hidden="false" customHeight="true" outlineLevel="0" collapsed="false">
      <c r="H511" s="113"/>
      <c r="I511" s="113"/>
      <c r="J511" s="113"/>
      <c r="L511" s="113"/>
      <c r="M511" s="113"/>
      <c r="N511" s="113"/>
      <c r="P511" s="113"/>
      <c r="Q511" s="113"/>
      <c r="R511" s="113"/>
      <c r="T511" s="113"/>
      <c r="U511" s="113"/>
      <c r="V511" s="113"/>
    </row>
    <row r="512" customFormat="false" ht="15" hidden="false" customHeight="true" outlineLevel="0" collapsed="false">
      <c r="H512" s="113"/>
      <c r="I512" s="113"/>
      <c r="J512" s="113"/>
      <c r="L512" s="113"/>
      <c r="M512" s="113"/>
      <c r="N512" s="113"/>
      <c r="P512" s="113"/>
      <c r="Q512" s="113"/>
      <c r="R512" s="113"/>
      <c r="T512" s="113"/>
      <c r="U512" s="113"/>
      <c r="V512" s="113"/>
    </row>
    <row r="513" customFormat="false" ht="15" hidden="false" customHeight="true" outlineLevel="0" collapsed="false">
      <c r="H513" s="113"/>
      <c r="I513" s="113"/>
      <c r="J513" s="113"/>
      <c r="L513" s="113"/>
      <c r="M513" s="113"/>
      <c r="N513" s="113"/>
      <c r="P513" s="113"/>
      <c r="Q513" s="113"/>
      <c r="R513" s="113"/>
      <c r="T513" s="113"/>
      <c r="U513" s="113"/>
      <c r="V513" s="113"/>
    </row>
    <row r="514" customFormat="false" ht="15" hidden="false" customHeight="true" outlineLevel="0" collapsed="false">
      <c r="H514" s="113"/>
      <c r="I514" s="113"/>
      <c r="J514" s="113"/>
      <c r="L514" s="113"/>
      <c r="M514" s="113"/>
      <c r="N514" s="113"/>
      <c r="P514" s="113"/>
      <c r="Q514" s="113"/>
      <c r="R514" s="113"/>
      <c r="T514" s="113"/>
      <c r="U514" s="113"/>
      <c r="V514" s="113"/>
    </row>
    <row r="515" customFormat="false" ht="15" hidden="false" customHeight="true" outlineLevel="0" collapsed="false">
      <c r="H515" s="113"/>
      <c r="I515" s="113"/>
      <c r="J515" s="113"/>
      <c r="L515" s="113"/>
      <c r="M515" s="113"/>
      <c r="N515" s="113"/>
      <c r="P515" s="113"/>
      <c r="Q515" s="113"/>
      <c r="R515" s="113"/>
      <c r="T515" s="113"/>
      <c r="U515" s="113"/>
      <c r="V515" s="113"/>
    </row>
    <row r="516" customFormat="false" ht="15" hidden="false" customHeight="true" outlineLevel="0" collapsed="false">
      <c r="H516" s="113"/>
      <c r="I516" s="113"/>
      <c r="J516" s="113"/>
      <c r="L516" s="113"/>
      <c r="M516" s="113"/>
      <c r="N516" s="113"/>
      <c r="P516" s="113"/>
      <c r="Q516" s="113"/>
      <c r="R516" s="113"/>
      <c r="T516" s="113"/>
      <c r="U516" s="113"/>
      <c r="V516" s="113"/>
    </row>
    <row r="517" customFormat="false" ht="15" hidden="false" customHeight="true" outlineLevel="0" collapsed="false">
      <c r="H517" s="113"/>
      <c r="I517" s="113"/>
      <c r="J517" s="113"/>
      <c r="L517" s="113"/>
      <c r="M517" s="113"/>
      <c r="N517" s="113"/>
      <c r="P517" s="113"/>
      <c r="Q517" s="113"/>
      <c r="R517" s="113"/>
      <c r="T517" s="113"/>
      <c r="U517" s="113"/>
      <c r="V517" s="113"/>
    </row>
    <row r="518" customFormat="false" ht="15" hidden="false" customHeight="true" outlineLevel="0" collapsed="false">
      <c r="H518" s="113"/>
      <c r="I518" s="113"/>
      <c r="J518" s="113"/>
      <c r="L518" s="113"/>
      <c r="M518" s="113"/>
      <c r="N518" s="113"/>
      <c r="P518" s="113"/>
      <c r="Q518" s="113"/>
      <c r="R518" s="113"/>
      <c r="T518" s="113"/>
      <c r="U518" s="113"/>
      <c r="V518" s="113"/>
    </row>
    <row r="519" customFormat="false" ht="15" hidden="false" customHeight="true" outlineLevel="0" collapsed="false">
      <c r="H519" s="113"/>
      <c r="I519" s="113"/>
      <c r="J519" s="113"/>
      <c r="L519" s="113"/>
      <c r="M519" s="113"/>
      <c r="N519" s="113"/>
      <c r="P519" s="113"/>
      <c r="Q519" s="113"/>
      <c r="R519" s="113"/>
      <c r="T519" s="113"/>
      <c r="U519" s="113"/>
      <c r="V519" s="113"/>
    </row>
    <row r="520" customFormat="false" ht="15" hidden="false" customHeight="true" outlineLevel="0" collapsed="false">
      <c r="H520" s="113"/>
      <c r="I520" s="113"/>
      <c r="J520" s="113"/>
      <c r="L520" s="113"/>
      <c r="M520" s="113"/>
      <c r="N520" s="113"/>
      <c r="P520" s="113"/>
      <c r="Q520" s="113"/>
      <c r="R520" s="113"/>
      <c r="T520" s="113"/>
      <c r="U520" s="113"/>
      <c r="V520" s="113"/>
    </row>
    <row r="521" customFormat="false" ht="15" hidden="false" customHeight="true" outlineLevel="0" collapsed="false">
      <c r="H521" s="113"/>
      <c r="I521" s="113"/>
      <c r="J521" s="113"/>
      <c r="L521" s="113"/>
      <c r="M521" s="113"/>
      <c r="N521" s="113"/>
      <c r="P521" s="113"/>
      <c r="Q521" s="113"/>
      <c r="R521" s="113"/>
      <c r="T521" s="113"/>
      <c r="U521" s="113"/>
      <c r="V521" s="113"/>
    </row>
    <row r="522" customFormat="false" ht="15" hidden="false" customHeight="true" outlineLevel="0" collapsed="false">
      <c r="H522" s="113"/>
      <c r="I522" s="113"/>
      <c r="J522" s="113"/>
      <c r="L522" s="113"/>
      <c r="M522" s="113"/>
      <c r="N522" s="113"/>
      <c r="P522" s="113"/>
      <c r="Q522" s="113"/>
      <c r="R522" s="113"/>
      <c r="T522" s="113"/>
      <c r="U522" s="113"/>
      <c r="V522" s="113"/>
    </row>
    <row r="523" customFormat="false" ht="15" hidden="false" customHeight="true" outlineLevel="0" collapsed="false">
      <c r="H523" s="113"/>
      <c r="I523" s="113"/>
      <c r="J523" s="113"/>
      <c r="L523" s="113"/>
      <c r="M523" s="113"/>
      <c r="N523" s="113"/>
      <c r="P523" s="113"/>
      <c r="Q523" s="113"/>
      <c r="R523" s="113"/>
      <c r="T523" s="113"/>
      <c r="U523" s="113"/>
      <c r="V523" s="113"/>
    </row>
    <row r="524" customFormat="false" ht="15" hidden="false" customHeight="true" outlineLevel="0" collapsed="false">
      <c r="H524" s="113"/>
      <c r="I524" s="113"/>
      <c r="J524" s="113"/>
      <c r="L524" s="113"/>
      <c r="M524" s="113"/>
      <c r="N524" s="113"/>
      <c r="P524" s="113"/>
      <c r="Q524" s="113"/>
      <c r="R524" s="113"/>
      <c r="T524" s="113"/>
      <c r="U524" s="113"/>
      <c r="V524" s="113"/>
    </row>
    <row r="525" customFormat="false" ht="15" hidden="false" customHeight="true" outlineLevel="0" collapsed="false">
      <c r="H525" s="113"/>
      <c r="I525" s="113"/>
      <c r="J525" s="113"/>
      <c r="L525" s="113"/>
      <c r="M525" s="113"/>
      <c r="N525" s="113"/>
      <c r="P525" s="113"/>
      <c r="Q525" s="113"/>
      <c r="R525" s="113"/>
      <c r="T525" s="113"/>
      <c r="U525" s="113"/>
      <c r="V525" s="113"/>
    </row>
    <row r="526" customFormat="false" ht="15" hidden="false" customHeight="true" outlineLevel="0" collapsed="false">
      <c r="H526" s="113"/>
      <c r="I526" s="113"/>
      <c r="J526" s="113"/>
      <c r="L526" s="113"/>
      <c r="M526" s="113"/>
      <c r="N526" s="113"/>
      <c r="P526" s="113"/>
      <c r="Q526" s="113"/>
      <c r="R526" s="113"/>
      <c r="T526" s="113"/>
      <c r="U526" s="113"/>
      <c r="V526" s="113"/>
    </row>
    <row r="527" customFormat="false" ht="15" hidden="false" customHeight="true" outlineLevel="0" collapsed="false">
      <c r="H527" s="113"/>
      <c r="I527" s="113"/>
      <c r="J527" s="113"/>
      <c r="L527" s="113"/>
      <c r="M527" s="113"/>
      <c r="N527" s="113"/>
      <c r="P527" s="113"/>
      <c r="Q527" s="113"/>
      <c r="R527" s="113"/>
      <c r="T527" s="113"/>
      <c r="U527" s="113"/>
      <c r="V527" s="113"/>
    </row>
    <row r="528" customFormat="false" ht="15" hidden="false" customHeight="true" outlineLevel="0" collapsed="false">
      <c r="H528" s="113"/>
      <c r="I528" s="113"/>
      <c r="J528" s="113"/>
      <c r="L528" s="113"/>
      <c r="M528" s="113"/>
      <c r="N528" s="113"/>
      <c r="P528" s="113"/>
      <c r="Q528" s="113"/>
      <c r="R528" s="113"/>
      <c r="T528" s="113"/>
      <c r="U528" s="113"/>
      <c r="V528" s="113"/>
    </row>
    <row r="529" customFormat="false" ht="15" hidden="false" customHeight="true" outlineLevel="0" collapsed="false">
      <c r="H529" s="113"/>
      <c r="I529" s="113"/>
      <c r="J529" s="113"/>
      <c r="L529" s="113"/>
      <c r="M529" s="113"/>
      <c r="N529" s="113"/>
      <c r="P529" s="113"/>
      <c r="Q529" s="113"/>
      <c r="R529" s="113"/>
      <c r="T529" s="113"/>
      <c r="U529" s="113"/>
      <c r="V529" s="113"/>
    </row>
    <row r="530" customFormat="false" ht="15" hidden="false" customHeight="true" outlineLevel="0" collapsed="false">
      <c r="H530" s="113"/>
      <c r="I530" s="113"/>
      <c r="J530" s="113"/>
      <c r="L530" s="113"/>
      <c r="M530" s="113"/>
      <c r="N530" s="113"/>
      <c r="P530" s="113"/>
      <c r="Q530" s="113"/>
      <c r="R530" s="113"/>
      <c r="T530" s="113"/>
      <c r="U530" s="113"/>
      <c r="V530" s="113"/>
    </row>
    <row r="531" customFormat="false" ht="15" hidden="false" customHeight="true" outlineLevel="0" collapsed="false">
      <c r="H531" s="113"/>
      <c r="I531" s="113"/>
      <c r="J531" s="113"/>
      <c r="L531" s="113"/>
      <c r="M531" s="113"/>
      <c r="N531" s="113"/>
      <c r="P531" s="113"/>
      <c r="Q531" s="113"/>
      <c r="R531" s="113"/>
      <c r="T531" s="113"/>
      <c r="U531" s="113"/>
      <c r="V531" s="113"/>
    </row>
    <row r="532" customFormat="false" ht="15" hidden="false" customHeight="true" outlineLevel="0" collapsed="false">
      <c r="H532" s="113"/>
      <c r="I532" s="113"/>
      <c r="J532" s="113"/>
      <c r="L532" s="113"/>
      <c r="M532" s="113"/>
      <c r="N532" s="113"/>
      <c r="P532" s="113"/>
      <c r="Q532" s="113"/>
      <c r="R532" s="113"/>
      <c r="T532" s="113"/>
      <c r="U532" s="113"/>
      <c r="V532" s="113"/>
    </row>
    <row r="533" customFormat="false" ht="15" hidden="false" customHeight="true" outlineLevel="0" collapsed="false">
      <c r="H533" s="113"/>
      <c r="I533" s="113"/>
      <c r="J533" s="113"/>
      <c r="L533" s="113"/>
      <c r="M533" s="113"/>
      <c r="N533" s="113"/>
      <c r="P533" s="113"/>
      <c r="Q533" s="113"/>
      <c r="R533" s="113"/>
      <c r="T533" s="113"/>
      <c r="U533" s="113"/>
      <c r="V533" s="113"/>
    </row>
    <row r="534" customFormat="false" ht="15" hidden="false" customHeight="true" outlineLevel="0" collapsed="false">
      <c r="H534" s="113"/>
      <c r="I534" s="113"/>
      <c r="J534" s="113"/>
      <c r="L534" s="113"/>
      <c r="M534" s="113"/>
      <c r="N534" s="113"/>
      <c r="P534" s="113"/>
      <c r="Q534" s="113"/>
      <c r="R534" s="113"/>
      <c r="T534" s="113"/>
      <c r="U534" s="113"/>
      <c r="V534" s="113"/>
    </row>
    <row r="535" customFormat="false" ht="15" hidden="false" customHeight="true" outlineLevel="0" collapsed="false">
      <c r="H535" s="113"/>
      <c r="I535" s="113"/>
      <c r="J535" s="113"/>
      <c r="L535" s="113"/>
      <c r="M535" s="113"/>
      <c r="N535" s="113"/>
      <c r="P535" s="113"/>
      <c r="Q535" s="113"/>
      <c r="R535" s="113"/>
      <c r="T535" s="113"/>
      <c r="U535" s="113"/>
      <c r="V535" s="113"/>
    </row>
    <row r="536" customFormat="false" ht="15" hidden="false" customHeight="true" outlineLevel="0" collapsed="false">
      <c r="H536" s="113"/>
      <c r="I536" s="113"/>
      <c r="J536" s="113"/>
      <c r="L536" s="113"/>
      <c r="M536" s="113"/>
      <c r="N536" s="113"/>
      <c r="P536" s="113"/>
      <c r="Q536" s="113"/>
      <c r="R536" s="113"/>
      <c r="T536" s="113"/>
      <c r="U536" s="113"/>
      <c r="V536" s="113"/>
    </row>
    <row r="537" customFormat="false" ht="15" hidden="false" customHeight="true" outlineLevel="0" collapsed="false">
      <c r="H537" s="113"/>
      <c r="I537" s="113"/>
      <c r="J537" s="113"/>
      <c r="L537" s="113"/>
      <c r="M537" s="113"/>
      <c r="N537" s="113"/>
      <c r="P537" s="113"/>
      <c r="Q537" s="113"/>
      <c r="R537" s="113"/>
      <c r="T537" s="113"/>
      <c r="U537" s="113"/>
      <c r="V537" s="113"/>
    </row>
    <row r="538" customFormat="false" ht="15" hidden="false" customHeight="true" outlineLevel="0" collapsed="false">
      <c r="H538" s="113"/>
      <c r="I538" s="113"/>
      <c r="J538" s="113"/>
      <c r="L538" s="113"/>
      <c r="M538" s="113"/>
      <c r="N538" s="113"/>
      <c r="P538" s="113"/>
      <c r="Q538" s="113"/>
      <c r="R538" s="113"/>
      <c r="T538" s="113"/>
      <c r="U538" s="113"/>
      <c r="V538" s="113"/>
    </row>
    <row r="539" customFormat="false" ht="15" hidden="false" customHeight="true" outlineLevel="0" collapsed="false">
      <c r="H539" s="113"/>
      <c r="I539" s="113"/>
      <c r="J539" s="113"/>
      <c r="L539" s="113"/>
      <c r="M539" s="113"/>
      <c r="N539" s="113"/>
      <c r="P539" s="113"/>
      <c r="Q539" s="113"/>
      <c r="R539" s="113"/>
      <c r="T539" s="113"/>
      <c r="U539" s="113"/>
      <c r="V539" s="113"/>
    </row>
    <row r="540" customFormat="false" ht="15" hidden="false" customHeight="true" outlineLevel="0" collapsed="false">
      <c r="H540" s="113"/>
      <c r="I540" s="113"/>
      <c r="J540" s="113"/>
      <c r="L540" s="113"/>
      <c r="M540" s="113"/>
      <c r="N540" s="113"/>
      <c r="P540" s="113"/>
      <c r="Q540" s="113"/>
      <c r="R540" s="113"/>
      <c r="T540" s="113"/>
      <c r="U540" s="113"/>
      <c r="V540" s="113"/>
    </row>
    <row r="541" customFormat="false" ht="15" hidden="false" customHeight="true" outlineLevel="0" collapsed="false">
      <c r="H541" s="113"/>
      <c r="I541" s="113"/>
      <c r="J541" s="113"/>
      <c r="L541" s="113"/>
      <c r="M541" s="113"/>
      <c r="N541" s="113"/>
      <c r="P541" s="113"/>
      <c r="Q541" s="113"/>
      <c r="R541" s="113"/>
      <c r="T541" s="113"/>
      <c r="U541" s="113"/>
      <c r="V541" s="113"/>
    </row>
    <row r="542" customFormat="false" ht="15" hidden="false" customHeight="true" outlineLevel="0" collapsed="false">
      <c r="H542" s="113"/>
      <c r="I542" s="113"/>
      <c r="J542" s="113"/>
      <c r="L542" s="113"/>
      <c r="M542" s="113"/>
      <c r="N542" s="113"/>
      <c r="P542" s="113"/>
      <c r="Q542" s="113"/>
      <c r="R542" s="113"/>
      <c r="T542" s="113"/>
      <c r="U542" s="113"/>
      <c r="V542" s="113"/>
    </row>
    <row r="543" customFormat="false" ht="15" hidden="false" customHeight="true" outlineLevel="0" collapsed="false">
      <c r="H543" s="113"/>
      <c r="I543" s="113"/>
      <c r="J543" s="113"/>
      <c r="L543" s="113"/>
      <c r="M543" s="113"/>
      <c r="N543" s="113"/>
      <c r="P543" s="113"/>
      <c r="Q543" s="113"/>
      <c r="R543" s="113"/>
      <c r="T543" s="113"/>
      <c r="U543" s="113"/>
      <c r="V543" s="113"/>
    </row>
    <row r="544" customFormat="false" ht="15" hidden="false" customHeight="true" outlineLevel="0" collapsed="false">
      <c r="H544" s="113"/>
      <c r="I544" s="113"/>
      <c r="J544" s="113"/>
      <c r="L544" s="113"/>
      <c r="M544" s="113"/>
      <c r="N544" s="113"/>
      <c r="P544" s="113"/>
      <c r="Q544" s="113"/>
      <c r="R544" s="113"/>
      <c r="T544" s="113"/>
      <c r="U544" s="113"/>
      <c r="V544" s="113"/>
    </row>
    <row r="545" customFormat="false" ht="15" hidden="false" customHeight="true" outlineLevel="0" collapsed="false">
      <c r="H545" s="113"/>
      <c r="I545" s="113"/>
      <c r="J545" s="113"/>
      <c r="L545" s="113"/>
      <c r="M545" s="113"/>
      <c r="N545" s="113"/>
      <c r="P545" s="113"/>
      <c r="Q545" s="113"/>
      <c r="R545" s="113"/>
      <c r="T545" s="113"/>
      <c r="U545" s="113"/>
      <c r="V545" s="113"/>
    </row>
    <row r="546" customFormat="false" ht="15" hidden="false" customHeight="true" outlineLevel="0" collapsed="false">
      <c r="H546" s="113"/>
      <c r="I546" s="113"/>
      <c r="J546" s="113"/>
      <c r="L546" s="113"/>
      <c r="M546" s="113"/>
      <c r="N546" s="113"/>
      <c r="P546" s="113"/>
      <c r="Q546" s="113"/>
      <c r="R546" s="113"/>
      <c r="T546" s="113"/>
      <c r="U546" s="113"/>
      <c r="V546" s="113"/>
    </row>
    <row r="547" customFormat="false" ht="15" hidden="false" customHeight="true" outlineLevel="0" collapsed="false">
      <c r="H547" s="113"/>
      <c r="I547" s="113"/>
      <c r="J547" s="113"/>
      <c r="L547" s="113"/>
      <c r="M547" s="113"/>
      <c r="N547" s="113"/>
      <c r="P547" s="113"/>
      <c r="Q547" s="113"/>
      <c r="R547" s="113"/>
      <c r="T547" s="113"/>
      <c r="U547" s="113"/>
      <c r="V547" s="113"/>
    </row>
    <row r="548" customFormat="false" ht="15" hidden="false" customHeight="true" outlineLevel="0" collapsed="false">
      <c r="H548" s="113"/>
      <c r="I548" s="113"/>
      <c r="J548" s="113"/>
      <c r="L548" s="113"/>
      <c r="M548" s="113"/>
      <c r="N548" s="113"/>
      <c r="P548" s="113"/>
      <c r="Q548" s="113"/>
      <c r="R548" s="113"/>
      <c r="T548" s="113"/>
      <c r="U548" s="113"/>
      <c r="V548" s="113"/>
    </row>
    <row r="549" customFormat="false" ht="15" hidden="false" customHeight="true" outlineLevel="0" collapsed="false">
      <c r="H549" s="113"/>
      <c r="I549" s="113"/>
      <c r="J549" s="113"/>
      <c r="L549" s="113"/>
      <c r="M549" s="113"/>
      <c r="N549" s="113"/>
      <c r="P549" s="113"/>
      <c r="Q549" s="113"/>
      <c r="R549" s="113"/>
      <c r="T549" s="113"/>
      <c r="U549" s="113"/>
      <c r="V549" s="113"/>
    </row>
    <row r="550" customFormat="false" ht="15" hidden="false" customHeight="true" outlineLevel="0" collapsed="false">
      <c r="H550" s="113"/>
      <c r="I550" s="113"/>
      <c r="J550" s="113"/>
      <c r="L550" s="113"/>
      <c r="M550" s="113"/>
      <c r="N550" s="113"/>
      <c r="P550" s="113"/>
      <c r="Q550" s="113"/>
      <c r="R550" s="113"/>
      <c r="T550" s="113"/>
      <c r="U550" s="113"/>
      <c r="V550" s="113"/>
    </row>
    <row r="551" customFormat="false" ht="15" hidden="false" customHeight="true" outlineLevel="0" collapsed="false">
      <c r="H551" s="113"/>
      <c r="I551" s="113"/>
      <c r="J551" s="113"/>
      <c r="L551" s="113"/>
      <c r="M551" s="113"/>
      <c r="N551" s="113"/>
      <c r="P551" s="113"/>
      <c r="Q551" s="113"/>
      <c r="R551" s="113"/>
      <c r="T551" s="113"/>
      <c r="U551" s="113"/>
      <c r="V551" s="113"/>
    </row>
    <row r="552" customFormat="false" ht="15" hidden="false" customHeight="true" outlineLevel="0" collapsed="false">
      <c r="H552" s="113"/>
      <c r="I552" s="113"/>
      <c r="J552" s="113"/>
      <c r="L552" s="113"/>
      <c r="M552" s="113"/>
      <c r="N552" s="113"/>
      <c r="P552" s="113"/>
      <c r="Q552" s="113"/>
      <c r="R552" s="113"/>
      <c r="T552" s="113"/>
      <c r="U552" s="113"/>
      <c r="V552" s="113"/>
    </row>
    <row r="553" customFormat="false" ht="15" hidden="false" customHeight="true" outlineLevel="0" collapsed="false">
      <c r="H553" s="113"/>
      <c r="I553" s="113"/>
      <c r="J553" s="113"/>
      <c r="L553" s="113"/>
      <c r="M553" s="113"/>
      <c r="N553" s="113"/>
      <c r="P553" s="113"/>
      <c r="Q553" s="113"/>
      <c r="R553" s="113"/>
      <c r="T553" s="113"/>
      <c r="U553" s="113"/>
      <c r="V553" s="113"/>
    </row>
    <row r="554" customFormat="false" ht="15" hidden="false" customHeight="true" outlineLevel="0" collapsed="false">
      <c r="H554" s="113"/>
      <c r="I554" s="113"/>
      <c r="J554" s="113"/>
      <c r="L554" s="113"/>
      <c r="M554" s="113"/>
      <c r="N554" s="113"/>
      <c r="P554" s="113"/>
      <c r="Q554" s="113"/>
      <c r="R554" s="113"/>
      <c r="T554" s="113"/>
      <c r="U554" s="113"/>
      <c r="V554" s="113"/>
    </row>
    <row r="555" customFormat="false" ht="15" hidden="false" customHeight="true" outlineLevel="0" collapsed="false">
      <c r="H555" s="113"/>
      <c r="I555" s="113"/>
      <c r="J555" s="113"/>
      <c r="L555" s="113"/>
      <c r="M555" s="113"/>
      <c r="N555" s="113"/>
      <c r="P555" s="113"/>
      <c r="Q555" s="113"/>
      <c r="R555" s="113"/>
      <c r="T555" s="113"/>
      <c r="U555" s="113"/>
      <c r="V555" s="113"/>
    </row>
    <row r="556" customFormat="false" ht="15" hidden="false" customHeight="true" outlineLevel="0" collapsed="false">
      <c r="H556" s="113"/>
      <c r="I556" s="113"/>
      <c r="J556" s="113"/>
      <c r="L556" s="113"/>
      <c r="M556" s="113"/>
      <c r="N556" s="113"/>
      <c r="P556" s="113"/>
      <c r="Q556" s="113"/>
      <c r="R556" s="113"/>
      <c r="T556" s="113"/>
      <c r="U556" s="113"/>
      <c r="V556" s="113"/>
    </row>
    <row r="557" customFormat="false" ht="15" hidden="false" customHeight="true" outlineLevel="0" collapsed="false">
      <c r="H557" s="113"/>
      <c r="I557" s="113"/>
      <c r="J557" s="113"/>
      <c r="L557" s="113"/>
      <c r="M557" s="113"/>
      <c r="N557" s="113"/>
      <c r="P557" s="113"/>
      <c r="Q557" s="113"/>
      <c r="R557" s="113"/>
      <c r="T557" s="113"/>
      <c r="U557" s="113"/>
      <c r="V557" s="113"/>
    </row>
    <row r="558" customFormat="false" ht="15" hidden="false" customHeight="true" outlineLevel="0" collapsed="false">
      <c r="H558" s="113"/>
      <c r="I558" s="113"/>
      <c r="J558" s="113"/>
      <c r="L558" s="113"/>
      <c r="M558" s="113"/>
      <c r="N558" s="113"/>
      <c r="P558" s="113"/>
      <c r="Q558" s="113"/>
      <c r="R558" s="113"/>
      <c r="T558" s="113"/>
      <c r="U558" s="113"/>
      <c r="V558" s="113"/>
    </row>
    <row r="559" customFormat="false" ht="15" hidden="false" customHeight="true" outlineLevel="0" collapsed="false">
      <c r="H559" s="113"/>
      <c r="I559" s="113"/>
      <c r="J559" s="113"/>
      <c r="L559" s="113"/>
      <c r="M559" s="113"/>
      <c r="N559" s="113"/>
      <c r="P559" s="113"/>
      <c r="Q559" s="113"/>
      <c r="R559" s="113"/>
      <c r="T559" s="113"/>
      <c r="U559" s="113"/>
      <c r="V559" s="113"/>
    </row>
    <row r="560" customFormat="false" ht="15" hidden="false" customHeight="true" outlineLevel="0" collapsed="false">
      <c r="H560" s="113"/>
      <c r="I560" s="113"/>
      <c r="J560" s="113"/>
      <c r="L560" s="113"/>
      <c r="M560" s="113"/>
      <c r="N560" s="113"/>
      <c r="P560" s="113"/>
      <c r="Q560" s="113"/>
      <c r="R560" s="113"/>
      <c r="T560" s="113"/>
      <c r="U560" s="113"/>
      <c r="V560" s="113"/>
    </row>
    <row r="561" customFormat="false" ht="15" hidden="false" customHeight="true" outlineLevel="0" collapsed="false">
      <c r="H561" s="113"/>
      <c r="I561" s="113"/>
      <c r="J561" s="113"/>
      <c r="L561" s="113"/>
      <c r="M561" s="113"/>
      <c r="N561" s="113"/>
      <c r="P561" s="113"/>
      <c r="Q561" s="113"/>
      <c r="R561" s="113"/>
      <c r="T561" s="113"/>
      <c r="U561" s="113"/>
      <c r="V561" s="113"/>
    </row>
    <row r="562" customFormat="false" ht="15" hidden="false" customHeight="true" outlineLevel="0" collapsed="false">
      <c r="H562" s="113"/>
      <c r="I562" s="113"/>
      <c r="J562" s="113"/>
      <c r="L562" s="113"/>
      <c r="M562" s="113"/>
      <c r="N562" s="113"/>
      <c r="P562" s="113"/>
      <c r="Q562" s="113"/>
      <c r="R562" s="113"/>
      <c r="T562" s="113"/>
      <c r="U562" s="113"/>
      <c r="V562" s="113"/>
    </row>
    <row r="563" customFormat="false" ht="15" hidden="false" customHeight="true" outlineLevel="0" collapsed="false">
      <c r="H563" s="113"/>
      <c r="I563" s="113"/>
      <c r="J563" s="113"/>
      <c r="L563" s="113"/>
      <c r="M563" s="113"/>
      <c r="N563" s="113"/>
      <c r="P563" s="113"/>
      <c r="Q563" s="113"/>
      <c r="R563" s="113"/>
      <c r="T563" s="113"/>
      <c r="U563" s="113"/>
      <c r="V563" s="113"/>
    </row>
    <row r="564" customFormat="false" ht="15" hidden="false" customHeight="true" outlineLevel="0" collapsed="false">
      <c r="H564" s="113"/>
      <c r="I564" s="113"/>
      <c r="J564" s="113"/>
      <c r="L564" s="113"/>
      <c r="M564" s="113"/>
      <c r="N564" s="113"/>
      <c r="P564" s="113"/>
      <c r="Q564" s="113"/>
      <c r="R564" s="113"/>
      <c r="T564" s="113"/>
      <c r="U564" s="113"/>
      <c r="V564" s="113"/>
    </row>
    <row r="565" customFormat="false" ht="15" hidden="false" customHeight="true" outlineLevel="0" collapsed="false">
      <c r="H565" s="113"/>
      <c r="I565" s="113"/>
      <c r="J565" s="113"/>
      <c r="L565" s="113"/>
      <c r="M565" s="113"/>
      <c r="N565" s="113"/>
      <c r="P565" s="113"/>
      <c r="Q565" s="113"/>
      <c r="R565" s="113"/>
      <c r="T565" s="113"/>
      <c r="U565" s="113"/>
      <c r="V565" s="113"/>
    </row>
    <row r="566" customFormat="false" ht="15" hidden="false" customHeight="true" outlineLevel="0" collapsed="false">
      <c r="H566" s="113"/>
      <c r="I566" s="113"/>
      <c r="J566" s="113"/>
      <c r="L566" s="113"/>
      <c r="M566" s="113"/>
      <c r="N566" s="113"/>
      <c r="P566" s="113"/>
      <c r="Q566" s="113"/>
      <c r="R566" s="113"/>
      <c r="T566" s="113"/>
      <c r="U566" s="113"/>
      <c r="V566" s="113"/>
    </row>
    <row r="567" customFormat="false" ht="15" hidden="false" customHeight="true" outlineLevel="0" collapsed="false">
      <c r="H567" s="113"/>
      <c r="I567" s="113"/>
      <c r="J567" s="113"/>
      <c r="L567" s="113"/>
      <c r="M567" s="113"/>
      <c r="N567" s="113"/>
      <c r="P567" s="113"/>
      <c r="Q567" s="113"/>
      <c r="R567" s="113"/>
      <c r="T567" s="113"/>
      <c r="U567" s="113"/>
      <c r="V567" s="113"/>
    </row>
    <row r="568" customFormat="false" ht="15" hidden="false" customHeight="true" outlineLevel="0" collapsed="false">
      <c r="H568" s="113"/>
      <c r="I568" s="113"/>
      <c r="J568" s="113"/>
      <c r="L568" s="113"/>
      <c r="M568" s="113"/>
      <c r="N568" s="113"/>
      <c r="P568" s="113"/>
      <c r="Q568" s="113"/>
      <c r="R568" s="113"/>
      <c r="T568" s="113"/>
      <c r="U568" s="113"/>
      <c r="V568" s="113"/>
    </row>
    <row r="569" customFormat="false" ht="15" hidden="false" customHeight="true" outlineLevel="0" collapsed="false">
      <c r="H569" s="113"/>
      <c r="I569" s="113"/>
      <c r="J569" s="113"/>
      <c r="L569" s="113"/>
      <c r="M569" s="113"/>
      <c r="N569" s="113"/>
      <c r="P569" s="113"/>
      <c r="Q569" s="113"/>
      <c r="R569" s="113"/>
      <c r="T569" s="113"/>
      <c r="U569" s="113"/>
      <c r="V569" s="113"/>
    </row>
    <row r="570" customFormat="false" ht="15" hidden="false" customHeight="true" outlineLevel="0" collapsed="false">
      <c r="H570" s="113"/>
      <c r="I570" s="113"/>
      <c r="J570" s="113"/>
      <c r="L570" s="113"/>
      <c r="M570" s="113"/>
      <c r="N570" s="113"/>
      <c r="P570" s="113"/>
      <c r="Q570" s="113"/>
      <c r="R570" s="113"/>
      <c r="T570" s="113"/>
      <c r="U570" s="113"/>
      <c r="V570" s="113"/>
    </row>
    <row r="571" customFormat="false" ht="15" hidden="false" customHeight="true" outlineLevel="0" collapsed="false">
      <c r="H571" s="113"/>
      <c r="I571" s="113"/>
      <c r="J571" s="113"/>
      <c r="L571" s="113"/>
      <c r="M571" s="113"/>
      <c r="N571" s="113"/>
      <c r="P571" s="113"/>
      <c r="Q571" s="113"/>
      <c r="R571" s="113"/>
      <c r="T571" s="113"/>
      <c r="U571" s="113"/>
      <c r="V571" s="113"/>
    </row>
    <row r="572" customFormat="false" ht="15" hidden="false" customHeight="true" outlineLevel="0" collapsed="false">
      <c r="H572" s="113"/>
      <c r="I572" s="113"/>
      <c r="J572" s="113"/>
      <c r="L572" s="113"/>
      <c r="M572" s="113"/>
      <c r="N572" s="113"/>
      <c r="P572" s="113"/>
      <c r="Q572" s="113"/>
      <c r="R572" s="113"/>
      <c r="T572" s="113"/>
      <c r="U572" s="113"/>
      <c r="V572" s="113"/>
    </row>
    <row r="573" customFormat="false" ht="15" hidden="false" customHeight="true" outlineLevel="0" collapsed="false">
      <c r="H573" s="113"/>
      <c r="I573" s="113"/>
      <c r="J573" s="113"/>
      <c r="L573" s="113"/>
      <c r="M573" s="113"/>
      <c r="N573" s="113"/>
      <c r="P573" s="113"/>
      <c r="Q573" s="113"/>
      <c r="R573" s="113"/>
      <c r="T573" s="113"/>
      <c r="U573" s="113"/>
      <c r="V573" s="113"/>
    </row>
    <row r="574" customFormat="false" ht="15" hidden="false" customHeight="true" outlineLevel="0" collapsed="false">
      <c r="H574" s="113"/>
      <c r="I574" s="113"/>
      <c r="J574" s="113"/>
      <c r="L574" s="113"/>
      <c r="M574" s="113"/>
      <c r="N574" s="113"/>
      <c r="P574" s="113"/>
      <c r="Q574" s="113"/>
      <c r="R574" s="113"/>
      <c r="T574" s="113"/>
      <c r="U574" s="113"/>
      <c r="V574" s="113"/>
    </row>
    <row r="575" customFormat="false" ht="15" hidden="false" customHeight="true" outlineLevel="0" collapsed="false">
      <c r="H575" s="113"/>
      <c r="I575" s="113"/>
      <c r="J575" s="113"/>
      <c r="L575" s="113"/>
      <c r="M575" s="113"/>
      <c r="N575" s="113"/>
      <c r="P575" s="113"/>
      <c r="Q575" s="113"/>
      <c r="R575" s="113"/>
      <c r="T575" s="113"/>
      <c r="U575" s="113"/>
      <c r="V575" s="113"/>
    </row>
    <row r="576" customFormat="false" ht="15" hidden="false" customHeight="true" outlineLevel="0" collapsed="false">
      <c r="H576" s="113"/>
      <c r="I576" s="113"/>
      <c r="J576" s="113"/>
      <c r="L576" s="113"/>
      <c r="M576" s="113"/>
      <c r="N576" s="113"/>
      <c r="P576" s="113"/>
      <c r="Q576" s="113"/>
      <c r="R576" s="113"/>
      <c r="T576" s="113"/>
      <c r="U576" s="113"/>
      <c r="V576" s="113"/>
    </row>
    <row r="577" customFormat="false" ht="15" hidden="false" customHeight="true" outlineLevel="0" collapsed="false">
      <c r="H577" s="113"/>
      <c r="I577" s="113"/>
      <c r="J577" s="113"/>
      <c r="L577" s="113"/>
      <c r="M577" s="113"/>
      <c r="N577" s="113"/>
      <c r="P577" s="113"/>
      <c r="Q577" s="113"/>
      <c r="R577" s="113"/>
      <c r="T577" s="113"/>
      <c r="U577" s="113"/>
      <c r="V577" s="113"/>
    </row>
    <row r="578" customFormat="false" ht="15" hidden="false" customHeight="true" outlineLevel="0" collapsed="false">
      <c r="H578" s="113"/>
      <c r="I578" s="113"/>
      <c r="J578" s="113"/>
      <c r="L578" s="113"/>
      <c r="M578" s="113"/>
      <c r="N578" s="113"/>
      <c r="P578" s="113"/>
      <c r="Q578" s="113"/>
      <c r="R578" s="113"/>
      <c r="T578" s="113"/>
      <c r="U578" s="113"/>
      <c r="V578" s="113"/>
    </row>
    <row r="579" customFormat="false" ht="15" hidden="false" customHeight="true" outlineLevel="0" collapsed="false">
      <c r="H579" s="113"/>
      <c r="I579" s="113"/>
      <c r="J579" s="113"/>
      <c r="L579" s="113"/>
      <c r="M579" s="113"/>
      <c r="N579" s="113"/>
      <c r="P579" s="113"/>
      <c r="Q579" s="113"/>
      <c r="R579" s="113"/>
      <c r="T579" s="113"/>
      <c r="U579" s="113"/>
      <c r="V579" s="113"/>
    </row>
    <row r="580" customFormat="false" ht="15" hidden="false" customHeight="true" outlineLevel="0" collapsed="false">
      <c r="H580" s="113"/>
      <c r="I580" s="113"/>
      <c r="J580" s="113"/>
      <c r="L580" s="113"/>
      <c r="M580" s="113"/>
      <c r="N580" s="113"/>
      <c r="P580" s="113"/>
      <c r="Q580" s="113"/>
      <c r="R580" s="113"/>
      <c r="T580" s="113"/>
      <c r="U580" s="113"/>
      <c r="V580" s="113"/>
    </row>
    <row r="581" customFormat="false" ht="15" hidden="false" customHeight="true" outlineLevel="0" collapsed="false">
      <c r="H581" s="113"/>
      <c r="I581" s="113"/>
      <c r="J581" s="113"/>
      <c r="L581" s="113"/>
      <c r="M581" s="113"/>
      <c r="N581" s="113"/>
      <c r="P581" s="113"/>
      <c r="Q581" s="113"/>
      <c r="R581" s="113"/>
      <c r="T581" s="113"/>
      <c r="U581" s="113"/>
      <c r="V581" s="113"/>
    </row>
    <row r="582" customFormat="false" ht="15" hidden="false" customHeight="true" outlineLevel="0" collapsed="false">
      <c r="H582" s="113"/>
      <c r="I582" s="113"/>
      <c r="J582" s="113"/>
      <c r="L582" s="113"/>
      <c r="M582" s="113"/>
      <c r="N582" s="113"/>
      <c r="P582" s="113"/>
      <c r="Q582" s="113"/>
      <c r="R582" s="113"/>
      <c r="T582" s="113"/>
      <c r="U582" s="113"/>
      <c r="V582" s="113"/>
    </row>
    <row r="583" customFormat="false" ht="15" hidden="false" customHeight="true" outlineLevel="0" collapsed="false">
      <c r="H583" s="113"/>
      <c r="I583" s="113"/>
      <c r="J583" s="113"/>
      <c r="L583" s="113"/>
      <c r="M583" s="113"/>
      <c r="N583" s="113"/>
      <c r="P583" s="113"/>
      <c r="Q583" s="113"/>
      <c r="R583" s="113"/>
      <c r="T583" s="113"/>
      <c r="U583" s="113"/>
      <c r="V583" s="113"/>
    </row>
    <row r="584" customFormat="false" ht="15" hidden="false" customHeight="true" outlineLevel="0" collapsed="false">
      <c r="H584" s="113"/>
      <c r="I584" s="113"/>
      <c r="J584" s="113"/>
      <c r="L584" s="113"/>
      <c r="M584" s="113"/>
      <c r="N584" s="113"/>
      <c r="P584" s="113"/>
      <c r="Q584" s="113"/>
      <c r="R584" s="113"/>
      <c r="T584" s="113"/>
      <c r="U584" s="113"/>
      <c r="V584" s="113"/>
    </row>
    <row r="585" customFormat="false" ht="15" hidden="false" customHeight="true" outlineLevel="0" collapsed="false">
      <c r="H585" s="113"/>
      <c r="I585" s="113"/>
      <c r="J585" s="113"/>
      <c r="L585" s="113"/>
      <c r="M585" s="113"/>
      <c r="N585" s="113"/>
      <c r="P585" s="113"/>
      <c r="Q585" s="113"/>
      <c r="R585" s="113"/>
      <c r="T585" s="113"/>
      <c r="U585" s="113"/>
      <c r="V585" s="113"/>
    </row>
    <row r="586" customFormat="false" ht="15" hidden="false" customHeight="true" outlineLevel="0" collapsed="false">
      <c r="H586" s="113"/>
      <c r="I586" s="113"/>
      <c r="J586" s="113"/>
      <c r="L586" s="113"/>
      <c r="M586" s="113"/>
      <c r="N586" s="113"/>
      <c r="P586" s="113"/>
      <c r="Q586" s="113"/>
      <c r="R586" s="113"/>
      <c r="T586" s="113"/>
      <c r="U586" s="113"/>
      <c r="V586" s="113"/>
    </row>
    <row r="587" customFormat="false" ht="15" hidden="false" customHeight="true" outlineLevel="0" collapsed="false">
      <c r="H587" s="113"/>
      <c r="I587" s="113"/>
      <c r="J587" s="113"/>
      <c r="L587" s="113"/>
      <c r="M587" s="113"/>
      <c r="N587" s="113"/>
      <c r="P587" s="113"/>
      <c r="Q587" s="113"/>
      <c r="R587" s="113"/>
      <c r="T587" s="113"/>
      <c r="U587" s="113"/>
      <c r="V587" s="113"/>
    </row>
    <row r="588" customFormat="false" ht="15" hidden="false" customHeight="true" outlineLevel="0" collapsed="false">
      <c r="H588" s="113"/>
      <c r="I588" s="113"/>
      <c r="J588" s="113"/>
      <c r="L588" s="113"/>
      <c r="M588" s="113"/>
      <c r="N588" s="113"/>
      <c r="P588" s="113"/>
      <c r="Q588" s="113"/>
      <c r="R588" s="113"/>
      <c r="T588" s="113"/>
      <c r="U588" s="113"/>
      <c r="V588" s="113"/>
    </row>
    <row r="589" customFormat="false" ht="15" hidden="false" customHeight="true" outlineLevel="0" collapsed="false">
      <c r="H589" s="113"/>
      <c r="I589" s="113"/>
      <c r="J589" s="113"/>
      <c r="L589" s="113"/>
      <c r="M589" s="113"/>
      <c r="N589" s="113"/>
      <c r="P589" s="113"/>
      <c r="Q589" s="113"/>
      <c r="R589" s="113"/>
      <c r="T589" s="113"/>
      <c r="U589" s="113"/>
      <c r="V589" s="113"/>
    </row>
    <row r="590" customFormat="false" ht="15" hidden="false" customHeight="true" outlineLevel="0" collapsed="false">
      <c r="H590" s="113"/>
      <c r="I590" s="113"/>
      <c r="J590" s="113"/>
      <c r="L590" s="113"/>
      <c r="M590" s="113"/>
      <c r="N590" s="113"/>
      <c r="P590" s="113"/>
      <c r="Q590" s="113"/>
      <c r="R590" s="113"/>
      <c r="T590" s="113"/>
      <c r="U590" s="113"/>
      <c r="V590" s="113"/>
    </row>
    <row r="591" customFormat="false" ht="15" hidden="false" customHeight="true" outlineLevel="0" collapsed="false">
      <c r="H591" s="113"/>
      <c r="I591" s="113"/>
      <c r="J591" s="113"/>
      <c r="L591" s="113"/>
      <c r="M591" s="113"/>
      <c r="N591" s="113"/>
      <c r="P591" s="113"/>
      <c r="Q591" s="113"/>
      <c r="R591" s="113"/>
      <c r="T591" s="113"/>
      <c r="U591" s="113"/>
      <c r="V591" s="113"/>
    </row>
    <row r="592" customFormat="false" ht="15" hidden="false" customHeight="true" outlineLevel="0" collapsed="false">
      <c r="H592" s="113"/>
      <c r="I592" s="113"/>
      <c r="J592" s="113"/>
      <c r="L592" s="113"/>
      <c r="M592" s="113"/>
      <c r="N592" s="113"/>
      <c r="P592" s="113"/>
      <c r="Q592" s="113"/>
      <c r="R592" s="113"/>
      <c r="T592" s="113"/>
      <c r="U592" s="113"/>
      <c r="V592" s="113"/>
    </row>
    <row r="593" customFormat="false" ht="15" hidden="false" customHeight="true" outlineLevel="0" collapsed="false">
      <c r="H593" s="113"/>
      <c r="I593" s="113"/>
      <c r="J593" s="113"/>
      <c r="L593" s="113"/>
      <c r="M593" s="113"/>
      <c r="N593" s="113"/>
      <c r="P593" s="113"/>
      <c r="Q593" s="113"/>
      <c r="R593" s="113"/>
      <c r="T593" s="113"/>
      <c r="U593" s="113"/>
      <c r="V593" s="113"/>
    </row>
    <row r="594" customFormat="false" ht="15" hidden="false" customHeight="true" outlineLevel="0" collapsed="false">
      <c r="H594" s="113"/>
      <c r="I594" s="113"/>
      <c r="J594" s="113"/>
      <c r="L594" s="113"/>
      <c r="M594" s="113"/>
      <c r="N594" s="113"/>
      <c r="P594" s="113"/>
      <c r="Q594" s="113"/>
      <c r="R594" s="113"/>
      <c r="T594" s="113"/>
      <c r="U594" s="113"/>
      <c r="V594" s="113"/>
    </row>
    <row r="595" customFormat="false" ht="15" hidden="false" customHeight="true" outlineLevel="0" collapsed="false">
      <c r="H595" s="113"/>
      <c r="I595" s="113"/>
      <c r="J595" s="113"/>
      <c r="L595" s="113"/>
      <c r="M595" s="113"/>
      <c r="N595" s="113"/>
      <c r="P595" s="113"/>
      <c r="Q595" s="113"/>
      <c r="R595" s="113"/>
      <c r="T595" s="113"/>
      <c r="U595" s="113"/>
      <c r="V595" s="113"/>
    </row>
    <row r="596" customFormat="false" ht="15" hidden="false" customHeight="true" outlineLevel="0" collapsed="false">
      <c r="H596" s="113"/>
      <c r="I596" s="113"/>
      <c r="J596" s="113"/>
      <c r="L596" s="113"/>
      <c r="M596" s="113"/>
      <c r="N596" s="113"/>
      <c r="P596" s="113"/>
      <c r="Q596" s="113"/>
      <c r="R596" s="113"/>
      <c r="T596" s="113"/>
      <c r="U596" s="113"/>
      <c r="V596" s="113"/>
    </row>
    <row r="597" customFormat="false" ht="15" hidden="false" customHeight="true" outlineLevel="0" collapsed="false">
      <c r="H597" s="113"/>
      <c r="I597" s="113"/>
      <c r="J597" s="113"/>
      <c r="L597" s="113"/>
      <c r="M597" s="113"/>
      <c r="N597" s="113"/>
      <c r="P597" s="113"/>
      <c r="Q597" s="113"/>
      <c r="R597" s="113"/>
      <c r="T597" s="113"/>
      <c r="U597" s="113"/>
      <c r="V597" s="113"/>
    </row>
    <row r="598" customFormat="false" ht="15" hidden="false" customHeight="true" outlineLevel="0" collapsed="false">
      <c r="H598" s="113"/>
      <c r="I598" s="113"/>
      <c r="J598" s="113"/>
      <c r="L598" s="113"/>
      <c r="M598" s="113"/>
      <c r="N598" s="113"/>
      <c r="P598" s="113"/>
      <c r="Q598" s="113"/>
      <c r="R598" s="113"/>
      <c r="T598" s="113"/>
      <c r="U598" s="113"/>
      <c r="V598" s="113"/>
    </row>
    <row r="599" customFormat="false" ht="15" hidden="false" customHeight="true" outlineLevel="0" collapsed="false">
      <c r="H599" s="113"/>
      <c r="I599" s="113"/>
      <c r="J599" s="113"/>
      <c r="L599" s="113"/>
      <c r="M599" s="113"/>
      <c r="N599" s="113"/>
      <c r="P599" s="113"/>
      <c r="Q599" s="113"/>
      <c r="R599" s="113"/>
      <c r="T599" s="113"/>
      <c r="U599" s="113"/>
      <c r="V599" s="113"/>
    </row>
    <row r="600" customFormat="false" ht="15" hidden="false" customHeight="true" outlineLevel="0" collapsed="false">
      <c r="H600" s="113"/>
      <c r="I600" s="113"/>
      <c r="J600" s="113"/>
      <c r="L600" s="113"/>
      <c r="M600" s="113"/>
      <c r="N600" s="113"/>
      <c r="P600" s="113"/>
      <c r="Q600" s="113"/>
      <c r="R600" s="113"/>
      <c r="T600" s="113"/>
      <c r="U600" s="113"/>
      <c r="V600" s="113"/>
    </row>
    <row r="601" customFormat="false" ht="15" hidden="false" customHeight="true" outlineLevel="0" collapsed="false">
      <c r="H601" s="113"/>
      <c r="I601" s="113"/>
      <c r="J601" s="113"/>
      <c r="L601" s="113"/>
      <c r="M601" s="113"/>
      <c r="N601" s="113"/>
      <c r="P601" s="113"/>
      <c r="Q601" s="113"/>
      <c r="R601" s="113"/>
      <c r="T601" s="113"/>
      <c r="U601" s="113"/>
      <c r="V601" s="113"/>
    </row>
    <row r="602" customFormat="false" ht="15" hidden="false" customHeight="true" outlineLevel="0" collapsed="false">
      <c r="H602" s="113"/>
      <c r="I602" s="113"/>
      <c r="J602" s="113"/>
      <c r="L602" s="113"/>
      <c r="M602" s="113"/>
      <c r="N602" s="113"/>
      <c r="P602" s="113"/>
      <c r="Q602" s="113"/>
      <c r="R602" s="113"/>
      <c r="T602" s="113"/>
      <c r="U602" s="113"/>
      <c r="V602" s="113"/>
    </row>
    <row r="603" customFormat="false" ht="15" hidden="false" customHeight="true" outlineLevel="0" collapsed="false">
      <c r="H603" s="113"/>
      <c r="I603" s="113"/>
      <c r="J603" s="113"/>
      <c r="L603" s="113"/>
      <c r="M603" s="113"/>
      <c r="N603" s="113"/>
      <c r="P603" s="113"/>
      <c r="Q603" s="113"/>
      <c r="R603" s="113"/>
      <c r="T603" s="113"/>
      <c r="U603" s="113"/>
      <c r="V603" s="113"/>
    </row>
    <row r="604" customFormat="false" ht="15" hidden="false" customHeight="true" outlineLevel="0" collapsed="false">
      <c r="H604" s="113"/>
      <c r="I604" s="113"/>
      <c r="J604" s="113"/>
      <c r="L604" s="113"/>
      <c r="M604" s="113"/>
      <c r="N604" s="113"/>
      <c r="P604" s="113"/>
      <c r="Q604" s="113"/>
      <c r="R604" s="113"/>
      <c r="T604" s="113"/>
      <c r="U604" s="113"/>
      <c r="V604" s="113"/>
    </row>
    <row r="605" customFormat="false" ht="15" hidden="false" customHeight="true" outlineLevel="0" collapsed="false">
      <c r="H605" s="113"/>
      <c r="I605" s="113"/>
      <c r="J605" s="113"/>
      <c r="L605" s="113"/>
      <c r="M605" s="113"/>
      <c r="N605" s="113"/>
      <c r="P605" s="113"/>
      <c r="Q605" s="113"/>
      <c r="R605" s="113"/>
      <c r="T605" s="113"/>
      <c r="U605" s="113"/>
      <c r="V605" s="113"/>
    </row>
    <row r="606" customFormat="false" ht="15" hidden="false" customHeight="true" outlineLevel="0" collapsed="false">
      <c r="H606" s="113"/>
      <c r="I606" s="113"/>
      <c r="J606" s="113"/>
      <c r="L606" s="113"/>
      <c r="M606" s="113"/>
      <c r="N606" s="113"/>
      <c r="P606" s="113"/>
      <c r="Q606" s="113"/>
      <c r="R606" s="113"/>
      <c r="T606" s="113"/>
      <c r="U606" s="113"/>
      <c r="V606" s="113"/>
    </row>
    <row r="607" customFormat="false" ht="15" hidden="false" customHeight="true" outlineLevel="0" collapsed="false">
      <c r="H607" s="113"/>
      <c r="I607" s="113"/>
      <c r="J607" s="113"/>
      <c r="L607" s="113"/>
      <c r="M607" s="113"/>
      <c r="N607" s="113"/>
      <c r="P607" s="113"/>
      <c r="Q607" s="113"/>
      <c r="R607" s="113"/>
      <c r="T607" s="113"/>
      <c r="U607" s="113"/>
      <c r="V607" s="113"/>
    </row>
    <row r="608" customFormat="false" ht="15" hidden="false" customHeight="true" outlineLevel="0" collapsed="false">
      <c r="H608" s="113"/>
      <c r="I608" s="113"/>
      <c r="J608" s="113"/>
      <c r="L608" s="113"/>
      <c r="M608" s="113"/>
      <c r="N608" s="113"/>
      <c r="P608" s="113"/>
      <c r="Q608" s="113"/>
      <c r="R608" s="113"/>
      <c r="T608" s="113"/>
      <c r="U608" s="113"/>
      <c r="V608" s="113"/>
    </row>
    <row r="609" customFormat="false" ht="15" hidden="false" customHeight="true" outlineLevel="0" collapsed="false">
      <c r="H609" s="113"/>
      <c r="I609" s="113"/>
      <c r="J609" s="113"/>
      <c r="L609" s="113"/>
      <c r="M609" s="113"/>
      <c r="N609" s="113"/>
      <c r="P609" s="113"/>
      <c r="Q609" s="113"/>
      <c r="R609" s="113"/>
      <c r="T609" s="113"/>
      <c r="U609" s="113"/>
      <c r="V609" s="113"/>
    </row>
    <row r="610" customFormat="false" ht="15" hidden="false" customHeight="true" outlineLevel="0" collapsed="false">
      <c r="H610" s="113"/>
      <c r="I610" s="113"/>
      <c r="J610" s="113"/>
      <c r="L610" s="113"/>
      <c r="M610" s="113"/>
      <c r="N610" s="113"/>
      <c r="P610" s="113"/>
      <c r="Q610" s="113"/>
      <c r="R610" s="113"/>
      <c r="T610" s="113"/>
      <c r="U610" s="113"/>
      <c r="V610" s="113"/>
    </row>
    <row r="611" customFormat="false" ht="15" hidden="false" customHeight="true" outlineLevel="0" collapsed="false">
      <c r="H611" s="113"/>
      <c r="I611" s="113"/>
      <c r="J611" s="113"/>
      <c r="L611" s="113"/>
      <c r="M611" s="113"/>
      <c r="N611" s="113"/>
      <c r="P611" s="113"/>
      <c r="Q611" s="113"/>
      <c r="R611" s="113"/>
      <c r="T611" s="113"/>
      <c r="U611" s="113"/>
      <c r="V611" s="113"/>
    </row>
    <row r="612" customFormat="false" ht="15" hidden="false" customHeight="true" outlineLevel="0" collapsed="false">
      <c r="H612" s="113"/>
      <c r="I612" s="113"/>
      <c r="J612" s="113"/>
      <c r="L612" s="113"/>
      <c r="M612" s="113"/>
      <c r="N612" s="113"/>
      <c r="P612" s="113"/>
      <c r="Q612" s="113"/>
      <c r="R612" s="113"/>
      <c r="T612" s="113"/>
      <c r="U612" s="113"/>
      <c r="V612" s="113"/>
    </row>
    <row r="613" customFormat="false" ht="15" hidden="false" customHeight="true" outlineLevel="0" collapsed="false">
      <c r="H613" s="113"/>
      <c r="I613" s="113"/>
      <c r="J613" s="113"/>
      <c r="L613" s="113"/>
      <c r="M613" s="113"/>
      <c r="N613" s="113"/>
      <c r="P613" s="113"/>
      <c r="Q613" s="113"/>
      <c r="R613" s="113"/>
      <c r="T613" s="113"/>
      <c r="U613" s="113"/>
      <c r="V613" s="113"/>
    </row>
    <row r="614" customFormat="false" ht="15" hidden="false" customHeight="true" outlineLevel="0" collapsed="false">
      <c r="H614" s="113"/>
      <c r="I614" s="113"/>
      <c r="J614" s="113"/>
      <c r="L614" s="113"/>
      <c r="M614" s="113"/>
      <c r="N614" s="113"/>
      <c r="P614" s="113"/>
      <c r="Q614" s="113"/>
      <c r="R614" s="113"/>
      <c r="T614" s="113"/>
      <c r="U614" s="113"/>
      <c r="V614" s="113"/>
    </row>
    <row r="615" customFormat="false" ht="15" hidden="false" customHeight="true" outlineLevel="0" collapsed="false">
      <c r="H615" s="113"/>
      <c r="I615" s="113"/>
      <c r="J615" s="113"/>
      <c r="L615" s="113"/>
      <c r="M615" s="113"/>
      <c r="N615" s="113"/>
      <c r="P615" s="113"/>
      <c r="Q615" s="113"/>
      <c r="R615" s="113"/>
      <c r="T615" s="113"/>
      <c r="U615" s="113"/>
      <c r="V615" s="113"/>
    </row>
    <row r="616" customFormat="false" ht="15" hidden="false" customHeight="true" outlineLevel="0" collapsed="false">
      <c r="H616" s="113"/>
      <c r="I616" s="113"/>
      <c r="J616" s="113"/>
      <c r="L616" s="113"/>
      <c r="M616" s="113"/>
      <c r="N616" s="113"/>
      <c r="P616" s="113"/>
      <c r="Q616" s="113"/>
      <c r="R616" s="113"/>
      <c r="T616" s="113"/>
      <c r="U616" s="113"/>
      <c r="V616" s="113"/>
    </row>
    <row r="617" customFormat="false" ht="15" hidden="false" customHeight="true" outlineLevel="0" collapsed="false">
      <c r="H617" s="113"/>
      <c r="I617" s="113"/>
      <c r="J617" s="113"/>
      <c r="L617" s="113"/>
      <c r="M617" s="113"/>
      <c r="N617" s="113"/>
      <c r="P617" s="113"/>
      <c r="Q617" s="113"/>
      <c r="R617" s="113"/>
      <c r="T617" s="113"/>
      <c r="U617" s="113"/>
      <c r="V617" s="113"/>
    </row>
    <row r="618" customFormat="false" ht="15" hidden="false" customHeight="true" outlineLevel="0" collapsed="false">
      <c r="H618" s="113"/>
      <c r="I618" s="113"/>
      <c r="J618" s="113"/>
      <c r="L618" s="113"/>
      <c r="M618" s="113"/>
      <c r="N618" s="113"/>
      <c r="P618" s="113"/>
      <c r="Q618" s="113"/>
      <c r="R618" s="113"/>
      <c r="T618" s="113"/>
      <c r="U618" s="113"/>
      <c r="V618" s="113"/>
    </row>
    <row r="619" customFormat="false" ht="15" hidden="false" customHeight="true" outlineLevel="0" collapsed="false">
      <c r="H619" s="113"/>
      <c r="I619" s="113"/>
      <c r="J619" s="113"/>
      <c r="L619" s="113"/>
      <c r="M619" s="113"/>
      <c r="N619" s="113"/>
      <c r="P619" s="113"/>
      <c r="Q619" s="113"/>
      <c r="R619" s="113"/>
      <c r="T619" s="113"/>
      <c r="U619" s="113"/>
      <c r="V619" s="113"/>
    </row>
    <row r="620" customFormat="false" ht="15" hidden="false" customHeight="true" outlineLevel="0" collapsed="false">
      <c r="H620" s="113"/>
      <c r="I620" s="113"/>
      <c r="J620" s="113"/>
      <c r="L620" s="113"/>
      <c r="M620" s="113"/>
      <c r="N620" s="113"/>
      <c r="P620" s="113"/>
      <c r="Q620" s="113"/>
      <c r="R620" s="113"/>
      <c r="T620" s="113"/>
      <c r="U620" s="113"/>
      <c r="V620" s="113"/>
    </row>
    <row r="621" customFormat="false" ht="15" hidden="false" customHeight="true" outlineLevel="0" collapsed="false">
      <c r="H621" s="113"/>
      <c r="I621" s="113"/>
      <c r="J621" s="113"/>
      <c r="L621" s="113"/>
      <c r="M621" s="113"/>
      <c r="N621" s="113"/>
      <c r="P621" s="113"/>
      <c r="Q621" s="113"/>
      <c r="R621" s="113"/>
      <c r="T621" s="113"/>
      <c r="U621" s="113"/>
      <c r="V621" s="113"/>
    </row>
    <row r="622" customFormat="false" ht="15" hidden="false" customHeight="true" outlineLevel="0" collapsed="false">
      <c r="H622" s="113"/>
      <c r="I622" s="113"/>
      <c r="J622" s="113"/>
      <c r="L622" s="113"/>
      <c r="M622" s="113"/>
      <c r="N622" s="113"/>
      <c r="P622" s="113"/>
      <c r="Q622" s="113"/>
      <c r="R622" s="113"/>
      <c r="T622" s="113"/>
      <c r="U622" s="113"/>
      <c r="V622" s="113"/>
    </row>
    <row r="623" customFormat="false" ht="15" hidden="false" customHeight="true" outlineLevel="0" collapsed="false">
      <c r="H623" s="113"/>
      <c r="I623" s="113"/>
      <c r="J623" s="113"/>
      <c r="L623" s="113"/>
      <c r="M623" s="113"/>
      <c r="N623" s="113"/>
      <c r="P623" s="113"/>
      <c r="Q623" s="113"/>
      <c r="R623" s="113"/>
      <c r="T623" s="113"/>
      <c r="U623" s="113"/>
      <c r="V623" s="113"/>
    </row>
    <row r="624" customFormat="false" ht="15" hidden="false" customHeight="true" outlineLevel="0" collapsed="false">
      <c r="H624" s="113"/>
      <c r="I624" s="113"/>
      <c r="J624" s="113"/>
      <c r="L624" s="113"/>
      <c r="M624" s="113"/>
      <c r="N624" s="113"/>
      <c r="P624" s="113"/>
      <c r="Q624" s="113"/>
      <c r="R624" s="113"/>
      <c r="T624" s="113"/>
      <c r="U624" s="113"/>
      <c r="V624" s="113"/>
    </row>
    <row r="625" customFormat="false" ht="15" hidden="false" customHeight="true" outlineLevel="0" collapsed="false">
      <c r="H625" s="113"/>
      <c r="I625" s="113"/>
      <c r="J625" s="113"/>
      <c r="L625" s="113"/>
      <c r="M625" s="113"/>
      <c r="N625" s="113"/>
      <c r="P625" s="113"/>
      <c r="Q625" s="113"/>
      <c r="R625" s="113"/>
      <c r="T625" s="113"/>
      <c r="U625" s="113"/>
      <c r="V625" s="113"/>
    </row>
    <row r="626" customFormat="false" ht="15" hidden="false" customHeight="true" outlineLevel="0" collapsed="false">
      <c r="H626" s="113"/>
      <c r="I626" s="113"/>
      <c r="J626" s="113"/>
      <c r="L626" s="113"/>
      <c r="M626" s="113"/>
      <c r="N626" s="113"/>
      <c r="P626" s="113"/>
      <c r="Q626" s="113"/>
      <c r="R626" s="113"/>
      <c r="T626" s="113"/>
      <c r="U626" s="113"/>
      <c r="V626" s="113"/>
    </row>
    <row r="627" customFormat="false" ht="15" hidden="false" customHeight="true" outlineLevel="0" collapsed="false">
      <c r="H627" s="113"/>
      <c r="I627" s="113"/>
      <c r="J627" s="113"/>
      <c r="L627" s="113"/>
      <c r="M627" s="113"/>
      <c r="N627" s="113"/>
      <c r="P627" s="113"/>
      <c r="Q627" s="113"/>
      <c r="R627" s="113"/>
      <c r="T627" s="113"/>
      <c r="U627" s="113"/>
      <c r="V627" s="113"/>
    </row>
    <row r="628" customFormat="false" ht="15" hidden="false" customHeight="true" outlineLevel="0" collapsed="false">
      <c r="H628" s="113"/>
      <c r="I628" s="113"/>
      <c r="J628" s="113"/>
      <c r="L628" s="113"/>
      <c r="M628" s="113"/>
      <c r="N628" s="113"/>
      <c r="P628" s="113"/>
      <c r="Q628" s="113"/>
      <c r="R628" s="113"/>
      <c r="T628" s="113"/>
      <c r="U628" s="113"/>
      <c r="V628" s="113"/>
    </row>
    <row r="629" customFormat="false" ht="15" hidden="false" customHeight="true" outlineLevel="0" collapsed="false">
      <c r="H629" s="113"/>
      <c r="I629" s="113"/>
      <c r="J629" s="113"/>
      <c r="L629" s="113"/>
      <c r="M629" s="113"/>
      <c r="N629" s="113"/>
      <c r="P629" s="113"/>
      <c r="Q629" s="113"/>
      <c r="R629" s="113"/>
      <c r="T629" s="113"/>
      <c r="U629" s="113"/>
      <c r="V629" s="113"/>
    </row>
    <row r="630" customFormat="false" ht="15" hidden="false" customHeight="true" outlineLevel="0" collapsed="false">
      <c r="H630" s="113"/>
      <c r="I630" s="113"/>
      <c r="J630" s="113"/>
      <c r="L630" s="113"/>
      <c r="M630" s="113"/>
      <c r="N630" s="113"/>
      <c r="P630" s="113"/>
      <c r="Q630" s="113"/>
      <c r="R630" s="113"/>
      <c r="T630" s="113"/>
      <c r="U630" s="113"/>
      <c r="V630" s="113"/>
    </row>
    <row r="631" customFormat="false" ht="15" hidden="false" customHeight="true" outlineLevel="0" collapsed="false">
      <c r="H631" s="113"/>
      <c r="I631" s="113"/>
      <c r="J631" s="113"/>
      <c r="L631" s="113"/>
      <c r="M631" s="113"/>
      <c r="N631" s="113"/>
      <c r="P631" s="113"/>
      <c r="Q631" s="113"/>
      <c r="R631" s="113"/>
      <c r="T631" s="113"/>
      <c r="U631" s="113"/>
      <c r="V631" s="113"/>
    </row>
    <row r="632" customFormat="false" ht="15" hidden="false" customHeight="true" outlineLevel="0" collapsed="false">
      <c r="H632" s="113"/>
      <c r="I632" s="113"/>
      <c r="J632" s="113"/>
      <c r="L632" s="113"/>
      <c r="M632" s="113"/>
      <c r="N632" s="113"/>
      <c r="P632" s="113"/>
      <c r="Q632" s="113"/>
      <c r="R632" s="113"/>
      <c r="T632" s="113"/>
      <c r="U632" s="113"/>
      <c r="V632" s="113"/>
    </row>
    <row r="633" customFormat="false" ht="15" hidden="false" customHeight="true" outlineLevel="0" collapsed="false">
      <c r="H633" s="113"/>
      <c r="I633" s="113"/>
      <c r="J633" s="113"/>
      <c r="L633" s="113"/>
      <c r="M633" s="113"/>
      <c r="N633" s="113"/>
      <c r="P633" s="113"/>
      <c r="Q633" s="113"/>
      <c r="R633" s="113"/>
      <c r="T633" s="113"/>
      <c r="U633" s="113"/>
      <c r="V633" s="113"/>
    </row>
    <row r="634" customFormat="false" ht="15" hidden="false" customHeight="true" outlineLevel="0" collapsed="false">
      <c r="H634" s="113"/>
      <c r="I634" s="113"/>
      <c r="J634" s="113"/>
      <c r="L634" s="113"/>
      <c r="M634" s="113"/>
      <c r="N634" s="113"/>
      <c r="P634" s="113"/>
      <c r="Q634" s="113"/>
      <c r="R634" s="113"/>
      <c r="T634" s="113"/>
      <c r="U634" s="113"/>
      <c r="V634" s="113"/>
    </row>
    <row r="635" customFormat="false" ht="15" hidden="false" customHeight="true" outlineLevel="0" collapsed="false">
      <c r="H635" s="113"/>
      <c r="I635" s="113"/>
      <c r="J635" s="113"/>
      <c r="L635" s="113"/>
      <c r="M635" s="113"/>
      <c r="N635" s="113"/>
      <c r="P635" s="113"/>
      <c r="Q635" s="113"/>
      <c r="R635" s="113"/>
      <c r="T635" s="113"/>
      <c r="U635" s="113"/>
      <c r="V635" s="113"/>
    </row>
    <row r="636" customFormat="false" ht="15" hidden="false" customHeight="true" outlineLevel="0" collapsed="false">
      <c r="H636" s="113"/>
      <c r="I636" s="113"/>
      <c r="J636" s="113"/>
      <c r="L636" s="113"/>
      <c r="M636" s="113"/>
      <c r="N636" s="113"/>
      <c r="P636" s="113"/>
      <c r="Q636" s="113"/>
      <c r="R636" s="113"/>
      <c r="T636" s="113"/>
      <c r="U636" s="113"/>
      <c r="V636" s="113"/>
    </row>
    <row r="637" customFormat="false" ht="15" hidden="false" customHeight="true" outlineLevel="0" collapsed="false">
      <c r="H637" s="113"/>
      <c r="I637" s="113"/>
      <c r="J637" s="113"/>
      <c r="L637" s="113"/>
      <c r="M637" s="113"/>
      <c r="N637" s="113"/>
      <c r="P637" s="113"/>
      <c r="Q637" s="113"/>
      <c r="R637" s="113"/>
      <c r="T637" s="113"/>
      <c r="U637" s="113"/>
      <c r="V637" s="113"/>
    </row>
    <row r="638" customFormat="false" ht="15" hidden="false" customHeight="true" outlineLevel="0" collapsed="false">
      <c r="H638" s="113"/>
      <c r="I638" s="113"/>
      <c r="J638" s="113"/>
      <c r="L638" s="113"/>
      <c r="M638" s="113"/>
      <c r="N638" s="113"/>
      <c r="P638" s="113"/>
      <c r="Q638" s="113"/>
      <c r="R638" s="113"/>
      <c r="T638" s="113"/>
      <c r="U638" s="113"/>
      <c r="V638" s="113"/>
    </row>
    <row r="639" customFormat="false" ht="15" hidden="false" customHeight="true" outlineLevel="0" collapsed="false">
      <c r="H639" s="113"/>
      <c r="I639" s="113"/>
      <c r="J639" s="113"/>
      <c r="L639" s="113"/>
      <c r="M639" s="113"/>
      <c r="N639" s="113"/>
      <c r="P639" s="113"/>
      <c r="Q639" s="113"/>
      <c r="R639" s="113"/>
      <c r="T639" s="113"/>
      <c r="U639" s="113"/>
      <c r="V639" s="113"/>
    </row>
    <row r="640" customFormat="false" ht="15" hidden="false" customHeight="true" outlineLevel="0" collapsed="false">
      <c r="H640" s="113"/>
      <c r="I640" s="113"/>
      <c r="J640" s="113"/>
      <c r="L640" s="113"/>
      <c r="M640" s="113"/>
      <c r="N640" s="113"/>
      <c r="P640" s="113"/>
      <c r="Q640" s="113"/>
      <c r="R640" s="113"/>
      <c r="T640" s="113"/>
      <c r="U640" s="113"/>
      <c r="V640" s="113"/>
    </row>
    <row r="641" customFormat="false" ht="15" hidden="false" customHeight="true" outlineLevel="0" collapsed="false">
      <c r="H641" s="113"/>
      <c r="I641" s="113"/>
      <c r="J641" s="113"/>
      <c r="L641" s="113"/>
      <c r="M641" s="113"/>
      <c r="N641" s="113"/>
      <c r="P641" s="113"/>
      <c r="Q641" s="113"/>
      <c r="R641" s="113"/>
      <c r="T641" s="113"/>
      <c r="U641" s="113"/>
      <c r="V641" s="113"/>
    </row>
    <row r="642" customFormat="false" ht="15" hidden="false" customHeight="true" outlineLevel="0" collapsed="false">
      <c r="H642" s="113"/>
      <c r="I642" s="113"/>
      <c r="J642" s="113"/>
      <c r="L642" s="113"/>
      <c r="M642" s="113"/>
      <c r="N642" s="113"/>
      <c r="P642" s="113"/>
      <c r="Q642" s="113"/>
      <c r="R642" s="113"/>
      <c r="T642" s="113"/>
      <c r="U642" s="113"/>
      <c r="V642" s="113"/>
    </row>
    <row r="643" customFormat="false" ht="15" hidden="false" customHeight="true" outlineLevel="0" collapsed="false">
      <c r="H643" s="113"/>
      <c r="I643" s="113"/>
      <c r="J643" s="113"/>
      <c r="L643" s="113"/>
      <c r="M643" s="113"/>
      <c r="N643" s="113"/>
      <c r="P643" s="113"/>
      <c r="Q643" s="113"/>
      <c r="R643" s="113"/>
      <c r="T643" s="113"/>
      <c r="U643" s="113"/>
      <c r="V643" s="113"/>
    </row>
    <row r="644" customFormat="false" ht="15" hidden="false" customHeight="true" outlineLevel="0" collapsed="false">
      <c r="H644" s="113"/>
      <c r="I644" s="113"/>
      <c r="J644" s="113"/>
      <c r="L644" s="113"/>
      <c r="M644" s="113"/>
      <c r="N644" s="113"/>
      <c r="P644" s="113"/>
      <c r="Q644" s="113"/>
      <c r="R644" s="113"/>
      <c r="T644" s="113"/>
      <c r="U644" s="113"/>
      <c r="V644" s="113"/>
    </row>
    <row r="645" customFormat="false" ht="15" hidden="false" customHeight="true" outlineLevel="0" collapsed="false">
      <c r="H645" s="113"/>
      <c r="I645" s="113"/>
      <c r="J645" s="113"/>
      <c r="L645" s="113"/>
      <c r="M645" s="113"/>
      <c r="N645" s="113"/>
      <c r="P645" s="113"/>
      <c r="Q645" s="113"/>
      <c r="R645" s="113"/>
      <c r="T645" s="113"/>
      <c r="U645" s="113"/>
      <c r="V645" s="113"/>
    </row>
    <row r="646" customFormat="false" ht="15" hidden="false" customHeight="true" outlineLevel="0" collapsed="false">
      <c r="H646" s="113"/>
      <c r="I646" s="113"/>
      <c r="J646" s="113"/>
      <c r="L646" s="113"/>
      <c r="M646" s="113"/>
      <c r="N646" s="113"/>
      <c r="P646" s="113"/>
      <c r="Q646" s="113"/>
      <c r="R646" s="113"/>
      <c r="T646" s="113"/>
      <c r="U646" s="113"/>
      <c r="V646" s="113"/>
    </row>
    <row r="647" customFormat="false" ht="15" hidden="false" customHeight="true" outlineLevel="0" collapsed="false">
      <c r="H647" s="113"/>
      <c r="I647" s="113"/>
      <c r="J647" s="113"/>
      <c r="L647" s="113"/>
      <c r="M647" s="113"/>
      <c r="N647" s="113"/>
      <c r="P647" s="113"/>
      <c r="Q647" s="113"/>
      <c r="R647" s="113"/>
      <c r="T647" s="113"/>
      <c r="U647" s="113"/>
      <c r="V647" s="113"/>
    </row>
    <row r="648" customFormat="false" ht="15" hidden="false" customHeight="true" outlineLevel="0" collapsed="false">
      <c r="H648" s="113"/>
      <c r="I648" s="113"/>
      <c r="J648" s="113"/>
      <c r="L648" s="113"/>
      <c r="M648" s="113"/>
      <c r="N648" s="113"/>
      <c r="P648" s="113"/>
      <c r="Q648" s="113"/>
      <c r="R648" s="113"/>
      <c r="T648" s="113"/>
      <c r="U648" s="113"/>
      <c r="V648" s="113"/>
    </row>
    <row r="649" customFormat="false" ht="15" hidden="false" customHeight="true" outlineLevel="0" collapsed="false">
      <c r="H649" s="113"/>
      <c r="I649" s="113"/>
      <c r="J649" s="113"/>
      <c r="L649" s="113"/>
      <c r="M649" s="113"/>
      <c r="N649" s="113"/>
      <c r="P649" s="113"/>
      <c r="Q649" s="113"/>
      <c r="R649" s="113"/>
      <c r="T649" s="113"/>
      <c r="U649" s="113"/>
      <c r="V649" s="113"/>
    </row>
    <row r="650" customFormat="false" ht="15" hidden="false" customHeight="true" outlineLevel="0" collapsed="false">
      <c r="H650" s="113"/>
      <c r="I650" s="113"/>
      <c r="J650" s="113"/>
      <c r="L650" s="113"/>
      <c r="M650" s="113"/>
      <c r="N650" s="113"/>
      <c r="P650" s="113"/>
      <c r="Q650" s="113"/>
      <c r="R650" s="113"/>
      <c r="T650" s="113"/>
      <c r="U650" s="113"/>
      <c r="V650" s="113"/>
    </row>
    <row r="651" customFormat="false" ht="15" hidden="false" customHeight="true" outlineLevel="0" collapsed="false">
      <c r="H651" s="113"/>
      <c r="I651" s="113"/>
      <c r="J651" s="113"/>
      <c r="L651" s="113"/>
      <c r="M651" s="113"/>
      <c r="N651" s="113"/>
      <c r="P651" s="113"/>
      <c r="Q651" s="113"/>
      <c r="R651" s="113"/>
      <c r="T651" s="113"/>
      <c r="U651" s="113"/>
      <c r="V651" s="113"/>
    </row>
    <row r="652" customFormat="false" ht="15" hidden="false" customHeight="true" outlineLevel="0" collapsed="false">
      <c r="H652" s="113"/>
      <c r="I652" s="113"/>
      <c r="J652" s="113"/>
      <c r="L652" s="113"/>
      <c r="M652" s="113"/>
      <c r="N652" s="113"/>
      <c r="P652" s="113"/>
      <c r="Q652" s="113"/>
      <c r="R652" s="113"/>
      <c r="T652" s="113"/>
      <c r="U652" s="113"/>
      <c r="V652" s="113"/>
    </row>
    <row r="653" customFormat="false" ht="15" hidden="false" customHeight="true" outlineLevel="0" collapsed="false">
      <c r="H653" s="113"/>
      <c r="I653" s="113"/>
      <c r="J653" s="113"/>
      <c r="L653" s="113"/>
      <c r="M653" s="113"/>
      <c r="N653" s="113"/>
      <c r="P653" s="113"/>
      <c r="Q653" s="113"/>
      <c r="R653" s="113"/>
      <c r="T653" s="113"/>
      <c r="U653" s="113"/>
      <c r="V653" s="113"/>
    </row>
    <row r="654" customFormat="false" ht="15" hidden="false" customHeight="true" outlineLevel="0" collapsed="false">
      <c r="H654" s="113"/>
      <c r="I654" s="113"/>
      <c r="J654" s="113"/>
      <c r="L654" s="113"/>
      <c r="M654" s="113"/>
      <c r="N654" s="113"/>
      <c r="P654" s="113"/>
      <c r="Q654" s="113"/>
      <c r="R654" s="113"/>
      <c r="T654" s="113"/>
      <c r="U654" s="113"/>
      <c r="V654" s="113"/>
    </row>
    <row r="655" customFormat="false" ht="15" hidden="false" customHeight="true" outlineLevel="0" collapsed="false">
      <c r="H655" s="113"/>
      <c r="I655" s="113"/>
      <c r="J655" s="113"/>
      <c r="L655" s="113"/>
      <c r="M655" s="113"/>
      <c r="N655" s="113"/>
      <c r="P655" s="113"/>
      <c r="Q655" s="113"/>
      <c r="R655" s="113"/>
      <c r="T655" s="113"/>
      <c r="U655" s="113"/>
      <c r="V655" s="113"/>
    </row>
    <row r="656" customFormat="false" ht="15" hidden="false" customHeight="true" outlineLevel="0" collapsed="false">
      <c r="H656" s="113"/>
      <c r="I656" s="113"/>
      <c r="J656" s="113"/>
      <c r="L656" s="113"/>
      <c r="M656" s="113"/>
      <c r="N656" s="113"/>
      <c r="P656" s="113"/>
      <c r="Q656" s="113"/>
      <c r="R656" s="113"/>
      <c r="T656" s="113"/>
      <c r="U656" s="113"/>
      <c r="V656" s="113"/>
    </row>
    <row r="657" customFormat="false" ht="15" hidden="false" customHeight="true" outlineLevel="0" collapsed="false">
      <c r="H657" s="113"/>
      <c r="I657" s="113"/>
      <c r="J657" s="113"/>
      <c r="L657" s="113"/>
      <c r="M657" s="113"/>
      <c r="N657" s="113"/>
      <c r="P657" s="113"/>
      <c r="Q657" s="113"/>
      <c r="R657" s="113"/>
      <c r="T657" s="113"/>
      <c r="U657" s="113"/>
      <c r="V657" s="113"/>
    </row>
    <row r="658" customFormat="false" ht="15" hidden="false" customHeight="true" outlineLevel="0" collapsed="false">
      <c r="H658" s="113"/>
      <c r="I658" s="113"/>
      <c r="J658" s="113"/>
      <c r="L658" s="113"/>
      <c r="M658" s="113"/>
      <c r="N658" s="113"/>
      <c r="P658" s="113"/>
      <c r="Q658" s="113"/>
      <c r="R658" s="113"/>
      <c r="T658" s="113"/>
      <c r="U658" s="113"/>
      <c r="V658" s="113"/>
    </row>
    <row r="659" customFormat="false" ht="15" hidden="false" customHeight="true" outlineLevel="0" collapsed="false">
      <c r="H659" s="113"/>
      <c r="I659" s="113"/>
      <c r="J659" s="113"/>
      <c r="L659" s="113"/>
      <c r="M659" s="113"/>
      <c r="N659" s="113"/>
      <c r="P659" s="113"/>
      <c r="Q659" s="113"/>
      <c r="R659" s="113"/>
      <c r="T659" s="113"/>
      <c r="U659" s="113"/>
      <c r="V659" s="113"/>
    </row>
    <row r="660" customFormat="false" ht="15" hidden="false" customHeight="true" outlineLevel="0" collapsed="false">
      <c r="H660" s="113"/>
      <c r="I660" s="113"/>
      <c r="J660" s="113"/>
      <c r="L660" s="113"/>
      <c r="M660" s="113"/>
      <c r="N660" s="113"/>
      <c r="P660" s="113"/>
      <c r="Q660" s="113"/>
      <c r="R660" s="113"/>
      <c r="T660" s="113"/>
      <c r="U660" s="113"/>
      <c r="V660" s="113"/>
    </row>
    <row r="661" customFormat="false" ht="15" hidden="false" customHeight="true" outlineLevel="0" collapsed="false">
      <c r="H661" s="113"/>
      <c r="I661" s="113"/>
      <c r="J661" s="113"/>
      <c r="L661" s="113"/>
      <c r="M661" s="113"/>
      <c r="N661" s="113"/>
      <c r="P661" s="113"/>
      <c r="Q661" s="113"/>
      <c r="R661" s="113"/>
      <c r="T661" s="113"/>
      <c r="U661" s="113"/>
      <c r="V661" s="113"/>
    </row>
    <row r="662" customFormat="false" ht="15" hidden="false" customHeight="true" outlineLevel="0" collapsed="false">
      <c r="H662" s="113"/>
      <c r="I662" s="113"/>
      <c r="J662" s="113"/>
      <c r="L662" s="113"/>
      <c r="M662" s="113"/>
      <c r="N662" s="113"/>
      <c r="P662" s="113"/>
      <c r="Q662" s="113"/>
      <c r="R662" s="113"/>
      <c r="T662" s="113"/>
      <c r="U662" s="113"/>
      <c r="V662" s="113"/>
    </row>
    <row r="663" customFormat="false" ht="15" hidden="false" customHeight="true" outlineLevel="0" collapsed="false">
      <c r="H663" s="113"/>
      <c r="I663" s="113"/>
      <c r="J663" s="113"/>
      <c r="L663" s="113"/>
      <c r="M663" s="113"/>
      <c r="N663" s="113"/>
      <c r="P663" s="113"/>
      <c r="Q663" s="113"/>
      <c r="R663" s="113"/>
      <c r="T663" s="113"/>
      <c r="U663" s="113"/>
      <c r="V663" s="113"/>
    </row>
    <row r="664" customFormat="false" ht="15" hidden="false" customHeight="true" outlineLevel="0" collapsed="false"/>
    <row r="665" customFormat="false" ht="15" hidden="false" customHeight="true" outlineLevel="0" collapsed="false"/>
    <row r="666" customFormat="false" ht="15" hidden="false" customHeight="true" outlineLevel="0" collapsed="false"/>
    <row r="667" customFormat="false" ht="15" hidden="false" customHeight="true" outlineLevel="0" collapsed="false"/>
    <row r="668" customFormat="false" ht="15" hidden="false" customHeight="true" outlineLevel="0" collapsed="false"/>
    <row r="669" customFormat="false" ht="15" hidden="false" customHeight="true" outlineLevel="0" collapsed="false"/>
    <row r="670" customFormat="false" ht="15" hidden="false" customHeight="true" outlineLevel="0" collapsed="false"/>
    <row r="671" customFormat="false" ht="15" hidden="false" customHeight="true" outlineLevel="0" collapsed="false"/>
    <row r="672" customFormat="false" ht="15" hidden="false" customHeight="true" outlineLevel="0" collapsed="false"/>
    <row r="673" customFormat="false" ht="15" hidden="false" customHeight="true" outlineLevel="0" collapsed="false"/>
    <row r="674" customFormat="false" ht="15" hidden="false" customHeight="true" outlineLevel="0" collapsed="false"/>
    <row r="675" customFormat="false" ht="15" hidden="false" customHeight="true" outlineLevel="0" collapsed="false"/>
    <row r="676" customFormat="false" ht="15" hidden="false" customHeight="true" outlineLevel="0" collapsed="false"/>
    <row r="677" customFormat="false" ht="15" hidden="false" customHeight="true" outlineLevel="0" collapsed="false"/>
    <row r="678" customFormat="false" ht="15" hidden="false" customHeight="true" outlineLevel="0" collapsed="false"/>
    <row r="679" customFormat="false" ht="15" hidden="false" customHeight="true" outlineLevel="0" collapsed="false"/>
    <row r="680" customFormat="false" ht="15" hidden="false" customHeight="true" outlineLevel="0" collapsed="false"/>
    <row r="681" customFormat="false" ht="15" hidden="false" customHeight="true" outlineLevel="0" collapsed="false"/>
    <row r="682" customFormat="false" ht="15" hidden="false" customHeight="true" outlineLevel="0" collapsed="false"/>
    <row r="683" customFormat="false" ht="15" hidden="false" customHeight="true" outlineLevel="0" collapsed="false"/>
    <row r="684" customFormat="false" ht="15" hidden="false" customHeight="true" outlineLevel="0" collapsed="false"/>
    <row r="685" customFormat="false" ht="15" hidden="false" customHeight="true" outlineLevel="0" collapsed="false"/>
    <row r="686" customFormat="false" ht="15" hidden="false" customHeight="true" outlineLevel="0" collapsed="false"/>
    <row r="687" customFormat="false" ht="15" hidden="false" customHeight="true" outlineLevel="0" collapsed="false"/>
    <row r="688" customFormat="false" ht="15" hidden="false" customHeight="true" outlineLevel="0" collapsed="false"/>
    <row r="689" customFormat="false" ht="15" hidden="false" customHeight="true" outlineLevel="0" collapsed="false"/>
    <row r="690" customFormat="false" ht="15" hidden="false" customHeight="true" outlineLevel="0" collapsed="false"/>
    <row r="691" customFormat="false" ht="15" hidden="false" customHeight="true" outlineLevel="0" collapsed="false"/>
    <row r="692" customFormat="false" ht="15" hidden="false" customHeight="true" outlineLevel="0" collapsed="false"/>
    <row r="693" customFormat="false" ht="15" hidden="false" customHeight="true" outlineLevel="0" collapsed="false"/>
    <row r="694" customFormat="false" ht="15" hidden="false" customHeight="true" outlineLevel="0" collapsed="false"/>
    <row r="695" customFormat="false" ht="15" hidden="false" customHeight="true" outlineLevel="0" collapsed="false"/>
    <row r="696" customFormat="false" ht="15" hidden="false" customHeight="true" outlineLevel="0" collapsed="false"/>
    <row r="697" customFormat="false" ht="15" hidden="false" customHeight="true" outlineLevel="0" collapsed="false"/>
    <row r="698" customFormat="false" ht="15" hidden="false" customHeight="true" outlineLevel="0" collapsed="false"/>
    <row r="699" customFormat="false" ht="15" hidden="false" customHeight="true" outlineLevel="0" collapsed="false"/>
    <row r="700" customFormat="false" ht="15" hidden="false" customHeight="true" outlineLevel="0" collapsed="false"/>
    <row r="701" customFormat="false" ht="15" hidden="false" customHeight="true" outlineLevel="0" collapsed="false"/>
  </sheetData>
  <mergeCells count="62">
    <mergeCell ref="A7:Y7"/>
    <mergeCell ref="B9:I9"/>
    <mergeCell ref="K9:R9"/>
    <mergeCell ref="B10:C10"/>
    <mergeCell ref="D10:E10"/>
    <mergeCell ref="F10:G10"/>
    <mergeCell ref="H10:I10"/>
    <mergeCell ref="K10:L10"/>
    <mergeCell ref="M10:N10"/>
    <mergeCell ref="O10:P10"/>
    <mergeCell ref="Q10:R10"/>
    <mergeCell ref="B11:C11"/>
    <mergeCell ref="D11:E11"/>
    <mergeCell ref="F11:G11"/>
    <mergeCell ref="H11:I11"/>
    <mergeCell ref="K11:L11"/>
    <mergeCell ref="M11:N11"/>
    <mergeCell ref="O11:P11"/>
    <mergeCell ref="Q11:R11"/>
    <mergeCell ref="B12:C13"/>
    <mergeCell ref="D12:E13"/>
    <mergeCell ref="F12:G13"/>
    <mergeCell ref="H12:I13"/>
    <mergeCell ref="K12:L13"/>
    <mergeCell ref="M12:N13"/>
    <mergeCell ref="O12:P13"/>
    <mergeCell ref="Q12:R13"/>
    <mergeCell ref="B14:C14"/>
    <mergeCell ref="D14:E14"/>
    <mergeCell ref="F14:G14"/>
    <mergeCell ref="H14:I14"/>
    <mergeCell ref="K14:L14"/>
    <mergeCell ref="M14:N14"/>
    <mergeCell ref="O14:P14"/>
    <mergeCell ref="Q14:R14"/>
    <mergeCell ref="B16:R16"/>
    <mergeCell ref="B17:D17"/>
    <mergeCell ref="E17:G17"/>
    <mergeCell ref="I17:K17"/>
    <mergeCell ref="M17:O17"/>
    <mergeCell ref="Q17:S17"/>
    <mergeCell ref="B18:D18"/>
    <mergeCell ref="E18:G18"/>
    <mergeCell ref="I18:K18"/>
    <mergeCell ref="M18:O18"/>
    <mergeCell ref="Q18:S18"/>
    <mergeCell ref="B19:D20"/>
    <mergeCell ref="E19:G20"/>
    <mergeCell ref="I19:K20"/>
    <mergeCell ref="M19:O20"/>
    <mergeCell ref="Q19:S20"/>
    <mergeCell ref="B21:D21"/>
    <mergeCell ref="E21:G21"/>
    <mergeCell ref="I21:K21"/>
    <mergeCell ref="M21:O21"/>
    <mergeCell ref="Q21:S21"/>
    <mergeCell ref="B22:D22"/>
    <mergeCell ref="E22:G22"/>
    <mergeCell ref="I22:K22"/>
    <mergeCell ref="M22:O22"/>
    <mergeCell ref="Q22:S22"/>
    <mergeCell ref="B23:S23"/>
  </mergeCells>
  <conditionalFormatting sqref="M49">
    <cfRule type="expression" priority="2" aboveAverage="0" equalAverage="0" bottom="0" percent="0" rank="0" text="" dxfId="0">
      <formula>AND(ISNUMBER(M49),ISNUMBER($G49),OR(AND($D49="P",M49&gt;=$G49),AND($D49="N",M49&lt;=$G49)))</formula>
    </cfRule>
    <cfRule type="expression" priority="3" aboveAverage="0" equalAverage="0" bottom="0" percent="0" rank="0" text="" dxfId="1">
      <formula>AND(ISNUMBER(M49),ISNUMBER($G49),OR(AND($D49="P",M49&lt;$G49),AND($D49="N",M49&gt;$G49)))</formula>
    </cfRule>
  </conditionalFormatting>
  <conditionalFormatting sqref="L49">
    <cfRule type="expression" priority="4" aboveAverage="0" equalAverage="0" bottom="0" percent="0" rank="0" text="" dxfId="0">
      <formula>AND(ISNUMBER(L49),ISNUMBER($G49),OR(AND($D49="P",L49&gt;=$G49),AND($D49="N",L49&lt;=$G49)))</formula>
    </cfRule>
    <cfRule type="expression" priority="5" aboveAverage="0" equalAverage="0" bottom="0" percent="0" rank="0" text="" dxfId="1">
      <formula>AND(ISNUMBER(L49),ISNUMBER($G49),OR(AND($D49="P",L49&lt;$G49),AND($D49="N",L49&gt;$G49)))</formula>
    </cfRule>
  </conditionalFormatting>
  <conditionalFormatting sqref="X36:X105">
    <cfRule type="expression" priority="6" aboveAverage="0" equalAverage="0" bottom="0" percent="0" rank="0" text="" dxfId="0">
      <formula>$Y36="✓ On Target"</formula>
    </cfRule>
    <cfRule type="expression" priority="7" aboveAverage="0" equalAverage="0" bottom="0" percent="0" rank="0" text="" dxfId="1">
      <formula>$Y36="✗ Off Target"</formula>
    </cfRule>
    <cfRule type="expression" priority="8" aboveAverage="0" equalAverage="0" bottom="0" percent="0" rank="0" text="" dxfId="2">
      <formula>$Y36="— No Data"</formula>
    </cfRule>
    <cfRule type="expression" priority="9" aboveAverage="0" equalAverage="0" bottom="0" percent="0" rank="0" text="" dxfId="3">
      <formula>$Y36="⊘ Non Target"</formula>
    </cfRule>
  </conditionalFormatting>
  <conditionalFormatting sqref="Y36:Y105">
    <cfRule type="expression" priority="10" aboveAverage="0" equalAverage="0" bottom="0" percent="0" rank="0" text="" dxfId="0">
      <formula>Y36="✓ On Target"</formula>
    </cfRule>
    <cfRule type="expression" priority="11" aboveAverage="0" equalAverage="0" bottom="0" percent="0" rank="0" text="" dxfId="1">
      <formula>Y36="✗ Off Target"</formula>
    </cfRule>
    <cfRule type="expression" priority="12" aboveAverage="0" equalAverage="0" bottom="0" percent="0" rank="0" text="" dxfId="2">
      <formula>Y36="— No Data"</formula>
    </cfRule>
    <cfRule type="expression" priority="13" aboveAverage="0" equalAverage="0" bottom="0" percent="0" rank="0" text="" dxfId="3">
      <formula>Y36="⊘ Non Target"</formula>
    </cfRule>
  </conditionalFormatting>
  <conditionalFormatting sqref="H36:W48 H49:K49 H50:W105 N49:W49">
    <cfRule type="expression" priority="14" aboveAverage="0" equalAverage="0" bottom="0" percent="0" rank="0" text="" dxfId="0">
      <formula>AND(ISNUMBER(H36),ISNUMBER($G36),OR(AND($D36="P",H36&gt;=$G36),AND($D36="N",H36&lt;=$G36)))</formula>
    </cfRule>
    <cfRule type="expression" priority="15" aboveAverage="0" equalAverage="0" bottom="0" percent="0" rank="0" text="" dxfId="1">
      <formula>AND(ISNUMBER(H36),ISNUMBER($G36),OR(AND($D36="P",H36&lt;$G36),AND($D36="N",H36&gt;$G36)))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00"/>
  <sheetViews>
    <sheetView showFormulas="false" showGridLines="false" showRowColHeaders="true" showZeros="true" rightToLeft="false" tabSelected="false" showOutlineSymbols="true" defaultGridColor="true" view="normal" topLeftCell="A83" colorId="64" zoomScale="100" zoomScaleNormal="100" zoomScalePageLayoutView="100" workbookViewId="0">
      <selection pane="topLeft" activeCell="J59" activeCellId="0" sqref="J5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8"/>
    <col collapsed="false" customWidth="true" hidden="false" outlineLevel="0" max="3" min="3" style="1" width="13"/>
    <col collapsed="false" customWidth="true" hidden="true" outlineLevel="0" max="4" min="4" style="1" width="3"/>
    <col collapsed="false" customWidth="true" hidden="false" outlineLevel="0" max="5" min="5" style="1" width="9"/>
    <col collapsed="false" customWidth="true" hidden="false" outlineLevel="0" max="7" min="6" style="1" width="10"/>
    <col collapsed="false" customWidth="true" hidden="false" outlineLevel="0" max="10" min="8" style="1" width="7"/>
    <col collapsed="false" customWidth="true" hidden="false" outlineLevel="0" max="11" min="11" style="1" width="8"/>
    <col collapsed="false" customWidth="true" hidden="false" outlineLevel="0" max="14" min="12" style="1" width="7"/>
    <col collapsed="false" customWidth="true" hidden="false" outlineLevel="0" max="15" min="15" style="1" width="8"/>
    <col collapsed="false" customWidth="true" hidden="false" outlineLevel="0" max="18" min="16" style="1" width="7"/>
    <col collapsed="false" customWidth="true" hidden="false" outlineLevel="0" max="19" min="19" style="1" width="8"/>
    <col collapsed="false" customWidth="true" hidden="false" outlineLevel="0" max="22" min="20" style="1" width="7"/>
    <col collapsed="false" customWidth="true" hidden="false" outlineLevel="0" max="23" min="23" style="1" width="8"/>
    <col collapsed="false" customWidth="true" hidden="false" outlineLevel="0" max="24" min="24" style="1" width="10"/>
    <col collapsed="false" customWidth="true" hidden="false" outlineLevel="0" max="25" min="25" style="1" width="14"/>
    <col collapsed="false" customWidth="true" hidden="false" outlineLevel="0" max="26" min="26" style="1" width="16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30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30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30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2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21.75" hidden="false" customHeight="true" outlineLevel="0" collapsed="false">
      <c r="A7" s="3" t="s">
        <v>557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9" customFormat="false" ht="24" hidden="false" customHeight="true" outlineLevel="0" collapsed="false">
      <c r="B9" s="159" t="s">
        <v>486</v>
      </c>
      <c r="C9" s="159"/>
      <c r="D9" s="159"/>
      <c r="E9" s="159"/>
      <c r="F9" s="159"/>
      <c r="G9" s="159"/>
      <c r="H9" s="159"/>
      <c r="I9" s="159"/>
      <c r="K9" s="159" t="s">
        <v>487</v>
      </c>
      <c r="L9" s="159"/>
      <c r="M9" s="159"/>
      <c r="N9" s="159"/>
      <c r="O9" s="159"/>
      <c r="P9" s="159"/>
      <c r="Q9" s="159"/>
      <c r="R9" s="159"/>
    </row>
    <row r="10" customFormat="false" ht="6" hidden="false" customHeight="true" outlineLevel="0" collapsed="false">
      <c r="B10" s="4"/>
      <c r="C10" s="4"/>
      <c r="D10" s="5"/>
      <c r="E10" s="5"/>
      <c r="F10" s="6"/>
      <c r="G10" s="6"/>
      <c r="H10" s="7"/>
      <c r="I10" s="7"/>
      <c r="K10" s="4"/>
      <c r="L10" s="4"/>
      <c r="M10" s="5"/>
      <c r="N10" s="5"/>
      <c r="O10" s="6"/>
      <c r="P10" s="6"/>
      <c r="Q10" s="7"/>
      <c r="R10" s="7"/>
    </row>
    <row r="11" customFormat="false" ht="19.5" hidden="false" customHeight="true" outlineLevel="0" collapsed="false">
      <c r="B11" s="9" t="s">
        <v>488</v>
      </c>
      <c r="C11" s="9"/>
      <c r="D11" s="9" t="s">
        <v>489</v>
      </c>
      <c r="E11" s="9"/>
      <c r="F11" s="9" t="s">
        <v>490</v>
      </c>
      <c r="G11" s="9"/>
      <c r="H11" s="9" t="s">
        <v>248</v>
      </c>
      <c r="I11" s="9"/>
      <c r="K11" s="9" t="s">
        <v>488</v>
      </c>
      <c r="L11" s="9"/>
      <c r="M11" s="9" t="s">
        <v>489</v>
      </c>
      <c r="N11" s="9"/>
      <c r="O11" s="9" t="s">
        <v>490</v>
      </c>
      <c r="P11" s="9"/>
      <c r="Q11" s="9" t="s">
        <v>248</v>
      </c>
      <c r="R11" s="9"/>
    </row>
    <row r="12" customFormat="false" ht="24" hidden="false" customHeight="true" outlineLevel="0" collapsed="false">
      <c r="B12" s="160" t="n">
        <v>25</v>
      </c>
      <c r="C12" s="160"/>
      <c r="D12" s="161" t="n">
        <v>14</v>
      </c>
      <c r="E12" s="161"/>
      <c r="F12" s="162" t="n">
        <v>5</v>
      </c>
      <c r="G12" s="162"/>
      <c r="H12" s="163" t="n">
        <v>1</v>
      </c>
      <c r="I12" s="163"/>
      <c r="K12" s="160" t="n">
        <v>7</v>
      </c>
      <c r="L12" s="160"/>
      <c r="M12" s="161" t="n">
        <v>2</v>
      </c>
      <c r="N12" s="161"/>
      <c r="O12" s="162" t="n">
        <v>1</v>
      </c>
      <c r="P12" s="162"/>
      <c r="Q12" s="163" t="n">
        <v>0</v>
      </c>
      <c r="R12" s="163"/>
    </row>
    <row r="13" customFormat="false" ht="24" hidden="false" customHeight="true" outlineLevel="0" collapsed="false">
      <c r="B13" s="160"/>
      <c r="C13" s="160"/>
      <c r="D13" s="161"/>
      <c r="E13" s="161"/>
      <c r="F13" s="162"/>
      <c r="G13" s="162"/>
      <c r="H13" s="163"/>
      <c r="I13" s="163"/>
      <c r="K13" s="160"/>
      <c r="L13" s="160"/>
      <c r="M13" s="161"/>
      <c r="N13" s="161"/>
      <c r="O13" s="162"/>
      <c r="P13" s="162"/>
      <c r="Q13" s="163"/>
      <c r="R13" s="163"/>
    </row>
    <row r="14" customFormat="false" ht="3.75" hidden="false" customHeight="true" outlineLevel="0" collapsed="false">
      <c r="B14" s="18"/>
      <c r="C14" s="18"/>
      <c r="D14" s="18"/>
      <c r="E14" s="18"/>
      <c r="F14" s="18"/>
      <c r="G14" s="18"/>
      <c r="H14" s="18"/>
      <c r="I14" s="18"/>
      <c r="K14" s="18"/>
      <c r="L14" s="18"/>
      <c r="M14" s="18"/>
      <c r="N14" s="18"/>
      <c r="O14" s="18"/>
      <c r="P14" s="18"/>
      <c r="Q14" s="18"/>
      <c r="R14" s="18"/>
    </row>
    <row r="16" customFormat="false" ht="25.5" hidden="false" customHeight="true" outlineLevel="0" collapsed="false">
      <c r="B16" s="164" t="s">
        <v>558</v>
      </c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</row>
    <row r="17" customFormat="false" ht="6" hidden="false" customHeight="true" outlineLevel="0" collapsed="false">
      <c r="B17" s="165"/>
      <c r="C17" s="165"/>
      <c r="D17" s="165"/>
      <c r="E17" s="5"/>
      <c r="F17" s="5"/>
      <c r="G17" s="5"/>
      <c r="I17" s="6"/>
      <c r="J17" s="6"/>
      <c r="K17" s="6"/>
      <c r="M17" s="7"/>
      <c r="N17" s="7"/>
      <c r="O17" s="7"/>
      <c r="Q17" s="8"/>
      <c r="R17" s="8"/>
      <c r="S17" s="8"/>
    </row>
    <row r="18" customFormat="false" ht="21.75" hidden="false" customHeight="true" outlineLevel="0" collapsed="false">
      <c r="B18" s="9" t="s">
        <v>492</v>
      </c>
      <c r="C18" s="9"/>
      <c r="D18" s="9"/>
      <c r="E18" s="9" t="s">
        <v>489</v>
      </c>
      <c r="F18" s="9"/>
      <c r="G18" s="9"/>
      <c r="I18" s="9" t="s">
        <v>490</v>
      </c>
      <c r="J18" s="9"/>
      <c r="K18" s="9"/>
      <c r="M18" s="9" t="s">
        <v>248</v>
      </c>
      <c r="N18" s="9"/>
      <c r="O18" s="9"/>
      <c r="Q18" s="166" t="s">
        <v>5</v>
      </c>
      <c r="R18" s="166"/>
      <c r="S18" s="166"/>
    </row>
    <row r="19" customFormat="false" ht="27.75" hidden="false" customHeight="true" outlineLevel="0" collapsed="false">
      <c r="B19" s="167" t="n">
        <v>32</v>
      </c>
      <c r="C19" s="167"/>
      <c r="D19" s="167"/>
      <c r="E19" s="168" t="n">
        <v>16</v>
      </c>
      <c r="F19" s="168"/>
      <c r="G19" s="168"/>
      <c r="I19" s="169" t="n">
        <v>6</v>
      </c>
      <c r="J19" s="169"/>
      <c r="K19" s="169"/>
      <c r="M19" s="170" t="n">
        <v>1</v>
      </c>
      <c r="N19" s="170"/>
      <c r="O19" s="170"/>
      <c r="Q19" s="171" t="n">
        <v>26</v>
      </c>
      <c r="R19" s="171"/>
      <c r="S19" s="171"/>
    </row>
    <row r="20" customFormat="false" ht="27.75" hidden="false" customHeight="true" outlineLevel="0" collapsed="false">
      <c r="B20" s="167"/>
      <c r="C20" s="167"/>
      <c r="D20" s="167"/>
      <c r="E20" s="168"/>
      <c r="F20" s="168"/>
      <c r="G20" s="168"/>
      <c r="I20" s="169"/>
      <c r="J20" s="169"/>
      <c r="K20" s="169"/>
      <c r="M20" s="170"/>
      <c r="N20" s="170"/>
      <c r="O20" s="170"/>
      <c r="Q20" s="171"/>
      <c r="R20" s="171"/>
      <c r="S20" s="171"/>
    </row>
    <row r="21" customFormat="false" ht="21.75" hidden="false" customHeight="true" outlineLevel="0" collapsed="false">
      <c r="B21" s="15" t="s">
        <v>493</v>
      </c>
      <c r="C21" s="15"/>
      <c r="D21" s="15"/>
      <c r="E21" s="15" t="s">
        <v>553</v>
      </c>
      <c r="F21" s="15"/>
      <c r="G21" s="15"/>
      <c r="I21" s="15" t="s">
        <v>554</v>
      </c>
      <c r="J21" s="15"/>
      <c r="K21" s="15"/>
      <c r="M21" s="15" t="s">
        <v>545</v>
      </c>
      <c r="N21" s="15"/>
      <c r="O21" s="15"/>
      <c r="Q21" s="172" t="s">
        <v>559</v>
      </c>
      <c r="R21" s="172"/>
      <c r="S21" s="172"/>
    </row>
    <row r="22" customFormat="false" ht="3.75" hidden="false" customHeight="true" outlineLevel="0" collapsed="false">
      <c r="B22" s="18"/>
      <c r="C22" s="18"/>
      <c r="D22" s="18"/>
      <c r="E22" s="18"/>
      <c r="F22" s="18"/>
      <c r="G22" s="18"/>
      <c r="I22" s="18"/>
      <c r="J22" s="18"/>
      <c r="K22" s="18"/>
      <c r="M22" s="18"/>
      <c r="N22" s="18"/>
      <c r="O22" s="18"/>
      <c r="Q22" s="18"/>
      <c r="R22" s="18"/>
      <c r="S22" s="18"/>
    </row>
    <row r="23" customFormat="false" ht="24" hidden="false" customHeight="true" outlineLevel="0" collapsed="false">
      <c r="B23" s="47" t="s">
        <v>560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</row>
    <row r="24" customFormat="false" ht="24" hidden="false" customHeight="true" outlineLevel="0" collapsed="false">
      <c r="B24" s="48" t="s">
        <v>23</v>
      </c>
      <c r="C24" s="48" t="s">
        <v>29</v>
      </c>
      <c r="D24" s="48" t="s">
        <v>65</v>
      </c>
      <c r="E24" s="48" t="s">
        <v>66</v>
      </c>
      <c r="F24" s="48" t="s">
        <v>67</v>
      </c>
      <c r="G24" s="48" t="s">
        <v>30</v>
      </c>
    </row>
    <row r="25" customFormat="false" ht="21.75" hidden="false" customHeight="true" outlineLevel="0" collapsed="false">
      <c r="B25" s="55" t="s">
        <v>35</v>
      </c>
      <c r="C25" s="65" t="n">
        <v>10</v>
      </c>
      <c r="D25" s="57" t="n">
        <v>4</v>
      </c>
      <c r="E25" s="58" t="n">
        <v>0</v>
      </c>
      <c r="F25" s="59" t="n">
        <v>1</v>
      </c>
      <c r="G25" s="60" t="n">
        <v>1</v>
      </c>
    </row>
    <row r="26" customFormat="false" ht="21.75" hidden="false" customHeight="true" outlineLevel="0" collapsed="false">
      <c r="B26" s="49" t="s">
        <v>34</v>
      </c>
      <c r="C26" s="66" t="n">
        <v>6</v>
      </c>
      <c r="D26" s="51" t="n">
        <v>4</v>
      </c>
      <c r="E26" s="52" t="n">
        <v>1</v>
      </c>
      <c r="F26" s="53" t="n">
        <v>0</v>
      </c>
      <c r="G26" s="54" t="n">
        <v>0.8</v>
      </c>
    </row>
    <row r="27" customFormat="false" ht="21.75" hidden="false" customHeight="true" outlineLevel="0" collapsed="false">
      <c r="B27" s="55" t="s">
        <v>36</v>
      </c>
      <c r="C27" s="65" t="n">
        <v>13</v>
      </c>
      <c r="D27" s="57" t="n">
        <v>7</v>
      </c>
      <c r="E27" s="58" t="n">
        <v>5</v>
      </c>
      <c r="F27" s="59" t="n">
        <v>0</v>
      </c>
      <c r="G27" s="60" t="n">
        <v>0.583333333333333</v>
      </c>
    </row>
    <row r="28" customFormat="false" ht="21.75" hidden="false" customHeight="true" outlineLevel="0" collapsed="false">
      <c r="B28" s="49" t="s">
        <v>39</v>
      </c>
      <c r="C28" s="66" t="n">
        <v>0</v>
      </c>
      <c r="D28" s="51" t="n">
        <v>0</v>
      </c>
      <c r="E28" s="52" t="n">
        <v>0</v>
      </c>
      <c r="F28" s="53" t="n">
        <v>0</v>
      </c>
      <c r="G28" s="54" t="s">
        <v>32</v>
      </c>
    </row>
    <row r="29" customFormat="false" ht="21.75" hidden="false" customHeight="true" outlineLevel="0" collapsed="false">
      <c r="B29" s="55" t="s">
        <v>37</v>
      </c>
      <c r="C29" s="65" t="n">
        <v>2</v>
      </c>
      <c r="D29" s="57" t="n">
        <v>1</v>
      </c>
      <c r="E29" s="58" t="n">
        <v>0</v>
      </c>
      <c r="F29" s="59" t="n">
        <v>0</v>
      </c>
      <c r="G29" s="60" t="n">
        <v>1</v>
      </c>
    </row>
    <row r="30" customFormat="false" ht="25.5" hidden="false" customHeight="true" outlineLevel="0" collapsed="false">
      <c r="B30" s="61" t="s">
        <v>48</v>
      </c>
      <c r="C30" s="63" t="n">
        <v>32</v>
      </c>
      <c r="D30" s="63" t="n">
        <v>16</v>
      </c>
      <c r="E30" s="63" t="n">
        <v>6</v>
      </c>
      <c r="F30" s="63" t="n">
        <v>1</v>
      </c>
      <c r="G30" s="64" t="n">
        <v>0.727272727272727</v>
      </c>
    </row>
    <row r="31" customFormat="false" ht="15.75" hidden="false" customHeight="true" outlineLevel="0" collapsed="false"/>
    <row r="32" customFormat="false" ht="15.75" hidden="false" customHeight="true" outlineLevel="0" collapsed="false"/>
    <row r="35" customFormat="false" ht="25.5" hidden="false" customHeight="true" outlineLevel="0" collapsed="false">
      <c r="A35" s="67" t="s">
        <v>69</v>
      </c>
      <c r="B35" s="67" t="s">
        <v>70</v>
      </c>
      <c r="C35" s="67" t="s">
        <v>71</v>
      </c>
      <c r="D35" s="67" t="s">
        <v>72</v>
      </c>
      <c r="E35" s="67" t="s">
        <v>499</v>
      </c>
      <c r="F35" s="67" t="s">
        <v>500</v>
      </c>
      <c r="G35" s="67" t="s">
        <v>74</v>
      </c>
      <c r="H35" s="67" t="s">
        <v>75</v>
      </c>
      <c r="I35" s="67" t="s">
        <v>76</v>
      </c>
      <c r="J35" s="67" t="s">
        <v>77</v>
      </c>
      <c r="K35" s="173" t="s">
        <v>78</v>
      </c>
      <c r="L35" s="67" t="s">
        <v>79</v>
      </c>
      <c r="M35" s="67" t="s">
        <v>80</v>
      </c>
      <c r="N35" s="67" t="s">
        <v>81</v>
      </c>
      <c r="O35" s="173" t="s">
        <v>82</v>
      </c>
      <c r="P35" s="67" t="s">
        <v>83</v>
      </c>
      <c r="Q35" s="67" t="s">
        <v>84</v>
      </c>
      <c r="R35" s="67" t="s">
        <v>85</v>
      </c>
      <c r="S35" s="173" t="s">
        <v>86</v>
      </c>
      <c r="T35" s="67" t="s">
        <v>87</v>
      </c>
      <c r="U35" s="67" t="s">
        <v>88</v>
      </c>
      <c r="V35" s="67" t="s">
        <v>89</v>
      </c>
      <c r="W35" s="173" t="s">
        <v>90</v>
      </c>
      <c r="X35" s="67" t="s">
        <v>91</v>
      </c>
      <c r="Y35" s="67" t="s">
        <v>92</v>
      </c>
      <c r="Z35" s="68" t="s">
        <v>93</v>
      </c>
    </row>
    <row r="36" customFormat="false" ht="25.5" hidden="false" customHeight="true" outlineLevel="0" collapsed="false">
      <c r="A36" s="69" t="s">
        <v>111</v>
      </c>
      <c r="B36" s="70" t="s">
        <v>112</v>
      </c>
      <c r="C36" s="71" t="s">
        <v>35</v>
      </c>
      <c r="D36" s="71" t="s">
        <v>97</v>
      </c>
      <c r="E36" s="69" t="s">
        <v>501</v>
      </c>
      <c r="F36" s="87" t="n">
        <v>0.017</v>
      </c>
      <c r="G36" s="88" t="n">
        <v>0.0145</v>
      </c>
      <c r="H36" s="89" t="n">
        <v>0</v>
      </c>
      <c r="I36" s="89" t="n">
        <v>0</v>
      </c>
      <c r="J36" s="89" t="n">
        <v>0</v>
      </c>
      <c r="K36" s="174" t="n">
        <f aca="false">IF(COUNT(H36:J36)=0,"",AVERAGE(H36:J36))</f>
        <v>0</v>
      </c>
      <c r="L36" s="90" t="n">
        <v>0</v>
      </c>
      <c r="M36" s="90" t="n">
        <v>0.0416666666666667</v>
      </c>
      <c r="N36" s="90" t="n">
        <v>0.0294117647058824</v>
      </c>
      <c r="O36" s="174" t="n">
        <f aca="false">IF(COUNT(L36:N36)=0,"",AVERAGE(L36:N36))</f>
        <v>0.0236928104575164</v>
      </c>
      <c r="P36" s="90" t="n">
        <v>0.0344827586206897</v>
      </c>
      <c r="Q36" s="90"/>
      <c r="R36" s="90"/>
      <c r="S36" s="174" t="n">
        <f aca="false">IF(COUNT(P36:R36)=0,"",AVERAGE(P36:R36))</f>
        <v>0.0344827586206897</v>
      </c>
      <c r="T36" s="90"/>
      <c r="U36" s="90"/>
      <c r="V36" s="90"/>
      <c r="W36" s="174" t="str">
        <f aca="false">IF(COUNT(T36:V36)=0,"",AVERAGE(T36:V36))</f>
        <v/>
      </c>
      <c r="X36" s="92" t="n">
        <v>0</v>
      </c>
      <c r="Y36" s="114" t="s">
        <v>104</v>
      </c>
      <c r="Z36" s="78" t="s">
        <v>100</v>
      </c>
    </row>
    <row r="37" customFormat="false" ht="25.5" hidden="false" customHeight="true" outlineLevel="0" collapsed="false">
      <c r="A37" s="69" t="s">
        <v>116</v>
      </c>
      <c r="B37" s="70" t="s">
        <v>117</v>
      </c>
      <c r="C37" s="71" t="s">
        <v>35</v>
      </c>
      <c r="D37" s="71" t="s">
        <v>97</v>
      </c>
      <c r="E37" s="69" t="s">
        <v>501</v>
      </c>
      <c r="F37" s="94" t="n">
        <v>0.0054</v>
      </c>
      <c r="G37" s="88" t="n">
        <v>0.0046</v>
      </c>
      <c r="H37" s="89" t="n">
        <v>0</v>
      </c>
      <c r="I37" s="89" t="n">
        <v>0</v>
      </c>
      <c r="J37" s="89" t="n">
        <v>0</v>
      </c>
      <c r="K37" s="174" t="n">
        <f aca="false">IF(COUNT(H37:J37)=0,"",AVERAGE(H37:J37))</f>
        <v>0</v>
      </c>
      <c r="L37" s="90" t="n">
        <v>0</v>
      </c>
      <c r="M37" s="90" t="n">
        <v>0</v>
      </c>
      <c r="N37" s="90" t="n">
        <v>0</v>
      </c>
      <c r="O37" s="175" t="n">
        <f aca="false">IF(COUNT(L37:N37)=0,"",AVERAGE(L37:N37))</f>
        <v>0</v>
      </c>
      <c r="P37" s="124" t="n">
        <v>0</v>
      </c>
      <c r="Q37" s="124"/>
      <c r="R37" s="124"/>
      <c r="S37" s="175" t="n">
        <f aca="false">IF(COUNT(P37:R37)=0,"",AVERAGE(P37:R37))</f>
        <v>0</v>
      </c>
      <c r="T37" s="124"/>
      <c r="U37" s="124"/>
      <c r="V37" s="124"/>
      <c r="W37" s="175" t="str">
        <f aca="false">IF(COUNT(T37:V37)=0,"",AVERAGE(T37:V37))</f>
        <v/>
      </c>
      <c r="X37" s="125" t="n">
        <v>0</v>
      </c>
      <c r="Y37" s="114" t="s">
        <v>104</v>
      </c>
      <c r="Z37" s="78" t="s">
        <v>100</v>
      </c>
    </row>
    <row r="38" customFormat="false" ht="25.5" hidden="false" customHeight="true" outlineLevel="0" collapsed="false">
      <c r="A38" s="69" t="s">
        <v>118</v>
      </c>
      <c r="B38" s="70" t="s">
        <v>119</v>
      </c>
      <c r="C38" s="71" t="s">
        <v>35</v>
      </c>
      <c r="D38" s="71" t="s">
        <v>97</v>
      </c>
      <c r="E38" s="69" t="s">
        <v>501</v>
      </c>
      <c r="F38" s="87" t="s">
        <v>32</v>
      </c>
      <c r="G38" s="91" t="s">
        <v>32</v>
      </c>
      <c r="H38" s="89" t="n">
        <v>0.00540091400083091</v>
      </c>
      <c r="I38" s="89" t="n">
        <v>0.0032967032967033</v>
      </c>
      <c r="J38" s="89" t="n">
        <v>0.00990783410138249</v>
      </c>
      <c r="K38" s="174" t="n">
        <f aca="false">IF(COUNT(H38:J38)=0,"",AVERAGE(H38:J38))</f>
        <v>0.00620181713297223</v>
      </c>
      <c r="L38" s="90" t="n">
        <v>0.00659582264565775</v>
      </c>
      <c r="M38" s="90" t="n">
        <v>0.00760704194740274</v>
      </c>
      <c r="N38" s="90" t="n">
        <v>0.00760704194740274</v>
      </c>
      <c r="O38" s="174" t="n">
        <f aca="false">IF(COUNT(L38:N38)=0,"",AVERAGE(L38:N38))</f>
        <v>0.00726996884682108</v>
      </c>
      <c r="P38" s="90" t="n">
        <v>0.0082843399251737</v>
      </c>
      <c r="Q38" s="90"/>
      <c r="R38" s="90"/>
      <c r="S38" s="174" t="n">
        <f aca="false">IF(COUNT(P38:R38)=0,"",AVERAGE(P38:R38))</f>
        <v>0.0082843399251737</v>
      </c>
      <c r="T38" s="90"/>
      <c r="U38" s="90"/>
      <c r="V38" s="90"/>
      <c r="W38" s="174" t="str">
        <f aca="false">IF(COUNT(T38:V38)=0,"",AVERAGE(T38:V38))</f>
        <v/>
      </c>
      <c r="X38" s="92" t="n">
        <v>0.00639881988931499</v>
      </c>
      <c r="Y38" s="114" t="s">
        <v>120</v>
      </c>
      <c r="Z38" s="78" t="s">
        <v>100</v>
      </c>
    </row>
    <row r="39" customFormat="false" ht="25.5" hidden="false" customHeight="true" outlineLevel="0" collapsed="false">
      <c r="A39" s="69" t="s">
        <v>127</v>
      </c>
      <c r="B39" s="70" t="s">
        <v>128</v>
      </c>
      <c r="C39" s="71" t="s">
        <v>35</v>
      </c>
      <c r="D39" s="71" t="s">
        <v>110</v>
      </c>
      <c r="E39" s="69" t="s">
        <v>501</v>
      </c>
      <c r="F39" s="102" t="s">
        <v>32</v>
      </c>
      <c r="G39" s="75" t="s">
        <v>32</v>
      </c>
      <c r="H39" s="81" t="n">
        <v>0.005125284738041</v>
      </c>
      <c r="I39" s="81" t="n">
        <v>0.00508187464709204</v>
      </c>
      <c r="J39" s="81" t="n">
        <v>0.00623700623700624</v>
      </c>
      <c r="K39" s="176" t="n">
        <f aca="false">IF(COUNT(H39:J39)=0,"",AVERAGE(H39:J39))</f>
        <v>0.00548138854071309</v>
      </c>
      <c r="L39" s="103" t="n">
        <v>0.00330760749724366</v>
      </c>
      <c r="M39" s="103" t="n">
        <v>0.00434782608695652</v>
      </c>
      <c r="N39" s="103" t="n">
        <v>0.00434782608695652</v>
      </c>
      <c r="O39" s="176" t="n">
        <f aca="false">IF(COUNT(L39:N39)=0,"",AVERAGE(L39:N39))</f>
        <v>0.00400108655705223</v>
      </c>
      <c r="P39" s="103" t="n">
        <v>0.00677200902934537</v>
      </c>
      <c r="Q39" s="103"/>
      <c r="R39" s="103"/>
      <c r="S39" s="176" t="n">
        <f aca="false">IF(COUNT(P39:R39)=0,"",AVERAGE(P39:R39))</f>
        <v>0.00677200902934537</v>
      </c>
      <c r="T39" s="103"/>
      <c r="U39" s="103"/>
      <c r="V39" s="103"/>
      <c r="W39" s="176" t="str">
        <f aca="false">IF(COUNT(T39:V39)=0,"",AVERAGE(T39:V39))</f>
        <v/>
      </c>
      <c r="X39" s="104" t="n">
        <v>0.00439449801897838</v>
      </c>
      <c r="Y39" s="114" t="s">
        <v>120</v>
      </c>
      <c r="Z39" s="78" t="s">
        <v>100</v>
      </c>
    </row>
    <row r="40" customFormat="false" ht="25.5" hidden="false" customHeight="true" outlineLevel="0" collapsed="false">
      <c r="A40" s="69" t="s">
        <v>129</v>
      </c>
      <c r="B40" s="70" t="s">
        <v>130</v>
      </c>
      <c r="C40" s="71" t="s">
        <v>35</v>
      </c>
      <c r="D40" s="71" t="s">
        <v>110</v>
      </c>
      <c r="E40" s="69" t="s">
        <v>501</v>
      </c>
      <c r="F40" s="102" t="s">
        <v>32</v>
      </c>
      <c r="G40" s="75" t="s">
        <v>32</v>
      </c>
      <c r="H40" s="81" t="n">
        <v>0.0022436616558223</v>
      </c>
      <c r="I40" s="81" t="n">
        <v>0.00219058050383352</v>
      </c>
      <c r="J40" s="81" t="n">
        <v>0.00228154232261008</v>
      </c>
      <c r="K40" s="176" t="n">
        <f aca="false">IF(COUNT(H40:J40)=0,"",AVERAGE(H40:J40))</f>
        <v>0.00223859482742197</v>
      </c>
      <c r="L40" s="103" t="n">
        <v>0.0018201674554059</v>
      </c>
      <c r="M40" s="103" t="n">
        <v>0.00215703192407248</v>
      </c>
      <c r="N40" s="103" t="n">
        <v>0.00215703192407248</v>
      </c>
      <c r="O40" s="176" t="n">
        <f aca="false">IF(COUNT(L40:N40)=0,"",AVERAGE(L40:N40))</f>
        <v>0.00204474376785029</v>
      </c>
      <c r="P40" s="103" t="n">
        <v>0.00265041081367612</v>
      </c>
      <c r="Q40" s="103"/>
      <c r="R40" s="103"/>
      <c r="S40" s="176" t="n">
        <f aca="false">IF(COUNT(P40:R40)=0,"",AVERAGE(P40:R40))</f>
        <v>0.00265041081367612</v>
      </c>
      <c r="T40" s="103"/>
      <c r="U40" s="103"/>
      <c r="V40" s="103"/>
      <c r="W40" s="176" t="str">
        <f aca="false">IF(COUNT(T40:V40)=0,"",AVERAGE(T40:V40))</f>
        <v/>
      </c>
      <c r="X40" s="104" t="n">
        <v>0.00202938114141393</v>
      </c>
      <c r="Y40" s="114" t="s">
        <v>120</v>
      </c>
      <c r="Z40" s="78" t="s">
        <v>100</v>
      </c>
    </row>
    <row r="41" customFormat="false" ht="25.5" hidden="false" customHeight="true" outlineLevel="0" collapsed="false">
      <c r="A41" s="69" t="s">
        <v>139</v>
      </c>
      <c r="B41" s="70" t="s">
        <v>140</v>
      </c>
      <c r="C41" s="71" t="s">
        <v>35</v>
      </c>
      <c r="D41" s="71" t="s">
        <v>97</v>
      </c>
      <c r="E41" s="69" t="s">
        <v>501</v>
      </c>
      <c r="F41" s="87" t="n">
        <v>0.646</v>
      </c>
      <c r="G41" s="88" t="s">
        <v>141</v>
      </c>
      <c r="H41" s="89" t="n">
        <v>0.0668764752163651</v>
      </c>
      <c r="I41" s="89" t="n">
        <v>0.0409407665505226</v>
      </c>
      <c r="J41" s="89" t="n">
        <v>0.0849724626278521</v>
      </c>
      <c r="K41" s="174" t="n">
        <f aca="false">IF(COUNT(H41:J41)=0,"",AVERAGE(H41:J41))</f>
        <v>0.0642632347982466</v>
      </c>
      <c r="L41" s="90" t="n">
        <v>0.0845528455284553</v>
      </c>
      <c r="M41" s="90" t="n">
        <v>0.0755310778914241</v>
      </c>
      <c r="N41" s="90" t="n">
        <v>0.0739837398373984</v>
      </c>
      <c r="O41" s="174" t="n">
        <f aca="false">IF(COUNT(L41:N41)=0,"",AVERAGE(L41:N41))</f>
        <v>0.0780225544190926</v>
      </c>
      <c r="P41" s="90" t="n">
        <v>0.0590086546026751</v>
      </c>
      <c r="Q41" s="90"/>
      <c r="R41" s="90"/>
      <c r="S41" s="174" t="n">
        <f aca="false">IF(COUNT(P41:R41)=0,"",AVERAGE(P41:R41))</f>
        <v>0.0590086546026751</v>
      </c>
      <c r="T41" s="90"/>
      <c r="U41" s="90"/>
      <c r="V41" s="90"/>
      <c r="W41" s="174" t="str">
        <f aca="false">IF(COUNT(T41:V41)=0,"",AVERAGE(T41:V41))</f>
        <v/>
      </c>
      <c r="X41" s="92" t="n">
        <v>0.074408040163351</v>
      </c>
      <c r="Y41" s="114" t="s">
        <v>104</v>
      </c>
      <c r="Z41" s="78" t="s">
        <v>100</v>
      </c>
    </row>
    <row r="42" customFormat="false" ht="25.5" hidden="false" customHeight="true" outlineLevel="0" collapsed="false">
      <c r="A42" s="69" t="s">
        <v>142</v>
      </c>
      <c r="B42" s="70" t="s">
        <v>143</v>
      </c>
      <c r="C42" s="71" t="s">
        <v>35</v>
      </c>
      <c r="D42" s="71" t="s">
        <v>97</v>
      </c>
      <c r="E42" s="69" t="s">
        <v>501</v>
      </c>
      <c r="F42" s="96" t="n">
        <v>3.9</v>
      </c>
      <c r="G42" s="97" t="n">
        <v>3.77</v>
      </c>
      <c r="H42" s="120" t="n">
        <v>3.125</v>
      </c>
      <c r="I42" s="120" t="n">
        <v>3</v>
      </c>
      <c r="J42" s="120" t="n">
        <v>2.53658536585366</v>
      </c>
      <c r="K42" s="180" t="n">
        <f aca="false">IF(COUNT(H42:J42)=0,"",AVERAGE(H42:J42))</f>
        <v>2.88719512195122</v>
      </c>
      <c r="L42" s="98" t="n">
        <v>2.88888888888889</v>
      </c>
      <c r="M42" s="98" t="n">
        <v>2.74285714285714</v>
      </c>
      <c r="N42" s="98" t="n">
        <v>2.6</v>
      </c>
      <c r="O42" s="180" t="n">
        <f aca="false">IF(COUNT(L42:N42)=0,"",AVERAGE(L42:N42))</f>
        <v>2.74391534391534</v>
      </c>
      <c r="P42" s="98" t="n">
        <v>2.41935483870968</v>
      </c>
      <c r="Q42" s="98"/>
      <c r="R42" s="98"/>
      <c r="S42" s="180" t="n">
        <f aca="false">IF(COUNT(P42:R42)=0,"",AVERAGE(P42:R42))</f>
        <v>2.41935483870968</v>
      </c>
      <c r="T42" s="98"/>
      <c r="U42" s="98"/>
      <c r="V42" s="98"/>
      <c r="W42" s="180" t="str">
        <f aca="false">IF(COUNT(T42:V42)=0,"",AVERAGE(T42:V42))</f>
        <v/>
      </c>
      <c r="X42" s="100" t="n">
        <v>2.88804200542006</v>
      </c>
      <c r="Y42" s="114" t="s">
        <v>104</v>
      </c>
      <c r="Z42" s="78" t="s">
        <v>100</v>
      </c>
    </row>
    <row r="43" customFormat="false" ht="25.5" hidden="false" customHeight="true" outlineLevel="0" collapsed="false">
      <c r="A43" s="69" t="s">
        <v>152</v>
      </c>
      <c r="B43" s="70" t="s">
        <v>153</v>
      </c>
      <c r="C43" s="71" t="s">
        <v>34</v>
      </c>
      <c r="D43" s="71" t="s">
        <v>97</v>
      </c>
      <c r="E43" s="69" t="s">
        <v>501</v>
      </c>
      <c r="F43" s="87" t="n">
        <v>0.253</v>
      </c>
      <c r="G43" s="88" t="n">
        <v>0.2</v>
      </c>
      <c r="H43" s="89" t="n">
        <v>0</v>
      </c>
      <c r="I43" s="89" t="n">
        <v>0</v>
      </c>
      <c r="J43" s="89" t="n">
        <v>0</v>
      </c>
      <c r="K43" s="174" t="n">
        <f aca="false">IF(COUNT(H43:J43)=0,"",AVERAGE(H43:J43))</f>
        <v>0</v>
      </c>
      <c r="L43" s="90" t="n">
        <v>0</v>
      </c>
      <c r="M43" s="90"/>
      <c r="N43" s="90" t="n">
        <v>0</v>
      </c>
      <c r="O43" s="174" t="n">
        <f aca="false">IF(COUNT(L43:N43)=0,"",AVERAGE(L43:N43))</f>
        <v>0</v>
      </c>
      <c r="P43" s="90"/>
      <c r="Q43" s="90"/>
      <c r="R43" s="90"/>
      <c r="S43" s="174" t="str">
        <f aca="false">IF(COUNT(P43:R43)=0,"",AVERAGE(P43:R43))</f>
        <v/>
      </c>
      <c r="T43" s="90"/>
      <c r="U43" s="90"/>
      <c r="V43" s="90"/>
      <c r="W43" s="174" t="str">
        <f aca="false">IF(COUNT(T43:V43)=0,"",AVERAGE(T43:V43))</f>
        <v/>
      </c>
      <c r="X43" s="92" t="n">
        <v>0</v>
      </c>
      <c r="Y43" s="114" t="s">
        <v>104</v>
      </c>
      <c r="Z43" s="78" t="s">
        <v>100</v>
      </c>
    </row>
    <row r="44" customFormat="false" ht="25.5" hidden="false" customHeight="true" outlineLevel="0" collapsed="false">
      <c r="A44" s="69" t="s">
        <v>154</v>
      </c>
      <c r="B44" s="70" t="s">
        <v>155</v>
      </c>
      <c r="C44" s="71" t="s">
        <v>34</v>
      </c>
      <c r="D44" s="71" t="s">
        <v>97</v>
      </c>
      <c r="E44" s="69" t="s">
        <v>501</v>
      </c>
      <c r="F44" s="102" t="n">
        <v>0.18</v>
      </c>
      <c r="G44" s="82" t="n">
        <v>0</v>
      </c>
      <c r="H44" s="103"/>
      <c r="I44" s="103"/>
      <c r="J44" s="81" t="n">
        <v>0</v>
      </c>
      <c r="K44" s="176" t="n">
        <f aca="false">IF(COUNT(H44:J44)=0,"",SUM(H44:J44))</f>
        <v>0</v>
      </c>
      <c r="L44" s="74" t="n">
        <v>0</v>
      </c>
      <c r="M44" s="103" t="n">
        <v>0</v>
      </c>
      <c r="N44" s="103" t="n">
        <v>0</v>
      </c>
      <c r="O44" s="176" t="n">
        <f aca="false">IF(COUNT(L44:N44)=0,"",SUM(L44:N44))</f>
        <v>0</v>
      </c>
      <c r="P44" s="103" t="n">
        <v>0</v>
      </c>
      <c r="Q44" s="103"/>
      <c r="R44" s="103"/>
      <c r="S44" s="176" t="n">
        <v>0</v>
      </c>
      <c r="T44" s="103"/>
      <c r="U44" s="103"/>
      <c r="V44" s="103"/>
      <c r="W44" s="176" t="n">
        <v>0</v>
      </c>
      <c r="X44" s="104" t="n">
        <v>0</v>
      </c>
      <c r="Y44" s="114" t="s">
        <v>104</v>
      </c>
      <c r="Z44" s="78" t="s">
        <v>100</v>
      </c>
    </row>
    <row r="45" customFormat="false" ht="25.5" hidden="false" customHeight="true" outlineLevel="0" collapsed="false">
      <c r="A45" s="69" t="s">
        <v>156</v>
      </c>
      <c r="B45" s="70" t="s">
        <v>157</v>
      </c>
      <c r="C45" s="71" t="s">
        <v>34</v>
      </c>
      <c r="D45" s="71" t="s">
        <v>110</v>
      </c>
      <c r="E45" s="69" t="s">
        <v>501</v>
      </c>
      <c r="F45" s="87" t="n">
        <v>0.974</v>
      </c>
      <c r="G45" s="88" t="n">
        <v>0.98</v>
      </c>
      <c r="H45" s="89" t="n">
        <v>1</v>
      </c>
      <c r="I45" s="89" t="n">
        <v>1</v>
      </c>
      <c r="J45" s="89" t="n">
        <v>1</v>
      </c>
      <c r="K45" s="174" t="n">
        <f aca="false">IF(COUNT(H45:J45)=0,"",AVERAGE(H45:J45))</f>
        <v>1</v>
      </c>
      <c r="L45" s="90" t="n">
        <v>1</v>
      </c>
      <c r="M45" s="90" t="n">
        <v>1</v>
      </c>
      <c r="N45" s="90" t="n">
        <v>1</v>
      </c>
      <c r="O45" s="174" t="n">
        <f aca="false">IF(COUNT(L45:N45)=0,"",AVERAGE(L45:N45))</f>
        <v>1</v>
      </c>
      <c r="P45" s="90" t="n">
        <v>1</v>
      </c>
      <c r="Q45" s="90"/>
      <c r="R45" s="90"/>
      <c r="S45" s="174" t="n">
        <f aca="false">IF(COUNT(P45:R45)=0,"",AVERAGE(P45:R45))</f>
        <v>1</v>
      </c>
      <c r="T45" s="90"/>
      <c r="U45" s="90"/>
      <c r="V45" s="90"/>
      <c r="W45" s="174" t="str">
        <f aca="false">IF(COUNT(T45:V45)=0,"",AVERAGE(T45:V45))</f>
        <v/>
      </c>
      <c r="X45" s="92" t="n">
        <v>1</v>
      </c>
      <c r="Y45" s="114" t="s">
        <v>104</v>
      </c>
      <c r="Z45" s="78" t="s">
        <v>100</v>
      </c>
    </row>
    <row r="46" customFormat="false" ht="25.5" hidden="false" customHeight="true" outlineLevel="0" collapsed="false">
      <c r="A46" s="69" t="s">
        <v>160</v>
      </c>
      <c r="B46" s="70" t="s">
        <v>161</v>
      </c>
      <c r="C46" s="71" t="s">
        <v>34</v>
      </c>
      <c r="D46" s="71" t="s">
        <v>110</v>
      </c>
      <c r="E46" s="69" t="s">
        <v>501</v>
      </c>
      <c r="F46" s="87" t="n">
        <v>1</v>
      </c>
      <c r="G46" s="88" t="n">
        <v>1</v>
      </c>
      <c r="H46" s="89" t="n">
        <v>1</v>
      </c>
      <c r="I46" s="89" t="n">
        <v>1</v>
      </c>
      <c r="J46" s="89" t="n">
        <v>1</v>
      </c>
      <c r="K46" s="174" t="n">
        <f aca="false">IF(COUNT(H46:J46)=0,"",AVERAGE(H46:J46))</f>
        <v>1</v>
      </c>
      <c r="L46" s="90" t="n">
        <v>1</v>
      </c>
      <c r="M46" s="90" t="n">
        <v>1</v>
      </c>
      <c r="N46" s="90" t="n">
        <v>1</v>
      </c>
      <c r="O46" s="174" t="n">
        <f aca="false">IF(COUNT(L46:N46)=0,"",AVERAGE(L46:N46))</f>
        <v>1</v>
      </c>
      <c r="P46" s="90" t="n">
        <v>1</v>
      </c>
      <c r="Q46" s="90"/>
      <c r="R46" s="90"/>
      <c r="S46" s="174" t="n">
        <f aca="false">IF(COUNT(P46:R46)=0,"",AVERAGE(P46:R46))</f>
        <v>1</v>
      </c>
      <c r="T46" s="90"/>
      <c r="U46" s="90"/>
      <c r="V46" s="90"/>
      <c r="W46" s="174" t="str">
        <f aca="false">IF(COUNT(T46:V46)=0,"",AVERAGE(T46:V46))</f>
        <v/>
      </c>
      <c r="X46" s="92" t="n">
        <v>1</v>
      </c>
      <c r="Y46" s="114" t="s">
        <v>104</v>
      </c>
      <c r="Z46" s="78" t="s">
        <v>100</v>
      </c>
    </row>
    <row r="47" customFormat="false" ht="25.5" hidden="false" customHeight="true" outlineLevel="0" collapsed="false">
      <c r="A47" s="69" t="s">
        <v>162</v>
      </c>
      <c r="B47" s="70" t="s">
        <v>163</v>
      </c>
      <c r="C47" s="71" t="s">
        <v>34</v>
      </c>
      <c r="D47" s="71" t="s">
        <v>97</v>
      </c>
      <c r="E47" s="69" t="s">
        <v>501</v>
      </c>
      <c r="F47" s="87" t="n">
        <v>0.01</v>
      </c>
      <c r="G47" s="88" t="n">
        <v>0.012</v>
      </c>
      <c r="H47" s="89" t="n">
        <v>0.0366787585650947</v>
      </c>
      <c r="I47" s="89" t="n">
        <v>0.0321402483564646</v>
      </c>
      <c r="J47" s="89" t="n">
        <v>0.0352088367276493</v>
      </c>
      <c r="K47" s="174" t="n">
        <f aca="false">IF(COUNT(H47:J47)=0,"",AVERAGE(H47:J47))</f>
        <v>0.0346759478830695</v>
      </c>
      <c r="L47" s="90" t="n">
        <v>0.0361709901351845</v>
      </c>
      <c r="M47" s="90" t="n">
        <v>0.0158040300276571</v>
      </c>
      <c r="N47" s="90" t="n">
        <v>0.00628930817610063</v>
      </c>
      <c r="O47" s="174" t="n">
        <f aca="false">IF(COUNT(L47:N47)=0,"",AVERAGE(L47:N47))</f>
        <v>0.0194214427796474</v>
      </c>
      <c r="P47" s="90" t="n">
        <v>0</v>
      </c>
      <c r="Q47" s="90"/>
      <c r="R47" s="90"/>
      <c r="S47" s="174" t="n">
        <f aca="false">IF(COUNT(P47:R47)=0,"",AVERAGE(P47:R47))</f>
        <v>0</v>
      </c>
      <c r="T47" s="90"/>
      <c r="U47" s="90"/>
      <c r="V47" s="90"/>
      <c r="W47" s="174" t="str">
        <f aca="false">IF(COUNT(T47:V47)=0,"",AVERAGE(T47:V47))</f>
        <v/>
      </c>
      <c r="X47" s="92" t="n">
        <v>0.035423469009127</v>
      </c>
      <c r="Y47" s="114" t="s">
        <v>113</v>
      </c>
      <c r="Z47" s="78" t="s">
        <v>100</v>
      </c>
    </row>
    <row r="48" customFormat="false" ht="25.5" hidden="false" customHeight="true" outlineLevel="0" collapsed="false">
      <c r="A48" s="69" t="s">
        <v>164</v>
      </c>
      <c r="B48" s="70" t="s">
        <v>165</v>
      </c>
      <c r="C48" s="71" t="s">
        <v>166</v>
      </c>
      <c r="D48" s="71" t="s">
        <v>110</v>
      </c>
      <c r="E48" s="69" t="s">
        <v>501</v>
      </c>
      <c r="F48" s="87" t="n">
        <v>0.788</v>
      </c>
      <c r="G48" s="88" t="n">
        <v>0.9</v>
      </c>
      <c r="H48" s="89" t="n">
        <v>0.8182</v>
      </c>
      <c r="I48" s="90" t="n">
        <v>0.833333333333333</v>
      </c>
      <c r="J48" s="90" t="n">
        <v>0.9</v>
      </c>
      <c r="K48" s="174" t="n">
        <f aca="false">IF(COUNT(H48:J48)=0,"",AVERAGE(H48:J48))</f>
        <v>0.850511111111111</v>
      </c>
      <c r="L48" s="90" t="n">
        <v>0.6875</v>
      </c>
      <c r="M48" s="90" t="n">
        <v>0.7463</v>
      </c>
      <c r="N48" s="90" t="n">
        <v>0.875</v>
      </c>
      <c r="O48" s="174" t="n">
        <f aca="false">IF(COUNT(L48:N48)=0,"",AVERAGE(L48:N48))</f>
        <v>0.7696</v>
      </c>
      <c r="P48" s="90" t="n">
        <v>0.87</v>
      </c>
      <c r="Q48" s="90"/>
      <c r="R48" s="90"/>
      <c r="S48" s="174" t="n">
        <f aca="false">IF(COUNT(P48:R48)=0,"",AVERAGE(P48:R48))</f>
        <v>0.87</v>
      </c>
      <c r="T48" s="90"/>
      <c r="U48" s="90"/>
      <c r="V48" s="90"/>
      <c r="W48" s="174" t="str">
        <f aca="false">IF(COUNT(T48:V48)=0,"",AVERAGE(T48:V48))</f>
        <v/>
      </c>
      <c r="X48" s="92" t="n">
        <v>0.8182</v>
      </c>
      <c r="Y48" s="114" t="s">
        <v>113</v>
      </c>
      <c r="Z48" s="78" t="s">
        <v>105</v>
      </c>
    </row>
    <row r="49" customFormat="false" ht="25.5" hidden="false" customHeight="true" outlineLevel="0" collapsed="false">
      <c r="A49" s="69" t="s">
        <v>167</v>
      </c>
      <c r="B49" s="70" t="s">
        <v>168</v>
      </c>
      <c r="C49" s="71" t="s">
        <v>166</v>
      </c>
      <c r="D49" s="71" t="s">
        <v>110</v>
      </c>
      <c r="E49" s="69" t="s">
        <v>501</v>
      </c>
      <c r="F49" s="87" t="n">
        <v>0.988</v>
      </c>
      <c r="G49" s="88" t="n">
        <v>0.99</v>
      </c>
      <c r="H49" s="89" t="n">
        <v>1</v>
      </c>
      <c r="I49" s="89" t="n">
        <v>1</v>
      </c>
      <c r="J49" s="89" t="n">
        <v>1</v>
      </c>
      <c r="K49" s="174" t="n">
        <f aca="false">IF(COUNT(H49:J49)=0,"",AVERAGE(H49:J49))</f>
        <v>1</v>
      </c>
      <c r="L49" s="174" t="n">
        <f aca="false">IF(COUNT(I49:K49)=0,"",AVERAGE(I49:K49))</f>
        <v>1</v>
      </c>
      <c r="M49" s="174" t="n">
        <f aca="false">IF(COUNT(J49:L49)=0,"",AVERAGE(J49:L49))</f>
        <v>1</v>
      </c>
      <c r="N49" s="90"/>
      <c r="O49" s="174" t="n">
        <f aca="false">IF(COUNT(L49:N49)=0,"",AVERAGE(L49:N49))</f>
        <v>1</v>
      </c>
      <c r="P49" s="90"/>
      <c r="Q49" s="90"/>
      <c r="R49" s="90"/>
      <c r="S49" s="174" t="str">
        <f aca="false">IF(COUNT(P49:R49)=0,"",AVERAGE(P49:R49))</f>
        <v/>
      </c>
      <c r="T49" s="90"/>
      <c r="U49" s="90"/>
      <c r="V49" s="90"/>
      <c r="W49" s="174" t="str">
        <f aca="false">IF(COUNT(T49:V49)=0,"",AVERAGE(T49:V49))</f>
        <v/>
      </c>
      <c r="X49" s="92" t="n">
        <v>1</v>
      </c>
      <c r="Y49" s="114" t="s">
        <v>104</v>
      </c>
      <c r="Z49" s="78" t="s">
        <v>100</v>
      </c>
    </row>
    <row r="50" customFormat="false" ht="25.5" hidden="false" customHeight="true" outlineLevel="0" collapsed="false">
      <c r="A50" s="69" t="s">
        <v>169</v>
      </c>
      <c r="B50" s="70" t="s">
        <v>170</v>
      </c>
      <c r="C50" s="71" t="s">
        <v>166</v>
      </c>
      <c r="D50" s="71" t="s">
        <v>110</v>
      </c>
      <c r="E50" s="69" t="s">
        <v>501</v>
      </c>
      <c r="F50" s="87" t="n">
        <v>0.92</v>
      </c>
      <c r="G50" s="88" t="n">
        <v>0.93</v>
      </c>
      <c r="H50" s="89" t="n">
        <v>0.988420181968569</v>
      </c>
      <c r="I50" s="89" t="n">
        <v>1</v>
      </c>
      <c r="J50" s="89" t="n">
        <v>0.933379357956507</v>
      </c>
      <c r="K50" s="174" t="n">
        <f aca="false">IF(COUNT(H50:J50)=0,"",AVERAGE(H50:J50))</f>
        <v>0.973933179975025</v>
      </c>
      <c r="L50" s="90" t="n">
        <v>1</v>
      </c>
      <c r="M50" s="90" t="n">
        <v>1</v>
      </c>
      <c r="N50" s="90" t="n">
        <v>1</v>
      </c>
      <c r="O50" s="174" t="n">
        <f aca="false">IF(COUNT(L50:N50)=0,"",AVERAGE(L50:N50))</f>
        <v>1</v>
      </c>
      <c r="P50" s="90" t="n">
        <v>1</v>
      </c>
      <c r="Q50" s="90"/>
      <c r="R50" s="90"/>
      <c r="S50" s="174" t="n">
        <f aca="false">IF(COUNT(P50:R50)=0,"",AVERAGE(P50:R50))</f>
        <v>1</v>
      </c>
      <c r="T50" s="90"/>
      <c r="U50" s="90"/>
      <c r="V50" s="90"/>
      <c r="W50" s="174" t="str">
        <f aca="false">IF(COUNT(T50:V50)=0,"",AVERAGE(T50:V50))</f>
        <v/>
      </c>
      <c r="X50" s="92" t="n">
        <v>0.985986049461002</v>
      </c>
      <c r="Y50" s="114" t="s">
        <v>104</v>
      </c>
      <c r="Z50" s="78" t="s">
        <v>100</v>
      </c>
    </row>
    <row r="51" customFormat="false" ht="25.5" hidden="false" customHeight="true" outlineLevel="0" collapsed="false">
      <c r="A51" s="69" t="s">
        <v>171</v>
      </c>
      <c r="B51" s="70" t="s">
        <v>172</v>
      </c>
      <c r="C51" s="71" t="s">
        <v>166</v>
      </c>
      <c r="D51" s="71" t="s">
        <v>97</v>
      </c>
      <c r="E51" s="69" t="s">
        <v>501</v>
      </c>
      <c r="F51" s="72" t="n">
        <v>0.55</v>
      </c>
      <c r="G51" s="73" t="s">
        <v>32</v>
      </c>
      <c r="H51" s="106" t="n">
        <v>0</v>
      </c>
      <c r="I51" s="106" t="n">
        <v>0</v>
      </c>
      <c r="J51" s="106" t="n">
        <v>0</v>
      </c>
      <c r="K51" s="182" t="n">
        <f aca="false">IF(COUNT(H51:J51)=0,"",SUM(H51:J51))</f>
        <v>0</v>
      </c>
      <c r="L51" s="74" t="n">
        <v>0</v>
      </c>
      <c r="M51" s="74" t="n">
        <v>0</v>
      </c>
      <c r="N51" s="74" t="n">
        <v>0</v>
      </c>
      <c r="O51" s="182" t="n">
        <f aca="false">IF(COUNT(L51:N51)=0,"",SUM(L51:N51))</f>
        <v>0</v>
      </c>
      <c r="P51" s="74" t="n">
        <v>0</v>
      </c>
      <c r="Q51" s="74"/>
      <c r="R51" s="74"/>
      <c r="S51" s="182" t="n">
        <v>0</v>
      </c>
      <c r="T51" s="74"/>
      <c r="U51" s="74"/>
      <c r="V51" s="74"/>
      <c r="W51" s="182" t="n">
        <v>0</v>
      </c>
      <c r="X51" s="76" t="n">
        <v>0</v>
      </c>
      <c r="Y51" s="114" t="s">
        <v>120</v>
      </c>
      <c r="Z51" s="78" t="s">
        <v>100</v>
      </c>
    </row>
    <row r="52" customFormat="false" ht="25.5" hidden="false" customHeight="true" outlineLevel="0" collapsed="false">
      <c r="A52" s="69" t="s">
        <v>178</v>
      </c>
      <c r="B52" s="70" t="s">
        <v>179</v>
      </c>
      <c r="C52" s="71" t="s">
        <v>166</v>
      </c>
      <c r="D52" s="71" t="s">
        <v>97</v>
      </c>
      <c r="E52" s="69" t="s">
        <v>501</v>
      </c>
      <c r="F52" s="87" t="n">
        <v>0.019</v>
      </c>
      <c r="G52" s="88" t="n">
        <v>0.0162</v>
      </c>
      <c r="H52" s="89" t="n">
        <v>0.02</v>
      </c>
      <c r="I52" s="89" t="n">
        <v>0.0326848249027237</v>
      </c>
      <c r="J52" s="89" t="n">
        <v>0.0317569899896445</v>
      </c>
      <c r="K52" s="174" t="n">
        <f aca="false">IF(COUNT(H52:J52)=0,"",AVERAGE(H52:J52))</f>
        <v>0.0281472716307894</v>
      </c>
      <c r="L52" s="90" t="n">
        <v>0.0241139934234563</v>
      </c>
      <c r="M52" s="90" t="n">
        <v>0.0387</v>
      </c>
      <c r="N52" s="90" t="n">
        <v>0.0332883490778228</v>
      </c>
      <c r="O52" s="174" t="n">
        <f aca="false">IF(COUNT(L52:N52)=0,"",AVERAGE(L52:N52))</f>
        <v>0.032034114167093</v>
      </c>
      <c r="P52" s="90" t="n">
        <v>0.0232</v>
      </c>
      <c r="Q52" s="90"/>
      <c r="R52" s="90"/>
      <c r="S52" s="174" t="n">
        <f aca="false">IF(COUNT(P52:R52)=0,"",AVERAGE(P52:R52))</f>
        <v>0.0232</v>
      </c>
      <c r="T52" s="90"/>
      <c r="U52" s="90"/>
      <c r="V52" s="90"/>
      <c r="W52" s="174" t="str">
        <f aca="false">IF(COUNT(T52:V52)=0,"",AVERAGE(T52:V52))</f>
        <v/>
      </c>
      <c r="X52" s="92" t="n">
        <v>0.0261306325271229</v>
      </c>
      <c r="Y52" s="114" t="s">
        <v>113</v>
      </c>
      <c r="Z52" s="78" t="s">
        <v>100</v>
      </c>
    </row>
    <row r="53" customFormat="false" ht="25.5" hidden="false" customHeight="true" outlineLevel="0" collapsed="false">
      <c r="A53" s="69" t="s">
        <v>182</v>
      </c>
      <c r="B53" s="70" t="s">
        <v>183</v>
      </c>
      <c r="C53" s="71" t="s">
        <v>166</v>
      </c>
      <c r="D53" s="71" t="s">
        <v>97</v>
      </c>
      <c r="E53" s="69" t="s">
        <v>501</v>
      </c>
      <c r="F53" s="87" t="n">
        <v>0.072</v>
      </c>
      <c r="G53" s="88" t="n">
        <v>0.0612</v>
      </c>
      <c r="H53" s="89" t="n">
        <v>0</v>
      </c>
      <c r="I53" s="89" t="n">
        <v>0</v>
      </c>
      <c r="J53" s="89" t="n">
        <v>0</v>
      </c>
      <c r="K53" s="174" t="n">
        <f aca="false">IF(COUNT(H53:J53)=0,"",AVERAGE(H53:J53))</f>
        <v>0</v>
      </c>
      <c r="L53" s="90" t="n">
        <v>0</v>
      </c>
      <c r="M53" s="90" t="n">
        <v>0</v>
      </c>
      <c r="N53" s="90"/>
      <c r="O53" s="174" t="n">
        <f aca="false">IF(COUNT(L53:N53)=0,"",AVERAGE(L53:N53))</f>
        <v>0</v>
      </c>
      <c r="P53" s="90" t="n">
        <v>0</v>
      </c>
      <c r="Q53" s="90"/>
      <c r="R53" s="90"/>
      <c r="S53" s="174" t="n">
        <f aca="false">IF(COUNT(P53:R53)=0,"",AVERAGE(P53:R53))</f>
        <v>0</v>
      </c>
      <c r="T53" s="90"/>
      <c r="U53" s="90"/>
      <c r="V53" s="90"/>
      <c r="W53" s="174" t="str">
        <f aca="false">IF(COUNT(T53:V53)=0,"",AVERAGE(T53:V53))</f>
        <v/>
      </c>
      <c r="X53" s="92" t="n">
        <v>0</v>
      </c>
      <c r="Y53" s="114" t="s">
        <v>104</v>
      </c>
      <c r="Z53" s="78" t="s">
        <v>100</v>
      </c>
    </row>
    <row r="54" customFormat="false" ht="25.5" hidden="false" customHeight="true" outlineLevel="0" collapsed="false">
      <c r="A54" s="69" t="s">
        <v>186</v>
      </c>
      <c r="B54" s="70" t="s">
        <v>187</v>
      </c>
      <c r="C54" s="71" t="s">
        <v>166</v>
      </c>
      <c r="D54" s="71" t="s">
        <v>97</v>
      </c>
      <c r="E54" s="69" t="s">
        <v>501</v>
      </c>
      <c r="F54" s="102" t="n">
        <v>0.027</v>
      </c>
      <c r="G54" s="82" t="n">
        <v>0.0135</v>
      </c>
      <c r="H54" s="81" t="n">
        <v>0</v>
      </c>
      <c r="I54" s="81" t="n">
        <v>0.0714285714285714</v>
      </c>
      <c r="J54" s="81" t="n">
        <v>0.0487804878048781</v>
      </c>
      <c r="K54" s="176" t="n">
        <f aca="false">IF(COUNT(H54:J54)=0,"",AVERAGE(H54:J54))</f>
        <v>0.0400696864111498</v>
      </c>
      <c r="L54" s="103" t="n">
        <v>0</v>
      </c>
      <c r="M54" s="103" t="n">
        <v>0</v>
      </c>
      <c r="N54" s="103" t="n">
        <v>0</v>
      </c>
      <c r="O54" s="176" t="n">
        <f aca="false">IF(COUNT(L54:N54)=0,"",AVERAGE(L54:N54))</f>
        <v>0</v>
      </c>
      <c r="P54" s="103" t="n">
        <v>0.103448275862069</v>
      </c>
      <c r="Q54" s="103"/>
      <c r="R54" s="103"/>
      <c r="S54" s="176" t="n">
        <f aca="false">IF(COUNT(P54:R54)=0,"",AVERAGE(P54:R54))</f>
        <v>0.103448275862069</v>
      </c>
      <c r="T54" s="103"/>
      <c r="U54" s="103"/>
      <c r="V54" s="103"/>
      <c r="W54" s="176" t="str">
        <f aca="false">IF(COUNT(T54:V54)=0,"",AVERAGE(T54:V54))</f>
        <v/>
      </c>
      <c r="X54" s="104" t="n">
        <v>0.0200348432055749</v>
      </c>
      <c r="Y54" s="114" t="s">
        <v>113</v>
      </c>
      <c r="Z54" s="78" t="s">
        <v>100</v>
      </c>
    </row>
    <row r="55" customFormat="false" ht="25.5" hidden="false" customHeight="true" outlineLevel="0" collapsed="false">
      <c r="A55" s="69" t="s">
        <v>191</v>
      </c>
      <c r="B55" s="70" t="s">
        <v>192</v>
      </c>
      <c r="C55" s="71" t="s">
        <v>166</v>
      </c>
      <c r="D55" s="71" t="s">
        <v>110</v>
      </c>
      <c r="E55" s="69" t="s">
        <v>501</v>
      </c>
      <c r="F55" s="87" t="n">
        <v>0.8863</v>
      </c>
      <c r="G55" s="88" t="n">
        <v>0.8938</v>
      </c>
      <c r="H55" s="89" t="n">
        <v>0.875</v>
      </c>
      <c r="I55" s="89" t="n">
        <v>0.9645</v>
      </c>
      <c r="J55" s="89" t="n">
        <v>1</v>
      </c>
      <c r="K55" s="174" t="n">
        <f aca="false">IF(COUNT(H55:J55)=0,"",AVERAGE(H55:J55))</f>
        <v>0.9465</v>
      </c>
      <c r="L55" s="90" t="n">
        <v>0.968</v>
      </c>
      <c r="M55" s="90" t="n">
        <v>0.6535</v>
      </c>
      <c r="N55" s="90" t="n">
        <v>0.9491</v>
      </c>
      <c r="O55" s="174" t="n">
        <f aca="false">IF(COUNT(L55:N55)=0,"",AVERAGE(L55:N55))</f>
        <v>0.856866666666667</v>
      </c>
      <c r="P55" s="90" t="n">
        <v>0.913</v>
      </c>
      <c r="Q55" s="90"/>
      <c r="R55" s="90"/>
      <c r="S55" s="174" t="n">
        <f aca="false">IF(COUNT(P55:R55)=0,"",AVERAGE(P55:R55))</f>
        <v>0.913</v>
      </c>
      <c r="T55" s="90"/>
      <c r="U55" s="90"/>
      <c r="V55" s="90"/>
      <c r="W55" s="174" t="str">
        <f aca="false">IF(COUNT(T55:V55)=0,"",AVERAGE(T55:V55))</f>
        <v/>
      </c>
      <c r="X55" s="92" t="n">
        <v>0.968</v>
      </c>
      <c r="Y55" s="114" t="s">
        <v>104</v>
      </c>
      <c r="Z55" s="78" t="s">
        <v>100</v>
      </c>
    </row>
    <row r="56" customFormat="false" ht="25.5" hidden="false" customHeight="true" outlineLevel="0" collapsed="false">
      <c r="A56" s="69" t="s">
        <v>193</v>
      </c>
      <c r="B56" s="70" t="s">
        <v>194</v>
      </c>
      <c r="C56" s="71" t="s">
        <v>166</v>
      </c>
      <c r="D56" s="71" t="s">
        <v>110</v>
      </c>
      <c r="E56" s="69" t="s">
        <v>501</v>
      </c>
      <c r="F56" s="87" t="n">
        <v>0.9024</v>
      </c>
      <c r="G56" s="88" t="n">
        <v>0.8658</v>
      </c>
      <c r="H56" s="89" t="n">
        <v>0.9222</v>
      </c>
      <c r="I56" s="90"/>
      <c r="J56" s="90"/>
      <c r="K56" s="174" t="n">
        <f aca="false">IF(COUNT(H56:J56)=0,"",AVERAGE(H56:J56))</f>
        <v>0.9222</v>
      </c>
      <c r="L56" s="90"/>
      <c r="M56" s="90"/>
      <c r="N56" s="90" t="s">
        <v>195</v>
      </c>
      <c r="O56" s="174" t="str">
        <f aca="false">IF(COUNT(L56:N56)=0,"",AVERAGE(L56:N56))</f>
        <v/>
      </c>
      <c r="P56" s="90"/>
      <c r="Q56" s="90"/>
      <c r="R56" s="90"/>
      <c r="S56" s="174" t="str">
        <f aca="false">IF(COUNT(P56:R56)=0,"",AVERAGE(P56:R56))</f>
        <v/>
      </c>
      <c r="T56" s="90"/>
      <c r="U56" s="90"/>
      <c r="V56" s="90"/>
      <c r="W56" s="174" t="str">
        <f aca="false">IF(COUNT(T56:V56)=0,"",AVERAGE(T56:V56))</f>
        <v/>
      </c>
      <c r="X56" s="92" t="n">
        <v>0.9222</v>
      </c>
      <c r="Y56" s="114" t="s">
        <v>104</v>
      </c>
      <c r="Z56" s="78" t="s">
        <v>100</v>
      </c>
    </row>
    <row r="57" customFormat="false" ht="25.5" hidden="false" customHeight="true" outlineLevel="0" collapsed="false">
      <c r="A57" s="69" t="s">
        <v>196</v>
      </c>
      <c r="B57" s="70" t="s">
        <v>197</v>
      </c>
      <c r="C57" s="71" t="s">
        <v>166</v>
      </c>
      <c r="D57" s="71" t="s">
        <v>110</v>
      </c>
      <c r="E57" s="69" t="s">
        <v>501</v>
      </c>
      <c r="F57" s="87" t="n">
        <v>0.782</v>
      </c>
      <c r="G57" s="88" t="n">
        <v>0.807</v>
      </c>
      <c r="H57" s="89" t="n">
        <v>0.766</v>
      </c>
      <c r="I57" s="89" t="n">
        <v>0.885</v>
      </c>
      <c r="J57" s="89" t="n">
        <v>0.734</v>
      </c>
      <c r="K57" s="174" t="n">
        <f aca="false">IF(COUNT(H57:J57)=0,"",AVERAGE(H57:J57))</f>
        <v>0.795</v>
      </c>
      <c r="L57" s="90" t="n">
        <v>0.6969</v>
      </c>
      <c r="M57" s="90" t="n">
        <v>0.6035</v>
      </c>
      <c r="N57" s="90" t="n">
        <v>0.7837</v>
      </c>
      <c r="O57" s="174" t="n">
        <f aca="false">IF(COUNT(L57:N57)=0,"",AVERAGE(L57:N57))</f>
        <v>0.6947</v>
      </c>
      <c r="P57" s="90" t="n">
        <v>0.866</v>
      </c>
      <c r="Q57" s="90"/>
      <c r="R57" s="90"/>
      <c r="S57" s="174" t="n">
        <f aca="false">IF(COUNT(P57:R57)=0,"",AVERAGE(P57:R57))</f>
        <v>0.866</v>
      </c>
      <c r="T57" s="90"/>
      <c r="U57" s="90"/>
      <c r="V57" s="90"/>
      <c r="W57" s="174" t="str">
        <f aca="false">IF(COUNT(T57:V57)=0,"",AVERAGE(T57:V57))</f>
        <v/>
      </c>
      <c r="X57" s="92" t="n">
        <v>0.6969</v>
      </c>
      <c r="Y57" s="114" t="s">
        <v>113</v>
      </c>
      <c r="Z57" s="78" t="s">
        <v>100</v>
      </c>
    </row>
    <row r="58" customFormat="false" ht="25.5" hidden="false" customHeight="true" outlineLevel="0" collapsed="false">
      <c r="A58" s="69" t="s">
        <v>198</v>
      </c>
      <c r="B58" s="70" t="s">
        <v>199</v>
      </c>
      <c r="C58" s="71" t="s">
        <v>166</v>
      </c>
      <c r="D58" s="71" t="s">
        <v>110</v>
      </c>
      <c r="E58" s="69" t="s">
        <v>501</v>
      </c>
      <c r="F58" s="87" t="n">
        <v>0.821</v>
      </c>
      <c r="G58" s="88" t="n">
        <v>0.848</v>
      </c>
      <c r="H58" s="89" t="n">
        <v>1</v>
      </c>
      <c r="I58" s="89" t="n">
        <v>1</v>
      </c>
      <c r="J58" s="90" t="n">
        <v>1</v>
      </c>
      <c r="K58" s="174" t="n">
        <f aca="false">IF(COUNT(H58:J58)=0,"",AVERAGE(H58:J58))</f>
        <v>1</v>
      </c>
      <c r="L58" s="90" t="n">
        <v>1</v>
      </c>
      <c r="M58" s="90" t="n">
        <v>0.75</v>
      </c>
      <c r="N58" s="90" t="n">
        <v>1</v>
      </c>
      <c r="O58" s="174" t="n">
        <f aca="false">IF(COUNT(L58:N58)=0,"",AVERAGE(L58:N58))</f>
        <v>0.916666666666667</v>
      </c>
      <c r="P58" s="90" t="n">
        <v>1</v>
      </c>
      <c r="Q58" s="90"/>
      <c r="R58" s="90"/>
      <c r="S58" s="174" t="n">
        <f aca="false">IF(COUNT(P58:R58)=0,"",AVERAGE(P58:R58))</f>
        <v>1</v>
      </c>
      <c r="T58" s="90"/>
      <c r="U58" s="90"/>
      <c r="V58" s="90"/>
      <c r="W58" s="174" t="str">
        <f aca="false">IF(COUNT(T58:V58)=0,"",AVERAGE(T58:V58))</f>
        <v/>
      </c>
      <c r="X58" s="92" t="n">
        <v>1</v>
      </c>
      <c r="Y58" s="114" t="s">
        <v>104</v>
      </c>
      <c r="Z58" s="78" t="s">
        <v>190</v>
      </c>
    </row>
    <row r="59" customFormat="false" ht="25.5" hidden="false" customHeight="true" outlineLevel="0" collapsed="false">
      <c r="A59" s="69" t="s">
        <v>211</v>
      </c>
      <c r="B59" s="70" t="s">
        <v>212</v>
      </c>
      <c r="C59" s="71" t="s">
        <v>213</v>
      </c>
      <c r="D59" s="71" t="s">
        <v>110</v>
      </c>
      <c r="E59" s="69" t="s">
        <v>501</v>
      </c>
      <c r="F59" s="87" t="s">
        <v>32</v>
      </c>
      <c r="G59" s="91" t="n">
        <v>1</v>
      </c>
      <c r="H59" s="89" t="n">
        <v>0</v>
      </c>
      <c r="I59" s="89" t="n">
        <v>0</v>
      </c>
      <c r="J59" s="89" t="n">
        <v>1</v>
      </c>
      <c r="K59" s="174" t="n">
        <f aca="false">IF(COUNT(H59:J59)=0,"",LOOKUP(2,1/(H59:J59&lt;&gt;""),H59:J59))</f>
        <v>1</v>
      </c>
      <c r="L59" s="90" t="n">
        <v>1</v>
      </c>
      <c r="M59" s="90" t="n">
        <v>1</v>
      </c>
      <c r="N59" s="90" t="n">
        <v>1</v>
      </c>
      <c r="O59" s="174" t="n">
        <f aca="false">IF(COUNT(L59:N59)=0,"",LOOKUP(2,1/(L59:N59&lt;&gt;""),L59:N59))</f>
        <v>1</v>
      </c>
      <c r="P59" s="90" t="n">
        <v>1</v>
      </c>
      <c r="Q59" s="90"/>
      <c r="R59" s="90"/>
      <c r="S59" s="174" t="n">
        <f aca="false">IF(COUNT(P59:R59)=0,"",LOOKUP(2,1/(P59:R59&lt;&gt;""),P59:R59))</f>
        <v>1</v>
      </c>
      <c r="T59" s="90"/>
      <c r="U59" s="90"/>
      <c r="V59" s="90"/>
      <c r="W59" s="174" t="str">
        <f aca="false">IF(COUNT(T59:V59)=0,"",LOOKUP(2,1/(T59:V59&lt;&gt;""),T59:V59))</f>
        <v/>
      </c>
      <c r="X59" s="92" t="n">
        <v>0.611111111111111</v>
      </c>
      <c r="Y59" s="114" t="s">
        <v>120</v>
      </c>
      <c r="Z59" s="78" t="s">
        <v>214</v>
      </c>
    </row>
    <row r="60" customFormat="false" ht="25.5" hidden="false" customHeight="true" outlineLevel="0" collapsed="false">
      <c r="A60" s="69" t="s">
        <v>262</v>
      </c>
      <c r="B60" s="70" t="s">
        <v>263</v>
      </c>
      <c r="C60" s="71" t="s">
        <v>35</v>
      </c>
      <c r="D60" s="71" t="s">
        <v>110</v>
      </c>
      <c r="E60" s="183" t="s">
        <v>502</v>
      </c>
      <c r="F60" s="87" t="s">
        <v>32</v>
      </c>
      <c r="G60" s="91" t="s">
        <v>32</v>
      </c>
      <c r="H60" s="184"/>
      <c r="I60" s="184"/>
      <c r="J60" s="184"/>
      <c r="K60" s="185" t="n">
        <v>1</v>
      </c>
      <c r="L60" s="184"/>
      <c r="M60" s="184"/>
      <c r="N60" s="184"/>
      <c r="O60" s="186"/>
      <c r="P60" s="184"/>
      <c r="Q60" s="184"/>
      <c r="R60" s="184"/>
      <c r="S60" s="186"/>
      <c r="T60" s="184"/>
      <c r="U60" s="184"/>
      <c r="V60" s="184"/>
      <c r="W60" s="186"/>
      <c r="X60" s="92" t="n">
        <v>1</v>
      </c>
      <c r="Y60" s="114" t="s">
        <v>120</v>
      </c>
      <c r="Z60" s="78" t="s">
        <v>264</v>
      </c>
    </row>
    <row r="61" customFormat="false" ht="25.5" hidden="false" customHeight="true" outlineLevel="0" collapsed="false">
      <c r="A61" s="69" t="s">
        <v>277</v>
      </c>
      <c r="B61" s="70" t="s">
        <v>278</v>
      </c>
      <c r="C61" s="71" t="s">
        <v>35</v>
      </c>
      <c r="D61" s="71" t="s">
        <v>110</v>
      </c>
      <c r="E61" s="183" t="s">
        <v>502</v>
      </c>
      <c r="F61" s="87" t="n">
        <v>0.5879</v>
      </c>
      <c r="G61" s="91" t="s">
        <v>32</v>
      </c>
      <c r="H61" s="184"/>
      <c r="I61" s="184"/>
      <c r="J61" s="184"/>
      <c r="K61" s="185" t="n">
        <v>0.7723</v>
      </c>
      <c r="L61" s="184"/>
      <c r="M61" s="184"/>
      <c r="N61" s="184"/>
      <c r="O61" s="186" t="n">
        <v>0.9691</v>
      </c>
      <c r="P61" s="184"/>
      <c r="Q61" s="184"/>
      <c r="R61" s="184"/>
      <c r="S61" s="186"/>
      <c r="T61" s="184"/>
      <c r="U61" s="184"/>
      <c r="V61" s="184"/>
      <c r="W61" s="186"/>
      <c r="X61" s="92" t="n">
        <v>0.7723</v>
      </c>
      <c r="Y61" s="114" t="s">
        <v>120</v>
      </c>
      <c r="Z61" s="78" t="s">
        <v>190</v>
      </c>
    </row>
    <row r="62" customFormat="false" ht="25.5" hidden="false" customHeight="true" outlineLevel="0" collapsed="false">
      <c r="A62" s="69" t="s">
        <v>305</v>
      </c>
      <c r="B62" s="70" t="s">
        <v>306</v>
      </c>
      <c r="C62" s="71" t="s">
        <v>34</v>
      </c>
      <c r="D62" s="71" t="s">
        <v>97</v>
      </c>
      <c r="E62" s="183" t="s">
        <v>502</v>
      </c>
      <c r="F62" s="87" t="s">
        <v>32</v>
      </c>
      <c r="G62" s="91" t="s">
        <v>32</v>
      </c>
      <c r="H62" s="184"/>
      <c r="I62" s="184"/>
      <c r="J62" s="184"/>
      <c r="K62" s="185" t="n">
        <v>0</v>
      </c>
      <c r="L62" s="184"/>
      <c r="M62" s="184"/>
      <c r="N62" s="184"/>
      <c r="O62" s="186" t="n">
        <v>0</v>
      </c>
      <c r="P62" s="184"/>
      <c r="Q62" s="184"/>
      <c r="R62" s="184"/>
      <c r="S62" s="186"/>
      <c r="T62" s="184"/>
      <c r="U62" s="184"/>
      <c r="V62" s="184"/>
      <c r="W62" s="186"/>
      <c r="X62" s="92" t="n">
        <v>0</v>
      </c>
      <c r="Y62" s="114" t="s">
        <v>120</v>
      </c>
      <c r="Z62" s="78" t="s">
        <v>307</v>
      </c>
    </row>
    <row r="63" customFormat="false" ht="25.5" hidden="false" customHeight="true" outlineLevel="0" collapsed="false">
      <c r="A63" s="69" t="s">
        <v>339</v>
      </c>
      <c r="B63" s="70" t="s">
        <v>340</v>
      </c>
      <c r="C63" s="71" t="s">
        <v>166</v>
      </c>
      <c r="D63" s="71" t="s">
        <v>110</v>
      </c>
      <c r="E63" s="183" t="s">
        <v>502</v>
      </c>
      <c r="F63" s="87" t="n">
        <v>0.91</v>
      </c>
      <c r="G63" s="88" t="n">
        <v>0.92</v>
      </c>
      <c r="H63" s="184"/>
      <c r="I63" s="184"/>
      <c r="J63" s="184"/>
      <c r="K63" s="185" t="n">
        <v>0.888888888888889</v>
      </c>
      <c r="L63" s="184"/>
      <c r="M63" s="184"/>
      <c r="N63" s="184"/>
      <c r="O63" s="186" t="n">
        <v>0.8898</v>
      </c>
      <c r="P63" s="184"/>
      <c r="Q63" s="184"/>
      <c r="R63" s="184"/>
      <c r="S63" s="186"/>
      <c r="T63" s="184"/>
      <c r="U63" s="184"/>
      <c r="V63" s="184"/>
      <c r="W63" s="186"/>
      <c r="X63" s="92" t="n">
        <v>0.888888888888889</v>
      </c>
      <c r="Y63" s="114" t="s">
        <v>113</v>
      </c>
      <c r="Z63" s="78" t="s">
        <v>341</v>
      </c>
    </row>
    <row r="64" customFormat="false" ht="25.5" hidden="false" customHeight="true" outlineLevel="0" collapsed="false">
      <c r="A64" s="69" t="s">
        <v>357</v>
      </c>
      <c r="B64" s="70" t="s">
        <v>358</v>
      </c>
      <c r="C64" s="71" t="s">
        <v>166</v>
      </c>
      <c r="D64" s="71" t="s">
        <v>97</v>
      </c>
      <c r="E64" s="183" t="s">
        <v>502</v>
      </c>
      <c r="F64" s="102" t="n">
        <v>15.7</v>
      </c>
      <c r="G64" s="122" t="n">
        <v>7.85</v>
      </c>
      <c r="H64" s="191"/>
      <c r="I64" s="191"/>
      <c r="J64" s="191"/>
      <c r="K64" s="192" t="n">
        <v>0</v>
      </c>
      <c r="L64" s="191"/>
      <c r="M64" s="191"/>
      <c r="N64" s="191"/>
      <c r="O64" s="193" t="n">
        <v>0</v>
      </c>
      <c r="P64" s="191"/>
      <c r="Q64" s="191"/>
      <c r="R64" s="191"/>
      <c r="S64" s="193"/>
      <c r="T64" s="191"/>
      <c r="U64" s="191"/>
      <c r="V64" s="191"/>
      <c r="W64" s="193"/>
      <c r="X64" s="104" t="n">
        <v>0</v>
      </c>
      <c r="Y64" s="114" t="s">
        <v>104</v>
      </c>
      <c r="Z64" s="78" t="s">
        <v>100</v>
      </c>
    </row>
    <row r="65" customFormat="false" ht="25.5" hidden="false" customHeight="true" outlineLevel="0" collapsed="false">
      <c r="A65" s="69" t="s">
        <v>377</v>
      </c>
      <c r="B65" s="70" t="s">
        <v>378</v>
      </c>
      <c r="C65" s="71" t="s">
        <v>236</v>
      </c>
      <c r="D65" s="71" t="s">
        <v>110</v>
      </c>
      <c r="E65" s="183" t="s">
        <v>502</v>
      </c>
      <c r="F65" s="87" t="n">
        <v>0.483</v>
      </c>
      <c r="G65" s="88" t="n">
        <v>0.5606</v>
      </c>
      <c r="H65" s="184"/>
      <c r="I65" s="184"/>
      <c r="J65" s="184"/>
      <c r="K65" s="185" t="n">
        <v>0.647058823529412</v>
      </c>
      <c r="L65" s="184"/>
      <c r="M65" s="184"/>
      <c r="N65" s="184"/>
      <c r="O65" s="186" t="n">
        <v>0.616438356164384</v>
      </c>
      <c r="P65" s="184"/>
      <c r="Q65" s="184"/>
      <c r="R65" s="184"/>
      <c r="S65" s="186"/>
      <c r="T65" s="184"/>
      <c r="U65" s="184"/>
      <c r="V65" s="184"/>
      <c r="W65" s="186"/>
      <c r="X65" s="92" t="n">
        <v>0.647058823529412</v>
      </c>
      <c r="Y65" s="114" t="s">
        <v>104</v>
      </c>
      <c r="Z65" s="78" t="s">
        <v>190</v>
      </c>
    </row>
    <row r="66" customFormat="false" ht="25.5" hidden="false" customHeight="true" outlineLevel="0" collapsed="false">
      <c r="A66" s="69" t="s">
        <v>379</v>
      </c>
      <c r="B66" s="70" t="s">
        <v>380</v>
      </c>
      <c r="C66" s="71" t="s">
        <v>236</v>
      </c>
      <c r="D66" s="71" t="s">
        <v>97</v>
      </c>
      <c r="E66" s="183" t="s">
        <v>502</v>
      </c>
      <c r="F66" s="87" t="s">
        <v>32</v>
      </c>
      <c r="G66" s="91" t="s">
        <v>32</v>
      </c>
      <c r="H66" s="184"/>
      <c r="I66" s="184"/>
      <c r="J66" s="184"/>
      <c r="K66" s="185" t="n">
        <v>0.122340425531915</v>
      </c>
      <c r="L66" s="184"/>
      <c r="M66" s="184"/>
      <c r="N66" s="184"/>
      <c r="O66" s="186"/>
      <c r="P66" s="184"/>
      <c r="Q66" s="184"/>
      <c r="R66" s="184"/>
      <c r="S66" s="186"/>
      <c r="T66" s="184"/>
      <c r="U66" s="184"/>
      <c r="V66" s="184"/>
      <c r="W66" s="186"/>
      <c r="X66" s="92" t="n">
        <v>0.122340425531915</v>
      </c>
      <c r="Y66" s="114" t="s">
        <v>120</v>
      </c>
      <c r="Z66" s="78" t="s">
        <v>105</v>
      </c>
    </row>
    <row r="67" customFormat="false" ht="25.5" hidden="false" customHeight="true" outlineLevel="0" collapsed="false">
      <c r="A67" s="69" t="s">
        <v>220</v>
      </c>
      <c r="B67" s="70" t="s">
        <v>221</v>
      </c>
      <c r="C67" s="71" t="s">
        <v>35</v>
      </c>
      <c r="D67" s="71" t="s">
        <v>97</v>
      </c>
      <c r="E67" s="183" t="s">
        <v>501</v>
      </c>
      <c r="F67" s="115" t="n">
        <v>6</v>
      </c>
      <c r="G67" s="116" t="n">
        <v>5</v>
      </c>
      <c r="H67" s="184"/>
      <c r="I67" s="184"/>
      <c r="J67" s="184"/>
      <c r="K67" s="187" t="str">
        <f aca="false">IF(COUNT(H67:J67)=0,"",AVERAGE(H67:J67))</f>
        <v/>
      </c>
      <c r="L67" s="184"/>
      <c r="M67" s="184"/>
      <c r="N67" s="184"/>
      <c r="O67" s="187" t="str">
        <f aca="false">IF(COUNT(L67:N67)=0,"",AVERAGE(L67:N67))</f>
        <v/>
      </c>
      <c r="P67" s="184"/>
      <c r="Q67" s="184"/>
      <c r="R67" s="184"/>
      <c r="S67" s="187" t="str">
        <f aca="false">IF(COUNT(P67:R67)=0,"",AVERAGE(P67:R67))</f>
        <v/>
      </c>
      <c r="T67" s="184"/>
      <c r="U67" s="184"/>
      <c r="V67" s="184"/>
      <c r="W67" s="187" t="str">
        <f aca="false">IF(COUNT(T67:V67)=0,"",AVERAGE(T67:V67))</f>
        <v/>
      </c>
      <c r="X67" s="118"/>
      <c r="Y67" s="114" t="s">
        <v>99</v>
      </c>
      <c r="Z67" s="78" t="s">
        <v>100</v>
      </c>
    </row>
    <row r="68" customFormat="false" ht="25.5" hidden="false" customHeight="true" outlineLevel="0" collapsed="false">
      <c r="H68" s="113"/>
      <c r="I68" s="113"/>
      <c r="J68" s="113"/>
      <c r="L68" s="113"/>
      <c r="M68" s="113"/>
      <c r="N68" s="113"/>
      <c r="P68" s="113"/>
      <c r="Q68" s="113"/>
      <c r="R68" s="113"/>
      <c r="T68" s="113"/>
      <c r="U68" s="113"/>
      <c r="V68" s="113"/>
    </row>
    <row r="69" customFormat="false" ht="25.5" hidden="false" customHeight="true" outlineLevel="0" collapsed="false">
      <c r="H69" s="113"/>
      <c r="I69" s="113"/>
      <c r="J69" s="113"/>
      <c r="L69" s="113"/>
      <c r="M69" s="113"/>
      <c r="N69" s="113"/>
      <c r="P69" s="113"/>
      <c r="Q69" s="113"/>
      <c r="R69" s="113"/>
      <c r="T69" s="113"/>
      <c r="U69" s="113"/>
      <c r="V69" s="113"/>
    </row>
    <row r="70" customFormat="false" ht="25.5" hidden="false" customHeight="true" outlineLevel="0" collapsed="false">
      <c r="H70" s="113"/>
      <c r="I70" s="113"/>
      <c r="J70" s="113"/>
      <c r="L70" s="113"/>
      <c r="M70" s="113"/>
      <c r="N70" s="113"/>
      <c r="P70" s="113"/>
      <c r="Q70" s="113"/>
      <c r="R70" s="113"/>
      <c r="T70" s="113"/>
      <c r="U70" s="113"/>
      <c r="V70" s="113"/>
    </row>
    <row r="71" customFormat="false" ht="25.5" hidden="false" customHeight="true" outlineLevel="0" collapsed="false">
      <c r="H71" s="113"/>
      <c r="I71" s="113"/>
      <c r="J71" s="113"/>
      <c r="L71" s="113"/>
      <c r="M71" s="113"/>
      <c r="N71" s="113"/>
      <c r="P71" s="113"/>
      <c r="Q71" s="113"/>
      <c r="R71" s="113"/>
      <c r="T71" s="113"/>
      <c r="U71" s="113"/>
      <c r="V71" s="113"/>
    </row>
    <row r="72" customFormat="false" ht="25.5" hidden="false" customHeight="true" outlineLevel="0" collapsed="false">
      <c r="H72" s="113"/>
      <c r="I72" s="113"/>
      <c r="J72" s="113"/>
      <c r="L72" s="113"/>
      <c r="M72" s="113"/>
      <c r="N72" s="113"/>
      <c r="P72" s="113"/>
      <c r="Q72" s="113"/>
      <c r="R72" s="113"/>
      <c r="T72" s="113"/>
      <c r="U72" s="113"/>
      <c r="V72" s="113"/>
    </row>
    <row r="73" customFormat="false" ht="25.5" hidden="false" customHeight="true" outlineLevel="0" collapsed="false">
      <c r="H73" s="113"/>
      <c r="I73" s="113"/>
      <c r="J73" s="113"/>
      <c r="L73" s="113"/>
      <c r="M73" s="113"/>
      <c r="N73" s="113"/>
      <c r="P73" s="113"/>
      <c r="Q73" s="113"/>
      <c r="R73" s="113"/>
      <c r="T73" s="113"/>
      <c r="U73" s="113"/>
      <c r="V73" s="113"/>
    </row>
    <row r="74" customFormat="false" ht="25.5" hidden="false" customHeight="true" outlineLevel="0" collapsed="false">
      <c r="H74" s="113"/>
      <c r="I74" s="113"/>
      <c r="J74" s="113"/>
      <c r="L74" s="113"/>
      <c r="M74" s="113"/>
      <c r="N74" s="113"/>
      <c r="P74" s="113"/>
      <c r="Q74" s="113"/>
      <c r="R74" s="113"/>
      <c r="T74" s="113"/>
      <c r="U74" s="113"/>
      <c r="V74" s="113"/>
    </row>
    <row r="75" customFormat="false" ht="25.5" hidden="false" customHeight="true" outlineLevel="0" collapsed="false">
      <c r="H75" s="113"/>
      <c r="I75" s="113"/>
      <c r="J75" s="113"/>
      <c r="L75" s="113"/>
      <c r="M75" s="113"/>
      <c r="N75" s="113"/>
      <c r="P75" s="113"/>
      <c r="Q75" s="113"/>
      <c r="R75" s="113"/>
      <c r="T75" s="113"/>
      <c r="U75" s="113"/>
      <c r="V75" s="113"/>
    </row>
    <row r="76" customFormat="false" ht="25.5" hidden="false" customHeight="true" outlineLevel="0" collapsed="false">
      <c r="H76" s="113"/>
      <c r="I76" s="113"/>
      <c r="J76" s="113"/>
      <c r="L76" s="113"/>
      <c r="M76" s="113"/>
      <c r="N76" s="113"/>
      <c r="P76" s="113"/>
      <c r="Q76" s="113"/>
      <c r="R76" s="113"/>
      <c r="T76" s="113"/>
      <c r="U76" s="113"/>
      <c r="V76" s="113"/>
    </row>
    <row r="77" customFormat="false" ht="25.5" hidden="false" customHeight="true" outlineLevel="0" collapsed="false">
      <c r="H77" s="113"/>
      <c r="I77" s="113"/>
      <c r="J77" s="113"/>
      <c r="L77" s="113"/>
      <c r="M77" s="113"/>
      <c r="N77" s="113"/>
      <c r="P77" s="113"/>
      <c r="Q77" s="113"/>
      <c r="R77" s="113"/>
      <c r="T77" s="113"/>
      <c r="U77" s="113"/>
      <c r="V77" s="113"/>
    </row>
    <row r="78" customFormat="false" ht="25.5" hidden="false" customHeight="true" outlineLevel="0" collapsed="false">
      <c r="H78" s="113"/>
      <c r="I78" s="113"/>
      <c r="J78" s="113"/>
      <c r="L78" s="113"/>
      <c r="M78" s="113"/>
      <c r="N78" s="113"/>
      <c r="P78" s="113"/>
      <c r="Q78" s="113"/>
      <c r="R78" s="113"/>
      <c r="T78" s="113"/>
      <c r="U78" s="113"/>
      <c r="V78" s="113"/>
    </row>
    <row r="79" customFormat="false" ht="25.5" hidden="false" customHeight="true" outlineLevel="0" collapsed="false">
      <c r="H79" s="113"/>
      <c r="I79" s="113"/>
      <c r="J79" s="113"/>
      <c r="L79" s="113"/>
      <c r="M79" s="113"/>
      <c r="N79" s="113"/>
      <c r="P79" s="113"/>
      <c r="Q79" s="113"/>
      <c r="R79" s="113"/>
      <c r="T79" s="113"/>
      <c r="U79" s="113"/>
      <c r="V79" s="113"/>
    </row>
    <row r="80" customFormat="false" ht="25.5" hidden="false" customHeight="true" outlineLevel="0" collapsed="false">
      <c r="H80" s="113"/>
      <c r="I80" s="113"/>
      <c r="J80" s="113"/>
      <c r="L80" s="113"/>
      <c r="M80" s="113"/>
      <c r="N80" s="113"/>
      <c r="P80" s="113"/>
      <c r="Q80" s="113"/>
      <c r="R80" s="113"/>
      <c r="T80" s="113"/>
      <c r="U80" s="113"/>
      <c r="V80" s="113"/>
    </row>
    <row r="81" customFormat="false" ht="25.5" hidden="false" customHeight="true" outlineLevel="0" collapsed="false">
      <c r="H81" s="113"/>
      <c r="I81" s="113"/>
      <c r="J81" s="113"/>
      <c r="L81" s="113"/>
      <c r="M81" s="113"/>
      <c r="N81" s="113"/>
      <c r="P81" s="113"/>
      <c r="Q81" s="113"/>
      <c r="R81" s="113"/>
      <c r="T81" s="113"/>
      <c r="U81" s="113"/>
      <c r="V81" s="113"/>
    </row>
    <row r="82" customFormat="false" ht="25.5" hidden="false" customHeight="true" outlineLevel="0" collapsed="false">
      <c r="H82" s="113"/>
      <c r="I82" s="113"/>
      <c r="J82" s="113"/>
      <c r="L82" s="113"/>
      <c r="M82" s="113"/>
      <c r="N82" s="113"/>
      <c r="P82" s="113"/>
      <c r="Q82" s="113"/>
      <c r="R82" s="113"/>
      <c r="T82" s="113"/>
      <c r="U82" s="113"/>
      <c r="V82" s="113"/>
    </row>
    <row r="83" customFormat="false" ht="25.5" hidden="false" customHeight="true" outlineLevel="0" collapsed="false">
      <c r="H83" s="113"/>
      <c r="I83" s="113"/>
      <c r="J83" s="113"/>
      <c r="L83" s="113"/>
      <c r="M83" s="113"/>
      <c r="N83" s="113"/>
      <c r="P83" s="113"/>
      <c r="Q83" s="113"/>
      <c r="R83" s="113"/>
      <c r="T83" s="113"/>
      <c r="U83" s="113"/>
      <c r="V83" s="113"/>
    </row>
    <row r="84" customFormat="false" ht="25.5" hidden="false" customHeight="true" outlineLevel="0" collapsed="false">
      <c r="H84" s="113"/>
      <c r="I84" s="113"/>
      <c r="J84" s="113"/>
      <c r="L84" s="113"/>
      <c r="M84" s="113"/>
      <c r="N84" s="113"/>
      <c r="P84" s="113"/>
      <c r="Q84" s="113"/>
      <c r="R84" s="113"/>
      <c r="T84" s="113"/>
      <c r="U84" s="113"/>
      <c r="V84" s="113"/>
    </row>
    <row r="85" customFormat="false" ht="25.5" hidden="false" customHeight="true" outlineLevel="0" collapsed="false">
      <c r="H85" s="113"/>
      <c r="I85" s="113"/>
      <c r="J85" s="113"/>
      <c r="L85" s="113"/>
      <c r="M85" s="113"/>
      <c r="N85" s="113"/>
      <c r="P85" s="113"/>
      <c r="Q85" s="113"/>
      <c r="R85" s="113"/>
      <c r="T85" s="113"/>
      <c r="U85" s="113"/>
      <c r="V85" s="113"/>
    </row>
    <row r="86" customFormat="false" ht="25.5" hidden="false" customHeight="true" outlineLevel="0" collapsed="false">
      <c r="H86" s="113"/>
      <c r="I86" s="113"/>
      <c r="J86" s="113"/>
      <c r="L86" s="113"/>
      <c r="M86" s="113"/>
      <c r="N86" s="113"/>
      <c r="P86" s="113"/>
      <c r="Q86" s="113"/>
      <c r="R86" s="113"/>
      <c r="T86" s="113"/>
      <c r="U86" s="113"/>
      <c r="V86" s="113"/>
    </row>
    <row r="87" customFormat="false" ht="25.5" hidden="false" customHeight="true" outlineLevel="0" collapsed="false">
      <c r="H87" s="113"/>
      <c r="I87" s="113"/>
      <c r="J87" s="113"/>
      <c r="L87" s="113"/>
      <c r="M87" s="113"/>
      <c r="N87" s="113"/>
      <c r="P87" s="113"/>
      <c r="Q87" s="113"/>
      <c r="R87" s="113"/>
      <c r="T87" s="113"/>
      <c r="U87" s="113"/>
      <c r="V87" s="113"/>
    </row>
    <row r="88" customFormat="false" ht="25.5" hidden="false" customHeight="true" outlineLevel="0" collapsed="false">
      <c r="H88" s="113"/>
      <c r="I88" s="113"/>
      <c r="J88" s="113"/>
      <c r="L88" s="113"/>
      <c r="M88" s="113"/>
      <c r="N88" s="113"/>
      <c r="P88" s="113"/>
      <c r="Q88" s="113"/>
      <c r="R88" s="113"/>
      <c r="T88" s="113"/>
      <c r="U88" s="113"/>
      <c r="V88" s="113"/>
    </row>
    <row r="89" customFormat="false" ht="25.5" hidden="false" customHeight="true" outlineLevel="0" collapsed="false">
      <c r="H89" s="113"/>
      <c r="I89" s="113"/>
      <c r="J89" s="113"/>
      <c r="L89" s="113"/>
      <c r="M89" s="113"/>
      <c r="N89" s="113"/>
      <c r="P89" s="113"/>
      <c r="Q89" s="113"/>
      <c r="R89" s="113"/>
      <c r="T89" s="113"/>
      <c r="U89" s="113"/>
      <c r="V89" s="113"/>
    </row>
    <row r="90" customFormat="false" ht="25.5" hidden="false" customHeight="true" outlineLevel="0" collapsed="false">
      <c r="H90" s="113"/>
      <c r="I90" s="113"/>
      <c r="J90" s="113"/>
      <c r="L90" s="113"/>
      <c r="M90" s="113"/>
      <c r="N90" s="113"/>
      <c r="P90" s="113"/>
      <c r="Q90" s="113"/>
      <c r="R90" s="113"/>
      <c r="T90" s="113"/>
      <c r="U90" s="113"/>
      <c r="V90" s="113"/>
    </row>
    <row r="91" customFormat="false" ht="25.5" hidden="false" customHeight="true" outlineLevel="0" collapsed="false">
      <c r="H91" s="113"/>
      <c r="I91" s="113"/>
      <c r="J91" s="113"/>
      <c r="L91" s="113"/>
      <c r="M91" s="113"/>
      <c r="N91" s="113"/>
      <c r="P91" s="113"/>
      <c r="Q91" s="113"/>
      <c r="R91" s="113"/>
      <c r="T91" s="113"/>
      <c r="U91" s="113"/>
      <c r="V91" s="113"/>
    </row>
    <row r="92" customFormat="false" ht="25.5" hidden="false" customHeight="true" outlineLevel="0" collapsed="false">
      <c r="H92" s="113"/>
      <c r="I92" s="113"/>
      <c r="J92" s="113"/>
      <c r="L92" s="113"/>
      <c r="M92" s="113"/>
      <c r="N92" s="113"/>
      <c r="P92" s="113"/>
      <c r="Q92" s="113"/>
      <c r="R92" s="113"/>
      <c r="T92" s="113"/>
      <c r="U92" s="113"/>
      <c r="V92" s="113"/>
    </row>
    <row r="93" customFormat="false" ht="25.5" hidden="false" customHeight="true" outlineLevel="0" collapsed="false">
      <c r="H93" s="113"/>
      <c r="I93" s="113"/>
      <c r="J93" s="113"/>
      <c r="L93" s="113"/>
      <c r="M93" s="113"/>
      <c r="N93" s="113"/>
      <c r="P93" s="113"/>
      <c r="Q93" s="113"/>
      <c r="R93" s="113"/>
      <c r="T93" s="113"/>
      <c r="U93" s="113"/>
      <c r="V93" s="113"/>
    </row>
    <row r="94" customFormat="false" ht="25.5" hidden="false" customHeight="true" outlineLevel="0" collapsed="false">
      <c r="H94" s="113"/>
      <c r="I94" s="113"/>
      <c r="J94" s="113"/>
      <c r="L94" s="113"/>
      <c r="M94" s="113"/>
      <c r="N94" s="113"/>
      <c r="P94" s="113"/>
      <c r="Q94" s="113"/>
      <c r="R94" s="113"/>
      <c r="T94" s="113"/>
      <c r="U94" s="113"/>
      <c r="V94" s="113"/>
    </row>
    <row r="95" customFormat="false" ht="25.5" hidden="false" customHeight="true" outlineLevel="0" collapsed="false">
      <c r="H95" s="113"/>
      <c r="I95" s="113"/>
      <c r="J95" s="113"/>
      <c r="L95" s="113"/>
      <c r="M95" s="113"/>
      <c r="N95" s="113"/>
      <c r="P95" s="113"/>
      <c r="Q95" s="113"/>
      <c r="R95" s="113"/>
      <c r="T95" s="113"/>
      <c r="U95" s="113"/>
      <c r="V95" s="113"/>
    </row>
    <row r="96" customFormat="false" ht="25.5" hidden="false" customHeight="true" outlineLevel="0" collapsed="false">
      <c r="H96" s="113"/>
      <c r="I96" s="113"/>
      <c r="J96" s="113"/>
      <c r="L96" s="113"/>
      <c r="M96" s="113"/>
      <c r="N96" s="113"/>
      <c r="P96" s="113"/>
      <c r="Q96" s="113"/>
      <c r="R96" s="113"/>
      <c r="T96" s="113"/>
      <c r="U96" s="113"/>
      <c r="V96" s="113"/>
    </row>
    <row r="97" customFormat="false" ht="25.5" hidden="false" customHeight="true" outlineLevel="0" collapsed="false">
      <c r="H97" s="113"/>
      <c r="I97" s="113"/>
      <c r="J97" s="113"/>
      <c r="L97" s="113"/>
      <c r="M97" s="113"/>
      <c r="N97" s="113"/>
      <c r="P97" s="113"/>
      <c r="Q97" s="113"/>
      <c r="R97" s="113"/>
      <c r="T97" s="113"/>
      <c r="U97" s="113"/>
      <c r="V97" s="113"/>
    </row>
    <row r="98" customFormat="false" ht="25.5" hidden="false" customHeight="true" outlineLevel="0" collapsed="false">
      <c r="H98" s="113"/>
      <c r="I98" s="113"/>
      <c r="J98" s="113"/>
      <c r="L98" s="113"/>
      <c r="M98" s="113"/>
      <c r="N98" s="113"/>
      <c r="P98" s="113"/>
      <c r="Q98" s="113"/>
      <c r="R98" s="113"/>
      <c r="T98" s="113"/>
      <c r="U98" s="113"/>
      <c r="V98" s="113"/>
    </row>
    <row r="99" customFormat="false" ht="25.5" hidden="false" customHeight="true" outlineLevel="0" collapsed="false">
      <c r="H99" s="113"/>
      <c r="I99" s="113"/>
      <c r="J99" s="113"/>
      <c r="L99" s="113"/>
      <c r="M99" s="113"/>
      <c r="N99" s="113"/>
      <c r="P99" s="113"/>
      <c r="Q99" s="113"/>
      <c r="R99" s="113"/>
      <c r="T99" s="113"/>
      <c r="U99" s="113"/>
      <c r="V99" s="113"/>
    </row>
    <row r="100" customFormat="false" ht="25.5" hidden="false" customHeight="true" outlineLevel="0" collapsed="false">
      <c r="H100" s="113"/>
      <c r="I100" s="113"/>
      <c r="J100" s="113"/>
      <c r="L100" s="113"/>
      <c r="M100" s="113"/>
      <c r="N100" s="113"/>
      <c r="P100" s="113"/>
      <c r="Q100" s="113"/>
      <c r="R100" s="113"/>
      <c r="T100" s="113"/>
      <c r="U100" s="113"/>
      <c r="V100" s="113"/>
    </row>
    <row r="101" customFormat="false" ht="25.5" hidden="false" customHeight="true" outlineLevel="0" collapsed="false">
      <c r="H101" s="113"/>
      <c r="I101" s="113"/>
      <c r="J101" s="113"/>
      <c r="L101" s="113"/>
      <c r="M101" s="113"/>
      <c r="N101" s="113"/>
      <c r="P101" s="113"/>
      <c r="Q101" s="113"/>
      <c r="R101" s="113"/>
      <c r="T101" s="113"/>
      <c r="U101" s="113"/>
      <c r="V101" s="113"/>
    </row>
    <row r="102" customFormat="false" ht="25.5" hidden="false" customHeight="true" outlineLevel="0" collapsed="false">
      <c r="H102" s="113"/>
      <c r="I102" s="113"/>
      <c r="J102" s="113"/>
      <c r="L102" s="113"/>
      <c r="M102" s="113"/>
      <c r="N102" s="113"/>
      <c r="P102" s="113"/>
      <c r="Q102" s="113"/>
      <c r="R102" s="113"/>
      <c r="T102" s="113"/>
      <c r="U102" s="113"/>
      <c r="V102" s="113"/>
    </row>
    <row r="103" customFormat="false" ht="25.5" hidden="false" customHeight="true" outlineLevel="0" collapsed="false">
      <c r="H103" s="113"/>
      <c r="I103" s="113"/>
      <c r="J103" s="113"/>
      <c r="L103" s="113"/>
      <c r="M103" s="113"/>
      <c r="N103" s="113"/>
      <c r="P103" s="113"/>
      <c r="Q103" s="113"/>
      <c r="R103" s="113"/>
      <c r="T103" s="113"/>
      <c r="U103" s="113"/>
      <c r="V103" s="113"/>
    </row>
    <row r="104" customFormat="false" ht="25.5" hidden="false" customHeight="true" outlineLevel="0" collapsed="false">
      <c r="H104" s="113"/>
      <c r="I104" s="113"/>
      <c r="J104" s="113"/>
      <c r="L104" s="113"/>
      <c r="M104" s="113"/>
      <c r="N104" s="113"/>
      <c r="P104" s="113"/>
      <c r="Q104" s="113"/>
      <c r="R104" s="113"/>
      <c r="T104" s="113"/>
      <c r="U104" s="113"/>
      <c r="V104" s="113"/>
    </row>
    <row r="105" customFormat="false" ht="25.5" hidden="false" customHeight="true" outlineLevel="0" collapsed="false">
      <c r="H105" s="113"/>
      <c r="I105" s="113"/>
      <c r="J105" s="113"/>
      <c r="L105" s="113"/>
      <c r="M105" s="113"/>
      <c r="N105" s="113"/>
      <c r="P105" s="113"/>
      <c r="Q105" s="113"/>
      <c r="R105" s="113"/>
      <c r="T105" s="113"/>
      <c r="U105" s="113"/>
      <c r="V105" s="113"/>
    </row>
    <row r="106" customFormat="false" ht="15" hidden="false" customHeight="true" outlineLevel="0" collapsed="false">
      <c r="H106" s="113"/>
      <c r="I106" s="113"/>
      <c r="J106" s="113"/>
      <c r="L106" s="113"/>
      <c r="M106" s="113"/>
      <c r="N106" s="113"/>
      <c r="P106" s="113"/>
      <c r="Q106" s="113"/>
      <c r="R106" s="113"/>
      <c r="T106" s="113"/>
      <c r="U106" s="113"/>
      <c r="V106" s="113"/>
    </row>
    <row r="107" customFormat="false" ht="15" hidden="false" customHeight="true" outlineLevel="0" collapsed="false">
      <c r="H107" s="113"/>
      <c r="I107" s="113"/>
      <c r="J107" s="113"/>
      <c r="L107" s="113"/>
      <c r="M107" s="113"/>
      <c r="N107" s="113"/>
      <c r="P107" s="113"/>
      <c r="Q107" s="113"/>
      <c r="R107" s="113"/>
      <c r="T107" s="113"/>
      <c r="U107" s="113"/>
      <c r="V107" s="113"/>
    </row>
    <row r="108" customFormat="false" ht="15" hidden="false" customHeight="true" outlineLevel="0" collapsed="false">
      <c r="H108" s="113"/>
      <c r="I108" s="113"/>
      <c r="J108" s="113"/>
      <c r="L108" s="113"/>
      <c r="M108" s="113"/>
      <c r="N108" s="113"/>
      <c r="P108" s="113"/>
      <c r="Q108" s="113"/>
      <c r="R108" s="113"/>
      <c r="T108" s="113"/>
      <c r="U108" s="113"/>
      <c r="V108" s="113"/>
    </row>
    <row r="109" customFormat="false" ht="15" hidden="false" customHeight="true" outlineLevel="0" collapsed="false">
      <c r="H109" s="113"/>
      <c r="I109" s="113"/>
      <c r="J109" s="113"/>
      <c r="L109" s="113"/>
      <c r="M109" s="113"/>
      <c r="N109" s="113"/>
      <c r="P109" s="113"/>
      <c r="Q109" s="113"/>
      <c r="R109" s="113"/>
      <c r="T109" s="113"/>
      <c r="U109" s="113"/>
      <c r="V109" s="113"/>
    </row>
    <row r="110" customFormat="false" ht="15" hidden="false" customHeight="true" outlineLevel="0" collapsed="false">
      <c r="H110" s="113"/>
      <c r="I110" s="113"/>
      <c r="J110" s="113"/>
      <c r="L110" s="113"/>
      <c r="M110" s="113"/>
      <c r="N110" s="113"/>
      <c r="P110" s="113"/>
      <c r="Q110" s="113"/>
      <c r="R110" s="113"/>
      <c r="T110" s="113"/>
      <c r="U110" s="113"/>
      <c r="V110" s="113"/>
    </row>
    <row r="111" customFormat="false" ht="15" hidden="false" customHeight="true" outlineLevel="0" collapsed="false">
      <c r="H111" s="113"/>
      <c r="I111" s="113"/>
      <c r="J111" s="113"/>
      <c r="L111" s="113"/>
      <c r="M111" s="113"/>
      <c r="N111" s="113"/>
      <c r="P111" s="113"/>
      <c r="Q111" s="113"/>
      <c r="R111" s="113"/>
      <c r="T111" s="113"/>
      <c r="U111" s="113"/>
      <c r="V111" s="113"/>
    </row>
    <row r="112" customFormat="false" ht="15" hidden="false" customHeight="true" outlineLevel="0" collapsed="false">
      <c r="H112" s="113"/>
      <c r="I112" s="113"/>
      <c r="J112" s="113"/>
      <c r="L112" s="113"/>
      <c r="M112" s="113"/>
      <c r="N112" s="113"/>
      <c r="P112" s="113"/>
      <c r="Q112" s="113"/>
      <c r="R112" s="113"/>
      <c r="T112" s="113"/>
      <c r="U112" s="113"/>
      <c r="V112" s="113"/>
    </row>
    <row r="113" customFormat="false" ht="15" hidden="false" customHeight="true" outlineLevel="0" collapsed="false">
      <c r="H113" s="113"/>
      <c r="I113" s="113"/>
      <c r="J113" s="113"/>
      <c r="L113" s="113"/>
      <c r="M113" s="113"/>
      <c r="N113" s="113"/>
      <c r="P113" s="113"/>
      <c r="Q113" s="113"/>
      <c r="R113" s="113"/>
      <c r="T113" s="113"/>
      <c r="U113" s="113"/>
      <c r="V113" s="113"/>
    </row>
    <row r="114" customFormat="false" ht="15" hidden="false" customHeight="true" outlineLevel="0" collapsed="false">
      <c r="H114" s="113"/>
      <c r="I114" s="113"/>
      <c r="J114" s="113"/>
      <c r="L114" s="113"/>
      <c r="M114" s="113"/>
      <c r="N114" s="113"/>
      <c r="P114" s="113"/>
      <c r="Q114" s="113"/>
      <c r="R114" s="113"/>
      <c r="T114" s="113"/>
      <c r="U114" s="113"/>
      <c r="V114" s="113"/>
    </row>
    <row r="115" customFormat="false" ht="15" hidden="false" customHeight="true" outlineLevel="0" collapsed="false">
      <c r="H115" s="113"/>
      <c r="I115" s="113"/>
      <c r="J115" s="113"/>
      <c r="L115" s="113"/>
      <c r="M115" s="113"/>
      <c r="N115" s="113"/>
      <c r="P115" s="113"/>
      <c r="Q115" s="113"/>
      <c r="R115" s="113"/>
      <c r="T115" s="113"/>
      <c r="U115" s="113"/>
      <c r="V115" s="113"/>
    </row>
    <row r="116" customFormat="false" ht="15" hidden="false" customHeight="true" outlineLevel="0" collapsed="false">
      <c r="H116" s="113"/>
      <c r="I116" s="113"/>
      <c r="J116" s="113"/>
      <c r="L116" s="113"/>
      <c r="M116" s="113"/>
      <c r="N116" s="113"/>
      <c r="P116" s="113"/>
      <c r="Q116" s="113"/>
      <c r="R116" s="113"/>
      <c r="T116" s="113"/>
      <c r="U116" s="113"/>
      <c r="V116" s="113"/>
    </row>
    <row r="117" customFormat="false" ht="15" hidden="false" customHeight="true" outlineLevel="0" collapsed="false">
      <c r="H117" s="113"/>
      <c r="I117" s="113"/>
      <c r="J117" s="113"/>
      <c r="L117" s="113"/>
      <c r="M117" s="113"/>
      <c r="N117" s="113"/>
      <c r="P117" s="113"/>
      <c r="Q117" s="113"/>
      <c r="R117" s="113"/>
      <c r="T117" s="113"/>
      <c r="U117" s="113"/>
      <c r="V117" s="113"/>
    </row>
    <row r="118" customFormat="false" ht="15" hidden="false" customHeight="true" outlineLevel="0" collapsed="false">
      <c r="H118" s="113"/>
      <c r="I118" s="113"/>
      <c r="J118" s="113"/>
      <c r="L118" s="113"/>
      <c r="M118" s="113"/>
      <c r="N118" s="113"/>
      <c r="P118" s="113"/>
      <c r="Q118" s="113"/>
      <c r="R118" s="113"/>
      <c r="T118" s="113"/>
      <c r="U118" s="113"/>
      <c r="V118" s="113"/>
    </row>
    <row r="119" customFormat="false" ht="15" hidden="false" customHeight="true" outlineLevel="0" collapsed="false">
      <c r="H119" s="113"/>
      <c r="I119" s="113"/>
      <c r="J119" s="113"/>
      <c r="L119" s="113"/>
      <c r="M119" s="113"/>
      <c r="N119" s="113"/>
      <c r="P119" s="113"/>
      <c r="Q119" s="113"/>
      <c r="R119" s="113"/>
      <c r="T119" s="113"/>
      <c r="U119" s="113"/>
      <c r="V119" s="113"/>
    </row>
    <row r="120" customFormat="false" ht="15" hidden="false" customHeight="true" outlineLevel="0" collapsed="false">
      <c r="H120" s="113"/>
      <c r="I120" s="113"/>
      <c r="J120" s="113"/>
      <c r="L120" s="113"/>
      <c r="M120" s="113"/>
      <c r="N120" s="113"/>
      <c r="P120" s="113"/>
      <c r="Q120" s="113"/>
      <c r="R120" s="113"/>
      <c r="T120" s="113"/>
      <c r="U120" s="113"/>
      <c r="V120" s="113"/>
    </row>
    <row r="121" customFormat="false" ht="15" hidden="false" customHeight="true" outlineLevel="0" collapsed="false">
      <c r="H121" s="113"/>
      <c r="I121" s="113"/>
      <c r="J121" s="113"/>
      <c r="L121" s="113"/>
      <c r="M121" s="113"/>
      <c r="N121" s="113"/>
      <c r="P121" s="113"/>
      <c r="Q121" s="113"/>
      <c r="R121" s="113"/>
      <c r="T121" s="113"/>
      <c r="U121" s="113"/>
      <c r="V121" s="113"/>
    </row>
    <row r="122" customFormat="false" ht="15" hidden="false" customHeight="true" outlineLevel="0" collapsed="false">
      <c r="H122" s="113"/>
      <c r="I122" s="113"/>
      <c r="J122" s="113"/>
      <c r="L122" s="113"/>
      <c r="M122" s="113"/>
      <c r="N122" s="113"/>
      <c r="P122" s="113"/>
      <c r="Q122" s="113"/>
      <c r="R122" s="113"/>
      <c r="T122" s="113"/>
      <c r="U122" s="113"/>
      <c r="V122" s="113"/>
    </row>
    <row r="123" customFormat="false" ht="15" hidden="false" customHeight="true" outlineLevel="0" collapsed="false">
      <c r="H123" s="113"/>
      <c r="I123" s="113"/>
      <c r="J123" s="113"/>
      <c r="L123" s="113"/>
      <c r="M123" s="113"/>
      <c r="N123" s="113"/>
      <c r="P123" s="113"/>
      <c r="Q123" s="113"/>
      <c r="R123" s="113"/>
      <c r="T123" s="113"/>
      <c r="U123" s="113"/>
      <c r="V123" s="113"/>
    </row>
    <row r="124" customFormat="false" ht="15" hidden="false" customHeight="true" outlineLevel="0" collapsed="false">
      <c r="H124" s="113"/>
      <c r="I124" s="113"/>
      <c r="J124" s="113"/>
      <c r="L124" s="113"/>
      <c r="M124" s="113"/>
      <c r="N124" s="113"/>
      <c r="P124" s="113"/>
      <c r="Q124" s="113"/>
      <c r="R124" s="113"/>
      <c r="T124" s="113"/>
      <c r="U124" s="113"/>
      <c r="V124" s="113"/>
    </row>
    <row r="125" customFormat="false" ht="15" hidden="false" customHeight="true" outlineLevel="0" collapsed="false">
      <c r="H125" s="113"/>
      <c r="I125" s="113"/>
      <c r="J125" s="113"/>
      <c r="L125" s="113"/>
      <c r="M125" s="113"/>
      <c r="N125" s="113"/>
      <c r="P125" s="113"/>
      <c r="Q125" s="113"/>
      <c r="R125" s="113"/>
      <c r="T125" s="113"/>
      <c r="U125" s="113"/>
      <c r="V125" s="113"/>
    </row>
    <row r="126" customFormat="false" ht="15" hidden="false" customHeight="true" outlineLevel="0" collapsed="false">
      <c r="H126" s="113"/>
      <c r="I126" s="113"/>
      <c r="J126" s="113"/>
      <c r="L126" s="113"/>
      <c r="M126" s="113"/>
      <c r="N126" s="113"/>
      <c r="P126" s="113"/>
      <c r="Q126" s="113"/>
      <c r="R126" s="113"/>
      <c r="T126" s="113"/>
      <c r="U126" s="113"/>
      <c r="V126" s="113"/>
    </row>
    <row r="127" customFormat="false" ht="15" hidden="false" customHeight="true" outlineLevel="0" collapsed="false">
      <c r="H127" s="113"/>
      <c r="I127" s="113"/>
      <c r="J127" s="113"/>
      <c r="L127" s="113"/>
      <c r="M127" s="113"/>
      <c r="N127" s="113"/>
      <c r="P127" s="113"/>
      <c r="Q127" s="113"/>
      <c r="R127" s="113"/>
      <c r="T127" s="113"/>
      <c r="U127" s="113"/>
      <c r="V127" s="113"/>
    </row>
    <row r="128" customFormat="false" ht="15" hidden="false" customHeight="true" outlineLevel="0" collapsed="false">
      <c r="H128" s="113"/>
      <c r="I128" s="113"/>
      <c r="J128" s="113"/>
      <c r="L128" s="113"/>
      <c r="M128" s="113"/>
      <c r="N128" s="113"/>
      <c r="P128" s="113"/>
      <c r="Q128" s="113"/>
      <c r="R128" s="113"/>
      <c r="T128" s="113"/>
      <c r="U128" s="113"/>
      <c r="V128" s="113"/>
    </row>
    <row r="129" customFormat="false" ht="15" hidden="false" customHeight="true" outlineLevel="0" collapsed="false">
      <c r="H129" s="113"/>
      <c r="I129" s="113"/>
      <c r="J129" s="113"/>
      <c r="L129" s="113"/>
      <c r="M129" s="113"/>
      <c r="N129" s="113"/>
      <c r="P129" s="113"/>
      <c r="Q129" s="113"/>
      <c r="R129" s="113"/>
      <c r="T129" s="113"/>
      <c r="U129" s="113"/>
      <c r="V129" s="113"/>
    </row>
    <row r="130" customFormat="false" ht="15" hidden="false" customHeight="true" outlineLevel="0" collapsed="false">
      <c r="H130" s="113"/>
      <c r="I130" s="113"/>
      <c r="J130" s="113"/>
      <c r="L130" s="113"/>
      <c r="M130" s="113"/>
      <c r="N130" s="113"/>
      <c r="P130" s="113"/>
      <c r="Q130" s="113"/>
      <c r="R130" s="113"/>
      <c r="T130" s="113"/>
      <c r="U130" s="113"/>
      <c r="V130" s="113"/>
    </row>
    <row r="131" customFormat="false" ht="15" hidden="false" customHeight="true" outlineLevel="0" collapsed="false">
      <c r="H131" s="113"/>
      <c r="I131" s="113"/>
      <c r="J131" s="113"/>
      <c r="L131" s="113"/>
      <c r="M131" s="113"/>
      <c r="N131" s="113"/>
      <c r="P131" s="113"/>
      <c r="Q131" s="113"/>
      <c r="R131" s="113"/>
      <c r="T131" s="113"/>
      <c r="U131" s="113"/>
      <c r="V131" s="113"/>
    </row>
    <row r="132" customFormat="false" ht="15" hidden="false" customHeight="true" outlineLevel="0" collapsed="false">
      <c r="H132" s="113"/>
      <c r="I132" s="113"/>
      <c r="J132" s="113"/>
      <c r="L132" s="113"/>
      <c r="M132" s="113"/>
      <c r="N132" s="113"/>
      <c r="P132" s="113"/>
      <c r="Q132" s="113"/>
      <c r="R132" s="113"/>
      <c r="T132" s="113"/>
      <c r="U132" s="113"/>
      <c r="V132" s="113"/>
    </row>
    <row r="133" customFormat="false" ht="15" hidden="false" customHeight="true" outlineLevel="0" collapsed="false">
      <c r="H133" s="113"/>
      <c r="I133" s="113"/>
      <c r="J133" s="113"/>
      <c r="L133" s="113"/>
      <c r="M133" s="113"/>
      <c r="N133" s="113"/>
      <c r="P133" s="113"/>
      <c r="Q133" s="113"/>
      <c r="R133" s="113"/>
      <c r="T133" s="113"/>
      <c r="U133" s="113"/>
      <c r="V133" s="113"/>
    </row>
    <row r="134" customFormat="false" ht="15" hidden="false" customHeight="true" outlineLevel="0" collapsed="false">
      <c r="H134" s="113"/>
      <c r="I134" s="113"/>
      <c r="J134" s="113"/>
      <c r="L134" s="113"/>
      <c r="M134" s="113"/>
      <c r="N134" s="113"/>
      <c r="P134" s="113"/>
      <c r="Q134" s="113"/>
      <c r="R134" s="113"/>
      <c r="T134" s="113"/>
      <c r="U134" s="113"/>
      <c r="V134" s="113"/>
    </row>
    <row r="135" customFormat="false" ht="15" hidden="false" customHeight="true" outlineLevel="0" collapsed="false">
      <c r="H135" s="113"/>
      <c r="I135" s="113"/>
      <c r="J135" s="113"/>
      <c r="L135" s="113"/>
      <c r="M135" s="113"/>
      <c r="N135" s="113"/>
      <c r="P135" s="113"/>
      <c r="Q135" s="113"/>
      <c r="R135" s="113"/>
      <c r="T135" s="113"/>
      <c r="U135" s="113"/>
      <c r="V135" s="113"/>
    </row>
    <row r="136" customFormat="false" ht="15" hidden="false" customHeight="true" outlineLevel="0" collapsed="false">
      <c r="H136" s="113"/>
      <c r="I136" s="113"/>
      <c r="J136" s="113"/>
      <c r="L136" s="113"/>
      <c r="M136" s="113"/>
      <c r="N136" s="113"/>
      <c r="P136" s="113"/>
      <c r="Q136" s="113"/>
      <c r="R136" s="113"/>
      <c r="T136" s="113"/>
      <c r="U136" s="113"/>
      <c r="V136" s="113"/>
    </row>
    <row r="137" customFormat="false" ht="15" hidden="false" customHeight="true" outlineLevel="0" collapsed="false">
      <c r="H137" s="113"/>
      <c r="I137" s="113"/>
      <c r="J137" s="113"/>
      <c r="L137" s="113"/>
      <c r="M137" s="113"/>
      <c r="N137" s="113"/>
      <c r="P137" s="113"/>
      <c r="Q137" s="113"/>
      <c r="R137" s="113"/>
      <c r="T137" s="113"/>
      <c r="U137" s="113"/>
      <c r="V137" s="113"/>
    </row>
    <row r="138" customFormat="false" ht="15" hidden="false" customHeight="true" outlineLevel="0" collapsed="false">
      <c r="H138" s="113"/>
      <c r="I138" s="113"/>
      <c r="J138" s="113"/>
      <c r="L138" s="113"/>
      <c r="M138" s="113"/>
      <c r="N138" s="113"/>
      <c r="P138" s="113"/>
      <c r="Q138" s="113"/>
      <c r="R138" s="113"/>
      <c r="T138" s="113"/>
      <c r="U138" s="113"/>
      <c r="V138" s="113"/>
    </row>
    <row r="139" customFormat="false" ht="15" hidden="false" customHeight="true" outlineLevel="0" collapsed="false">
      <c r="H139" s="113"/>
      <c r="I139" s="113"/>
      <c r="J139" s="113"/>
      <c r="L139" s="113"/>
      <c r="M139" s="113"/>
      <c r="N139" s="113"/>
      <c r="P139" s="113"/>
      <c r="Q139" s="113"/>
      <c r="R139" s="113"/>
      <c r="T139" s="113"/>
      <c r="U139" s="113"/>
      <c r="V139" s="113"/>
    </row>
    <row r="140" customFormat="false" ht="15" hidden="false" customHeight="true" outlineLevel="0" collapsed="false">
      <c r="H140" s="113"/>
      <c r="I140" s="113"/>
      <c r="J140" s="113"/>
      <c r="L140" s="113"/>
      <c r="M140" s="113"/>
      <c r="N140" s="113"/>
      <c r="P140" s="113"/>
      <c r="Q140" s="113"/>
      <c r="R140" s="113"/>
      <c r="T140" s="113"/>
      <c r="U140" s="113"/>
      <c r="V140" s="113"/>
    </row>
    <row r="141" customFormat="false" ht="15" hidden="false" customHeight="true" outlineLevel="0" collapsed="false">
      <c r="H141" s="113"/>
      <c r="I141" s="113"/>
      <c r="J141" s="113"/>
      <c r="L141" s="113"/>
      <c r="M141" s="113"/>
      <c r="N141" s="113"/>
      <c r="P141" s="113"/>
      <c r="Q141" s="113"/>
      <c r="R141" s="113"/>
      <c r="T141" s="113"/>
      <c r="U141" s="113"/>
      <c r="V141" s="113"/>
    </row>
    <row r="142" customFormat="false" ht="15" hidden="false" customHeight="true" outlineLevel="0" collapsed="false">
      <c r="H142" s="113"/>
      <c r="I142" s="113"/>
      <c r="J142" s="113"/>
      <c r="L142" s="113"/>
      <c r="M142" s="113"/>
      <c r="N142" s="113"/>
      <c r="P142" s="113"/>
      <c r="Q142" s="113"/>
      <c r="R142" s="113"/>
      <c r="T142" s="113"/>
      <c r="U142" s="113"/>
      <c r="V142" s="113"/>
    </row>
    <row r="143" customFormat="false" ht="15" hidden="false" customHeight="true" outlineLevel="0" collapsed="false">
      <c r="H143" s="113"/>
      <c r="I143" s="113"/>
      <c r="J143" s="113"/>
      <c r="L143" s="113"/>
      <c r="M143" s="113"/>
      <c r="N143" s="113"/>
      <c r="P143" s="113"/>
      <c r="Q143" s="113"/>
      <c r="R143" s="113"/>
      <c r="T143" s="113"/>
      <c r="U143" s="113"/>
      <c r="V143" s="113"/>
    </row>
    <row r="144" customFormat="false" ht="15" hidden="false" customHeight="true" outlineLevel="0" collapsed="false">
      <c r="H144" s="113"/>
      <c r="I144" s="113"/>
      <c r="J144" s="113"/>
      <c r="L144" s="113"/>
      <c r="M144" s="113"/>
      <c r="N144" s="113"/>
      <c r="P144" s="113"/>
      <c r="Q144" s="113"/>
      <c r="R144" s="113"/>
      <c r="T144" s="113"/>
      <c r="U144" s="113"/>
      <c r="V144" s="113"/>
    </row>
    <row r="145" customFormat="false" ht="15" hidden="false" customHeight="true" outlineLevel="0" collapsed="false">
      <c r="H145" s="113"/>
      <c r="I145" s="113"/>
      <c r="J145" s="113"/>
      <c r="L145" s="113"/>
      <c r="M145" s="113"/>
      <c r="N145" s="113"/>
      <c r="P145" s="113"/>
      <c r="Q145" s="113"/>
      <c r="R145" s="113"/>
      <c r="T145" s="113"/>
      <c r="U145" s="113"/>
      <c r="V145" s="113"/>
    </row>
    <row r="146" customFormat="false" ht="15" hidden="false" customHeight="true" outlineLevel="0" collapsed="false">
      <c r="H146" s="113"/>
      <c r="I146" s="113"/>
      <c r="J146" s="113"/>
      <c r="L146" s="113"/>
      <c r="M146" s="113"/>
      <c r="N146" s="113"/>
      <c r="P146" s="113"/>
      <c r="Q146" s="113"/>
      <c r="R146" s="113"/>
      <c r="T146" s="113"/>
      <c r="U146" s="113"/>
      <c r="V146" s="113"/>
    </row>
    <row r="147" customFormat="false" ht="15" hidden="false" customHeight="true" outlineLevel="0" collapsed="false">
      <c r="H147" s="113"/>
      <c r="I147" s="113"/>
      <c r="J147" s="113"/>
      <c r="L147" s="113"/>
      <c r="M147" s="113"/>
      <c r="N147" s="113"/>
      <c r="P147" s="113"/>
      <c r="Q147" s="113"/>
      <c r="R147" s="113"/>
      <c r="T147" s="113"/>
      <c r="U147" s="113"/>
      <c r="V147" s="113"/>
    </row>
    <row r="148" customFormat="false" ht="15" hidden="false" customHeight="true" outlineLevel="0" collapsed="false">
      <c r="H148" s="113"/>
      <c r="I148" s="113"/>
      <c r="J148" s="113"/>
      <c r="L148" s="113"/>
      <c r="M148" s="113"/>
      <c r="N148" s="113"/>
      <c r="P148" s="113"/>
      <c r="Q148" s="113"/>
      <c r="R148" s="113"/>
      <c r="T148" s="113"/>
      <c r="U148" s="113"/>
      <c r="V148" s="113"/>
    </row>
    <row r="149" customFormat="false" ht="15" hidden="false" customHeight="true" outlineLevel="0" collapsed="false">
      <c r="H149" s="113"/>
      <c r="I149" s="113"/>
      <c r="J149" s="113"/>
      <c r="L149" s="113"/>
      <c r="M149" s="113"/>
      <c r="N149" s="113"/>
      <c r="P149" s="113"/>
      <c r="Q149" s="113"/>
      <c r="R149" s="113"/>
      <c r="T149" s="113"/>
      <c r="U149" s="113"/>
      <c r="V149" s="113"/>
    </row>
    <row r="150" customFormat="false" ht="15" hidden="false" customHeight="true" outlineLevel="0" collapsed="false">
      <c r="H150" s="113"/>
      <c r="I150" s="113"/>
      <c r="J150" s="113"/>
      <c r="L150" s="113"/>
      <c r="M150" s="113"/>
      <c r="N150" s="113"/>
      <c r="P150" s="113"/>
      <c r="Q150" s="113"/>
      <c r="R150" s="113"/>
      <c r="T150" s="113"/>
      <c r="U150" s="113"/>
      <c r="V150" s="113"/>
    </row>
    <row r="151" customFormat="false" ht="15" hidden="false" customHeight="true" outlineLevel="0" collapsed="false">
      <c r="H151" s="113"/>
      <c r="I151" s="113"/>
      <c r="J151" s="113"/>
      <c r="L151" s="113"/>
      <c r="M151" s="113"/>
      <c r="N151" s="113"/>
      <c r="P151" s="113"/>
      <c r="Q151" s="113"/>
      <c r="R151" s="113"/>
      <c r="T151" s="113"/>
      <c r="U151" s="113"/>
      <c r="V151" s="113"/>
    </row>
    <row r="152" customFormat="false" ht="15" hidden="false" customHeight="true" outlineLevel="0" collapsed="false">
      <c r="H152" s="113"/>
      <c r="I152" s="113"/>
      <c r="J152" s="113"/>
      <c r="L152" s="113"/>
      <c r="M152" s="113"/>
      <c r="N152" s="113"/>
      <c r="P152" s="113"/>
      <c r="Q152" s="113"/>
      <c r="R152" s="113"/>
      <c r="T152" s="113"/>
      <c r="U152" s="113"/>
      <c r="V152" s="113"/>
    </row>
    <row r="153" customFormat="false" ht="15" hidden="false" customHeight="true" outlineLevel="0" collapsed="false">
      <c r="H153" s="113"/>
      <c r="I153" s="113"/>
      <c r="J153" s="113"/>
      <c r="L153" s="113"/>
      <c r="M153" s="113"/>
      <c r="N153" s="113"/>
      <c r="P153" s="113"/>
      <c r="Q153" s="113"/>
      <c r="R153" s="113"/>
      <c r="T153" s="113"/>
      <c r="U153" s="113"/>
      <c r="V153" s="113"/>
    </row>
    <row r="154" customFormat="false" ht="15" hidden="false" customHeight="true" outlineLevel="0" collapsed="false">
      <c r="H154" s="113"/>
      <c r="I154" s="113"/>
      <c r="J154" s="113"/>
      <c r="L154" s="113"/>
      <c r="M154" s="113"/>
      <c r="N154" s="113"/>
      <c r="P154" s="113"/>
      <c r="Q154" s="113"/>
      <c r="R154" s="113"/>
      <c r="T154" s="113"/>
      <c r="U154" s="113"/>
      <c r="V154" s="113"/>
    </row>
    <row r="155" customFormat="false" ht="15" hidden="false" customHeight="true" outlineLevel="0" collapsed="false">
      <c r="H155" s="113"/>
      <c r="I155" s="113"/>
      <c r="J155" s="113"/>
      <c r="L155" s="113"/>
      <c r="M155" s="113"/>
      <c r="N155" s="113"/>
      <c r="P155" s="113"/>
      <c r="Q155" s="113"/>
      <c r="R155" s="113"/>
      <c r="T155" s="113"/>
      <c r="U155" s="113"/>
      <c r="V155" s="113"/>
    </row>
    <row r="156" customFormat="false" ht="15" hidden="false" customHeight="true" outlineLevel="0" collapsed="false">
      <c r="H156" s="113"/>
      <c r="I156" s="113"/>
      <c r="J156" s="113"/>
      <c r="L156" s="113"/>
      <c r="M156" s="113"/>
      <c r="N156" s="113"/>
      <c r="P156" s="113"/>
      <c r="Q156" s="113"/>
      <c r="R156" s="113"/>
      <c r="T156" s="113"/>
      <c r="U156" s="113"/>
      <c r="V156" s="113"/>
    </row>
    <row r="157" customFormat="false" ht="15" hidden="false" customHeight="true" outlineLevel="0" collapsed="false">
      <c r="H157" s="113"/>
      <c r="I157" s="113"/>
      <c r="J157" s="113"/>
      <c r="L157" s="113"/>
      <c r="M157" s="113"/>
      <c r="N157" s="113"/>
      <c r="P157" s="113"/>
      <c r="Q157" s="113"/>
      <c r="R157" s="113"/>
      <c r="T157" s="113"/>
      <c r="U157" s="113"/>
      <c r="V157" s="113"/>
    </row>
    <row r="158" customFormat="false" ht="15" hidden="false" customHeight="true" outlineLevel="0" collapsed="false">
      <c r="H158" s="113"/>
      <c r="I158" s="113"/>
      <c r="J158" s="113"/>
      <c r="L158" s="113"/>
      <c r="M158" s="113"/>
      <c r="N158" s="113"/>
      <c r="P158" s="113"/>
      <c r="Q158" s="113"/>
      <c r="R158" s="113"/>
      <c r="T158" s="113"/>
      <c r="U158" s="113"/>
      <c r="V158" s="113"/>
    </row>
    <row r="159" customFormat="false" ht="15" hidden="false" customHeight="true" outlineLevel="0" collapsed="false">
      <c r="H159" s="113"/>
      <c r="I159" s="113"/>
      <c r="J159" s="113"/>
      <c r="L159" s="113"/>
      <c r="M159" s="113"/>
      <c r="N159" s="113"/>
      <c r="P159" s="113"/>
      <c r="Q159" s="113"/>
      <c r="R159" s="113"/>
      <c r="T159" s="113"/>
      <c r="U159" s="113"/>
      <c r="V159" s="113"/>
    </row>
    <row r="160" customFormat="false" ht="15" hidden="false" customHeight="true" outlineLevel="0" collapsed="false">
      <c r="H160" s="113"/>
      <c r="I160" s="113"/>
      <c r="J160" s="113"/>
      <c r="L160" s="113"/>
      <c r="M160" s="113"/>
      <c r="N160" s="113"/>
      <c r="P160" s="113"/>
      <c r="Q160" s="113"/>
      <c r="R160" s="113"/>
      <c r="T160" s="113"/>
      <c r="U160" s="113"/>
      <c r="V160" s="113"/>
    </row>
    <row r="161" customFormat="false" ht="15" hidden="false" customHeight="true" outlineLevel="0" collapsed="false">
      <c r="H161" s="113"/>
      <c r="I161" s="113"/>
      <c r="J161" s="113"/>
      <c r="L161" s="113"/>
      <c r="M161" s="113"/>
      <c r="N161" s="113"/>
      <c r="P161" s="113"/>
      <c r="Q161" s="113"/>
      <c r="R161" s="113"/>
      <c r="T161" s="113"/>
      <c r="U161" s="113"/>
      <c r="V161" s="113"/>
    </row>
    <row r="162" customFormat="false" ht="15" hidden="false" customHeight="true" outlineLevel="0" collapsed="false">
      <c r="H162" s="113"/>
      <c r="I162" s="113"/>
      <c r="J162" s="113"/>
      <c r="L162" s="113"/>
      <c r="M162" s="113"/>
      <c r="N162" s="113"/>
      <c r="P162" s="113"/>
      <c r="Q162" s="113"/>
      <c r="R162" s="113"/>
      <c r="T162" s="113"/>
      <c r="U162" s="113"/>
      <c r="V162" s="113"/>
    </row>
    <row r="163" customFormat="false" ht="15" hidden="false" customHeight="true" outlineLevel="0" collapsed="false">
      <c r="H163" s="113"/>
      <c r="I163" s="113"/>
      <c r="J163" s="113"/>
      <c r="L163" s="113"/>
      <c r="M163" s="113"/>
      <c r="N163" s="113"/>
      <c r="P163" s="113"/>
      <c r="Q163" s="113"/>
      <c r="R163" s="113"/>
      <c r="T163" s="113"/>
      <c r="U163" s="113"/>
      <c r="V163" s="113"/>
    </row>
    <row r="164" customFormat="false" ht="15" hidden="false" customHeight="true" outlineLevel="0" collapsed="false">
      <c r="H164" s="113"/>
      <c r="I164" s="113"/>
      <c r="J164" s="113"/>
      <c r="L164" s="113"/>
      <c r="M164" s="113"/>
      <c r="N164" s="113"/>
      <c r="P164" s="113"/>
      <c r="Q164" s="113"/>
      <c r="R164" s="113"/>
      <c r="T164" s="113"/>
      <c r="U164" s="113"/>
      <c r="V164" s="113"/>
    </row>
    <row r="165" customFormat="false" ht="15" hidden="false" customHeight="true" outlineLevel="0" collapsed="false">
      <c r="H165" s="113"/>
      <c r="I165" s="113"/>
      <c r="J165" s="113"/>
      <c r="L165" s="113"/>
      <c r="M165" s="113"/>
      <c r="N165" s="113"/>
      <c r="P165" s="113"/>
      <c r="Q165" s="113"/>
      <c r="R165" s="113"/>
      <c r="T165" s="113"/>
      <c r="U165" s="113"/>
      <c r="V165" s="113"/>
    </row>
    <row r="166" customFormat="false" ht="15" hidden="false" customHeight="true" outlineLevel="0" collapsed="false">
      <c r="H166" s="113"/>
      <c r="I166" s="113"/>
      <c r="J166" s="113"/>
      <c r="L166" s="113"/>
      <c r="M166" s="113"/>
      <c r="N166" s="113"/>
      <c r="P166" s="113"/>
      <c r="Q166" s="113"/>
      <c r="R166" s="113"/>
      <c r="T166" s="113"/>
      <c r="U166" s="113"/>
      <c r="V166" s="113"/>
    </row>
    <row r="167" customFormat="false" ht="15" hidden="false" customHeight="true" outlineLevel="0" collapsed="false">
      <c r="H167" s="113"/>
      <c r="I167" s="113"/>
      <c r="J167" s="113"/>
      <c r="L167" s="113"/>
      <c r="M167" s="113"/>
      <c r="N167" s="113"/>
      <c r="P167" s="113"/>
      <c r="Q167" s="113"/>
      <c r="R167" s="113"/>
      <c r="T167" s="113"/>
      <c r="U167" s="113"/>
      <c r="V167" s="113"/>
    </row>
    <row r="168" customFormat="false" ht="15" hidden="false" customHeight="true" outlineLevel="0" collapsed="false">
      <c r="H168" s="113"/>
      <c r="I168" s="113"/>
      <c r="J168" s="113"/>
      <c r="L168" s="113"/>
      <c r="M168" s="113"/>
      <c r="N168" s="113"/>
      <c r="P168" s="113"/>
      <c r="Q168" s="113"/>
      <c r="R168" s="113"/>
      <c r="T168" s="113"/>
      <c r="U168" s="113"/>
      <c r="V168" s="113"/>
    </row>
    <row r="169" customFormat="false" ht="15" hidden="false" customHeight="true" outlineLevel="0" collapsed="false">
      <c r="H169" s="113"/>
      <c r="I169" s="113"/>
      <c r="J169" s="113"/>
      <c r="L169" s="113"/>
      <c r="M169" s="113"/>
      <c r="N169" s="113"/>
      <c r="P169" s="113"/>
      <c r="Q169" s="113"/>
      <c r="R169" s="113"/>
      <c r="T169" s="113"/>
      <c r="U169" s="113"/>
      <c r="V169" s="113"/>
    </row>
    <row r="170" customFormat="false" ht="15" hidden="false" customHeight="true" outlineLevel="0" collapsed="false">
      <c r="H170" s="113"/>
      <c r="I170" s="113"/>
      <c r="J170" s="113"/>
      <c r="L170" s="113"/>
      <c r="M170" s="113"/>
      <c r="N170" s="113"/>
      <c r="P170" s="113"/>
      <c r="Q170" s="113"/>
      <c r="R170" s="113"/>
      <c r="T170" s="113"/>
      <c r="U170" s="113"/>
      <c r="V170" s="113"/>
    </row>
    <row r="171" customFormat="false" ht="15" hidden="false" customHeight="true" outlineLevel="0" collapsed="false">
      <c r="H171" s="113"/>
      <c r="I171" s="113"/>
      <c r="J171" s="113"/>
      <c r="L171" s="113"/>
      <c r="M171" s="113"/>
      <c r="N171" s="113"/>
      <c r="P171" s="113"/>
      <c r="Q171" s="113"/>
      <c r="R171" s="113"/>
      <c r="T171" s="113"/>
      <c r="U171" s="113"/>
      <c r="V171" s="113"/>
    </row>
    <row r="172" customFormat="false" ht="15" hidden="false" customHeight="true" outlineLevel="0" collapsed="false">
      <c r="H172" s="113"/>
      <c r="I172" s="113"/>
      <c r="J172" s="113"/>
      <c r="L172" s="113"/>
      <c r="M172" s="113"/>
      <c r="N172" s="113"/>
      <c r="P172" s="113"/>
      <c r="Q172" s="113"/>
      <c r="R172" s="113"/>
      <c r="T172" s="113"/>
      <c r="U172" s="113"/>
      <c r="V172" s="113"/>
    </row>
    <row r="173" customFormat="false" ht="15" hidden="false" customHeight="true" outlineLevel="0" collapsed="false">
      <c r="H173" s="113"/>
      <c r="I173" s="113"/>
      <c r="J173" s="113"/>
      <c r="L173" s="113"/>
      <c r="M173" s="113"/>
      <c r="N173" s="113"/>
      <c r="P173" s="113"/>
      <c r="Q173" s="113"/>
      <c r="R173" s="113"/>
      <c r="T173" s="113"/>
      <c r="U173" s="113"/>
      <c r="V173" s="113"/>
    </row>
    <row r="174" customFormat="false" ht="15" hidden="false" customHeight="true" outlineLevel="0" collapsed="false">
      <c r="H174" s="113"/>
      <c r="I174" s="113"/>
      <c r="J174" s="113"/>
      <c r="L174" s="113"/>
      <c r="M174" s="113"/>
      <c r="N174" s="113"/>
      <c r="P174" s="113"/>
      <c r="Q174" s="113"/>
      <c r="R174" s="113"/>
      <c r="T174" s="113"/>
      <c r="U174" s="113"/>
      <c r="V174" s="113"/>
    </row>
    <row r="175" customFormat="false" ht="15" hidden="false" customHeight="true" outlineLevel="0" collapsed="false">
      <c r="H175" s="113"/>
      <c r="I175" s="113"/>
      <c r="J175" s="113"/>
      <c r="L175" s="113"/>
      <c r="M175" s="113"/>
      <c r="N175" s="113"/>
      <c r="P175" s="113"/>
      <c r="Q175" s="113"/>
      <c r="R175" s="113"/>
      <c r="T175" s="113"/>
      <c r="U175" s="113"/>
      <c r="V175" s="113"/>
    </row>
    <row r="176" customFormat="false" ht="15" hidden="false" customHeight="true" outlineLevel="0" collapsed="false">
      <c r="H176" s="113"/>
      <c r="I176" s="113"/>
      <c r="J176" s="113"/>
      <c r="L176" s="113"/>
      <c r="M176" s="113"/>
      <c r="N176" s="113"/>
      <c r="P176" s="113"/>
      <c r="Q176" s="113"/>
      <c r="R176" s="113"/>
      <c r="T176" s="113"/>
      <c r="U176" s="113"/>
      <c r="V176" s="113"/>
    </row>
    <row r="177" customFormat="false" ht="15" hidden="false" customHeight="true" outlineLevel="0" collapsed="false">
      <c r="H177" s="113"/>
      <c r="I177" s="113"/>
      <c r="J177" s="113"/>
      <c r="L177" s="113"/>
      <c r="M177" s="113"/>
      <c r="N177" s="113"/>
      <c r="P177" s="113"/>
      <c r="Q177" s="113"/>
      <c r="R177" s="113"/>
      <c r="T177" s="113"/>
      <c r="U177" s="113"/>
      <c r="V177" s="113"/>
    </row>
    <row r="178" customFormat="false" ht="15" hidden="false" customHeight="true" outlineLevel="0" collapsed="false">
      <c r="H178" s="113"/>
      <c r="I178" s="113"/>
      <c r="J178" s="113"/>
      <c r="L178" s="113"/>
      <c r="M178" s="113"/>
      <c r="N178" s="113"/>
      <c r="P178" s="113"/>
      <c r="Q178" s="113"/>
      <c r="R178" s="113"/>
      <c r="T178" s="113"/>
      <c r="U178" s="113"/>
      <c r="V178" s="113"/>
    </row>
    <row r="179" customFormat="false" ht="15" hidden="false" customHeight="true" outlineLevel="0" collapsed="false">
      <c r="H179" s="113"/>
      <c r="I179" s="113"/>
      <c r="J179" s="113"/>
      <c r="L179" s="113"/>
      <c r="M179" s="113"/>
      <c r="N179" s="113"/>
      <c r="P179" s="113"/>
      <c r="Q179" s="113"/>
      <c r="R179" s="113"/>
      <c r="T179" s="113"/>
      <c r="U179" s="113"/>
      <c r="V179" s="113"/>
    </row>
    <row r="180" customFormat="false" ht="15" hidden="false" customHeight="true" outlineLevel="0" collapsed="false">
      <c r="H180" s="113"/>
      <c r="I180" s="113"/>
      <c r="J180" s="113"/>
      <c r="L180" s="113"/>
      <c r="M180" s="113"/>
      <c r="N180" s="113"/>
      <c r="P180" s="113"/>
      <c r="Q180" s="113"/>
      <c r="R180" s="113"/>
      <c r="T180" s="113"/>
      <c r="U180" s="113"/>
      <c r="V180" s="113"/>
    </row>
    <row r="181" customFormat="false" ht="15" hidden="false" customHeight="true" outlineLevel="0" collapsed="false">
      <c r="H181" s="113"/>
      <c r="I181" s="113"/>
      <c r="J181" s="113"/>
      <c r="L181" s="113"/>
      <c r="M181" s="113"/>
      <c r="N181" s="113"/>
      <c r="P181" s="113"/>
      <c r="Q181" s="113"/>
      <c r="R181" s="113"/>
      <c r="T181" s="113"/>
      <c r="U181" s="113"/>
      <c r="V181" s="113"/>
    </row>
    <row r="182" customFormat="false" ht="15" hidden="false" customHeight="true" outlineLevel="0" collapsed="false">
      <c r="H182" s="113"/>
      <c r="I182" s="113"/>
      <c r="J182" s="113"/>
      <c r="L182" s="113"/>
      <c r="M182" s="113"/>
      <c r="N182" s="113"/>
      <c r="P182" s="113"/>
      <c r="Q182" s="113"/>
      <c r="R182" s="113"/>
      <c r="T182" s="113"/>
      <c r="U182" s="113"/>
      <c r="V182" s="113"/>
    </row>
    <row r="183" customFormat="false" ht="15" hidden="false" customHeight="true" outlineLevel="0" collapsed="false">
      <c r="H183" s="113"/>
      <c r="I183" s="113"/>
      <c r="J183" s="113"/>
      <c r="L183" s="113"/>
      <c r="M183" s="113"/>
      <c r="N183" s="113"/>
      <c r="P183" s="113"/>
      <c r="Q183" s="113"/>
      <c r="R183" s="113"/>
      <c r="T183" s="113"/>
      <c r="U183" s="113"/>
      <c r="V183" s="113"/>
    </row>
    <row r="184" customFormat="false" ht="15" hidden="false" customHeight="true" outlineLevel="0" collapsed="false">
      <c r="H184" s="113"/>
      <c r="I184" s="113"/>
      <c r="J184" s="113"/>
      <c r="L184" s="113"/>
      <c r="M184" s="113"/>
      <c r="N184" s="113"/>
      <c r="P184" s="113"/>
      <c r="Q184" s="113"/>
      <c r="R184" s="113"/>
      <c r="T184" s="113"/>
      <c r="U184" s="113"/>
      <c r="V184" s="113"/>
    </row>
    <row r="185" customFormat="false" ht="15" hidden="false" customHeight="true" outlineLevel="0" collapsed="false">
      <c r="H185" s="113"/>
      <c r="I185" s="113"/>
      <c r="J185" s="113"/>
      <c r="L185" s="113"/>
      <c r="M185" s="113"/>
      <c r="N185" s="113"/>
      <c r="P185" s="113"/>
      <c r="Q185" s="113"/>
      <c r="R185" s="113"/>
      <c r="T185" s="113"/>
      <c r="U185" s="113"/>
      <c r="V185" s="113"/>
    </row>
    <row r="186" customFormat="false" ht="15" hidden="false" customHeight="true" outlineLevel="0" collapsed="false">
      <c r="H186" s="113"/>
      <c r="I186" s="113"/>
      <c r="J186" s="113"/>
      <c r="L186" s="113"/>
      <c r="M186" s="113"/>
      <c r="N186" s="113"/>
      <c r="P186" s="113"/>
      <c r="Q186" s="113"/>
      <c r="R186" s="113"/>
      <c r="T186" s="113"/>
      <c r="U186" s="113"/>
      <c r="V186" s="113"/>
    </row>
    <row r="187" customFormat="false" ht="15" hidden="false" customHeight="true" outlineLevel="0" collapsed="false">
      <c r="H187" s="113"/>
      <c r="I187" s="113"/>
      <c r="J187" s="113"/>
      <c r="L187" s="113"/>
      <c r="M187" s="113"/>
      <c r="N187" s="113"/>
      <c r="P187" s="113"/>
      <c r="Q187" s="113"/>
      <c r="R187" s="113"/>
      <c r="T187" s="113"/>
      <c r="U187" s="113"/>
      <c r="V187" s="113"/>
    </row>
    <row r="188" customFormat="false" ht="15" hidden="false" customHeight="true" outlineLevel="0" collapsed="false">
      <c r="H188" s="113"/>
      <c r="I188" s="113"/>
      <c r="J188" s="113"/>
      <c r="L188" s="113"/>
      <c r="M188" s="113"/>
      <c r="N188" s="113"/>
      <c r="P188" s="113"/>
      <c r="Q188" s="113"/>
      <c r="R188" s="113"/>
      <c r="T188" s="113"/>
      <c r="U188" s="113"/>
      <c r="V188" s="113"/>
    </row>
    <row r="189" customFormat="false" ht="15" hidden="false" customHeight="true" outlineLevel="0" collapsed="false">
      <c r="H189" s="113"/>
      <c r="I189" s="113"/>
      <c r="J189" s="113"/>
      <c r="L189" s="113"/>
      <c r="M189" s="113"/>
      <c r="N189" s="113"/>
      <c r="P189" s="113"/>
      <c r="Q189" s="113"/>
      <c r="R189" s="113"/>
      <c r="T189" s="113"/>
      <c r="U189" s="113"/>
      <c r="V189" s="113"/>
    </row>
    <row r="190" customFormat="false" ht="15" hidden="false" customHeight="true" outlineLevel="0" collapsed="false">
      <c r="H190" s="113"/>
      <c r="I190" s="113"/>
      <c r="J190" s="113"/>
      <c r="L190" s="113"/>
      <c r="M190" s="113"/>
      <c r="N190" s="113"/>
      <c r="P190" s="113"/>
      <c r="Q190" s="113"/>
      <c r="R190" s="113"/>
      <c r="T190" s="113"/>
      <c r="U190" s="113"/>
      <c r="V190" s="113"/>
    </row>
    <row r="191" customFormat="false" ht="15" hidden="false" customHeight="true" outlineLevel="0" collapsed="false">
      <c r="H191" s="113"/>
      <c r="I191" s="113"/>
      <c r="J191" s="113"/>
      <c r="L191" s="113"/>
      <c r="M191" s="113"/>
      <c r="N191" s="113"/>
      <c r="P191" s="113"/>
      <c r="Q191" s="113"/>
      <c r="R191" s="113"/>
      <c r="T191" s="113"/>
      <c r="U191" s="113"/>
      <c r="V191" s="113"/>
    </row>
    <row r="192" customFormat="false" ht="15" hidden="false" customHeight="true" outlineLevel="0" collapsed="false">
      <c r="H192" s="113"/>
      <c r="I192" s="113"/>
      <c r="J192" s="113"/>
      <c r="L192" s="113"/>
      <c r="M192" s="113"/>
      <c r="N192" s="113"/>
      <c r="P192" s="113"/>
      <c r="Q192" s="113"/>
      <c r="R192" s="113"/>
      <c r="T192" s="113"/>
      <c r="U192" s="113"/>
      <c r="V192" s="113"/>
    </row>
    <row r="193" customFormat="false" ht="15" hidden="false" customHeight="true" outlineLevel="0" collapsed="false">
      <c r="H193" s="113"/>
      <c r="I193" s="113"/>
      <c r="J193" s="113"/>
      <c r="L193" s="113"/>
      <c r="M193" s="113"/>
      <c r="N193" s="113"/>
      <c r="P193" s="113"/>
      <c r="Q193" s="113"/>
      <c r="R193" s="113"/>
      <c r="T193" s="113"/>
      <c r="U193" s="113"/>
      <c r="V193" s="113"/>
    </row>
    <row r="194" customFormat="false" ht="15" hidden="false" customHeight="true" outlineLevel="0" collapsed="false">
      <c r="H194" s="113"/>
      <c r="I194" s="113"/>
      <c r="J194" s="113"/>
      <c r="L194" s="113"/>
      <c r="M194" s="113"/>
      <c r="N194" s="113"/>
      <c r="P194" s="113"/>
      <c r="Q194" s="113"/>
      <c r="R194" s="113"/>
      <c r="T194" s="113"/>
      <c r="U194" s="113"/>
      <c r="V194" s="113"/>
    </row>
    <row r="195" customFormat="false" ht="15" hidden="false" customHeight="true" outlineLevel="0" collapsed="false">
      <c r="H195" s="113"/>
      <c r="I195" s="113"/>
      <c r="J195" s="113"/>
      <c r="L195" s="113"/>
      <c r="M195" s="113"/>
      <c r="N195" s="113"/>
      <c r="P195" s="113"/>
      <c r="Q195" s="113"/>
      <c r="R195" s="113"/>
      <c r="T195" s="113"/>
      <c r="U195" s="113"/>
      <c r="V195" s="113"/>
    </row>
    <row r="196" customFormat="false" ht="15" hidden="false" customHeight="true" outlineLevel="0" collapsed="false">
      <c r="H196" s="113"/>
      <c r="I196" s="113"/>
      <c r="J196" s="113"/>
      <c r="L196" s="113"/>
      <c r="M196" s="113"/>
      <c r="N196" s="113"/>
      <c r="P196" s="113"/>
      <c r="Q196" s="113"/>
      <c r="R196" s="113"/>
      <c r="T196" s="113"/>
      <c r="U196" s="113"/>
      <c r="V196" s="113"/>
    </row>
    <row r="197" customFormat="false" ht="15" hidden="false" customHeight="true" outlineLevel="0" collapsed="false">
      <c r="H197" s="113"/>
      <c r="I197" s="113"/>
      <c r="J197" s="113"/>
      <c r="L197" s="113"/>
      <c r="M197" s="113"/>
      <c r="N197" s="113"/>
      <c r="P197" s="113"/>
      <c r="Q197" s="113"/>
      <c r="R197" s="113"/>
      <c r="T197" s="113"/>
      <c r="U197" s="113"/>
      <c r="V197" s="113"/>
    </row>
    <row r="198" customFormat="false" ht="15" hidden="false" customHeight="true" outlineLevel="0" collapsed="false">
      <c r="H198" s="113"/>
      <c r="I198" s="113"/>
      <c r="J198" s="113"/>
      <c r="L198" s="113"/>
      <c r="M198" s="113"/>
      <c r="N198" s="113"/>
      <c r="P198" s="113"/>
      <c r="Q198" s="113"/>
      <c r="R198" s="113"/>
      <c r="T198" s="113"/>
      <c r="U198" s="113"/>
      <c r="V198" s="113"/>
    </row>
    <row r="199" customFormat="false" ht="15" hidden="false" customHeight="true" outlineLevel="0" collapsed="false">
      <c r="H199" s="113"/>
      <c r="I199" s="113"/>
      <c r="J199" s="113"/>
      <c r="L199" s="113"/>
      <c r="M199" s="113"/>
      <c r="N199" s="113"/>
      <c r="P199" s="113"/>
      <c r="Q199" s="113"/>
      <c r="R199" s="113"/>
      <c r="T199" s="113"/>
      <c r="U199" s="113"/>
      <c r="V199" s="113"/>
    </row>
    <row r="200" customFormat="false" ht="15" hidden="false" customHeight="true" outlineLevel="0" collapsed="false">
      <c r="H200" s="113"/>
      <c r="I200" s="113"/>
      <c r="J200" s="113"/>
      <c r="L200" s="113"/>
      <c r="M200" s="113"/>
      <c r="N200" s="113"/>
      <c r="P200" s="113"/>
      <c r="Q200" s="113"/>
      <c r="R200" s="113"/>
      <c r="T200" s="113"/>
      <c r="U200" s="113"/>
      <c r="V200" s="113"/>
    </row>
    <row r="201" customFormat="false" ht="15" hidden="false" customHeight="true" outlineLevel="0" collapsed="false">
      <c r="H201" s="113"/>
      <c r="I201" s="113"/>
      <c r="J201" s="113"/>
      <c r="L201" s="113"/>
      <c r="M201" s="113"/>
      <c r="N201" s="113"/>
      <c r="P201" s="113"/>
      <c r="Q201" s="113"/>
      <c r="R201" s="113"/>
      <c r="T201" s="113"/>
      <c r="U201" s="113"/>
      <c r="V201" s="113"/>
    </row>
    <row r="202" customFormat="false" ht="15" hidden="false" customHeight="true" outlineLevel="0" collapsed="false">
      <c r="H202" s="113"/>
      <c r="I202" s="113"/>
      <c r="J202" s="113"/>
      <c r="L202" s="113"/>
      <c r="M202" s="113"/>
      <c r="N202" s="113"/>
      <c r="P202" s="113"/>
      <c r="Q202" s="113"/>
      <c r="R202" s="113"/>
      <c r="T202" s="113"/>
      <c r="U202" s="113"/>
      <c r="V202" s="113"/>
    </row>
    <row r="203" customFormat="false" ht="15" hidden="false" customHeight="true" outlineLevel="0" collapsed="false">
      <c r="H203" s="113"/>
      <c r="I203" s="113"/>
      <c r="J203" s="113"/>
      <c r="L203" s="113"/>
      <c r="M203" s="113"/>
      <c r="N203" s="113"/>
      <c r="P203" s="113"/>
      <c r="Q203" s="113"/>
      <c r="R203" s="113"/>
      <c r="T203" s="113"/>
      <c r="U203" s="113"/>
      <c r="V203" s="113"/>
    </row>
    <row r="204" customFormat="false" ht="15" hidden="false" customHeight="true" outlineLevel="0" collapsed="false">
      <c r="H204" s="113"/>
      <c r="I204" s="113"/>
      <c r="J204" s="113"/>
      <c r="L204" s="113"/>
      <c r="M204" s="113"/>
      <c r="N204" s="113"/>
      <c r="P204" s="113"/>
      <c r="Q204" s="113"/>
      <c r="R204" s="113"/>
      <c r="T204" s="113"/>
      <c r="U204" s="113"/>
      <c r="V204" s="113"/>
    </row>
    <row r="205" customFormat="false" ht="15" hidden="false" customHeight="true" outlineLevel="0" collapsed="false">
      <c r="H205" s="113"/>
      <c r="I205" s="113"/>
      <c r="J205" s="113"/>
      <c r="L205" s="113"/>
      <c r="M205" s="113"/>
      <c r="N205" s="113"/>
      <c r="P205" s="113"/>
      <c r="Q205" s="113"/>
      <c r="R205" s="113"/>
      <c r="T205" s="113"/>
      <c r="U205" s="113"/>
      <c r="V205" s="113"/>
    </row>
    <row r="206" customFormat="false" ht="15" hidden="false" customHeight="true" outlineLevel="0" collapsed="false">
      <c r="H206" s="113"/>
      <c r="I206" s="113"/>
      <c r="J206" s="113"/>
      <c r="L206" s="113"/>
      <c r="M206" s="113"/>
      <c r="N206" s="113"/>
      <c r="P206" s="113"/>
      <c r="Q206" s="113"/>
      <c r="R206" s="113"/>
      <c r="T206" s="113"/>
      <c r="U206" s="113"/>
      <c r="V206" s="113"/>
    </row>
    <row r="207" customFormat="false" ht="15" hidden="false" customHeight="true" outlineLevel="0" collapsed="false">
      <c r="H207" s="113"/>
      <c r="I207" s="113"/>
      <c r="J207" s="113"/>
      <c r="L207" s="113"/>
      <c r="M207" s="113"/>
      <c r="N207" s="113"/>
      <c r="P207" s="113"/>
      <c r="Q207" s="113"/>
      <c r="R207" s="113"/>
      <c r="T207" s="113"/>
      <c r="U207" s="113"/>
      <c r="V207" s="113"/>
    </row>
    <row r="208" customFormat="false" ht="15" hidden="false" customHeight="true" outlineLevel="0" collapsed="false">
      <c r="H208" s="113"/>
      <c r="I208" s="113"/>
      <c r="J208" s="113"/>
      <c r="L208" s="113"/>
      <c r="M208" s="113"/>
      <c r="N208" s="113"/>
      <c r="P208" s="113"/>
      <c r="Q208" s="113"/>
      <c r="R208" s="113"/>
      <c r="T208" s="113"/>
      <c r="U208" s="113"/>
      <c r="V208" s="113"/>
    </row>
    <row r="209" customFormat="false" ht="15" hidden="false" customHeight="true" outlineLevel="0" collapsed="false">
      <c r="H209" s="113"/>
      <c r="I209" s="113"/>
      <c r="J209" s="113"/>
      <c r="L209" s="113"/>
      <c r="M209" s="113"/>
      <c r="N209" s="113"/>
      <c r="P209" s="113"/>
      <c r="Q209" s="113"/>
      <c r="R209" s="113"/>
      <c r="T209" s="113"/>
      <c r="U209" s="113"/>
      <c r="V209" s="113"/>
    </row>
    <row r="210" customFormat="false" ht="15" hidden="false" customHeight="true" outlineLevel="0" collapsed="false">
      <c r="H210" s="113"/>
      <c r="I210" s="113"/>
      <c r="J210" s="113"/>
      <c r="L210" s="113"/>
      <c r="M210" s="113"/>
      <c r="N210" s="113"/>
      <c r="P210" s="113"/>
      <c r="Q210" s="113"/>
      <c r="R210" s="113"/>
      <c r="T210" s="113"/>
      <c r="U210" s="113"/>
      <c r="V210" s="113"/>
    </row>
    <row r="211" customFormat="false" ht="15" hidden="false" customHeight="true" outlineLevel="0" collapsed="false">
      <c r="H211" s="113"/>
      <c r="I211" s="113"/>
      <c r="J211" s="113"/>
      <c r="L211" s="113"/>
      <c r="M211" s="113"/>
      <c r="N211" s="113"/>
      <c r="P211" s="113"/>
      <c r="Q211" s="113"/>
      <c r="R211" s="113"/>
      <c r="T211" s="113"/>
      <c r="U211" s="113"/>
      <c r="V211" s="113"/>
    </row>
    <row r="212" customFormat="false" ht="15" hidden="false" customHeight="true" outlineLevel="0" collapsed="false">
      <c r="H212" s="113"/>
      <c r="I212" s="113"/>
      <c r="J212" s="113"/>
      <c r="L212" s="113"/>
      <c r="M212" s="113"/>
      <c r="N212" s="113"/>
      <c r="P212" s="113"/>
      <c r="Q212" s="113"/>
      <c r="R212" s="113"/>
      <c r="T212" s="113"/>
      <c r="U212" s="113"/>
      <c r="V212" s="113"/>
    </row>
    <row r="213" customFormat="false" ht="15" hidden="false" customHeight="true" outlineLevel="0" collapsed="false">
      <c r="H213" s="113"/>
      <c r="I213" s="113"/>
      <c r="J213" s="113"/>
      <c r="L213" s="113"/>
      <c r="M213" s="113"/>
      <c r="N213" s="113"/>
      <c r="P213" s="113"/>
      <c r="Q213" s="113"/>
      <c r="R213" s="113"/>
      <c r="T213" s="113"/>
      <c r="U213" s="113"/>
      <c r="V213" s="113"/>
    </row>
    <row r="214" customFormat="false" ht="15" hidden="false" customHeight="true" outlineLevel="0" collapsed="false">
      <c r="H214" s="113"/>
      <c r="I214" s="113"/>
      <c r="J214" s="113"/>
      <c r="L214" s="113"/>
      <c r="M214" s="113"/>
      <c r="N214" s="113"/>
      <c r="P214" s="113"/>
      <c r="Q214" s="113"/>
      <c r="R214" s="113"/>
      <c r="T214" s="113"/>
      <c r="U214" s="113"/>
      <c r="V214" s="113"/>
    </row>
    <row r="215" customFormat="false" ht="15" hidden="false" customHeight="true" outlineLevel="0" collapsed="false">
      <c r="H215" s="113"/>
      <c r="I215" s="113"/>
      <c r="J215" s="113"/>
      <c r="L215" s="113"/>
      <c r="M215" s="113"/>
      <c r="N215" s="113"/>
      <c r="P215" s="113"/>
      <c r="Q215" s="113"/>
      <c r="R215" s="113"/>
      <c r="T215" s="113"/>
      <c r="U215" s="113"/>
      <c r="V215" s="113"/>
    </row>
    <row r="216" customFormat="false" ht="15" hidden="false" customHeight="true" outlineLevel="0" collapsed="false">
      <c r="H216" s="113"/>
      <c r="I216" s="113"/>
      <c r="J216" s="113"/>
      <c r="L216" s="113"/>
      <c r="M216" s="113"/>
      <c r="N216" s="113"/>
      <c r="P216" s="113"/>
      <c r="Q216" s="113"/>
      <c r="R216" s="113"/>
      <c r="T216" s="113"/>
      <c r="U216" s="113"/>
      <c r="V216" s="113"/>
    </row>
    <row r="217" customFormat="false" ht="15" hidden="false" customHeight="true" outlineLevel="0" collapsed="false">
      <c r="H217" s="113"/>
      <c r="I217" s="113"/>
      <c r="J217" s="113"/>
      <c r="L217" s="113"/>
      <c r="M217" s="113"/>
      <c r="N217" s="113"/>
      <c r="P217" s="113"/>
      <c r="Q217" s="113"/>
      <c r="R217" s="113"/>
      <c r="T217" s="113"/>
      <c r="U217" s="113"/>
      <c r="V217" s="113"/>
    </row>
    <row r="218" customFormat="false" ht="15" hidden="false" customHeight="true" outlineLevel="0" collapsed="false">
      <c r="H218" s="113"/>
      <c r="I218" s="113"/>
      <c r="J218" s="113"/>
      <c r="L218" s="113"/>
      <c r="M218" s="113"/>
      <c r="N218" s="113"/>
      <c r="P218" s="113"/>
      <c r="Q218" s="113"/>
      <c r="R218" s="113"/>
      <c r="T218" s="113"/>
      <c r="U218" s="113"/>
      <c r="V218" s="113"/>
    </row>
    <row r="219" customFormat="false" ht="15" hidden="false" customHeight="true" outlineLevel="0" collapsed="false">
      <c r="H219" s="113"/>
      <c r="I219" s="113"/>
      <c r="J219" s="113"/>
      <c r="L219" s="113"/>
      <c r="M219" s="113"/>
      <c r="N219" s="113"/>
      <c r="P219" s="113"/>
      <c r="Q219" s="113"/>
      <c r="R219" s="113"/>
      <c r="T219" s="113"/>
      <c r="U219" s="113"/>
      <c r="V219" s="113"/>
    </row>
    <row r="220" customFormat="false" ht="15" hidden="false" customHeight="true" outlineLevel="0" collapsed="false">
      <c r="H220" s="113"/>
      <c r="I220" s="113"/>
      <c r="J220" s="113"/>
      <c r="L220" s="113"/>
      <c r="M220" s="113"/>
      <c r="N220" s="113"/>
      <c r="P220" s="113"/>
      <c r="Q220" s="113"/>
      <c r="R220" s="113"/>
      <c r="T220" s="113"/>
      <c r="U220" s="113"/>
      <c r="V220" s="113"/>
    </row>
    <row r="221" customFormat="false" ht="15" hidden="false" customHeight="true" outlineLevel="0" collapsed="false">
      <c r="H221" s="113"/>
      <c r="I221" s="113"/>
      <c r="J221" s="113"/>
      <c r="L221" s="113"/>
      <c r="M221" s="113"/>
      <c r="N221" s="113"/>
      <c r="P221" s="113"/>
      <c r="Q221" s="113"/>
      <c r="R221" s="113"/>
      <c r="T221" s="113"/>
      <c r="U221" s="113"/>
      <c r="V221" s="113"/>
    </row>
    <row r="222" customFormat="false" ht="15" hidden="false" customHeight="true" outlineLevel="0" collapsed="false">
      <c r="H222" s="113"/>
      <c r="I222" s="113"/>
      <c r="J222" s="113"/>
      <c r="L222" s="113"/>
      <c r="M222" s="113"/>
      <c r="N222" s="113"/>
      <c r="P222" s="113"/>
      <c r="Q222" s="113"/>
      <c r="R222" s="113"/>
      <c r="T222" s="113"/>
      <c r="U222" s="113"/>
      <c r="V222" s="113"/>
    </row>
    <row r="223" customFormat="false" ht="15" hidden="false" customHeight="true" outlineLevel="0" collapsed="false">
      <c r="H223" s="113"/>
      <c r="I223" s="113"/>
      <c r="J223" s="113"/>
      <c r="L223" s="113"/>
      <c r="M223" s="113"/>
      <c r="N223" s="113"/>
      <c r="P223" s="113"/>
      <c r="Q223" s="113"/>
      <c r="R223" s="113"/>
      <c r="T223" s="113"/>
      <c r="U223" s="113"/>
      <c r="V223" s="113"/>
    </row>
    <row r="224" customFormat="false" ht="15" hidden="false" customHeight="true" outlineLevel="0" collapsed="false">
      <c r="H224" s="113"/>
      <c r="I224" s="113"/>
      <c r="J224" s="113"/>
      <c r="L224" s="113"/>
      <c r="M224" s="113"/>
      <c r="N224" s="113"/>
      <c r="P224" s="113"/>
      <c r="Q224" s="113"/>
      <c r="R224" s="113"/>
      <c r="T224" s="113"/>
      <c r="U224" s="113"/>
      <c r="V224" s="113"/>
    </row>
    <row r="225" customFormat="false" ht="15" hidden="false" customHeight="true" outlineLevel="0" collapsed="false">
      <c r="H225" s="113"/>
      <c r="I225" s="113"/>
      <c r="J225" s="113"/>
      <c r="L225" s="113"/>
      <c r="M225" s="113"/>
      <c r="N225" s="113"/>
      <c r="P225" s="113"/>
      <c r="Q225" s="113"/>
      <c r="R225" s="113"/>
      <c r="T225" s="113"/>
      <c r="U225" s="113"/>
      <c r="V225" s="113"/>
    </row>
    <row r="226" customFormat="false" ht="15" hidden="false" customHeight="true" outlineLevel="0" collapsed="false">
      <c r="H226" s="113"/>
      <c r="I226" s="113"/>
      <c r="J226" s="113"/>
      <c r="L226" s="113"/>
      <c r="M226" s="113"/>
      <c r="N226" s="113"/>
      <c r="P226" s="113"/>
      <c r="Q226" s="113"/>
      <c r="R226" s="113"/>
      <c r="T226" s="113"/>
      <c r="U226" s="113"/>
      <c r="V226" s="113"/>
    </row>
    <row r="227" customFormat="false" ht="15" hidden="false" customHeight="true" outlineLevel="0" collapsed="false">
      <c r="H227" s="113"/>
      <c r="I227" s="113"/>
      <c r="J227" s="113"/>
      <c r="L227" s="113"/>
      <c r="M227" s="113"/>
      <c r="N227" s="113"/>
      <c r="P227" s="113"/>
      <c r="Q227" s="113"/>
      <c r="R227" s="113"/>
      <c r="T227" s="113"/>
      <c r="U227" s="113"/>
      <c r="V227" s="113"/>
    </row>
    <row r="228" customFormat="false" ht="15" hidden="false" customHeight="true" outlineLevel="0" collapsed="false">
      <c r="H228" s="113"/>
      <c r="I228" s="113"/>
      <c r="J228" s="113"/>
      <c r="L228" s="113"/>
      <c r="M228" s="113"/>
      <c r="N228" s="113"/>
      <c r="P228" s="113"/>
      <c r="Q228" s="113"/>
      <c r="R228" s="113"/>
      <c r="T228" s="113"/>
      <c r="U228" s="113"/>
      <c r="V228" s="113"/>
    </row>
    <row r="229" customFormat="false" ht="15" hidden="false" customHeight="true" outlineLevel="0" collapsed="false">
      <c r="H229" s="113"/>
      <c r="I229" s="113"/>
      <c r="J229" s="113"/>
      <c r="L229" s="113"/>
      <c r="M229" s="113"/>
      <c r="N229" s="113"/>
      <c r="P229" s="113"/>
      <c r="Q229" s="113"/>
      <c r="R229" s="113"/>
      <c r="T229" s="113"/>
      <c r="U229" s="113"/>
      <c r="V229" s="113"/>
    </row>
    <row r="230" customFormat="false" ht="15" hidden="false" customHeight="true" outlineLevel="0" collapsed="false">
      <c r="H230" s="113"/>
      <c r="I230" s="113"/>
      <c r="J230" s="113"/>
      <c r="L230" s="113"/>
      <c r="M230" s="113"/>
      <c r="N230" s="113"/>
      <c r="P230" s="113"/>
      <c r="Q230" s="113"/>
      <c r="R230" s="113"/>
      <c r="T230" s="113"/>
      <c r="U230" s="113"/>
      <c r="V230" s="113"/>
    </row>
    <row r="231" customFormat="false" ht="15" hidden="false" customHeight="true" outlineLevel="0" collapsed="false">
      <c r="H231" s="113"/>
      <c r="I231" s="113"/>
      <c r="J231" s="113"/>
      <c r="L231" s="113"/>
      <c r="M231" s="113"/>
      <c r="N231" s="113"/>
      <c r="P231" s="113"/>
      <c r="Q231" s="113"/>
      <c r="R231" s="113"/>
      <c r="T231" s="113"/>
      <c r="U231" s="113"/>
      <c r="V231" s="113"/>
    </row>
    <row r="232" customFormat="false" ht="15" hidden="false" customHeight="true" outlineLevel="0" collapsed="false">
      <c r="H232" s="113"/>
      <c r="I232" s="113"/>
      <c r="J232" s="113"/>
      <c r="L232" s="113"/>
      <c r="M232" s="113"/>
      <c r="N232" s="113"/>
      <c r="P232" s="113"/>
      <c r="Q232" s="113"/>
      <c r="R232" s="113"/>
      <c r="T232" s="113"/>
      <c r="U232" s="113"/>
      <c r="V232" s="113"/>
    </row>
    <row r="233" customFormat="false" ht="15" hidden="false" customHeight="true" outlineLevel="0" collapsed="false">
      <c r="H233" s="113"/>
      <c r="I233" s="113"/>
      <c r="J233" s="113"/>
      <c r="L233" s="113"/>
      <c r="M233" s="113"/>
      <c r="N233" s="113"/>
      <c r="P233" s="113"/>
      <c r="Q233" s="113"/>
      <c r="R233" s="113"/>
      <c r="T233" s="113"/>
      <c r="U233" s="113"/>
      <c r="V233" s="113"/>
    </row>
    <row r="234" customFormat="false" ht="15" hidden="false" customHeight="true" outlineLevel="0" collapsed="false">
      <c r="H234" s="113"/>
      <c r="I234" s="113"/>
      <c r="J234" s="113"/>
      <c r="L234" s="113"/>
      <c r="M234" s="113"/>
      <c r="N234" s="113"/>
      <c r="P234" s="113"/>
      <c r="Q234" s="113"/>
      <c r="R234" s="113"/>
      <c r="T234" s="113"/>
      <c r="U234" s="113"/>
      <c r="V234" s="113"/>
    </row>
    <row r="235" customFormat="false" ht="15" hidden="false" customHeight="true" outlineLevel="0" collapsed="false">
      <c r="H235" s="113"/>
      <c r="I235" s="113"/>
      <c r="J235" s="113"/>
      <c r="L235" s="113"/>
      <c r="M235" s="113"/>
      <c r="N235" s="113"/>
      <c r="P235" s="113"/>
      <c r="Q235" s="113"/>
      <c r="R235" s="113"/>
      <c r="T235" s="113"/>
      <c r="U235" s="113"/>
      <c r="V235" s="113"/>
    </row>
    <row r="236" customFormat="false" ht="15" hidden="false" customHeight="true" outlineLevel="0" collapsed="false">
      <c r="H236" s="113"/>
      <c r="I236" s="113"/>
      <c r="J236" s="113"/>
      <c r="L236" s="113"/>
      <c r="M236" s="113"/>
      <c r="N236" s="113"/>
      <c r="P236" s="113"/>
      <c r="Q236" s="113"/>
      <c r="R236" s="113"/>
      <c r="T236" s="113"/>
      <c r="U236" s="113"/>
      <c r="V236" s="113"/>
    </row>
    <row r="237" customFormat="false" ht="15" hidden="false" customHeight="true" outlineLevel="0" collapsed="false">
      <c r="H237" s="113"/>
      <c r="I237" s="113"/>
      <c r="J237" s="113"/>
      <c r="L237" s="113"/>
      <c r="M237" s="113"/>
      <c r="N237" s="113"/>
      <c r="P237" s="113"/>
      <c r="Q237" s="113"/>
      <c r="R237" s="113"/>
      <c r="T237" s="113"/>
      <c r="U237" s="113"/>
      <c r="V237" s="113"/>
    </row>
    <row r="238" customFormat="false" ht="15" hidden="false" customHeight="true" outlineLevel="0" collapsed="false">
      <c r="H238" s="113"/>
      <c r="I238" s="113"/>
      <c r="J238" s="113"/>
      <c r="L238" s="113"/>
      <c r="M238" s="113"/>
      <c r="N238" s="113"/>
      <c r="P238" s="113"/>
      <c r="Q238" s="113"/>
      <c r="R238" s="113"/>
      <c r="T238" s="113"/>
      <c r="U238" s="113"/>
      <c r="V238" s="113"/>
    </row>
    <row r="239" customFormat="false" ht="15" hidden="false" customHeight="true" outlineLevel="0" collapsed="false">
      <c r="H239" s="113"/>
      <c r="I239" s="113"/>
      <c r="J239" s="113"/>
      <c r="L239" s="113"/>
      <c r="M239" s="113"/>
      <c r="N239" s="113"/>
      <c r="P239" s="113"/>
      <c r="Q239" s="113"/>
      <c r="R239" s="113"/>
      <c r="T239" s="113"/>
      <c r="U239" s="113"/>
      <c r="V239" s="113"/>
    </row>
    <row r="240" customFormat="false" ht="15" hidden="false" customHeight="true" outlineLevel="0" collapsed="false">
      <c r="H240" s="113"/>
      <c r="I240" s="113"/>
      <c r="J240" s="113"/>
      <c r="L240" s="113"/>
      <c r="M240" s="113"/>
      <c r="N240" s="113"/>
      <c r="P240" s="113"/>
      <c r="Q240" s="113"/>
      <c r="R240" s="113"/>
      <c r="T240" s="113"/>
      <c r="U240" s="113"/>
      <c r="V240" s="113"/>
    </row>
    <row r="241" customFormat="false" ht="15" hidden="false" customHeight="true" outlineLevel="0" collapsed="false">
      <c r="H241" s="113"/>
      <c r="I241" s="113"/>
      <c r="J241" s="113"/>
      <c r="L241" s="113"/>
      <c r="M241" s="113"/>
      <c r="N241" s="113"/>
      <c r="P241" s="113"/>
      <c r="Q241" s="113"/>
      <c r="R241" s="113"/>
      <c r="T241" s="113"/>
      <c r="U241" s="113"/>
      <c r="V241" s="113"/>
    </row>
    <row r="242" customFormat="false" ht="15" hidden="false" customHeight="true" outlineLevel="0" collapsed="false">
      <c r="H242" s="113"/>
      <c r="I242" s="113"/>
      <c r="J242" s="113"/>
      <c r="L242" s="113"/>
      <c r="M242" s="113"/>
      <c r="N242" s="113"/>
      <c r="P242" s="113"/>
      <c r="Q242" s="113"/>
      <c r="R242" s="113"/>
      <c r="T242" s="113"/>
      <c r="U242" s="113"/>
      <c r="V242" s="113"/>
    </row>
    <row r="243" customFormat="false" ht="15" hidden="false" customHeight="true" outlineLevel="0" collapsed="false">
      <c r="H243" s="113"/>
      <c r="I243" s="113"/>
      <c r="J243" s="113"/>
      <c r="L243" s="113"/>
      <c r="M243" s="113"/>
      <c r="N243" s="113"/>
      <c r="P243" s="113"/>
      <c r="Q243" s="113"/>
      <c r="R243" s="113"/>
      <c r="T243" s="113"/>
      <c r="U243" s="113"/>
      <c r="V243" s="113"/>
    </row>
    <row r="244" customFormat="false" ht="15" hidden="false" customHeight="true" outlineLevel="0" collapsed="false">
      <c r="H244" s="113"/>
      <c r="I244" s="113"/>
      <c r="J244" s="113"/>
      <c r="L244" s="113"/>
      <c r="M244" s="113"/>
      <c r="N244" s="113"/>
      <c r="P244" s="113"/>
      <c r="Q244" s="113"/>
      <c r="R244" s="113"/>
      <c r="T244" s="113"/>
      <c r="U244" s="113"/>
      <c r="V244" s="113"/>
    </row>
    <row r="245" customFormat="false" ht="15" hidden="false" customHeight="true" outlineLevel="0" collapsed="false">
      <c r="H245" s="113"/>
      <c r="I245" s="113"/>
      <c r="J245" s="113"/>
      <c r="L245" s="113"/>
      <c r="M245" s="113"/>
      <c r="N245" s="113"/>
      <c r="P245" s="113"/>
      <c r="Q245" s="113"/>
      <c r="R245" s="113"/>
      <c r="T245" s="113"/>
      <c r="U245" s="113"/>
      <c r="V245" s="113"/>
    </row>
    <row r="246" customFormat="false" ht="15" hidden="false" customHeight="true" outlineLevel="0" collapsed="false">
      <c r="H246" s="113"/>
      <c r="I246" s="113"/>
      <c r="J246" s="113"/>
      <c r="L246" s="113"/>
      <c r="M246" s="113"/>
      <c r="N246" s="113"/>
      <c r="P246" s="113"/>
      <c r="Q246" s="113"/>
      <c r="R246" s="113"/>
      <c r="T246" s="113"/>
      <c r="U246" s="113"/>
      <c r="V246" s="113"/>
    </row>
    <row r="247" customFormat="false" ht="15" hidden="false" customHeight="true" outlineLevel="0" collapsed="false">
      <c r="H247" s="113"/>
      <c r="I247" s="113"/>
      <c r="J247" s="113"/>
      <c r="L247" s="113"/>
      <c r="M247" s="113"/>
      <c r="N247" s="113"/>
      <c r="P247" s="113"/>
      <c r="Q247" s="113"/>
      <c r="R247" s="113"/>
      <c r="T247" s="113"/>
      <c r="U247" s="113"/>
      <c r="V247" s="113"/>
    </row>
    <row r="248" customFormat="false" ht="15" hidden="false" customHeight="true" outlineLevel="0" collapsed="false">
      <c r="H248" s="113"/>
      <c r="I248" s="113"/>
      <c r="J248" s="113"/>
      <c r="L248" s="113"/>
      <c r="M248" s="113"/>
      <c r="N248" s="113"/>
      <c r="P248" s="113"/>
      <c r="Q248" s="113"/>
      <c r="R248" s="113"/>
      <c r="T248" s="113"/>
      <c r="U248" s="113"/>
      <c r="V248" s="113"/>
    </row>
    <row r="249" customFormat="false" ht="15" hidden="false" customHeight="true" outlineLevel="0" collapsed="false">
      <c r="H249" s="113"/>
      <c r="I249" s="113"/>
      <c r="J249" s="113"/>
      <c r="L249" s="113"/>
      <c r="M249" s="113"/>
      <c r="N249" s="113"/>
      <c r="P249" s="113"/>
      <c r="Q249" s="113"/>
      <c r="R249" s="113"/>
      <c r="T249" s="113"/>
      <c r="U249" s="113"/>
      <c r="V249" s="113"/>
    </row>
    <row r="250" customFormat="false" ht="15" hidden="false" customHeight="true" outlineLevel="0" collapsed="false">
      <c r="H250" s="113"/>
      <c r="I250" s="113"/>
      <c r="J250" s="113"/>
      <c r="L250" s="113"/>
      <c r="M250" s="113"/>
      <c r="N250" s="113"/>
      <c r="P250" s="113"/>
      <c r="Q250" s="113"/>
      <c r="R250" s="113"/>
      <c r="T250" s="113"/>
      <c r="U250" s="113"/>
      <c r="V250" s="113"/>
    </row>
    <row r="251" customFormat="false" ht="15" hidden="false" customHeight="true" outlineLevel="0" collapsed="false">
      <c r="H251" s="113"/>
      <c r="I251" s="113"/>
      <c r="J251" s="113"/>
      <c r="L251" s="113"/>
      <c r="M251" s="113"/>
      <c r="N251" s="113"/>
      <c r="P251" s="113"/>
      <c r="Q251" s="113"/>
      <c r="R251" s="113"/>
      <c r="T251" s="113"/>
      <c r="U251" s="113"/>
      <c r="V251" s="113"/>
    </row>
    <row r="252" customFormat="false" ht="15" hidden="false" customHeight="true" outlineLevel="0" collapsed="false">
      <c r="H252" s="113"/>
      <c r="I252" s="113"/>
      <c r="J252" s="113"/>
      <c r="L252" s="113"/>
      <c r="M252" s="113"/>
      <c r="N252" s="113"/>
      <c r="P252" s="113"/>
      <c r="Q252" s="113"/>
      <c r="R252" s="113"/>
      <c r="T252" s="113"/>
      <c r="U252" s="113"/>
      <c r="V252" s="113"/>
    </row>
    <row r="253" customFormat="false" ht="15" hidden="false" customHeight="true" outlineLevel="0" collapsed="false">
      <c r="H253" s="113"/>
      <c r="I253" s="113"/>
      <c r="J253" s="113"/>
      <c r="L253" s="113"/>
      <c r="M253" s="113"/>
      <c r="N253" s="113"/>
      <c r="P253" s="113"/>
      <c r="Q253" s="113"/>
      <c r="R253" s="113"/>
      <c r="T253" s="113"/>
      <c r="U253" s="113"/>
      <c r="V253" s="113"/>
    </row>
    <row r="254" customFormat="false" ht="15" hidden="false" customHeight="true" outlineLevel="0" collapsed="false">
      <c r="H254" s="113"/>
      <c r="I254" s="113"/>
      <c r="J254" s="113"/>
      <c r="L254" s="113"/>
      <c r="M254" s="113"/>
      <c r="N254" s="113"/>
      <c r="P254" s="113"/>
      <c r="Q254" s="113"/>
      <c r="R254" s="113"/>
      <c r="T254" s="113"/>
      <c r="U254" s="113"/>
      <c r="V254" s="113"/>
    </row>
    <row r="255" customFormat="false" ht="15" hidden="false" customHeight="true" outlineLevel="0" collapsed="false">
      <c r="H255" s="113"/>
      <c r="I255" s="113"/>
      <c r="J255" s="113"/>
      <c r="L255" s="113"/>
      <c r="M255" s="113"/>
      <c r="N255" s="113"/>
      <c r="P255" s="113"/>
      <c r="Q255" s="113"/>
      <c r="R255" s="113"/>
      <c r="T255" s="113"/>
      <c r="U255" s="113"/>
      <c r="V255" s="113"/>
    </row>
    <row r="256" customFormat="false" ht="15" hidden="false" customHeight="true" outlineLevel="0" collapsed="false">
      <c r="H256" s="113"/>
      <c r="I256" s="113"/>
      <c r="J256" s="113"/>
      <c r="L256" s="113"/>
      <c r="M256" s="113"/>
      <c r="N256" s="113"/>
      <c r="P256" s="113"/>
      <c r="Q256" s="113"/>
      <c r="R256" s="113"/>
      <c r="T256" s="113"/>
      <c r="U256" s="113"/>
      <c r="V256" s="113"/>
    </row>
    <row r="257" customFormat="false" ht="15" hidden="false" customHeight="true" outlineLevel="0" collapsed="false">
      <c r="H257" s="113"/>
      <c r="I257" s="113"/>
      <c r="J257" s="113"/>
      <c r="L257" s="113"/>
      <c r="M257" s="113"/>
      <c r="N257" s="113"/>
      <c r="P257" s="113"/>
      <c r="Q257" s="113"/>
      <c r="R257" s="113"/>
      <c r="T257" s="113"/>
      <c r="U257" s="113"/>
      <c r="V257" s="113"/>
    </row>
    <row r="258" customFormat="false" ht="15" hidden="false" customHeight="true" outlineLevel="0" collapsed="false">
      <c r="H258" s="113"/>
      <c r="I258" s="113"/>
      <c r="J258" s="113"/>
      <c r="L258" s="113"/>
      <c r="M258" s="113"/>
      <c r="N258" s="113"/>
      <c r="P258" s="113"/>
      <c r="Q258" s="113"/>
      <c r="R258" s="113"/>
      <c r="T258" s="113"/>
      <c r="U258" s="113"/>
      <c r="V258" s="113"/>
    </row>
    <row r="259" customFormat="false" ht="15" hidden="false" customHeight="true" outlineLevel="0" collapsed="false">
      <c r="H259" s="113"/>
      <c r="I259" s="113"/>
      <c r="J259" s="113"/>
      <c r="L259" s="113"/>
      <c r="M259" s="113"/>
      <c r="N259" s="113"/>
      <c r="P259" s="113"/>
      <c r="Q259" s="113"/>
      <c r="R259" s="113"/>
      <c r="T259" s="113"/>
      <c r="U259" s="113"/>
      <c r="V259" s="113"/>
    </row>
    <row r="260" customFormat="false" ht="15" hidden="false" customHeight="true" outlineLevel="0" collapsed="false">
      <c r="H260" s="113"/>
      <c r="I260" s="113"/>
      <c r="J260" s="113"/>
      <c r="L260" s="113"/>
      <c r="M260" s="113"/>
      <c r="N260" s="113"/>
      <c r="P260" s="113"/>
      <c r="Q260" s="113"/>
      <c r="R260" s="113"/>
      <c r="T260" s="113"/>
      <c r="U260" s="113"/>
      <c r="V260" s="113"/>
    </row>
    <row r="261" customFormat="false" ht="15" hidden="false" customHeight="true" outlineLevel="0" collapsed="false">
      <c r="H261" s="113"/>
      <c r="I261" s="113"/>
      <c r="J261" s="113"/>
      <c r="L261" s="113"/>
      <c r="M261" s="113"/>
      <c r="N261" s="113"/>
      <c r="P261" s="113"/>
      <c r="Q261" s="113"/>
      <c r="R261" s="113"/>
      <c r="T261" s="113"/>
      <c r="U261" s="113"/>
      <c r="V261" s="113"/>
    </row>
    <row r="262" customFormat="false" ht="15" hidden="false" customHeight="true" outlineLevel="0" collapsed="false">
      <c r="H262" s="113"/>
      <c r="I262" s="113"/>
      <c r="J262" s="113"/>
      <c r="L262" s="113"/>
      <c r="M262" s="113"/>
      <c r="N262" s="113"/>
      <c r="P262" s="113"/>
      <c r="Q262" s="113"/>
      <c r="R262" s="113"/>
      <c r="T262" s="113"/>
      <c r="U262" s="113"/>
      <c r="V262" s="113"/>
    </row>
    <row r="263" customFormat="false" ht="15" hidden="false" customHeight="true" outlineLevel="0" collapsed="false">
      <c r="H263" s="113"/>
      <c r="I263" s="113"/>
      <c r="J263" s="113"/>
      <c r="L263" s="113"/>
      <c r="M263" s="113"/>
      <c r="N263" s="113"/>
      <c r="P263" s="113"/>
      <c r="Q263" s="113"/>
      <c r="R263" s="113"/>
      <c r="T263" s="113"/>
      <c r="U263" s="113"/>
      <c r="V263" s="113"/>
    </row>
    <row r="264" customFormat="false" ht="15" hidden="false" customHeight="true" outlineLevel="0" collapsed="false">
      <c r="H264" s="113"/>
      <c r="I264" s="113"/>
      <c r="J264" s="113"/>
      <c r="L264" s="113"/>
      <c r="M264" s="113"/>
      <c r="N264" s="113"/>
      <c r="P264" s="113"/>
      <c r="Q264" s="113"/>
      <c r="R264" s="113"/>
      <c r="T264" s="113"/>
      <c r="U264" s="113"/>
      <c r="V264" s="113"/>
    </row>
    <row r="265" customFormat="false" ht="15" hidden="false" customHeight="true" outlineLevel="0" collapsed="false">
      <c r="H265" s="113"/>
      <c r="I265" s="113"/>
      <c r="J265" s="113"/>
      <c r="L265" s="113"/>
      <c r="M265" s="113"/>
      <c r="N265" s="113"/>
      <c r="P265" s="113"/>
      <c r="Q265" s="113"/>
      <c r="R265" s="113"/>
      <c r="T265" s="113"/>
      <c r="U265" s="113"/>
      <c r="V265" s="113"/>
    </row>
    <row r="266" customFormat="false" ht="15" hidden="false" customHeight="true" outlineLevel="0" collapsed="false">
      <c r="H266" s="113"/>
      <c r="I266" s="113"/>
      <c r="J266" s="113"/>
      <c r="L266" s="113"/>
      <c r="M266" s="113"/>
      <c r="N266" s="113"/>
      <c r="P266" s="113"/>
      <c r="Q266" s="113"/>
      <c r="R266" s="113"/>
      <c r="T266" s="113"/>
      <c r="U266" s="113"/>
      <c r="V266" s="113"/>
    </row>
    <row r="267" customFormat="false" ht="15" hidden="false" customHeight="true" outlineLevel="0" collapsed="false">
      <c r="H267" s="113"/>
      <c r="I267" s="113"/>
      <c r="J267" s="113"/>
      <c r="L267" s="113"/>
      <c r="M267" s="113"/>
      <c r="N267" s="113"/>
      <c r="P267" s="113"/>
      <c r="Q267" s="113"/>
      <c r="R267" s="113"/>
      <c r="T267" s="113"/>
      <c r="U267" s="113"/>
      <c r="V267" s="113"/>
    </row>
    <row r="268" customFormat="false" ht="15" hidden="false" customHeight="true" outlineLevel="0" collapsed="false">
      <c r="H268" s="113"/>
      <c r="I268" s="113"/>
      <c r="J268" s="113"/>
      <c r="L268" s="113"/>
      <c r="M268" s="113"/>
      <c r="N268" s="113"/>
      <c r="P268" s="113"/>
      <c r="Q268" s="113"/>
      <c r="R268" s="113"/>
      <c r="T268" s="113"/>
      <c r="U268" s="113"/>
      <c r="V268" s="113"/>
    </row>
    <row r="269" customFormat="false" ht="15" hidden="false" customHeight="true" outlineLevel="0" collapsed="false">
      <c r="H269" s="113"/>
      <c r="I269" s="113"/>
      <c r="J269" s="113"/>
      <c r="L269" s="113"/>
      <c r="M269" s="113"/>
      <c r="N269" s="113"/>
      <c r="P269" s="113"/>
      <c r="Q269" s="113"/>
      <c r="R269" s="113"/>
      <c r="T269" s="113"/>
      <c r="U269" s="113"/>
      <c r="V269" s="113"/>
    </row>
    <row r="270" customFormat="false" ht="15" hidden="false" customHeight="true" outlineLevel="0" collapsed="false">
      <c r="H270" s="113"/>
      <c r="I270" s="113"/>
      <c r="J270" s="113"/>
      <c r="L270" s="113"/>
      <c r="M270" s="113"/>
      <c r="N270" s="113"/>
      <c r="P270" s="113"/>
      <c r="Q270" s="113"/>
      <c r="R270" s="113"/>
      <c r="T270" s="113"/>
      <c r="U270" s="113"/>
      <c r="V270" s="113"/>
    </row>
    <row r="271" customFormat="false" ht="15" hidden="false" customHeight="true" outlineLevel="0" collapsed="false">
      <c r="H271" s="113"/>
      <c r="I271" s="113"/>
      <c r="J271" s="113"/>
      <c r="L271" s="113"/>
      <c r="M271" s="113"/>
      <c r="N271" s="113"/>
      <c r="P271" s="113"/>
      <c r="Q271" s="113"/>
      <c r="R271" s="113"/>
      <c r="T271" s="113"/>
      <c r="U271" s="113"/>
      <c r="V271" s="113"/>
    </row>
    <row r="272" customFormat="false" ht="15" hidden="false" customHeight="true" outlineLevel="0" collapsed="false">
      <c r="H272" s="113"/>
      <c r="I272" s="113"/>
      <c r="J272" s="113"/>
      <c r="L272" s="113"/>
      <c r="M272" s="113"/>
      <c r="N272" s="113"/>
      <c r="P272" s="113"/>
      <c r="Q272" s="113"/>
      <c r="R272" s="113"/>
      <c r="T272" s="113"/>
      <c r="U272" s="113"/>
      <c r="V272" s="113"/>
    </row>
    <row r="273" customFormat="false" ht="15" hidden="false" customHeight="true" outlineLevel="0" collapsed="false">
      <c r="H273" s="113"/>
      <c r="I273" s="113"/>
      <c r="J273" s="113"/>
      <c r="L273" s="113"/>
      <c r="M273" s="113"/>
      <c r="N273" s="113"/>
      <c r="P273" s="113"/>
      <c r="Q273" s="113"/>
      <c r="R273" s="113"/>
      <c r="T273" s="113"/>
      <c r="U273" s="113"/>
      <c r="V273" s="113"/>
    </row>
    <row r="274" customFormat="false" ht="15" hidden="false" customHeight="true" outlineLevel="0" collapsed="false">
      <c r="H274" s="113"/>
      <c r="I274" s="113"/>
      <c r="J274" s="113"/>
      <c r="L274" s="113"/>
      <c r="M274" s="113"/>
      <c r="N274" s="113"/>
      <c r="P274" s="113"/>
      <c r="Q274" s="113"/>
      <c r="R274" s="113"/>
      <c r="T274" s="113"/>
      <c r="U274" s="113"/>
      <c r="V274" s="113"/>
    </row>
    <row r="275" customFormat="false" ht="15" hidden="false" customHeight="true" outlineLevel="0" collapsed="false">
      <c r="H275" s="113"/>
      <c r="I275" s="113"/>
      <c r="J275" s="113"/>
      <c r="L275" s="113"/>
      <c r="M275" s="113"/>
      <c r="N275" s="113"/>
      <c r="P275" s="113"/>
      <c r="Q275" s="113"/>
      <c r="R275" s="113"/>
      <c r="T275" s="113"/>
      <c r="U275" s="113"/>
      <c r="V275" s="113"/>
    </row>
    <row r="276" customFormat="false" ht="15" hidden="false" customHeight="true" outlineLevel="0" collapsed="false">
      <c r="H276" s="113"/>
      <c r="I276" s="113"/>
      <c r="J276" s="113"/>
      <c r="L276" s="113"/>
      <c r="M276" s="113"/>
      <c r="N276" s="113"/>
      <c r="P276" s="113"/>
      <c r="Q276" s="113"/>
      <c r="R276" s="113"/>
      <c r="T276" s="113"/>
      <c r="U276" s="113"/>
      <c r="V276" s="113"/>
    </row>
    <row r="277" customFormat="false" ht="15" hidden="false" customHeight="true" outlineLevel="0" collapsed="false">
      <c r="H277" s="113"/>
      <c r="I277" s="113"/>
      <c r="J277" s="113"/>
      <c r="L277" s="113"/>
      <c r="M277" s="113"/>
      <c r="N277" s="113"/>
      <c r="P277" s="113"/>
      <c r="Q277" s="113"/>
      <c r="R277" s="113"/>
      <c r="T277" s="113"/>
      <c r="U277" s="113"/>
      <c r="V277" s="113"/>
    </row>
    <row r="278" customFormat="false" ht="15" hidden="false" customHeight="true" outlineLevel="0" collapsed="false">
      <c r="H278" s="113"/>
      <c r="I278" s="113"/>
      <c r="J278" s="113"/>
      <c r="L278" s="113"/>
      <c r="M278" s="113"/>
      <c r="N278" s="113"/>
      <c r="P278" s="113"/>
      <c r="Q278" s="113"/>
      <c r="R278" s="113"/>
      <c r="T278" s="113"/>
      <c r="U278" s="113"/>
      <c r="V278" s="113"/>
    </row>
    <row r="279" customFormat="false" ht="15" hidden="false" customHeight="true" outlineLevel="0" collapsed="false">
      <c r="H279" s="113"/>
      <c r="I279" s="113"/>
      <c r="J279" s="113"/>
      <c r="L279" s="113"/>
      <c r="M279" s="113"/>
      <c r="N279" s="113"/>
      <c r="P279" s="113"/>
      <c r="Q279" s="113"/>
      <c r="R279" s="113"/>
      <c r="T279" s="113"/>
      <c r="U279" s="113"/>
      <c r="V279" s="113"/>
    </row>
    <row r="280" customFormat="false" ht="15" hidden="false" customHeight="true" outlineLevel="0" collapsed="false">
      <c r="H280" s="113"/>
      <c r="I280" s="113"/>
      <c r="J280" s="113"/>
      <c r="L280" s="113"/>
      <c r="M280" s="113"/>
      <c r="N280" s="113"/>
      <c r="P280" s="113"/>
      <c r="Q280" s="113"/>
      <c r="R280" s="113"/>
      <c r="T280" s="113"/>
      <c r="U280" s="113"/>
      <c r="V280" s="113"/>
    </row>
    <row r="281" customFormat="false" ht="15" hidden="false" customHeight="true" outlineLevel="0" collapsed="false">
      <c r="H281" s="113"/>
      <c r="I281" s="113"/>
      <c r="J281" s="113"/>
      <c r="L281" s="113"/>
      <c r="M281" s="113"/>
      <c r="N281" s="113"/>
      <c r="P281" s="113"/>
      <c r="Q281" s="113"/>
      <c r="R281" s="113"/>
      <c r="T281" s="113"/>
      <c r="U281" s="113"/>
      <c r="V281" s="113"/>
    </row>
    <row r="282" customFormat="false" ht="15" hidden="false" customHeight="true" outlineLevel="0" collapsed="false">
      <c r="H282" s="113"/>
      <c r="I282" s="113"/>
      <c r="J282" s="113"/>
      <c r="L282" s="113"/>
      <c r="M282" s="113"/>
      <c r="N282" s="113"/>
      <c r="P282" s="113"/>
      <c r="Q282" s="113"/>
      <c r="R282" s="113"/>
      <c r="T282" s="113"/>
      <c r="U282" s="113"/>
      <c r="V282" s="113"/>
    </row>
    <row r="283" customFormat="false" ht="15" hidden="false" customHeight="true" outlineLevel="0" collapsed="false">
      <c r="H283" s="113"/>
      <c r="I283" s="113"/>
      <c r="J283" s="113"/>
      <c r="L283" s="113"/>
      <c r="M283" s="113"/>
      <c r="N283" s="113"/>
      <c r="P283" s="113"/>
      <c r="Q283" s="113"/>
      <c r="R283" s="113"/>
      <c r="T283" s="113"/>
      <c r="U283" s="113"/>
      <c r="V283" s="113"/>
    </row>
    <row r="284" customFormat="false" ht="15" hidden="false" customHeight="true" outlineLevel="0" collapsed="false">
      <c r="H284" s="113"/>
      <c r="I284" s="113"/>
      <c r="J284" s="113"/>
      <c r="L284" s="113"/>
      <c r="M284" s="113"/>
      <c r="N284" s="113"/>
      <c r="P284" s="113"/>
      <c r="Q284" s="113"/>
      <c r="R284" s="113"/>
      <c r="T284" s="113"/>
      <c r="U284" s="113"/>
      <c r="V284" s="113"/>
    </row>
    <row r="285" customFormat="false" ht="15" hidden="false" customHeight="true" outlineLevel="0" collapsed="false">
      <c r="H285" s="113"/>
      <c r="I285" s="113"/>
      <c r="J285" s="113"/>
      <c r="L285" s="113"/>
      <c r="M285" s="113"/>
      <c r="N285" s="113"/>
      <c r="P285" s="113"/>
      <c r="Q285" s="113"/>
      <c r="R285" s="113"/>
      <c r="T285" s="113"/>
      <c r="U285" s="113"/>
      <c r="V285" s="113"/>
    </row>
    <row r="286" customFormat="false" ht="15" hidden="false" customHeight="true" outlineLevel="0" collapsed="false">
      <c r="H286" s="113"/>
      <c r="I286" s="113"/>
      <c r="J286" s="113"/>
      <c r="L286" s="113"/>
      <c r="M286" s="113"/>
      <c r="N286" s="113"/>
      <c r="P286" s="113"/>
      <c r="Q286" s="113"/>
      <c r="R286" s="113"/>
      <c r="T286" s="113"/>
      <c r="U286" s="113"/>
      <c r="V286" s="113"/>
    </row>
    <row r="287" customFormat="false" ht="15" hidden="false" customHeight="true" outlineLevel="0" collapsed="false">
      <c r="H287" s="113"/>
      <c r="I287" s="113"/>
      <c r="J287" s="113"/>
      <c r="L287" s="113"/>
      <c r="M287" s="113"/>
      <c r="N287" s="113"/>
      <c r="P287" s="113"/>
      <c r="Q287" s="113"/>
      <c r="R287" s="113"/>
      <c r="T287" s="113"/>
      <c r="U287" s="113"/>
      <c r="V287" s="113"/>
    </row>
    <row r="288" customFormat="false" ht="15" hidden="false" customHeight="true" outlineLevel="0" collapsed="false">
      <c r="H288" s="113"/>
      <c r="I288" s="113"/>
      <c r="J288" s="113"/>
      <c r="L288" s="113"/>
      <c r="M288" s="113"/>
      <c r="N288" s="113"/>
      <c r="P288" s="113"/>
      <c r="Q288" s="113"/>
      <c r="R288" s="113"/>
      <c r="T288" s="113"/>
      <c r="U288" s="113"/>
      <c r="V288" s="113"/>
    </row>
    <row r="289" customFormat="false" ht="15" hidden="false" customHeight="true" outlineLevel="0" collapsed="false">
      <c r="H289" s="113"/>
      <c r="I289" s="113"/>
      <c r="J289" s="113"/>
      <c r="L289" s="113"/>
      <c r="M289" s="113"/>
      <c r="N289" s="113"/>
      <c r="P289" s="113"/>
      <c r="Q289" s="113"/>
      <c r="R289" s="113"/>
      <c r="T289" s="113"/>
      <c r="U289" s="113"/>
      <c r="V289" s="113"/>
    </row>
    <row r="290" customFormat="false" ht="15" hidden="false" customHeight="true" outlineLevel="0" collapsed="false">
      <c r="H290" s="113"/>
      <c r="I290" s="113"/>
      <c r="J290" s="113"/>
      <c r="L290" s="113"/>
      <c r="M290" s="113"/>
      <c r="N290" s="113"/>
      <c r="P290" s="113"/>
      <c r="Q290" s="113"/>
      <c r="R290" s="113"/>
      <c r="T290" s="113"/>
      <c r="U290" s="113"/>
      <c r="V290" s="113"/>
    </row>
    <row r="291" customFormat="false" ht="15" hidden="false" customHeight="true" outlineLevel="0" collapsed="false">
      <c r="H291" s="113"/>
      <c r="I291" s="113"/>
      <c r="J291" s="113"/>
      <c r="L291" s="113"/>
      <c r="M291" s="113"/>
      <c r="N291" s="113"/>
      <c r="P291" s="113"/>
      <c r="Q291" s="113"/>
      <c r="R291" s="113"/>
      <c r="T291" s="113"/>
      <c r="U291" s="113"/>
      <c r="V291" s="113"/>
    </row>
    <row r="292" customFormat="false" ht="15" hidden="false" customHeight="true" outlineLevel="0" collapsed="false">
      <c r="H292" s="113"/>
      <c r="I292" s="113"/>
      <c r="J292" s="113"/>
      <c r="L292" s="113"/>
      <c r="M292" s="113"/>
      <c r="N292" s="113"/>
      <c r="P292" s="113"/>
      <c r="Q292" s="113"/>
      <c r="R292" s="113"/>
      <c r="T292" s="113"/>
      <c r="U292" s="113"/>
      <c r="V292" s="113"/>
    </row>
    <row r="293" customFormat="false" ht="15" hidden="false" customHeight="true" outlineLevel="0" collapsed="false">
      <c r="H293" s="113"/>
      <c r="I293" s="113"/>
      <c r="J293" s="113"/>
      <c r="L293" s="113"/>
      <c r="M293" s="113"/>
      <c r="N293" s="113"/>
      <c r="P293" s="113"/>
      <c r="Q293" s="113"/>
      <c r="R293" s="113"/>
      <c r="T293" s="113"/>
      <c r="U293" s="113"/>
      <c r="V293" s="113"/>
    </row>
    <row r="294" customFormat="false" ht="15" hidden="false" customHeight="true" outlineLevel="0" collapsed="false">
      <c r="H294" s="113"/>
      <c r="I294" s="113"/>
      <c r="J294" s="113"/>
      <c r="L294" s="113"/>
      <c r="M294" s="113"/>
      <c r="N294" s="113"/>
      <c r="P294" s="113"/>
      <c r="Q294" s="113"/>
      <c r="R294" s="113"/>
      <c r="T294" s="113"/>
      <c r="U294" s="113"/>
      <c r="V294" s="113"/>
    </row>
    <row r="295" customFormat="false" ht="15" hidden="false" customHeight="true" outlineLevel="0" collapsed="false">
      <c r="H295" s="113"/>
      <c r="I295" s="113"/>
      <c r="J295" s="113"/>
      <c r="L295" s="113"/>
      <c r="M295" s="113"/>
      <c r="N295" s="113"/>
      <c r="P295" s="113"/>
      <c r="Q295" s="113"/>
      <c r="R295" s="113"/>
      <c r="T295" s="113"/>
      <c r="U295" s="113"/>
      <c r="V295" s="113"/>
    </row>
    <row r="296" customFormat="false" ht="15" hidden="false" customHeight="true" outlineLevel="0" collapsed="false">
      <c r="H296" s="113"/>
      <c r="I296" s="113"/>
      <c r="J296" s="113"/>
      <c r="L296" s="113"/>
      <c r="M296" s="113"/>
      <c r="N296" s="113"/>
      <c r="P296" s="113"/>
      <c r="Q296" s="113"/>
      <c r="R296" s="113"/>
      <c r="T296" s="113"/>
      <c r="U296" s="113"/>
      <c r="V296" s="113"/>
    </row>
    <row r="297" customFormat="false" ht="15" hidden="false" customHeight="true" outlineLevel="0" collapsed="false">
      <c r="H297" s="113"/>
      <c r="I297" s="113"/>
      <c r="J297" s="113"/>
      <c r="L297" s="113"/>
      <c r="M297" s="113"/>
      <c r="N297" s="113"/>
      <c r="P297" s="113"/>
      <c r="Q297" s="113"/>
      <c r="R297" s="113"/>
      <c r="T297" s="113"/>
      <c r="U297" s="113"/>
      <c r="V297" s="113"/>
    </row>
    <row r="298" customFormat="false" ht="15" hidden="false" customHeight="true" outlineLevel="0" collapsed="false">
      <c r="H298" s="113"/>
      <c r="I298" s="113"/>
      <c r="J298" s="113"/>
      <c r="L298" s="113"/>
      <c r="M298" s="113"/>
      <c r="N298" s="113"/>
      <c r="P298" s="113"/>
      <c r="Q298" s="113"/>
      <c r="R298" s="113"/>
      <c r="T298" s="113"/>
      <c r="U298" s="113"/>
      <c r="V298" s="113"/>
    </row>
    <row r="299" customFormat="false" ht="15" hidden="false" customHeight="true" outlineLevel="0" collapsed="false">
      <c r="H299" s="113"/>
      <c r="I299" s="113"/>
      <c r="J299" s="113"/>
      <c r="L299" s="113"/>
      <c r="M299" s="113"/>
      <c r="N299" s="113"/>
      <c r="P299" s="113"/>
      <c r="Q299" s="113"/>
      <c r="R299" s="113"/>
      <c r="T299" s="113"/>
      <c r="U299" s="113"/>
      <c r="V299" s="113"/>
    </row>
    <row r="300" customFormat="false" ht="15" hidden="false" customHeight="true" outlineLevel="0" collapsed="false">
      <c r="H300" s="113"/>
      <c r="I300" s="113"/>
      <c r="J300" s="113"/>
      <c r="L300" s="113"/>
      <c r="M300" s="113"/>
      <c r="N300" s="113"/>
      <c r="P300" s="113"/>
      <c r="Q300" s="113"/>
      <c r="R300" s="113"/>
      <c r="T300" s="113"/>
      <c r="U300" s="113"/>
      <c r="V300" s="113"/>
    </row>
    <row r="301" customFormat="false" ht="15" hidden="false" customHeight="true" outlineLevel="0" collapsed="false">
      <c r="H301" s="113"/>
      <c r="I301" s="113"/>
      <c r="J301" s="113"/>
      <c r="L301" s="113"/>
      <c r="M301" s="113"/>
      <c r="N301" s="113"/>
      <c r="P301" s="113"/>
      <c r="Q301" s="113"/>
      <c r="R301" s="113"/>
      <c r="T301" s="113"/>
      <c r="U301" s="113"/>
      <c r="V301" s="113"/>
    </row>
    <row r="302" customFormat="false" ht="15" hidden="false" customHeight="true" outlineLevel="0" collapsed="false">
      <c r="H302" s="113"/>
      <c r="I302" s="113"/>
      <c r="J302" s="113"/>
      <c r="L302" s="113"/>
      <c r="M302" s="113"/>
      <c r="N302" s="113"/>
      <c r="P302" s="113"/>
      <c r="Q302" s="113"/>
      <c r="R302" s="113"/>
      <c r="T302" s="113"/>
      <c r="U302" s="113"/>
      <c r="V302" s="113"/>
    </row>
    <row r="303" customFormat="false" ht="15" hidden="false" customHeight="true" outlineLevel="0" collapsed="false">
      <c r="H303" s="113"/>
      <c r="I303" s="113"/>
      <c r="J303" s="113"/>
      <c r="L303" s="113"/>
      <c r="M303" s="113"/>
      <c r="N303" s="113"/>
      <c r="P303" s="113"/>
      <c r="Q303" s="113"/>
      <c r="R303" s="113"/>
      <c r="T303" s="113"/>
      <c r="U303" s="113"/>
      <c r="V303" s="113"/>
    </row>
    <row r="304" customFormat="false" ht="15" hidden="false" customHeight="true" outlineLevel="0" collapsed="false">
      <c r="H304" s="113"/>
      <c r="I304" s="113"/>
      <c r="J304" s="113"/>
      <c r="L304" s="113"/>
      <c r="M304" s="113"/>
      <c r="N304" s="113"/>
      <c r="P304" s="113"/>
      <c r="Q304" s="113"/>
      <c r="R304" s="113"/>
      <c r="T304" s="113"/>
      <c r="U304" s="113"/>
      <c r="V304" s="113"/>
    </row>
    <row r="305" customFormat="false" ht="15" hidden="false" customHeight="true" outlineLevel="0" collapsed="false">
      <c r="H305" s="113"/>
      <c r="I305" s="113"/>
      <c r="J305" s="113"/>
      <c r="L305" s="113"/>
      <c r="M305" s="113"/>
      <c r="N305" s="113"/>
      <c r="P305" s="113"/>
      <c r="Q305" s="113"/>
      <c r="R305" s="113"/>
      <c r="T305" s="113"/>
      <c r="U305" s="113"/>
      <c r="V305" s="113"/>
    </row>
    <row r="306" customFormat="false" ht="15" hidden="false" customHeight="true" outlineLevel="0" collapsed="false">
      <c r="H306" s="113"/>
      <c r="I306" s="113"/>
      <c r="J306" s="113"/>
      <c r="L306" s="113"/>
      <c r="M306" s="113"/>
      <c r="N306" s="113"/>
      <c r="P306" s="113"/>
      <c r="Q306" s="113"/>
      <c r="R306" s="113"/>
      <c r="T306" s="113"/>
      <c r="U306" s="113"/>
      <c r="V306" s="113"/>
    </row>
    <row r="307" customFormat="false" ht="15" hidden="false" customHeight="true" outlineLevel="0" collapsed="false">
      <c r="H307" s="113"/>
      <c r="I307" s="113"/>
      <c r="J307" s="113"/>
      <c r="L307" s="113"/>
      <c r="M307" s="113"/>
      <c r="N307" s="113"/>
      <c r="P307" s="113"/>
      <c r="Q307" s="113"/>
      <c r="R307" s="113"/>
      <c r="T307" s="113"/>
      <c r="U307" s="113"/>
      <c r="V307" s="113"/>
    </row>
    <row r="308" customFormat="false" ht="15" hidden="false" customHeight="true" outlineLevel="0" collapsed="false">
      <c r="H308" s="113"/>
      <c r="I308" s="113"/>
      <c r="J308" s="113"/>
      <c r="L308" s="113"/>
      <c r="M308" s="113"/>
      <c r="N308" s="113"/>
      <c r="P308" s="113"/>
      <c r="Q308" s="113"/>
      <c r="R308" s="113"/>
      <c r="T308" s="113"/>
      <c r="U308" s="113"/>
      <c r="V308" s="113"/>
    </row>
    <row r="309" customFormat="false" ht="15" hidden="false" customHeight="true" outlineLevel="0" collapsed="false">
      <c r="H309" s="113"/>
      <c r="I309" s="113"/>
      <c r="J309" s="113"/>
      <c r="L309" s="113"/>
      <c r="M309" s="113"/>
      <c r="N309" s="113"/>
      <c r="P309" s="113"/>
      <c r="Q309" s="113"/>
      <c r="R309" s="113"/>
      <c r="T309" s="113"/>
      <c r="U309" s="113"/>
      <c r="V309" s="113"/>
    </row>
    <row r="310" customFormat="false" ht="15" hidden="false" customHeight="true" outlineLevel="0" collapsed="false">
      <c r="H310" s="113"/>
      <c r="I310" s="113"/>
      <c r="J310" s="113"/>
      <c r="L310" s="113"/>
      <c r="M310" s="113"/>
      <c r="N310" s="113"/>
      <c r="P310" s="113"/>
      <c r="Q310" s="113"/>
      <c r="R310" s="113"/>
      <c r="T310" s="113"/>
      <c r="U310" s="113"/>
      <c r="V310" s="113"/>
    </row>
    <row r="311" customFormat="false" ht="15" hidden="false" customHeight="true" outlineLevel="0" collapsed="false">
      <c r="H311" s="113"/>
      <c r="I311" s="113"/>
      <c r="J311" s="113"/>
      <c r="L311" s="113"/>
      <c r="M311" s="113"/>
      <c r="N311" s="113"/>
      <c r="P311" s="113"/>
      <c r="Q311" s="113"/>
      <c r="R311" s="113"/>
      <c r="T311" s="113"/>
      <c r="U311" s="113"/>
      <c r="V311" s="113"/>
    </row>
    <row r="312" customFormat="false" ht="15" hidden="false" customHeight="true" outlineLevel="0" collapsed="false">
      <c r="H312" s="113"/>
      <c r="I312" s="113"/>
      <c r="J312" s="113"/>
      <c r="L312" s="113"/>
      <c r="M312" s="113"/>
      <c r="N312" s="113"/>
      <c r="P312" s="113"/>
      <c r="Q312" s="113"/>
      <c r="R312" s="113"/>
      <c r="T312" s="113"/>
      <c r="U312" s="113"/>
      <c r="V312" s="113"/>
    </row>
    <row r="313" customFormat="false" ht="15" hidden="false" customHeight="true" outlineLevel="0" collapsed="false">
      <c r="H313" s="113"/>
      <c r="I313" s="113"/>
      <c r="J313" s="113"/>
      <c r="L313" s="113"/>
      <c r="M313" s="113"/>
      <c r="N313" s="113"/>
      <c r="P313" s="113"/>
      <c r="Q313" s="113"/>
      <c r="R313" s="113"/>
      <c r="T313" s="113"/>
      <c r="U313" s="113"/>
      <c r="V313" s="113"/>
    </row>
    <row r="314" customFormat="false" ht="15" hidden="false" customHeight="true" outlineLevel="0" collapsed="false">
      <c r="H314" s="113"/>
      <c r="I314" s="113"/>
      <c r="J314" s="113"/>
      <c r="L314" s="113"/>
      <c r="M314" s="113"/>
      <c r="N314" s="113"/>
      <c r="P314" s="113"/>
      <c r="Q314" s="113"/>
      <c r="R314" s="113"/>
      <c r="T314" s="113"/>
      <c r="U314" s="113"/>
      <c r="V314" s="113"/>
    </row>
    <row r="315" customFormat="false" ht="15" hidden="false" customHeight="true" outlineLevel="0" collapsed="false">
      <c r="H315" s="113"/>
      <c r="I315" s="113"/>
      <c r="J315" s="113"/>
      <c r="L315" s="113"/>
      <c r="M315" s="113"/>
      <c r="N315" s="113"/>
      <c r="P315" s="113"/>
      <c r="Q315" s="113"/>
      <c r="R315" s="113"/>
      <c r="T315" s="113"/>
      <c r="U315" s="113"/>
      <c r="V315" s="113"/>
    </row>
    <row r="316" customFormat="false" ht="15" hidden="false" customHeight="true" outlineLevel="0" collapsed="false">
      <c r="H316" s="113"/>
      <c r="I316" s="113"/>
      <c r="J316" s="113"/>
      <c r="L316" s="113"/>
      <c r="M316" s="113"/>
      <c r="N316" s="113"/>
      <c r="P316" s="113"/>
      <c r="Q316" s="113"/>
      <c r="R316" s="113"/>
      <c r="T316" s="113"/>
      <c r="U316" s="113"/>
      <c r="V316" s="113"/>
    </row>
    <row r="317" customFormat="false" ht="15" hidden="false" customHeight="true" outlineLevel="0" collapsed="false">
      <c r="H317" s="113"/>
      <c r="I317" s="113"/>
      <c r="J317" s="113"/>
      <c r="L317" s="113"/>
      <c r="M317" s="113"/>
      <c r="N317" s="113"/>
      <c r="P317" s="113"/>
      <c r="Q317" s="113"/>
      <c r="R317" s="113"/>
      <c r="T317" s="113"/>
      <c r="U317" s="113"/>
      <c r="V317" s="113"/>
    </row>
    <row r="318" customFormat="false" ht="15" hidden="false" customHeight="true" outlineLevel="0" collapsed="false">
      <c r="H318" s="113"/>
      <c r="I318" s="113"/>
      <c r="J318" s="113"/>
      <c r="L318" s="113"/>
      <c r="M318" s="113"/>
      <c r="N318" s="113"/>
      <c r="P318" s="113"/>
      <c r="Q318" s="113"/>
      <c r="R318" s="113"/>
      <c r="T318" s="113"/>
      <c r="U318" s="113"/>
      <c r="V318" s="113"/>
    </row>
    <row r="319" customFormat="false" ht="15" hidden="false" customHeight="true" outlineLevel="0" collapsed="false">
      <c r="H319" s="113"/>
      <c r="I319" s="113"/>
      <c r="J319" s="113"/>
      <c r="L319" s="113"/>
      <c r="M319" s="113"/>
      <c r="N319" s="113"/>
      <c r="P319" s="113"/>
      <c r="Q319" s="113"/>
      <c r="R319" s="113"/>
      <c r="T319" s="113"/>
      <c r="U319" s="113"/>
      <c r="V319" s="113"/>
    </row>
    <row r="320" customFormat="false" ht="15" hidden="false" customHeight="true" outlineLevel="0" collapsed="false">
      <c r="H320" s="113"/>
      <c r="I320" s="113"/>
      <c r="J320" s="113"/>
      <c r="L320" s="113"/>
      <c r="M320" s="113"/>
      <c r="N320" s="113"/>
      <c r="P320" s="113"/>
      <c r="Q320" s="113"/>
      <c r="R320" s="113"/>
      <c r="T320" s="113"/>
      <c r="U320" s="113"/>
      <c r="V320" s="113"/>
    </row>
    <row r="321" customFormat="false" ht="15" hidden="false" customHeight="true" outlineLevel="0" collapsed="false">
      <c r="H321" s="113"/>
      <c r="I321" s="113"/>
      <c r="J321" s="113"/>
      <c r="L321" s="113"/>
      <c r="M321" s="113"/>
      <c r="N321" s="113"/>
      <c r="P321" s="113"/>
      <c r="Q321" s="113"/>
      <c r="R321" s="113"/>
      <c r="T321" s="113"/>
      <c r="U321" s="113"/>
      <c r="V321" s="113"/>
    </row>
    <row r="322" customFormat="false" ht="15" hidden="false" customHeight="true" outlineLevel="0" collapsed="false">
      <c r="H322" s="113"/>
      <c r="I322" s="113"/>
      <c r="J322" s="113"/>
      <c r="L322" s="113"/>
      <c r="M322" s="113"/>
      <c r="N322" s="113"/>
      <c r="P322" s="113"/>
      <c r="Q322" s="113"/>
      <c r="R322" s="113"/>
      <c r="T322" s="113"/>
      <c r="U322" s="113"/>
      <c r="V322" s="113"/>
    </row>
    <row r="323" customFormat="false" ht="15" hidden="false" customHeight="true" outlineLevel="0" collapsed="false">
      <c r="H323" s="113"/>
      <c r="I323" s="113"/>
      <c r="J323" s="113"/>
      <c r="L323" s="113"/>
      <c r="M323" s="113"/>
      <c r="N323" s="113"/>
      <c r="P323" s="113"/>
      <c r="Q323" s="113"/>
      <c r="R323" s="113"/>
      <c r="T323" s="113"/>
      <c r="U323" s="113"/>
      <c r="V323" s="113"/>
    </row>
    <row r="324" customFormat="false" ht="15" hidden="false" customHeight="true" outlineLevel="0" collapsed="false">
      <c r="H324" s="113"/>
      <c r="I324" s="113"/>
      <c r="J324" s="113"/>
      <c r="L324" s="113"/>
      <c r="M324" s="113"/>
      <c r="N324" s="113"/>
      <c r="P324" s="113"/>
      <c r="Q324" s="113"/>
      <c r="R324" s="113"/>
      <c r="T324" s="113"/>
      <c r="U324" s="113"/>
      <c r="V324" s="113"/>
    </row>
    <row r="325" customFormat="false" ht="15" hidden="false" customHeight="true" outlineLevel="0" collapsed="false">
      <c r="H325" s="113"/>
      <c r="I325" s="113"/>
      <c r="J325" s="113"/>
      <c r="L325" s="113"/>
      <c r="M325" s="113"/>
      <c r="N325" s="113"/>
      <c r="P325" s="113"/>
      <c r="Q325" s="113"/>
      <c r="R325" s="113"/>
      <c r="T325" s="113"/>
      <c r="U325" s="113"/>
      <c r="V325" s="113"/>
    </row>
    <row r="326" customFormat="false" ht="15" hidden="false" customHeight="true" outlineLevel="0" collapsed="false">
      <c r="H326" s="113"/>
      <c r="I326" s="113"/>
      <c r="J326" s="113"/>
      <c r="L326" s="113"/>
      <c r="M326" s="113"/>
      <c r="N326" s="113"/>
      <c r="P326" s="113"/>
      <c r="Q326" s="113"/>
      <c r="R326" s="113"/>
      <c r="T326" s="113"/>
      <c r="U326" s="113"/>
      <c r="V326" s="113"/>
    </row>
    <row r="327" customFormat="false" ht="15" hidden="false" customHeight="true" outlineLevel="0" collapsed="false">
      <c r="H327" s="113"/>
      <c r="I327" s="113"/>
      <c r="J327" s="113"/>
      <c r="L327" s="113"/>
      <c r="M327" s="113"/>
      <c r="N327" s="113"/>
      <c r="P327" s="113"/>
      <c r="Q327" s="113"/>
      <c r="R327" s="113"/>
      <c r="T327" s="113"/>
      <c r="U327" s="113"/>
      <c r="V327" s="113"/>
    </row>
    <row r="328" customFormat="false" ht="15" hidden="false" customHeight="true" outlineLevel="0" collapsed="false">
      <c r="H328" s="113"/>
      <c r="I328" s="113"/>
      <c r="J328" s="113"/>
      <c r="L328" s="113"/>
      <c r="M328" s="113"/>
      <c r="N328" s="113"/>
      <c r="P328" s="113"/>
      <c r="Q328" s="113"/>
      <c r="R328" s="113"/>
      <c r="T328" s="113"/>
      <c r="U328" s="113"/>
      <c r="V328" s="113"/>
    </row>
    <row r="329" customFormat="false" ht="15" hidden="false" customHeight="true" outlineLevel="0" collapsed="false">
      <c r="H329" s="113"/>
      <c r="I329" s="113"/>
      <c r="J329" s="113"/>
      <c r="L329" s="113"/>
      <c r="M329" s="113"/>
      <c r="N329" s="113"/>
      <c r="P329" s="113"/>
      <c r="Q329" s="113"/>
      <c r="R329" s="113"/>
      <c r="T329" s="113"/>
      <c r="U329" s="113"/>
      <c r="V329" s="113"/>
    </row>
    <row r="330" customFormat="false" ht="15" hidden="false" customHeight="true" outlineLevel="0" collapsed="false">
      <c r="H330" s="113"/>
      <c r="I330" s="113"/>
      <c r="J330" s="113"/>
      <c r="L330" s="113"/>
      <c r="M330" s="113"/>
      <c r="N330" s="113"/>
      <c r="P330" s="113"/>
      <c r="Q330" s="113"/>
      <c r="R330" s="113"/>
      <c r="T330" s="113"/>
      <c r="U330" s="113"/>
      <c r="V330" s="113"/>
    </row>
    <row r="331" customFormat="false" ht="15" hidden="false" customHeight="true" outlineLevel="0" collapsed="false">
      <c r="H331" s="113"/>
      <c r="I331" s="113"/>
      <c r="J331" s="113"/>
      <c r="L331" s="113"/>
      <c r="M331" s="113"/>
      <c r="N331" s="113"/>
      <c r="P331" s="113"/>
      <c r="Q331" s="113"/>
      <c r="R331" s="113"/>
      <c r="T331" s="113"/>
      <c r="U331" s="113"/>
      <c r="V331" s="113"/>
    </row>
    <row r="332" customFormat="false" ht="15" hidden="false" customHeight="true" outlineLevel="0" collapsed="false">
      <c r="H332" s="113"/>
      <c r="I332" s="113"/>
      <c r="J332" s="113"/>
      <c r="L332" s="113"/>
      <c r="M332" s="113"/>
      <c r="N332" s="113"/>
      <c r="P332" s="113"/>
      <c r="Q332" s="113"/>
      <c r="R332" s="113"/>
      <c r="T332" s="113"/>
      <c r="U332" s="113"/>
      <c r="V332" s="113"/>
    </row>
    <row r="333" customFormat="false" ht="15" hidden="false" customHeight="true" outlineLevel="0" collapsed="false">
      <c r="H333" s="113"/>
      <c r="I333" s="113"/>
      <c r="J333" s="113"/>
      <c r="L333" s="113"/>
      <c r="M333" s="113"/>
      <c r="N333" s="113"/>
      <c r="P333" s="113"/>
      <c r="Q333" s="113"/>
      <c r="R333" s="113"/>
      <c r="T333" s="113"/>
      <c r="U333" s="113"/>
      <c r="V333" s="113"/>
    </row>
    <row r="334" customFormat="false" ht="15" hidden="false" customHeight="true" outlineLevel="0" collapsed="false">
      <c r="H334" s="113"/>
      <c r="I334" s="113"/>
      <c r="J334" s="113"/>
      <c r="L334" s="113"/>
      <c r="M334" s="113"/>
      <c r="N334" s="113"/>
      <c r="P334" s="113"/>
      <c r="Q334" s="113"/>
      <c r="R334" s="113"/>
      <c r="T334" s="113"/>
      <c r="U334" s="113"/>
      <c r="V334" s="113"/>
    </row>
    <row r="335" customFormat="false" ht="15" hidden="false" customHeight="true" outlineLevel="0" collapsed="false">
      <c r="H335" s="113"/>
      <c r="I335" s="113"/>
      <c r="J335" s="113"/>
      <c r="L335" s="113"/>
      <c r="M335" s="113"/>
      <c r="N335" s="113"/>
      <c r="P335" s="113"/>
      <c r="Q335" s="113"/>
      <c r="R335" s="113"/>
      <c r="T335" s="113"/>
      <c r="U335" s="113"/>
      <c r="V335" s="113"/>
    </row>
    <row r="336" customFormat="false" ht="15" hidden="false" customHeight="true" outlineLevel="0" collapsed="false">
      <c r="H336" s="113"/>
      <c r="I336" s="113"/>
      <c r="J336" s="113"/>
      <c r="L336" s="113"/>
      <c r="M336" s="113"/>
      <c r="N336" s="113"/>
      <c r="P336" s="113"/>
      <c r="Q336" s="113"/>
      <c r="R336" s="113"/>
      <c r="T336" s="113"/>
      <c r="U336" s="113"/>
      <c r="V336" s="113"/>
    </row>
    <row r="337" customFormat="false" ht="15" hidden="false" customHeight="true" outlineLevel="0" collapsed="false">
      <c r="H337" s="113"/>
      <c r="I337" s="113"/>
      <c r="J337" s="113"/>
      <c r="L337" s="113"/>
      <c r="M337" s="113"/>
      <c r="N337" s="113"/>
      <c r="P337" s="113"/>
      <c r="Q337" s="113"/>
      <c r="R337" s="113"/>
      <c r="T337" s="113"/>
      <c r="U337" s="113"/>
      <c r="V337" s="113"/>
    </row>
    <row r="338" customFormat="false" ht="15" hidden="false" customHeight="true" outlineLevel="0" collapsed="false">
      <c r="H338" s="113"/>
      <c r="I338" s="113"/>
      <c r="J338" s="113"/>
      <c r="L338" s="113"/>
      <c r="M338" s="113"/>
      <c r="N338" s="113"/>
      <c r="P338" s="113"/>
      <c r="Q338" s="113"/>
      <c r="R338" s="113"/>
      <c r="T338" s="113"/>
      <c r="U338" s="113"/>
      <c r="V338" s="113"/>
    </row>
    <row r="339" customFormat="false" ht="15" hidden="false" customHeight="true" outlineLevel="0" collapsed="false">
      <c r="H339" s="113"/>
      <c r="I339" s="113"/>
      <c r="J339" s="113"/>
      <c r="L339" s="113"/>
      <c r="M339" s="113"/>
      <c r="N339" s="113"/>
      <c r="P339" s="113"/>
      <c r="Q339" s="113"/>
      <c r="R339" s="113"/>
      <c r="T339" s="113"/>
      <c r="U339" s="113"/>
      <c r="V339" s="113"/>
    </row>
    <row r="340" customFormat="false" ht="15" hidden="false" customHeight="true" outlineLevel="0" collapsed="false">
      <c r="H340" s="113"/>
      <c r="I340" s="113"/>
      <c r="J340" s="113"/>
      <c r="L340" s="113"/>
      <c r="M340" s="113"/>
      <c r="N340" s="113"/>
      <c r="P340" s="113"/>
      <c r="Q340" s="113"/>
      <c r="R340" s="113"/>
      <c r="T340" s="113"/>
      <c r="U340" s="113"/>
      <c r="V340" s="113"/>
    </row>
    <row r="341" customFormat="false" ht="15" hidden="false" customHeight="true" outlineLevel="0" collapsed="false">
      <c r="H341" s="113"/>
      <c r="I341" s="113"/>
      <c r="J341" s="113"/>
      <c r="L341" s="113"/>
      <c r="M341" s="113"/>
      <c r="N341" s="113"/>
      <c r="P341" s="113"/>
      <c r="Q341" s="113"/>
      <c r="R341" s="113"/>
      <c r="T341" s="113"/>
      <c r="U341" s="113"/>
      <c r="V341" s="113"/>
    </row>
    <row r="342" customFormat="false" ht="15" hidden="false" customHeight="true" outlineLevel="0" collapsed="false">
      <c r="H342" s="113"/>
      <c r="I342" s="113"/>
      <c r="J342" s="113"/>
      <c r="L342" s="113"/>
      <c r="M342" s="113"/>
      <c r="N342" s="113"/>
      <c r="P342" s="113"/>
      <c r="Q342" s="113"/>
      <c r="R342" s="113"/>
      <c r="T342" s="113"/>
      <c r="U342" s="113"/>
      <c r="V342" s="113"/>
    </row>
    <row r="343" customFormat="false" ht="15" hidden="false" customHeight="true" outlineLevel="0" collapsed="false">
      <c r="H343" s="113"/>
      <c r="I343" s="113"/>
      <c r="J343" s="113"/>
      <c r="L343" s="113"/>
      <c r="M343" s="113"/>
      <c r="N343" s="113"/>
      <c r="P343" s="113"/>
      <c r="Q343" s="113"/>
      <c r="R343" s="113"/>
      <c r="T343" s="113"/>
      <c r="U343" s="113"/>
      <c r="V343" s="113"/>
    </row>
    <row r="344" customFormat="false" ht="15" hidden="false" customHeight="true" outlineLevel="0" collapsed="false">
      <c r="H344" s="113"/>
      <c r="I344" s="113"/>
      <c r="J344" s="113"/>
      <c r="L344" s="113"/>
      <c r="M344" s="113"/>
      <c r="N344" s="113"/>
      <c r="P344" s="113"/>
      <c r="Q344" s="113"/>
      <c r="R344" s="113"/>
      <c r="T344" s="113"/>
      <c r="U344" s="113"/>
      <c r="V344" s="113"/>
    </row>
    <row r="345" customFormat="false" ht="15" hidden="false" customHeight="true" outlineLevel="0" collapsed="false">
      <c r="H345" s="113"/>
      <c r="I345" s="113"/>
      <c r="J345" s="113"/>
      <c r="L345" s="113"/>
      <c r="M345" s="113"/>
      <c r="N345" s="113"/>
      <c r="P345" s="113"/>
      <c r="Q345" s="113"/>
      <c r="R345" s="113"/>
      <c r="T345" s="113"/>
      <c r="U345" s="113"/>
      <c r="V345" s="113"/>
    </row>
    <row r="346" customFormat="false" ht="15" hidden="false" customHeight="true" outlineLevel="0" collapsed="false">
      <c r="H346" s="113"/>
      <c r="I346" s="113"/>
      <c r="J346" s="113"/>
      <c r="L346" s="113"/>
      <c r="M346" s="113"/>
      <c r="N346" s="113"/>
      <c r="P346" s="113"/>
      <c r="Q346" s="113"/>
      <c r="R346" s="113"/>
      <c r="T346" s="113"/>
      <c r="U346" s="113"/>
      <c r="V346" s="113"/>
    </row>
    <row r="347" customFormat="false" ht="15" hidden="false" customHeight="true" outlineLevel="0" collapsed="false">
      <c r="H347" s="113"/>
      <c r="I347" s="113"/>
      <c r="J347" s="113"/>
      <c r="L347" s="113"/>
      <c r="M347" s="113"/>
      <c r="N347" s="113"/>
      <c r="P347" s="113"/>
      <c r="Q347" s="113"/>
      <c r="R347" s="113"/>
      <c r="T347" s="113"/>
      <c r="U347" s="113"/>
      <c r="V347" s="113"/>
    </row>
    <row r="348" customFormat="false" ht="15" hidden="false" customHeight="true" outlineLevel="0" collapsed="false">
      <c r="H348" s="113"/>
      <c r="I348" s="113"/>
      <c r="J348" s="113"/>
      <c r="L348" s="113"/>
      <c r="M348" s="113"/>
      <c r="N348" s="113"/>
      <c r="P348" s="113"/>
      <c r="Q348" s="113"/>
      <c r="R348" s="113"/>
      <c r="T348" s="113"/>
      <c r="U348" s="113"/>
      <c r="V348" s="113"/>
    </row>
    <row r="349" customFormat="false" ht="15" hidden="false" customHeight="true" outlineLevel="0" collapsed="false">
      <c r="H349" s="113"/>
      <c r="I349" s="113"/>
      <c r="J349" s="113"/>
      <c r="L349" s="113"/>
      <c r="M349" s="113"/>
      <c r="N349" s="113"/>
      <c r="P349" s="113"/>
      <c r="Q349" s="113"/>
      <c r="R349" s="113"/>
      <c r="T349" s="113"/>
      <c r="U349" s="113"/>
      <c r="V349" s="113"/>
    </row>
    <row r="350" customFormat="false" ht="15" hidden="false" customHeight="true" outlineLevel="0" collapsed="false">
      <c r="H350" s="113"/>
      <c r="I350" s="113"/>
      <c r="J350" s="113"/>
      <c r="L350" s="113"/>
      <c r="M350" s="113"/>
      <c r="N350" s="113"/>
      <c r="P350" s="113"/>
      <c r="Q350" s="113"/>
      <c r="R350" s="113"/>
      <c r="T350" s="113"/>
      <c r="U350" s="113"/>
      <c r="V350" s="113"/>
    </row>
    <row r="351" customFormat="false" ht="15" hidden="false" customHeight="true" outlineLevel="0" collapsed="false">
      <c r="H351" s="113"/>
      <c r="I351" s="113"/>
      <c r="J351" s="113"/>
      <c r="L351" s="113"/>
      <c r="M351" s="113"/>
      <c r="N351" s="113"/>
      <c r="P351" s="113"/>
      <c r="Q351" s="113"/>
      <c r="R351" s="113"/>
      <c r="T351" s="113"/>
      <c r="U351" s="113"/>
      <c r="V351" s="113"/>
    </row>
    <row r="352" customFormat="false" ht="15" hidden="false" customHeight="true" outlineLevel="0" collapsed="false">
      <c r="H352" s="113"/>
      <c r="I352" s="113"/>
      <c r="J352" s="113"/>
      <c r="L352" s="113"/>
      <c r="M352" s="113"/>
      <c r="N352" s="113"/>
      <c r="P352" s="113"/>
      <c r="Q352" s="113"/>
      <c r="R352" s="113"/>
      <c r="T352" s="113"/>
      <c r="U352" s="113"/>
      <c r="V352" s="113"/>
    </row>
    <row r="353" customFormat="false" ht="15" hidden="false" customHeight="true" outlineLevel="0" collapsed="false">
      <c r="H353" s="113"/>
      <c r="I353" s="113"/>
      <c r="J353" s="113"/>
      <c r="L353" s="113"/>
      <c r="M353" s="113"/>
      <c r="N353" s="113"/>
      <c r="P353" s="113"/>
      <c r="Q353" s="113"/>
      <c r="R353" s="113"/>
      <c r="T353" s="113"/>
      <c r="U353" s="113"/>
      <c r="V353" s="113"/>
    </row>
    <row r="354" customFormat="false" ht="15" hidden="false" customHeight="true" outlineLevel="0" collapsed="false">
      <c r="H354" s="113"/>
      <c r="I354" s="113"/>
      <c r="J354" s="113"/>
      <c r="L354" s="113"/>
      <c r="M354" s="113"/>
      <c r="N354" s="113"/>
      <c r="P354" s="113"/>
      <c r="Q354" s="113"/>
      <c r="R354" s="113"/>
      <c r="T354" s="113"/>
      <c r="U354" s="113"/>
      <c r="V354" s="113"/>
    </row>
    <row r="355" customFormat="false" ht="15" hidden="false" customHeight="true" outlineLevel="0" collapsed="false">
      <c r="H355" s="113"/>
      <c r="I355" s="113"/>
      <c r="J355" s="113"/>
      <c r="L355" s="113"/>
      <c r="M355" s="113"/>
      <c r="N355" s="113"/>
      <c r="P355" s="113"/>
      <c r="Q355" s="113"/>
      <c r="R355" s="113"/>
      <c r="T355" s="113"/>
      <c r="U355" s="113"/>
      <c r="V355" s="113"/>
    </row>
    <row r="356" customFormat="false" ht="15" hidden="false" customHeight="true" outlineLevel="0" collapsed="false">
      <c r="H356" s="113"/>
      <c r="I356" s="113"/>
      <c r="J356" s="113"/>
      <c r="L356" s="113"/>
      <c r="M356" s="113"/>
      <c r="N356" s="113"/>
      <c r="P356" s="113"/>
      <c r="Q356" s="113"/>
      <c r="R356" s="113"/>
      <c r="T356" s="113"/>
      <c r="U356" s="113"/>
      <c r="V356" s="113"/>
    </row>
    <row r="357" customFormat="false" ht="15" hidden="false" customHeight="true" outlineLevel="0" collapsed="false">
      <c r="H357" s="113"/>
      <c r="I357" s="113"/>
      <c r="J357" s="113"/>
      <c r="L357" s="113"/>
      <c r="M357" s="113"/>
      <c r="N357" s="113"/>
      <c r="P357" s="113"/>
      <c r="Q357" s="113"/>
      <c r="R357" s="113"/>
      <c r="T357" s="113"/>
      <c r="U357" s="113"/>
      <c r="V357" s="113"/>
    </row>
    <row r="358" customFormat="false" ht="15" hidden="false" customHeight="true" outlineLevel="0" collapsed="false">
      <c r="H358" s="113"/>
      <c r="I358" s="113"/>
      <c r="J358" s="113"/>
      <c r="L358" s="113"/>
      <c r="M358" s="113"/>
      <c r="N358" s="113"/>
      <c r="P358" s="113"/>
      <c r="Q358" s="113"/>
      <c r="R358" s="113"/>
      <c r="T358" s="113"/>
      <c r="U358" s="113"/>
      <c r="V358" s="113"/>
    </row>
    <row r="359" customFormat="false" ht="15" hidden="false" customHeight="true" outlineLevel="0" collapsed="false">
      <c r="H359" s="113"/>
      <c r="I359" s="113"/>
      <c r="J359" s="113"/>
      <c r="L359" s="113"/>
      <c r="M359" s="113"/>
      <c r="N359" s="113"/>
      <c r="P359" s="113"/>
      <c r="Q359" s="113"/>
      <c r="R359" s="113"/>
      <c r="T359" s="113"/>
      <c r="U359" s="113"/>
      <c r="V359" s="113"/>
    </row>
    <row r="360" customFormat="false" ht="15" hidden="false" customHeight="true" outlineLevel="0" collapsed="false">
      <c r="H360" s="113"/>
      <c r="I360" s="113"/>
      <c r="J360" s="113"/>
      <c r="L360" s="113"/>
      <c r="M360" s="113"/>
      <c r="N360" s="113"/>
      <c r="P360" s="113"/>
      <c r="Q360" s="113"/>
      <c r="R360" s="113"/>
      <c r="T360" s="113"/>
      <c r="U360" s="113"/>
      <c r="V360" s="113"/>
    </row>
    <row r="361" customFormat="false" ht="15" hidden="false" customHeight="true" outlineLevel="0" collapsed="false">
      <c r="H361" s="113"/>
      <c r="I361" s="113"/>
      <c r="J361" s="113"/>
      <c r="L361" s="113"/>
      <c r="M361" s="113"/>
      <c r="N361" s="113"/>
      <c r="P361" s="113"/>
      <c r="Q361" s="113"/>
      <c r="R361" s="113"/>
      <c r="T361" s="113"/>
      <c r="U361" s="113"/>
      <c r="V361" s="113"/>
    </row>
    <row r="362" customFormat="false" ht="15" hidden="false" customHeight="true" outlineLevel="0" collapsed="false">
      <c r="H362" s="113"/>
      <c r="I362" s="113"/>
      <c r="J362" s="113"/>
      <c r="L362" s="113"/>
      <c r="M362" s="113"/>
      <c r="N362" s="113"/>
      <c r="P362" s="113"/>
      <c r="Q362" s="113"/>
      <c r="R362" s="113"/>
      <c r="T362" s="113"/>
      <c r="U362" s="113"/>
      <c r="V362" s="113"/>
    </row>
    <row r="363" customFormat="false" ht="15" hidden="false" customHeight="true" outlineLevel="0" collapsed="false">
      <c r="H363" s="113"/>
      <c r="I363" s="113"/>
      <c r="J363" s="113"/>
      <c r="L363" s="113"/>
      <c r="M363" s="113"/>
      <c r="N363" s="113"/>
      <c r="P363" s="113"/>
      <c r="Q363" s="113"/>
      <c r="R363" s="113"/>
      <c r="T363" s="113"/>
      <c r="U363" s="113"/>
      <c r="V363" s="113"/>
    </row>
    <row r="364" customFormat="false" ht="15" hidden="false" customHeight="true" outlineLevel="0" collapsed="false">
      <c r="H364" s="113"/>
      <c r="I364" s="113"/>
      <c r="J364" s="113"/>
      <c r="L364" s="113"/>
      <c r="M364" s="113"/>
      <c r="N364" s="113"/>
      <c r="P364" s="113"/>
      <c r="Q364" s="113"/>
      <c r="R364" s="113"/>
      <c r="T364" s="113"/>
      <c r="U364" s="113"/>
      <c r="V364" s="113"/>
    </row>
    <row r="365" customFormat="false" ht="15" hidden="false" customHeight="true" outlineLevel="0" collapsed="false">
      <c r="H365" s="113"/>
      <c r="I365" s="113"/>
      <c r="J365" s="113"/>
      <c r="L365" s="113"/>
      <c r="M365" s="113"/>
      <c r="N365" s="113"/>
      <c r="P365" s="113"/>
      <c r="Q365" s="113"/>
      <c r="R365" s="113"/>
      <c r="T365" s="113"/>
      <c r="U365" s="113"/>
      <c r="V365" s="113"/>
    </row>
    <row r="366" customFormat="false" ht="15" hidden="false" customHeight="true" outlineLevel="0" collapsed="false">
      <c r="H366" s="113"/>
      <c r="I366" s="113"/>
      <c r="J366" s="113"/>
      <c r="L366" s="113"/>
      <c r="M366" s="113"/>
      <c r="N366" s="113"/>
      <c r="P366" s="113"/>
      <c r="Q366" s="113"/>
      <c r="R366" s="113"/>
      <c r="T366" s="113"/>
      <c r="U366" s="113"/>
      <c r="V366" s="113"/>
    </row>
    <row r="367" customFormat="false" ht="15" hidden="false" customHeight="true" outlineLevel="0" collapsed="false">
      <c r="H367" s="113"/>
      <c r="I367" s="113"/>
      <c r="J367" s="113"/>
      <c r="L367" s="113"/>
      <c r="M367" s="113"/>
      <c r="N367" s="113"/>
      <c r="P367" s="113"/>
      <c r="Q367" s="113"/>
      <c r="R367" s="113"/>
      <c r="T367" s="113"/>
      <c r="U367" s="113"/>
      <c r="V367" s="113"/>
    </row>
    <row r="368" customFormat="false" ht="15" hidden="false" customHeight="true" outlineLevel="0" collapsed="false">
      <c r="H368" s="113"/>
      <c r="I368" s="113"/>
      <c r="J368" s="113"/>
      <c r="L368" s="113"/>
      <c r="M368" s="113"/>
      <c r="N368" s="113"/>
      <c r="P368" s="113"/>
      <c r="Q368" s="113"/>
      <c r="R368" s="113"/>
      <c r="T368" s="113"/>
      <c r="U368" s="113"/>
      <c r="V368" s="113"/>
    </row>
    <row r="369" customFormat="false" ht="15" hidden="false" customHeight="true" outlineLevel="0" collapsed="false">
      <c r="H369" s="113"/>
      <c r="I369" s="113"/>
      <c r="J369" s="113"/>
      <c r="L369" s="113"/>
      <c r="M369" s="113"/>
      <c r="N369" s="113"/>
      <c r="P369" s="113"/>
      <c r="Q369" s="113"/>
      <c r="R369" s="113"/>
      <c r="T369" s="113"/>
      <c r="U369" s="113"/>
      <c r="V369" s="113"/>
    </row>
    <row r="370" customFormat="false" ht="15" hidden="false" customHeight="true" outlineLevel="0" collapsed="false">
      <c r="H370" s="113"/>
      <c r="I370" s="113"/>
      <c r="J370" s="113"/>
      <c r="L370" s="113"/>
      <c r="M370" s="113"/>
      <c r="N370" s="113"/>
      <c r="P370" s="113"/>
      <c r="Q370" s="113"/>
      <c r="R370" s="113"/>
      <c r="T370" s="113"/>
      <c r="U370" s="113"/>
      <c r="V370" s="113"/>
    </row>
    <row r="371" customFormat="false" ht="15" hidden="false" customHeight="true" outlineLevel="0" collapsed="false">
      <c r="H371" s="113"/>
      <c r="I371" s="113"/>
      <c r="J371" s="113"/>
      <c r="L371" s="113"/>
      <c r="M371" s="113"/>
      <c r="N371" s="113"/>
      <c r="P371" s="113"/>
      <c r="Q371" s="113"/>
      <c r="R371" s="113"/>
      <c r="T371" s="113"/>
      <c r="U371" s="113"/>
      <c r="V371" s="113"/>
    </row>
    <row r="372" customFormat="false" ht="15" hidden="false" customHeight="true" outlineLevel="0" collapsed="false">
      <c r="H372" s="113"/>
      <c r="I372" s="113"/>
      <c r="J372" s="113"/>
      <c r="L372" s="113"/>
      <c r="M372" s="113"/>
      <c r="N372" s="113"/>
      <c r="P372" s="113"/>
      <c r="Q372" s="113"/>
      <c r="R372" s="113"/>
      <c r="T372" s="113"/>
      <c r="U372" s="113"/>
      <c r="V372" s="113"/>
    </row>
    <row r="373" customFormat="false" ht="15" hidden="false" customHeight="true" outlineLevel="0" collapsed="false">
      <c r="H373" s="113"/>
      <c r="I373" s="113"/>
      <c r="J373" s="113"/>
      <c r="L373" s="113"/>
      <c r="M373" s="113"/>
      <c r="N373" s="113"/>
      <c r="P373" s="113"/>
      <c r="Q373" s="113"/>
      <c r="R373" s="113"/>
      <c r="T373" s="113"/>
      <c r="U373" s="113"/>
      <c r="V373" s="113"/>
    </row>
    <row r="374" customFormat="false" ht="15" hidden="false" customHeight="true" outlineLevel="0" collapsed="false">
      <c r="H374" s="113"/>
      <c r="I374" s="113"/>
      <c r="J374" s="113"/>
      <c r="L374" s="113"/>
      <c r="M374" s="113"/>
      <c r="N374" s="113"/>
      <c r="P374" s="113"/>
      <c r="Q374" s="113"/>
      <c r="R374" s="113"/>
      <c r="T374" s="113"/>
      <c r="U374" s="113"/>
      <c r="V374" s="113"/>
    </row>
    <row r="375" customFormat="false" ht="15" hidden="false" customHeight="true" outlineLevel="0" collapsed="false">
      <c r="H375" s="113"/>
      <c r="I375" s="113"/>
      <c r="J375" s="113"/>
      <c r="L375" s="113"/>
      <c r="M375" s="113"/>
      <c r="N375" s="113"/>
      <c r="P375" s="113"/>
      <c r="Q375" s="113"/>
      <c r="R375" s="113"/>
      <c r="T375" s="113"/>
      <c r="U375" s="113"/>
      <c r="V375" s="113"/>
    </row>
    <row r="376" customFormat="false" ht="15" hidden="false" customHeight="true" outlineLevel="0" collapsed="false">
      <c r="H376" s="113"/>
      <c r="I376" s="113"/>
      <c r="J376" s="113"/>
      <c r="L376" s="113"/>
      <c r="M376" s="113"/>
      <c r="N376" s="113"/>
      <c r="P376" s="113"/>
      <c r="Q376" s="113"/>
      <c r="R376" s="113"/>
      <c r="T376" s="113"/>
      <c r="U376" s="113"/>
      <c r="V376" s="113"/>
    </row>
    <row r="377" customFormat="false" ht="15" hidden="false" customHeight="true" outlineLevel="0" collapsed="false">
      <c r="H377" s="113"/>
      <c r="I377" s="113"/>
      <c r="J377" s="113"/>
      <c r="L377" s="113"/>
      <c r="M377" s="113"/>
      <c r="N377" s="113"/>
      <c r="P377" s="113"/>
      <c r="Q377" s="113"/>
      <c r="R377" s="113"/>
      <c r="T377" s="113"/>
      <c r="U377" s="113"/>
      <c r="V377" s="113"/>
    </row>
    <row r="378" customFormat="false" ht="15" hidden="false" customHeight="true" outlineLevel="0" collapsed="false">
      <c r="H378" s="113"/>
      <c r="I378" s="113"/>
      <c r="J378" s="113"/>
      <c r="L378" s="113"/>
      <c r="M378" s="113"/>
      <c r="N378" s="113"/>
      <c r="P378" s="113"/>
      <c r="Q378" s="113"/>
      <c r="R378" s="113"/>
      <c r="T378" s="113"/>
      <c r="U378" s="113"/>
      <c r="V378" s="113"/>
    </row>
    <row r="379" customFormat="false" ht="15" hidden="false" customHeight="true" outlineLevel="0" collapsed="false">
      <c r="H379" s="113"/>
      <c r="I379" s="113"/>
      <c r="J379" s="113"/>
      <c r="L379" s="113"/>
      <c r="M379" s="113"/>
      <c r="N379" s="113"/>
      <c r="P379" s="113"/>
      <c r="Q379" s="113"/>
      <c r="R379" s="113"/>
      <c r="T379" s="113"/>
      <c r="U379" s="113"/>
      <c r="V379" s="113"/>
    </row>
    <row r="380" customFormat="false" ht="15" hidden="false" customHeight="true" outlineLevel="0" collapsed="false">
      <c r="H380" s="113"/>
      <c r="I380" s="113"/>
      <c r="J380" s="113"/>
      <c r="L380" s="113"/>
      <c r="M380" s="113"/>
      <c r="N380" s="113"/>
      <c r="P380" s="113"/>
      <c r="Q380" s="113"/>
      <c r="R380" s="113"/>
      <c r="T380" s="113"/>
      <c r="U380" s="113"/>
      <c r="V380" s="113"/>
    </row>
    <row r="381" customFormat="false" ht="15" hidden="false" customHeight="true" outlineLevel="0" collapsed="false">
      <c r="H381" s="113"/>
      <c r="I381" s="113"/>
      <c r="J381" s="113"/>
      <c r="L381" s="113"/>
      <c r="M381" s="113"/>
      <c r="N381" s="113"/>
      <c r="P381" s="113"/>
      <c r="Q381" s="113"/>
      <c r="R381" s="113"/>
      <c r="T381" s="113"/>
      <c r="U381" s="113"/>
      <c r="V381" s="113"/>
    </row>
    <row r="382" customFormat="false" ht="15" hidden="false" customHeight="true" outlineLevel="0" collapsed="false">
      <c r="H382" s="113"/>
      <c r="I382" s="113"/>
      <c r="J382" s="113"/>
      <c r="L382" s="113"/>
      <c r="M382" s="113"/>
      <c r="N382" s="113"/>
      <c r="P382" s="113"/>
      <c r="Q382" s="113"/>
      <c r="R382" s="113"/>
      <c r="T382" s="113"/>
      <c r="U382" s="113"/>
      <c r="V382" s="113"/>
    </row>
    <row r="383" customFormat="false" ht="15" hidden="false" customHeight="true" outlineLevel="0" collapsed="false">
      <c r="H383" s="113"/>
      <c r="I383" s="113"/>
      <c r="J383" s="113"/>
      <c r="L383" s="113"/>
      <c r="M383" s="113"/>
      <c r="N383" s="113"/>
      <c r="P383" s="113"/>
      <c r="Q383" s="113"/>
      <c r="R383" s="113"/>
      <c r="T383" s="113"/>
      <c r="U383" s="113"/>
      <c r="V383" s="113"/>
    </row>
    <row r="384" customFormat="false" ht="15" hidden="false" customHeight="true" outlineLevel="0" collapsed="false">
      <c r="H384" s="113"/>
      <c r="I384" s="113"/>
      <c r="J384" s="113"/>
      <c r="L384" s="113"/>
      <c r="M384" s="113"/>
      <c r="N384" s="113"/>
      <c r="P384" s="113"/>
      <c r="Q384" s="113"/>
      <c r="R384" s="113"/>
      <c r="T384" s="113"/>
      <c r="U384" s="113"/>
      <c r="V384" s="113"/>
    </row>
    <row r="385" customFormat="false" ht="15" hidden="false" customHeight="true" outlineLevel="0" collapsed="false">
      <c r="H385" s="113"/>
      <c r="I385" s="113"/>
      <c r="J385" s="113"/>
      <c r="L385" s="113"/>
      <c r="M385" s="113"/>
      <c r="N385" s="113"/>
      <c r="P385" s="113"/>
      <c r="Q385" s="113"/>
      <c r="R385" s="113"/>
      <c r="T385" s="113"/>
      <c r="U385" s="113"/>
      <c r="V385" s="113"/>
    </row>
    <row r="386" customFormat="false" ht="15" hidden="false" customHeight="true" outlineLevel="0" collapsed="false">
      <c r="H386" s="113"/>
      <c r="I386" s="113"/>
      <c r="J386" s="113"/>
      <c r="L386" s="113"/>
      <c r="M386" s="113"/>
      <c r="N386" s="113"/>
      <c r="P386" s="113"/>
      <c r="Q386" s="113"/>
      <c r="R386" s="113"/>
      <c r="T386" s="113"/>
      <c r="U386" s="113"/>
      <c r="V386" s="113"/>
    </row>
    <row r="387" customFormat="false" ht="15" hidden="false" customHeight="true" outlineLevel="0" collapsed="false">
      <c r="H387" s="113"/>
      <c r="I387" s="113"/>
      <c r="J387" s="113"/>
      <c r="L387" s="113"/>
      <c r="M387" s="113"/>
      <c r="N387" s="113"/>
      <c r="P387" s="113"/>
      <c r="Q387" s="113"/>
      <c r="R387" s="113"/>
      <c r="T387" s="113"/>
      <c r="U387" s="113"/>
      <c r="V387" s="113"/>
    </row>
    <row r="388" customFormat="false" ht="15" hidden="false" customHeight="true" outlineLevel="0" collapsed="false">
      <c r="H388" s="113"/>
      <c r="I388" s="113"/>
      <c r="J388" s="113"/>
      <c r="L388" s="113"/>
      <c r="M388" s="113"/>
      <c r="N388" s="113"/>
      <c r="P388" s="113"/>
      <c r="Q388" s="113"/>
      <c r="R388" s="113"/>
      <c r="T388" s="113"/>
      <c r="U388" s="113"/>
      <c r="V388" s="113"/>
    </row>
    <row r="389" customFormat="false" ht="15" hidden="false" customHeight="true" outlineLevel="0" collapsed="false">
      <c r="H389" s="113"/>
      <c r="I389" s="113"/>
      <c r="J389" s="113"/>
      <c r="L389" s="113"/>
      <c r="M389" s="113"/>
      <c r="N389" s="113"/>
      <c r="P389" s="113"/>
      <c r="Q389" s="113"/>
      <c r="R389" s="113"/>
      <c r="T389" s="113"/>
      <c r="U389" s="113"/>
      <c r="V389" s="113"/>
    </row>
    <row r="390" customFormat="false" ht="15" hidden="false" customHeight="true" outlineLevel="0" collapsed="false">
      <c r="H390" s="113"/>
      <c r="I390" s="113"/>
      <c r="J390" s="113"/>
      <c r="L390" s="113"/>
      <c r="M390" s="113"/>
      <c r="N390" s="113"/>
      <c r="P390" s="113"/>
      <c r="Q390" s="113"/>
      <c r="R390" s="113"/>
      <c r="T390" s="113"/>
      <c r="U390" s="113"/>
      <c r="V390" s="113"/>
    </row>
    <row r="391" customFormat="false" ht="15" hidden="false" customHeight="true" outlineLevel="0" collapsed="false">
      <c r="H391" s="113"/>
      <c r="I391" s="113"/>
      <c r="J391" s="113"/>
      <c r="L391" s="113"/>
      <c r="M391" s="113"/>
      <c r="N391" s="113"/>
      <c r="P391" s="113"/>
      <c r="Q391" s="113"/>
      <c r="R391" s="113"/>
      <c r="T391" s="113"/>
      <c r="U391" s="113"/>
      <c r="V391" s="113"/>
    </row>
    <row r="392" customFormat="false" ht="15" hidden="false" customHeight="true" outlineLevel="0" collapsed="false">
      <c r="H392" s="113"/>
      <c r="I392" s="113"/>
      <c r="J392" s="113"/>
      <c r="L392" s="113"/>
      <c r="M392" s="113"/>
      <c r="N392" s="113"/>
      <c r="P392" s="113"/>
      <c r="Q392" s="113"/>
      <c r="R392" s="113"/>
      <c r="T392" s="113"/>
      <c r="U392" s="113"/>
      <c r="V392" s="113"/>
    </row>
    <row r="393" customFormat="false" ht="15" hidden="false" customHeight="true" outlineLevel="0" collapsed="false">
      <c r="H393" s="113"/>
      <c r="I393" s="113"/>
      <c r="J393" s="113"/>
      <c r="L393" s="113"/>
      <c r="M393" s="113"/>
      <c r="N393" s="113"/>
      <c r="P393" s="113"/>
      <c r="Q393" s="113"/>
      <c r="R393" s="113"/>
      <c r="T393" s="113"/>
      <c r="U393" s="113"/>
      <c r="V393" s="113"/>
    </row>
    <row r="394" customFormat="false" ht="15" hidden="false" customHeight="true" outlineLevel="0" collapsed="false">
      <c r="H394" s="113"/>
      <c r="I394" s="113"/>
      <c r="J394" s="113"/>
      <c r="L394" s="113"/>
      <c r="M394" s="113"/>
      <c r="N394" s="113"/>
      <c r="P394" s="113"/>
      <c r="Q394" s="113"/>
      <c r="R394" s="113"/>
      <c r="T394" s="113"/>
      <c r="U394" s="113"/>
      <c r="V394" s="113"/>
    </row>
    <row r="395" customFormat="false" ht="15" hidden="false" customHeight="true" outlineLevel="0" collapsed="false">
      <c r="H395" s="113"/>
      <c r="I395" s="113"/>
      <c r="J395" s="113"/>
      <c r="L395" s="113"/>
      <c r="M395" s="113"/>
      <c r="N395" s="113"/>
      <c r="P395" s="113"/>
      <c r="Q395" s="113"/>
      <c r="R395" s="113"/>
      <c r="T395" s="113"/>
      <c r="U395" s="113"/>
      <c r="V395" s="113"/>
    </row>
    <row r="396" customFormat="false" ht="15" hidden="false" customHeight="true" outlineLevel="0" collapsed="false">
      <c r="H396" s="113"/>
      <c r="I396" s="113"/>
      <c r="J396" s="113"/>
      <c r="L396" s="113"/>
      <c r="M396" s="113"/>
      <c r="N396" s="113"/>
      <c r="P396" s="113"/>
      <c r="Q396" s="113"/>
      <c r="R396" s="113"/>
      <c r="T396" s="113"/>
      <c r="U396" s="113"/>
      <c r="V396" s="113"/>
    </row>
    <row r="397" customFormat="false" ht="15" hidden="false" customHeight="true" outlineLevel="0" collapsed="false">
      <c r="H397" s="113"/>
      <c r="I397" s="113"/>
      <c r="J397" s="113"/>
      <c r="L397" s="113"/>
      <c r="M397" s="113"/>
      <c r="N397" s="113"/>
      <c r="P397" s="113"/>
      <c r="Q397" s="113"/>
      <c r="R397" s="113"/>
      <c r="T397" s="113"/>
      <c r="U397" s="113"/>
      <c r="V397" s="113"/>
    </row>
    <row r="398" customFormat="false" ht="15" hidden="false" customHeight="true" outlineLevel="0" collapsed="false">
      <c r="H398" s="113"/>
      <c r="I398" s="113"/>
      <c r="J398" s="113"/>
      <c r="L398" s="113"/>
      <c r="M398" s="113"/>
      <c r="N398" s="113"/>
      <c r="P398" s="113"/>
      <c r="Q398" s="113"/>
      <c r="R398" s="113"/>
      <c r="T398" s="113"/>
      <c r="U398" s="113"/>
      <c r="V398" s="113"/>
    </row>
    <row r="399" customFormat="false" ht="15" hidden="false" customHeight="true" outlineLevel="0" collapsed="false">
      <c r="H399" s="113"/>
      <c r="I399" s="113"/>
      <c r="J399" s="113"/>
      <c r="L399" s="113"/>
      <c r="M399" s="113"/>
      <c r="N399" s="113"/>
      <c r="P399" s="113"/>
      <c r="Q399" s="113"/>
      <c r="R399" s="113"/>
      <c r="T399" s="113"/>
      <c r="U399" s="113"/>
      <c r="V399" s="113"/>
    </row>
    <row r="400" customFormat="false" ht="15" hidden="false" customHeight="true" outlineLevel="0" collapsed="false">
      <c r="H400" s="113"/>
      <c r="I400" s="113"/>
      <c r="J400" s="113"/>
      <c r="L400" s="113"/>
      <c r="M400" s="113"/>
      <c r="N400" s="113"/>
      <c r="P400" s="113"/>
      <c r="Q400" s="113"/>
      <c r="R400" s="113"/>
      <c r="T400" s="113"/>
      <c r="U400" s="113"/>
      <c r="V400" s="113"/>
    </row>
    <row r="401" customFormat="false" ht="15" hidden="false" customHeight="true" outlineLevel="0" collapsed="false">
      <c r="H401" s="113"/>
      <c r="I401" s="113"/>
      <c r="J401" s="113"/>
      <c r="L401" s="113"/>
      <c r="M401" s="113"/>
      <c r="N401" s="113"/>
      <c r="P401" s="113"/>
      <c r="Q401" s="113"/>
      <c r="R401" s="113"/>
      <c r="T401" s="113"/>
      <c r="U401" s="113"/>
      <c r="V401" s="113"/>
    </row>
    <row r="402" customFormat="false" ht="15" hidden="false" customHeight="true" outlineLevel="0" collapsed="false">
      <c r="H402" s="113"/>
      <c r="I402" s="113"/>
      <c r="J402" s="113"/>
      <c r="L402" s="113"/>
      <c r="M402" s="113"/>
      <c r="N402" s="113"/>
      <c r="P402" s="113"/>
      <c r="Q402" s="113"/>
      <c r="R402" s="113"/>
      <c r="T402" s="113"/>
      <c r="U402" s="113"/>
      <c r="V402" s="113"/>
    </row>
    <row r="403" customFormat="false" ht="15" hidden="false" customHeight="true" outlineLevel="0" collapsed="false">
      <c r="H403" s="113"/>
      <c r="I403" s="113"/>
      <c r="J403" s="113"/>
      <c r="L403" s="113"/>
      <c r="M403" s="113"/>
      <c r="N403" s="113"/>
      <c r="P403" s="113"/>
      <c r="Q403" s="113"/>
      <c r="R403" s="113"/>
      <c r="T403" s="113"/>
      <c r="U403" s="113"/>
      <c r="V403" s="113"/>
    </row>
    <row r="404" customFormat="false" ht="15" hidden="false" customHeight="true" outlineLevel="0" collapsed="false">
      <c r="H404" s="113"/>
      <c r="I404" s="113"/>
      <c r="J404" s="113"/>
      <c r="L404" s="113"/>
      <c r="M404" s="113"/>
      <c r="N404" s="113"/>
      <c r="P404" s="113"/>
      <c r="Q404" s="113"/>
      <c r="R404" s="113"/>
      <c r="T404" s="113"/>
      <c r="U404" s="113"/>
      <c r="V404" s="113"/>
    </row>
    <row r="405" customFormat="false" ht="15" hidden="false" customHeight="true" outlineLevel="0" collapsed="false">
      <c r="H405" s="113"/>
      <c r="I405" s="113"/>
      <c r="J405" s="113"/>
      <c r="L405" s="113"/>
      <c r="M405" s="113"/>
      <c r="N405" s="113"/>
      <c r="P405" s="113"/>
      <c r="Q405" s="113"/>
      <c r="R405" s="113"/>
      <c r="T405" s="113"/>
      <c r="U405" s="113"/>
      <c r="V405" s="113"/>
    </row>
    <row r="406" customFormat="false" ht="15" hidden="false" customHeight="true" outlineLevel="0" collapsed="false">
      <c r="H406" s="113"/>
      <c r="I406" s="113"/>
      <c r="J406" s="113"/>
      <c r="L406" s="113"/>
      <c r="M406" s="113"/>
      <c r="N406" s="113"/>
      <c r="P406" s="113"/>
      <c r="Q406" s="113"/>
      <c r="R406" s="113"/>
      <c r="T406" s="113"/>
      <c r="U406" s="113"/>
      <c r="V406" s="113"/>
    </row>
    <row r="407" customFormat="false" ht="15" hidden="false" customHeight="true" outlineLevel="0" collapsed="false">
      <c r="H407" s="113"/>
      <c r="I407" s="113"/>
      <c r="J407" s="113"/>
      <c r="L407" s="113"/>
      <c r="M407" s="113"/>
      <c r="N407" s="113"/>
      <c r="P407" s="113"/>
      <c r="Q407" s="113"/>
      <c r="R407" s="113"/>
      <c r="T407" s="113"/>
      <c r="U407" s="113"/>
      <c r="V407" s="113"/>
    </row>
    <row r="408" customFormat="false" ht="15" hidden="false" customHeight="true" outlineLevel="0" collapsed="false">
      <c r="H408" s="113"/>
      <c r="I408" s="113"/>
      <c r="J408" s="113"/>
      <c r="L408" s="113"/>
      <c r="M408" s="113"/>
      <c r="N408" s="113"/>
      <c r="P408" s="113"/>
      <c r="Q408" s="113"/>
      <c r="R408" s="113"/>
      <c r="T408" s="113"/>
      <c r="U408" s="113"/>
      <c r="V408" s="113"/>
    </row>
    <row r="409" customFormat="false" ht="15" hidden="false" customHeight="true" outlineLevel="0" collapsed="false">
      <c r="H409" s="113"/>
      <c r="I409" s="113"/>
      <c r="J409" s="113"/>
      <c r="L409" s="113"/>
      <c r="M409" s="113"/>
      <c r="N409" s="113"/>
      <c r="P409" s="113"/>
      <c r="Q409" s="113"/>
      <c r="R409" s="113"/>
      <c r="T409" s="113"/>
      <c r="U409" s="113"/>
      <c r="V409" s="113"/>
    </row>
    <row r="410" customFormat="false" ht="15" hidden="false" customHeight="true" outlineLevel="0" collapsed="false">
      <c r="H410" s="113"/>
      <c r="I410" s="113"/>
      <c r="J410" s="113"/>
      <c r="L410" s="113"/>
      <c r="M410" s="113"/>
      <c r="N410" s="113"/>
      <c r="P410" s="113"/>
      <c r="Q410" s="113"/>
      <c r="R410" s="113"/>
      <c r="T410" s="113"/>
      <c r="U410" s="113"/>
      <c r="V410" s="113"/>
    </row>
    <row r="411" customFormat="false" ht="15" hidden="false" customHeight="true" outlineLevel="0" collapsed="false">
      <c r="H411" s="113"/>
      <c r="I411" s="113"/>
      <c r="J411" s="113"/>
      <c r="L411" s="113"/>
      <c r="M411" s="113"/>
      <c r="N411" s="113"/>
      <c r="P411" s="113"/>
      <c r="Q411" s="113"/>
      <c r="R411" s="113"/>
      <c r="T411" s="113"/>
      <c r="U411" s="113"/>
      <c r="V411" s="113"/>
    </row>
    <row r="412" customFormat="false" ht="15" hidden="false" customHeight="true" outlineLevel="0" collapsed="false">
      <c r="H412" s="113"/>
      <c r="I412" s="113"/>
      <c r="J412" s="113"/>
      <c r="L412" s="113"/>
      <c r="M412" s="113"/>
      <c r="N412" s="113"/>
      <c r="P412" s="113"/>
      <c r="Q412" s="113"/>
      <c r="R412" s="113"/>
      <c r="T412" s="113"/>
      <c r="U412" s="113"/>
      <c r="V412" s="113"/>
    </row>
    <row r="413" customFormat="false" ht="15" hidden="false" customHeight="true" outlineLevel="0" collapsed="false">
      <c r="H413" s="113"/>
      <c r="I413" s="113"/>
      <c r="J413" s="113"/>
      <c r="L413" s="113"/>
      <c r="M413" s="113"/>
      <c r="N413" s="113"/>
      <c r="P413" s="113"/>
      <c r="Q413" s="113"/>
      <c r="R413" s="113"/>
      <c r="T413" s="113"/>
      <c r="U413" s="113"/>
      <c r="V413" s="113"/>
    </row>
    <row r="414" customFormat="false" ht="15" hidden="false" customHeight="true" outlineLevel="0" collapsed="false">
      <c r="H414" s="113"/>
      <c r="I414" s="113"/>
      <c r="J414" s="113"/>
      <c r="L414" s="113"/>
      <c r="M414" s="113"/>
      <c r="N414" s="113"/>
      <c r="P414" s="113"/>
      <c r="Q414" s="113"/>
      <c r="R414" s="113"/>
      <c r="T414" s="113"/>
      <c r="U414" s="113"/>
      <c r="V414" s="113"/>
    </row>
    <row r="415" customFormat="false" ht="15" hidden="false" customHeight="true" outlineLevel="0" collapsed="false">
      <c r="H415" s="113"/>
      <c r="I415" s="113"/>
      <c r="J415" s="113"/>
      <c r="L415" s="113"/>
      <c r="M415" s="113"/>
      <c r="N415" s="113"/>
      <c r="P415" s="113"/>
      <c r="Q415" s="113"/>
      <c r="R415" s="113"/>
      <c r="T415" s="113"/>
      <c r="U415" s="113"/>
      <c r="V415" s="113"/>
    </row>
    <row r="416" customFormat="false" ht="15" hidden="false" customHeight="true" outlineLevel="0" collapsed="false">
      <c r="H416" s="113"/>
      <c r="I416" s="113"/>
      <c r="J416" s="113"/>
      <c r="L416" s="113"/>
      <c r="M416" s="113"/>
      <c r="N416" s="113"/>
      <c r="P416" s="113"/>
      <c r="Q416" s="113"/>
      <c r="R416" s="113"/>
      <c r="T416" s="113"/>
      <c r="U416" s="113"/>
      <c r="V416" s="113"/>
    </row>
    <row r="417" customFormat="false" ht="15" hidden="false" customHeight="true" outlineLevel="0" collapsed="false">
      <c r="H417" s="113"/>
      <c r="I417" s="113"/>
      <c r="J417" s="113"/>
      <c r="L417" s="113"/>
      <c r="M417" s="113"/>
      <c r="N417" s="113"/>
      <c r="P417" s="113"/>
      <c r="Q417" s="113"/>
      <c r="R417" s="113"/>
      <c r="T417" s="113"/>
      <c r="U417" s="113"/>
      <c r="V417" s="113"/>
    </row>
    <row r="418" customFormat="false" ht="15" hidden="false" customHeight="true" outlineLevel="0" collapsed="false">
      <c r="H418" s="113"/>
      <c r="I418" s="113"/>
      <c r="J418" s="113"/>
      <c r="L418" s="113"/>
      <c r="M418" s="113"/>
      <c r="N418" s="113"/>
      <c r="P418" s="113"/>
      <c r="Q418" s="113"/>
      <c r="R418" s="113"/>
      <c r="T418" s="113"/>
      <c r="U418" s="113"/>
      <c r="V418" s="113"/>
    </row>
    <row r="419" customFormat="false" ht="15" hidden="false" customHeight="true" outlineLevel="0" collapsed="false">
      <c r="H419" s="113"/>
      <c r="I419" s="113"/>
      <c r="J419" s="113"/>
      <c r="L419" s="113"/>
      <c r="M419" s="113"/>
      <c r="N419" s="113"/>
      <c r="P419" s="113"/>
      <c r="Q419" s="113"/>
      <c r="R419" s="113"/>
      <c r="T419" s="113"/>
      <c r="U419" s="113"/>
      <c r="V419" s="113"/>
    </row>
    <row r="420" customFormat="false" ht="15" hidden="false" customHeight="true" outlineLevel="0" collapsed="false">
      <c r="H420" s="113"/>
      <c r="I420" s="113"/>
      <c r="J420" s="113"/>
      <c r="L420" s="113"/>
      <c r="M420" s="113"/>
      <c r="N420" s="113"/>
      <c r="P420" s="113"/>
      <c r="Q420" s="113"/>
      <c r="R420" s="113"/>
      <c r="T420" s="113"/>
      <c r="U420" s="113"/>
      <c r="V420" s="113"/>
    </row>
    <row r="421" customFormat="false" ht="15" hidden="false" customHeight="true" outlineLevel="0" collapsed="false">
      <c r="H421" s="113"/>
      <c r="I421" s="113"/>
      <c r="J421" s="113"/>
      <c r="L421" s="113"/>
      <c r="M421" s="113"/>
      <c r="N421" s="113"/>
      <c r="P421" s="113"/>
      <c r="Q421" s="113"/>
      <c r="R421" s="113"/>
      <c r="T421" s="113"/>
      <c r="U421" s="113"/>
      <c r="V421" s="113"/>
    </row>
    <row r="422" customFormat="false" ht="15" hidden="false" customHeight="true" outlineLevel="0" collapsed="false">
      <c r="H422" s="113"/>
      <c r="I422" s="113"/>
      <c r="J422" s="113"/>
      <c r="L422" s="113"/>
      <c r="M422" s="113"/>
      <c r="N422" s="113"/>
      <c r="P422" s="113"/>
      <c r="Q422" s="113"/>
      <c r="R422" s="113"/>
      <c r="T422" s="113"/>
      <c r="U422" s="113"/>
      <c r="V422" s="113"/>
    </row>
    <row r="423" customFormat="false" ht="15" hidden="false" customHeight="true" outlineLevel="0" collapsed="false">
      <c r="H423" s="113"/>
      <c r="I423" s="113"/>
      <c r="J423" s="113"/>
      <c r="L423" s="113"/>
      <c r="M423" s="113"/>
      <c r="N423" s="113"/>
      <c r="P423" s="113"/>
      <c r="Q423" s="113"/>
      <c r="R423" s="113"/>
      <c r="T423" s="113"/>
      <c r="U423" s="113"/>
      <c r="V423" s="113"/>
    </row>
    <row r="424" customFormat="false" ht="15" hidden="false" customHeight="true" outlineLevel="0" collapsed="false">
      <c r="H424" s="113"/>
      <c r="I424" s="113"/>
      <c r="J424" s="113"/>
      <c r="L424" s="113"/>
      <c r="M424" s="113"/>
      <c r="N424" s="113"/>
      <c r="P424" s="113"/>
      <c r="Q424" s="113"/>
      <c r="R424" s="113"/>
      <c r="T424" s="113"/>
      <c r="U424" s="113"/>
      <c r="V424" s="113"/>
    </row>
    <row r="425" customFormat="false" ht="15" hidden="false" customHeight="true" outlineLevel="0" collapsed="false">
      <c r="H425" s="113"/>
      <c r="I425" s="113"/>
      <c r="J425" s="113"/>
      <c r="L425" s="113"/>
      <c r="M425" s="113"/>
      <c r="N425" s="113"/>
      <c r="P425" s="113"/>
      <c r="Q425" s="113"/>
      <c r="R425" s="113"/>
      <c r="T425" s="113"/>
      <c r="U425" s="113"/>
      <c r="V425" s="113"/>
    </row>
    <row r="426" customFormat="false" ht="15" hidden="false" customHeight="true" outlineLevel="0" collapsed="false">
      <c r="H426" s="113"/>
      <c r="I426" s="113"/>
      <c r="J426" s="113"/>
      <c r="L426" s="113"/>
      <c r="M426" s="113"/>
      <c r="N426" s="113"/>
      <c r="P426" s="113"/>
      <c r="Q426" s="113"/>
      <c r="R426" s="113"/>
      <c r="T426" s="113"/>
      <c r="U426" s="113"/>
      <c r="V426" s="113"/>
    </row>
    <row r="427" customFormat="false" ht="15" hidden="false" customHeight="true" outlineLevel="0" collapsed="false">
      <c r="H427" s="113"/>
      <c r="I427" s="113"/>
      <c r="J427" s="113"/>
      <c r="L427" s="113"/>
      <c r="M427" s="113"/>
      <c r="N427" s="113"/>
      <c r="P427" s="113"/>
      <c r="Q427" s="113"/>
      <c r="R427" s="113"/>
      <c r="T427" s="113"/>
      <c r="U427" s="113"/>
      <c r="V427" s="113"/>
    </row>
    <row r="428" customFormat="false" ht="15" hidden="false" customHeight="true" outlineLevel="0" collapsed="false">
      <c r="H428" s="113"/>
      <c r="I428" s="113"/>
      <c r="J428" s="113"/>
      <c r="L428" s="113"/>
      <c r="M428" s="113"/>
      <c r="N428" s="113"/>
      <c r="P428" s="113"/>
      <c r="Q428" s="113"/>
      <c r="R428" s="113"/>
      <c r="T428" s="113"/>
      <c r="U428" s="113"/>
      <c r="V428" s="113"/>
    </row>
    <row r="429" customFormat="false" ht="15" hidden="false" customHeight="true" outlineLevel="0" collapsed="false">
      <c r="H429" s="113"/>
      <c r="I429" s="113"/>
      <c r="J429" s="113"/>
      <c r="L429" s="113"/>
      <c r="M429" s="113"/>
      <c r="N429" s="113"/>
      <c r="P429" s="113"/>
      <c r="Q429" s="113"/>
      <c r="R429" s="113"/>
      <c r="T429" s="113"/>
      <c r="U429" s="113"/>
      <c r="V429" s="113"/>
    </row>
    <row r="430" customFormat="false" ht="15" hidden="false" customHeight="true" outlineLevel="0" collapsed="false">
      <c r="H430" s="113"/>
      <c r="I430" s="113"/>
      <c r="J430" s="113"/>
      <c r="L430" s="113"/>
      <c r="M430" s="113"/>
      <c r="N430" s="113"/>
      <c r="P430" s="113"/>
      <c r="Q430" s="113"/>
      <c r="R430" s="113"/>
      <c r="T430" s="113"/>
      <c r="U430" s="113"/>
      <c r="V430" s="113"/>
    </row>
    <row r="431" customFormat="false" ht="15" hidden="false" customHeight="true" outlineLevel="0" collapsed="false">
      <c r="H431" s="113"/>
      <c r="I431" s="113"/>
      <c r="J431" s="113"/>
      <c r="L431" s="113"/>
      <c r="M431" s="113"/>
      <c r="N431" s="113"/>
      <c r="P431" s="113"/>
      <c r="Q431" s="113"/>
      <c r="R431" s="113"/>
      <c r="T431" s="113"/>
      <c r="U431" s="113"/>
      <c r="V431" s="113"/>
    </row>
    <row r="432" customFormat="false" ht="15" hidden="false" customHeight="true" outlineLevel="0" collapsed="false">
      <c r="H432" s="113"/>
      <c r="I432" s="113"/>
      <c r="J432" s="113"/>
      <c r="L432" s="113"/>
      <c r="M432" s="113"/>
      <c r="N432" s="113"/>
      <c r="P432" s="113"/>
      <c r="Q432" s="113"/>
      <c r="R432" s="113"/>
      <c r="T432" s="113"/>
      <c r="U432" s="113"/>
      <c r="V432" s="113"/>
    </row>
    <row r="433" customFormat="false" ht="15" hidden="false" customHeight="true" outlineLevel="0" collapsed="false">
      <c r="H433" s="113"/>
      <c r="I433" s="113"/>
      <c r="J433" s="113"/>
      <c r="L433" s="113"/>
      <c r="M433" s="113"/>
      <c r="N433" s="113"/>
      <c r="P433" s="113"/>
      <c r="Q433" s="113"/>
      <c r="R433" s="113"/>
      <c r="T433" s="113"/>
      <c r="U433" s="113"/>
      <c r="V433" s="113"/>
    </row>
    <row r="434" customFormat="false" ht="15" hidden="false" customHeight="true" outlineLevel="0" collapsed="false">
      <c r="H434" s="113"/>
      <c r="I434" s="113"/>
      <c r="J434" s="113"/>
      <c r="L434" s="113"/>
      <c r="M434" s="113"/>
      <c r="N434" s="113"/>
      <c r="P434" s="113"/>
      <c r="Q434" s="113"/>
      <c r="R434" s="113"/>
      <c r="T434" s="113"/>
      <c r="U434" s="113"/>
      <c r="V434" s="113"/>
    </row>
    <row r="435" customFormat="false" ht="15" hidden="false" customHeight="true" outlineLevel="0" collapsed="false">
      <c r="H435" s="113"/>
      <c r="I435" s="113"/>
      <c r="J435" s="113"/>
      <c r="L435" s="113"/>
      <c r="M435" s="113"/>
      <c r="N435" s="113"/>
      <c r="P435" s="113"/>
      <c r="Q435" s="113"/>
      <c r="R435" s="113"/>
      <c r="T435" s="113"/>
      <c r="U435" s="113"/>
      <c r="V435" s="113"/>
    </row>
    <row r="436" customFormat="false" ht="15" hidden="false" customHeight="true" outlineLevel="0" collapsed="false">
      <c r="H436" s="113"/>
      <c r="I436" s="113"/>
      <c r="J436" s="113"/>
      <c r="L436" s="113"/>
      <c r="M436" s="113"/>
      <c r="N436" s="113"/>
      <c r="P436" s="113"/>
      <c r="Q436" s="113"/>
      <c r="R436" s="113"/>
      <c r="T436" s="113"/>
      <c r="U436" s="113"/>
      <c r="V436" s="113"/>
    </row>
    <row r="437" customFormat="false" ht="15" hidden="false" customHeight="true" outlineLevel="0" collapsed="false">
      <c r="H437" s="113"/>
      <c r="I437" s="113"/>
      <c r="J437" s="113"/>
      <c r="L437" s="113"/>
      <c r="M437" s="113"/>
      <c r="N437" s="113"/>
      <c r="P437" s="113"/>
      <c r="Q437" s="113"/>
      <c r="R437" s="113"/>
      <c r="T437" s="113"/>
      <c r="U437" s="113"/>
      <c r="V437" s="113"/>
    </row>
    <row r="438" customFormat="false" ht="15" hidden="false" customHeight="true" outlineLevel="0" collapsed="false">
      <c r="H438" s="113"/>
      <c r="I438" s="113"/>
      <c r="J438" s="113"/>
      <c r="L438" s="113"/>
      <c r="M438" s="113"/>
      <c r="N438" s="113"/>
      <c r="P438" s="113"/>
      <c r="Q438" s="113"/>
      <c r="R438" s="113"/>
      <c r="T438" s="113"/>
      <c r="U438" s="113"/>
      <c r="V438" s="113"/>
    </row>
    <row r="439" customFormat="false" ht="15" hidden="false" customHeight="true" outlineLevel="0" collapsed="false">
      <c r="H439" s="113"/>
      <c r="I439" s="113"/>
      <c r="J439" s="113"/>
      <c r="L439" s="113"/>
      <c r="M439" s="113"/>
      <c r="N439" s="113"/>
      <c r="P439" s="113"/>
      <c r="Q439" s="113"/>
      <c r="R439" s="113"/>
      <c r="T439" s="113"/>
      <c r="U439" s="113"/>
      <c r="V439" s="113"/>
    </row>
    <row r="440" customFormat="false" ht="15" hidden="false" customHeight="true" outlineLevel="0" collapsed="false">
      <c r="H440" s="113"/>
      <c r="I440" s="113"/>
      <c r="J440" s="113"/>
      <c r="L440" s="113"/>
      <c r="M440" s="113"/>
      <c r="N440" s="113"/>
      <c r="P440" s="113"/>
      <c r="Q440" s="113"/>
      <c r="R440" s="113"/>
      <c r="T440" s="113"/>
      <c r="U440" s="113"/>
      <c r="V440" s="113"/>
    </row>
    <row r="441" customFormat="false" ht="15" hidden="false" customHeight="true" outlineLevel="0" collapsed="false">
      <c r="H441" s="113"/>
      <c r="I441" s="113"/>
      <c r="J441" s="113"/>
      <c r="L441" s="113"/>
      <c r="M441" s="113"/>
      <c r="N441" s="113"/>
      <c r="P441" s="113"/>
      <c r="Q441" s="113"/>
      <c r="R441" s="113"/>
      <c r="T441" s="113"/>
      <c r="U441" s="113"/>
      <c r="V441" s="113"/>
    </row>
    <row r="442" customFormat="false" ht="15" hidden="false" customHeight="true" outlineLevel="0" collapsed="false">
      <c r="H442" s="113"/>
      <c r="I442" s="113"/>
      <c r="J442" s="113"/>
      <c r="L442" s="113"/>
      <c r="M442" s="113"/>
      <c r="N442" s="113"/>
      <c r="P442" s="113"/>
      <c r="Q442" s="113"/>
      <c r="R442" s="113"/>
      <c r="T442" s="113"/>
      <c r="U442" s="113"/>
      <c r="V442" s="113"/>
    </row>
    <row r="443" customFormat="false" ht="15" hidden="false" customHeight="true" outlineLevel="0" collapsed="false">
      <c r="H443" s="113"/>
      <c r="I443" s="113"/>
      <c r="J443" s="113"/>
      <c r="L443" s="113"/>
      <c r="M443" s="113"/>
      <c r="N443" s="113"/>
      <c r="P443" s="113"/>
      <c r="Q443" s="113"/>
      <c r="R443" s="113"/>
      <c r="T443" s="113"/>
      <c r="U443" s="113"/>
      <c r="V443" s="113"/>
    </row>
    <row r="444" customFormat="false" ht="15" hidden="false" customHeight="true" outlineLevel="0" collapsed="false">
      <c r="H444" s="113"/>
      <c r="I444" s="113"/>
      <c r="J444" s="113"/>
      <c r="L444" s="113"/>
      <c r="M444" s="113"/>
      <c r="N444" s="113"/>
      <c r="P444" s="113"/>
      <c r="Q444" s="113"/>
      <c r="R444" s="113"/>
      <c r="T444" s="113"/>
      <c r="U444" s="113"/>
      <c r="V444" s="113"/>
    </row>
    <row r="445" customFormat="false" ht="15" hidden="false" customHeight="true" outlineLevel="0" collapsed="false">
      <c r="H445" s="113"/>
      <c r="I445" s="113"/>
      <c r="J445" s="113"/>
      <c r="L445" s="113"/>
      <c r="M445" s="113"/>
      <c r="N445" s="113"/>
      <c r="P445" s="113"/>
      <c r="Q445" s="113"/>
      <c r="R445" s="113"/>
      <c r="T445" s="113"/>
      <c r="U445" s="113"/>
      <c r="V445" s="113"/>
    </row>
    <row r="446" customFormat="false" ht="15" hidden="false" customHeight="true" outlineLevel="0" collapsed="false">
      <c r="H446" s="113"/>
      <c r="I446" s="113"/>
      <c r="J446" s="113"/>
      <c r="L446" s="113"/>
      <c r="M446" s="113"/>
      <c r="N446" s="113"/>
      <c r="P446" s="113"/>
      <c r="Q446" s="113"/>
      <c r="R446" s="113"/>
      <c r="T446" s="113"/>
      <c r="U446" s="113"/>
      <c r="V446" s="113"/>
    </row>
    <row r="447" customFormat="false" ht="15" hidden="false" customHeight="true" outlineLevel="0" collapsed="false">
      <c r="H447" s="113"/>
      <c r="I447" s="113"/>
      <c r="J447" s="113"/>
      <c r="L447" s="113"/>
      <c r="M447" s="113"/>
      <c r="N447" s="113"/>
      <c r="P447" s="113"/>
      <c r="Q447" s="113"/>
      <c r="R447" s="113"/>
      <c r="T447" s="113"/>
      <c r="U447" s="113"/>
      <c r="V447" s="113"/>
    </row>
    <row r="448" customFormat="false" ht="15" hidden="false" customHeight="true" outlineLevel="0" collapsed="false">
      <c r="H448" s="113"/>
      <c r="I448" s="113"/>
      <c r="J448" s="113"/>
      <c r="L448" s="113"/>
      <c r="M448" s="113"/>
      <c r="N448" s="113"/>
      <c r="P448" s="113"/>
      <c r="Q448" s="113"/>
      <c r="R448" s="113"/>
      <c r="T448" s="113"/>
      <c r="U448" s="113"/>
      <c r="V448" s="113"/>
    </row>
    <row r="449" customFormat="false" ht="15" hidden="false" customHeight="true" outlineLevel="0" collapsed="false">
      <c r="H449" s="113"/>
      <c r="I449" s="113"/>
      <c r="J449" s="113"/>
      <c r="L449" s="113"/>
      <c r="M449" s="113"/>
      <c r="N449" s="113"/>
      <c r="P449" s="113"/>
      <c r="Q449" s="113"/>
      <c r="R449" s="113"/>
      <c r="T449" s="113"/>
      <c r="U449" s="113"/>
      <c r="V449" s="113"/>
    </row>
    <row r="450" customFormat="false" ht="15" hidden="false" customHeight="true" outlineLevel="0" collapsed="false">
      <c r="H450" s="113"/>
      <c r="I450" s="113"/>
      <c r="J450" s="113"/>
      <c r="L450" s="113"/>
      <c r="M450" s="113"/>
      <c r="N450" s="113"/>
      <c r="P450" s="113"/>
      <c r="Q450" s="113"/>
      <c r="R450" s="113"/>
      <c r="T450" s="113"/>
      <c r="U450" s="113"/>
      <c r="V450" s="113"/>
    </row>
    <row r="451" customFormat="false" ht="15" hidden="false" customHeight="true" outlineLevel="0" collapsed="false">
      <c r="H451" s="113"/>
      <c r="I451" s="113"/>
      <c r="J451" s="113"/>
      <c r="L451" s="113"/>
      <c r="M451" s="113"/>
      <c r="N451" s="113"/>
      <c r="P451" s="113"/>
      <c r="Q451" s="113"/>
      <c r="R451" s="113"/>
      <c r="T451" s="113"/>
      <c r="U451" s="113"/>
      <c r="V451" s="113"/>
    </row>
    <row r="452" customFormat="false" ht="15" hidden="false" customHeight="true" outlineLevel="0" collapsed="false">
      <c r="H452" s="113"/>
      <c r="I452" s="113"/>
      <c r="J452" s="113"/>
      <c r="L452" s="113"/>
      <c r="M452" s="113"/>
      <c r="N452" s="113"/>
      <c r="P452" s="113"/>
      <c r="Q452" s="113"/>
      <c r="R452" s="113"/>
      <c r="T452" s="113"/>
      <c r="U452" s="113"/>
      <c r="V452" s="113"/>
    </row>
    <row r="453" customFormat="false" ht="15" hidden="false" customHeight="true" outlineLevel="0" collapsed="false">
      <c r="H453" s="113"/>
      <c r="I453" s="113"/>
      <c r="J453" s="113"/>
      <c r="L453" s="113"/>
      <c r="M453" s="113"/>
      <c r="N453" s="113"/>
      <c r="P453" s="113"/>
      <c r="Q453" s="113"/>
      <c r="R453" s="113"/>
      <c r="T453" s="113"/>
      <c r="U453" s="113"/>
      <c r="V453" s="113"/>
    </row>
    <row r="454" customFormat="false" ht="15" hidden="false" customHeight="true" outlineLevel="0" collapsed="false">
      <c r="H454" s="113"/>
      <c r="I454" s="113"/>
      <c r="J454" s="113"/>
      <c r="L454" s="113"/>
      <c r="M454" s="113"/>
      <c r="N454" s="113"/>
      <c r="P454" s="113"/>
      <c r="Q454" s="113"/>
      <c r="R454" s="113"/>
      <c r="T454" s="113"/>
      <c r="U454" s="113"/>
      <c r="V454" s="113"/>
    </row>
    <row r="455" customFormat="false" ht="15" hidden="false" customHeight="true" outlineLevel="0" collapsed="false">
      <c r="H455" s="113"/>
      <c r="I455" s="113"/>
      <c r="J455" s="113"/>
      <c r="L455" s="113"/>
      <c r="M455" s="113"/>
      <c r="N455" s="113"/>
      <c r="P455" s="113"/>
      <c r="Q455" s="113"/>
      <c r="R455" s="113"/>
      <c r="T455" s="113"/>
      <c r="U455" s="113"/>
      <c r="V455" s="113"/>
    </row>
    <row r="456" customFormat="false" ht="15" hidden="false" customHeight="true" outlineLevel="0" collapsed="false">
      <c r="H456" s="113"/>
      <c r="I456" s="113"/>
      <c r="J456" s="113"/>
      <c r="L456" s="113"/>
      <c r="M456" s="113"/>
      <c r="N456" s="113"/>
      <c r="P456" s="113"/>
      <c r="Q456" s="113"/>
      <c r="R456" s="113"/>
      <c r="T456" s="113"/>
      <c r="U456" s="113"/>
      <c r="V456" s="113"/>
    </row>
    <row r="457" customFormat="false" ht="15" hidden="false" customHeight="true" outlineLevel="0" collapsed="false">
      <c r="H457" s="113"/>
      <c r="I457" s="113"/>
      <c r="J457" s="113"/>
      <c r="L457" s="113"/>
      <c r="M457" s="113"/>
      <c r="N457" s="113"/>
      <c r="P457" s="113"/>
      <c r="Q457" s="113"/>
      <c r="R457" s="113"/>
      <c r="T457" s="113"/>
      <c r="U457" s="113"/>
      <c r="V457" s="113"/>
    </row>
    <row r="458" customFormat="false" ht="15" hidden="false" customHeight="true" outlineLevel="0" collapsed="false">
      <c r="H458" s="113"/>
      <c r="I458" s="113"/>
      <c r="J458" s="113"/>
      <c r="L458" s="113"/>
      <c r="M458" s="113"/>
      <c r="N458" s="113"/>
      <c r="P458" s="113"/>
      <c r="Q458" s="113"/>
      <c r="R458" s="113"/>
      <c r="T458" s="113"/>
      <c r="U458" s="113"/>
      <c r="V458" s="113"/>
    </row>
    <row r="459" customFormat="false" ht="15" hidden="false" customHeight="true" outlineLevel="0" collapsed="false">
      <c r="H459" s="113"/>
      <c r="I459" s="113"/>
      <c r="J459" s="113"/>
      <c r="L459" s="113"/>
      <c r="M459" s="113"/>
      <c r="N459" s="113"/>
      <c r="P459" s="113"/>
      <c r="Q459" s="113"/>
      <c r="R459" s="113"/>
      <c r="T459" s="113"/>
      <c r="U459" s="113"/>
      <c r="V459" s="113"/>
    </row>
    <row r="460" customFormat="false" ht="15" hidden="false" customHeight="true" outlineLevel="0" collapsed="false">
      <c r="H460" s="113"/>
      <c r="I460" s="113"/>
      <c r="J460" s="113"/>
      <c r="L460" s="113"/>
      <c r="M460" s="113"/>
      <c r="N460" s="113"/>
      <c r="P460" s="113"/>
      <c r="Q460" s="113"/>
      <c r="R460" s="113"/>
      <c r="T460" s="113"/>
      <c r="U460" s="113"/>
      <c r="V460" s="113"/>
    </row>
    <row r="461" customFormat="false" ht="15" hidden="false" customHeight="true" outlineLevel="0" collapsed="false">
      <c r="H461" s="113"/>
      <c r="I461" s="113"/>
      <c r="J461" s="113"/>
      <c r="L461" s="113"/>
      <c r="M461" s="113"/>
      <c r="N461" s="113"/>
      <c r="P461" s="113"/>
      <c r="Q461" s="113"/>
      <c r="R461" s="113"/>
      <c r="T461" s="113"/>
      <c r="U461" s="113"/>
      <c r="V461" s="113"/>
    </row>
    <row r="462" customFormat="false" ht="15" hidden="false" customHeight="true" outlineLevel="0" collapsed="false">
      <c r="H462" s="113"/>
      <c r="I462" s="113"/>
      <c r="J462" s="113"/>
      <c r="L462" s="113"/>
      <c r="M462" s="113"/>
      <c r="N462" s="113"/>
      <c r="P462" s="113"/>
      <c r="Q462" s="113"/>
      <c r="R462" s="113"/>
      <c r="T462" s="113"/>
      <c r="U462" s="113"/>
      <c r="V462" s="113"/>
    </row>
    <row r="463" customFormat="false" ht="15" hidden="false" customHeight="true" outlineLevel="0" collapsed="false">
      <c r="H463" s="113"/>
      <c r="I463" s="113"/>
      <c r="J463" s="113"/>
      <c r="L463" s="113"/>
      <c r="M463" s="113"/>
      <c r="N463" s="113"/>
      <c r="P463" s="113"/>
      <c r="Q463" s="113"/>
      <c r="R463" s="113"/>
      <c r="T463" s="113"/>
      <c r="U463" s="113"/>
      <c r="V463" s="113"/>
    </row>
    <row r="464" customFormat="false" ht="15" hidden="false" customHeight="true" outlineLevel="0" collapsed="false">
      <c r="H464" s="113"/>
      <c r="I464" s="113"/>
      <c r="J464" s="113"/>
      <c r="L464" s="113"/>
      <c r="M464" s="113"/>
      <c r="N464" s="113"/>
      <c r="P464" s="113"/>
      <c r="Q464" s="113"/>
      <c r="R464" s="113"/>
      <c r="T464" s="113"/>
      <c r="U464" s="113"/>
      <c r="V464" s="113"/>
    </row>
    <row r="465" customFormat="false" ht="15" hidden="false" customHeight="true" outlineLevel="0" collapsed="false">
      <c r="H465" s="113"/>
      <c r="I465" s="113"/>
      <c r="J465" s="113"/>
      <c r="L465" s="113"/>
      <c r="M465" s="113"/>
      <c r="N465" s="113"/>
      <c r="P465" s="113"/>
      <c r="Q465" s="113"/>
      <c r="R465" s="113"/>
      <c r="T465" s="113"/>
      <c r="U465" s="113"/>
      <c r="V465" s="113"/>
    </row>
    <row r="466" customFormat="false" ht="15" hidden="false" customHeight="true" outlineLevel="0" collapsed="false">
      <c r="H466" s="113"/>
      <c r="I466" s="113"/>
      <c r="J466" s="113"/>
      <c r="L466" s="113"/>
      <c r="M466" s="113"/>
      <c r="N466" s="113"/>
      <c r="P466" s="113"/>
      <c r="Q466" s="113"/>
      <c r="R466" s="113"/>
      <c r="T466" s="113"/>
      <c r="U466" s="113"/>
      <c r="V466" s="113"/>
    </row>
    <row r="467" customFormat="false" ht="15" hidden="false" customHeight="true" outlineLevel="0" collapsed="false">
      <c r="H467" s="113"/>
      <c r="I467" s="113"/>
      <c r="J467" s="113"/>
      <c r="L467" s="113"/>
      <c r="M467" s="113"/>
      <c r="N467" s="113"/>
      <c r="P467" s="113"/>
      <c r="Q467" s="113"/>
      <c r="R467" s="113"/>
      <c r="T467" s="113"/>
      <c r="U467" s="113"/>
      <c r="V467" s="113"/>
    </row>
    <row r="468" customFormat="false" ht="15" hidden="false" customHeight="true" outlineLevel="0" collapsed="false">
      <c r="H468" s="113"/>
      <c r="I468" s="113"/>
      <c r="J468" s="113"/>
      <c r="L468" s="113"/>
      <c r="M468" s="113"/>
      <c r="N468" s="113"/>
      <c r="P468" s="113"/>
      <c r="Q468" s="113"/>
      <c r="R468" s="113"/>
      <c r="T468" s="113"/>
      <c r="U468" s="113"/>
      <c r="V468" s="113"/>
    </row>
    <row r="469" customFormat="false" ht="15" hidden="false" customHeight="true" outlineLevel="0" collapsed="false">
      <c r="H469" s="113"/>
      <c r="I469" s="113"/>
      <c r="J469" s="113"/>
      <c r="L469" s="113"/>
      <c r="M469" s="113"/>
      <c r="N469" s="113"/>
      <c r="P469" s="113"/>
      <c r="Q469" s="113"/>
      <c r="R469" s="113"/>
      <c r="T469" s="113"/>
      <c r="U469" s="113"/>
      <c r="V469" s="113"/>
    </row>
    <row r="470" customFormat="false" ht="15" hidden="false" customHeight="true" outlineLevel="0" collapsed="false">
      <c r="H470" s="113"/>
      <c r="I470" s="113"/>
      <c r="J470" s="113"/>
      <c r="L470" s="113"/>
      <c r="M470" s="113"/>
      <c r="N470" s="113"/>
      <c r="P470" s="113"/>
      <c r="Q470" s="113"/>
      <c r="R470" s="113"/>
      <c r="T470" s="113"/>
      <c r="U470" s="113"/>
      <c r="V470" s="113"/>
    </row>
    <row r="471" customFormat="false" ht="15" hidden="false" customHeight="true" outlineLevel="0" collapsed="false">
      <c r="H471" s="113"/>
      <c r="I471" s="113"/>
      <c r="J471" s="113"/>
      <c r="L471" s="113"/>
      <c r="M471" s="113"/>
      <c r="N471" s="113"/>
      <c r="P471" s="113"/>
      <c r="Q471" s="113"/>
      <c r="R471" s="113"/>
      <c r="T471" s="113"/>
      <c r="U471" s="113"/>
      <c r="V471" s="113"/>
    </row>
    <row r="472" customFormat="false" ht="15" hidden="false" customHeight="true" outlineLevel="0" collapsed="false">
      <c r="H472" s="113"/>
      <c r="I472" s="113"/>
      <c r="J472" s="113"/>
      <c r="L472" s="113"/>
      <c r="M472" s="113"/>
      <c r="N472" s="113"/>
      <c r="P472" s="113"/>
      <c r="Q472" s="113"/>
      <c r="R472" s="113"/>
      <c r="T472" s="113"/>
      <c r="U472" s="113"/>
      <c r="V472" s="113"/>
    </row>
    <row r="473" customFormat="false" ht="15" hidden="false" customHeight="true" outlineLevel="0" collapsed="false">
      <c r="H473" s="113"/>
      <c r="I473" s="113"/>
      <c r="J473" s="113"/>
      <c r="L473" s="113"/>
      <c r="M473" s="113"/>
      <c r="N473" s="113"/>
      <c r="P473" s="113"/>
      <c r="Q473" s="113"/>
      <c r="R473" s="113"/>
      <c r="T473" s="113"/>
      <c r="U473" s="113"/>
      <c r="V473" s="113"/>
    </row>
    <row r="474" customFormat="false" ht="15" hidden="false" customHeight="true" outlineLevel="0" collapsed="false">
      <c r="H474" s="113"/>
      <c r="I474" s="113"/>
      <c r="J474" s="113"/>
      <c r="L474" s="113"/>
      <c r="M474" s="113"/>
      <c r="N474" s="113"/>
      <c r="P474" s="113"/>
      <c r="Q474" s="113"/>
      <c r="R474" s="113"/>
      <c r="T474" s="113"/>
      <c r="U474" s="113"/>
      <c r="V474" s="113"/>
    </row>
    <row r="475" customFormat="false" ht="15" hidden="false" customHeight="true" outlineLevel="0" collapsed="false">
      <c r="H475" s="113"/>
      <c r="I475" s="113"/>
      <c r="J475" s="113"/>
      <c r="L475" s="113"/>
      <c r="M475" s="113"/>
      <c r="N475" s="113"/>
      <c r="P475" s="113"/>
      <c r="Q475" s="113"/>
      <c r="R475" s="113"/>
      <c r="T475" s="113"/>
      <c r="U475" s="113"/>
      <c r="V475" s="113"/>
    </row>
    <row r="476" customFormat="false" ht="15" hidden="false" customHeight="true" outlineLevel="0" collapsed="false">
      <c r="H476" s="113"/>
      <c r="I476" s="113"/>
      <c r="J476" s="113"/>
      <c r="L476" s="113"/>
      <c r="M476" s="113"/>
      <c r="N476" s="113"/>
      <c r="P476" s="113"/>
      <c r="Q476" s="113"/>
      <c r="R476" s="113"/>
      <c r="T476" s="113"/>
      <c r="U476" s="113"/>
      <c r="V476" s="113"/>
    </row>
    <row r="477" customFormat="false" ht="15" hidden="false" customHeight="true" outlineLevel="0" collapsed="false">
      <c r="H477" s="113"/>
      <c r="I477" s="113"/>
      <c r="J477" s="113"/>
      <c r="L477" s="113"/>
      <c r="M477" s="113"/>
      <c r="N477" s="113"/>
      <c r="P477" s="113"/>
      <c r="Q477" s="113"/>
      <c r="R477" s="113"/>
      <c r="T477" s="113"/>
      <c r="U477" s="113"/>
      <c r="V477" s="113"/>
    </row>
    <row r="478" customFormat="false" ht="15" hidden="false" customHeight="true" outlineLevel="0" collapsed="false">
      <c r="H478" s="113"/>
      <c r="I478" s="113"/>
      <c r="J478" s="113"/>
      <c r="L478" s="113"/>
      <c r="M478" s="113"/>
      <c r="N478" s="113"/>
      <c r="P478" s="113"/>
      <c r="Q478" s="113"/>
      <c r="R478" s="113"/>
      <c r="T478" s="113"/>
      <c r="U478" s="113"/>
      <c r="V478" s="113"/>
    </row>
    <row r="479" customFormat="false" ht="15" hidden="false" customHeight="true" outlineLevel="0" collapsed="false">
      <c r="H479" s="113"/>
      <c r="I479" s="113"/>
      <c r="J479" s="113"/>
      <c r="L479" s="113"/>
      <c r="M479" s="113"/>
      <c r="N479" s="113"/>
      <c r="P479" s="113"/>
      <c r="Q479" s="113"/>
      <c r="R479" s="113"/>
      <c r="T479" s="113"/>
      <c r="U479" s="113"/>
      <c r="V479" s="113"/>
    </row>
    <row r="480" customFormat="false" ht="15" hidden="false" customHeight="true" outlineLevel="0" collapsed="false">
      <c r="H480" s="113"/>
      <c r="I480" s="113"/>
      <c r="J480" s="113"/>
      <c r="L480" s="113"/>
      <c r="M480" s="113"/>
      <c r="N480" s="113"/>
      <c r="P480" s="113"/>
      <c r="Q480" s="113"/>
      <c r="R480" s="113"/>
      <c r="T480" s="113"/>
      <c r="U480" s="113"/>
      <c r="V480" s="113"/>
    </row>
    <row r="481" customFormat="false" ht="15" hidden="false" customHeight="true" outlineLevel="0" collapsed="false">
      <c r="H481" s="113"/>
      <c r="I481" s="113"/>
      <c r="J481" s="113"/>
      <c r="L481" s="113"/>
      <c r="M481" s="113"/>
      <c r="N481" s="113"/>
      <c r="P481" s="113"/>
      <c r="Q481" s="113"/>
      <c r="R481" s="113"/>
      <c r="T481" s="113"/>
      <c r="U481" s="113"/>
      <c r="V481" s="113"/>
    </row>
    <row r="482" customFormat="false" ht="15" hidden="false" customHeight="true" outlineLevel="0" collapsed="false">
      <c r="H482" s="113"/>
      <c r="I482" s="113"/>
      <c r="J482" s="113"/>
      <c r="L482" s="113"/>
      <c r="M482" s="113"/>
      <c r="N482" s="113"/>
      <c r="P482" s="113"/>
      <c r="Q482" s="113"/>
      <c r="R482" s="113"/>
      <c r="T482" s="113"/>
      <c r="U482" s="113"/>
      <c r="V482" s="113"/>
    </row>
    <row r="483" customFormat="false" ht="15" hidden="false" customHeight="true" outlineLevel="0" collapsed="false">
      <c r="H483" s="113"/>
      <c r="I483" s="113"/>
      <c r="J483" s="113"/>
      <c r="L483" s="113"/>
      <c r="M483" s="113"/>
      <c r="N483" s="113"/>
      <c r="P483" s="113"/>
      <c r="Q483" s="113"/>
      <c r="R483" s="113"/>
      <c r="T483" s="113"/>
      <c r="U483" s="113"/>
      <c r="V483" s="113"/>
    </row>
    <row r="484" customFormat="false" ht="15" hidden="false" customHeight="true" outlineLevel="0" collapsed="false">
      <c r="H484" s="113"/>
      <c r="I484" s="113"/>
      <c r="J484" s="113"/>
      <c r="L484" s="113"/>
      <c r="M484" s="113"/>
      <c r="N484" s="113"/>
      <c r="P484" s="113"/>
      <c r="Q484" s="113"/>
      <c r="R484" s="113"/>
      <c r="T484" s="113"/>
      <c r="U484" s="113"/>
      <c r="V484" s="113"/>
    </row>
    <row r="485" customFormat="false" ht="15" hidden="false" customHeight="true" outlineLevel="0" collapsed="false">
      <c r="H485" s="113"/>
      <c r="I485" s="113"/>
      <c r="J485" s="113"/>
      <c r="L485" s="113"/>
      <c r="M485" s="113"/>
      <c r="N485" s="113"/>
      <c r="P485" s="113"/>
      <c r="Q485" s="113"/>
      <c r="R485" s="113"/>
      <c r="T485" s="113"/>
      <c r="U485" s="113"/>
      <c r="V485" s="113"/>
    </row>
    <row r="486" customFormat="false" ht="15" hidden="false" customHeight="true" outlineLevel="0" collapsed="false">
      <c r="H486" s="113"/>
      <c r="I486" s="113"/>
      <c r="J486" s="113"/>
      <c r="L486" s="113"/>
      <c r="M486" s="113"/>
      <c r="N486" s="113"/>
      <c r="P486" s="113"/>
      <c r="Q486" s="113"/>
      <c r="R486" s="113"/>
      <c r="T486" s="113"/>
      <c r="U486" s="113"/>
      <c r="V486" s="113"/>
    </row>
    <row r="487" customFormat="false" ht="15" hidden="false" customHeight="true" outlineLevel="0" collapsed="false">
      <c r="H487" s="113"/>
      <c r="I487" s="113"/>
      <c r="J487" s="113"/>
      <c r="L487" s="113"/>
      <c r="M487" s="113"/>
      <c r="N487" s="113"/>
      <c r="P487" s="113"/>
      <c r="Q487" s="113"/>
      <c r="R487" s="113"/>
      <c r="T487" s="113"/>
      <c r="U487" s="113"/>
      <c r="V487" s="113"/>
    </row>
    <row r="488" customFormat="false" ht="15" hidden="false" customHeight="true" outlineLevel="0" collapsed="false">
      <c r="H488" s="113"/>
      <c r="I488" s="113"/>
      <c r="J488" s="113"/>
      <c r="L488" s="113"/>
      <c r="M488" s="113"/>
      <c r="N488" s="113"/>
      <c r="P488" s="113"/>
      <c r="Q488" s="113"/>
      <c r="R488" s="113"/>
      <c r="T488" s="113"/>
      <c r="U488" s="113"/>
      <c r="V488" s="113"/>
    </row>
    <row r="489" customFormat="false" ht="15" hidden="false" customHeight="true" outlineLevel="0" collapsed="false">
      <c r="H489" s="113"/>
      <c r="I489" s="113"/>
      <c r="J489" s="113"/>
      <c r="L489" s="113"/>
      <c r="M489" s="113"/>
      <c r="N489" s="113"/>
      <c r="P489" s="113"/>
      <c r="Q489" s="113"/>
      <c r="R489" s="113"/>
      <c r="T489" s="113"/>
      <c r="U489" s="113"/>
      <c r="V489" s="113"/>
    </row>
    <row r="490" customFormat="false" ht="15" hidden="false" customHeight="true" outlineLevel="0" collapsed="false">
      <c r="H490" s="113"/>
      <c r="I490" s="113"/>
      <c r="J490" s="113"/>
      <c r="L490" s="113"/>
      <c r="M490" s="113"/>
      <c r="N490" s="113"/>
      <c r="P490" s="113"/>
      <c r="Q490" s="113"/>
      <c r="R490" s="113"/>
      <c r="T490" s="113"/>
      <c r="U490" s="113"/>
      <c r="V490" s="113"/>
    </row>
    <row r="491" customFormat="false" ht="15" hidden="false" customHeight="true" outlineLevel="0" collapsed="false">
      <c r="H491" s="113"/>
      <c r="I491" s="113"/>
      <c r="J491" s="113"/>
      <c r="L491" s="113"/>
      <c r="M491" s="113"/>
      <c r="N491" s="113"/>
      <c r="P491" s="113"/>
      <c r="Q491" s="113"/>
      <c r="R491" s="113"/>
      <c r="T491" s="113"/>
      <c r="U491" s="113"/>
      <c r="V491" s="113"/>
    </row>
    <row r="492" customFormat="false" ht="15" hidden="false" customHeight="true" outlineLevel="0" collapsed="false">
      <c r="H492" s="113"/>
      <c r="I492" s="113"/>
      <c r="J492" s="113"/>
      <c r="L492" s="113"/>
      <c r="M492" s="113"/>
      <c r="N492" s="113"/>
      <c r="P492" s="113"/>
      <c r="Q492" s="113"/>
      <c r="R492" s="113"/>
      <c r="T492" s="113"/>
      <c r="U492" s="113"/>
      <c r="V492" s="113"/>
    </row>
    <row r="493" customFormat="false" ht="15" hidden="false" customHeight="true" outlineLevel="0" collapsed="false">
      <c r="H493" s="113"/>
      <c r="I493" s="113"/>
      <c r="J493" s="113"/>
      <c r="L493" s="113"/>
      <c r="M493" s="113"/>
      <c r="N493" s="113"/>
      <c r="P493" s="113"/>
      <c r="Q493" s="113"/>
      <c r="R493" s="113"/>
      <c r="T493" s="113"/>
      <c r="U493" s="113"/>
      <c r="V493" s="113"/>
    </row>
    <row r="494" customFormat="false" ht="15" hidden="false" customHeight="true" outlineLevel="0" collapsed="false">
      <c r="H494" s="113"/>
      <c r="I494" s="113"/>
      <c r="J494" s="113"/>
      <c r="L494" s="113"/>
      <c r="M494" s="113"/>
      <c r="N494" s="113"/>
      <c r="P494" s="113"/>
      <c r="Q494" s="113"/>
      <c r="R494" s="113"/>
      <c r="T494" s="113"/>
      <c r="U494" s="113"/>
      <c r="V494" s="113"/>
    </row>
    <row r="495" customFormat="false" ht="15" hidden="false" customHeight="true" outlineLevel="0" collapsed="false">
      <c r="H495" s="113"/>
      <c r="I495" s="113"/>
      <c r="J495" s="113"/>
      <c r="L495" s="113"/>
      <c r="M495" s="113"/>
      <c r="N495" s="113"/>
      <c r="P495" s="113"/>
      <c r="Q495" s="113"/>
      <c r="R495" s="113"/>
      <c r="T495" s="113"/>
      <c r="U495" s="113"/>
      <c r="V495" s="113"/>
    </row>
    <row r="496" customFormat="false" ht="15" hidden="false" customHeight="true" outlineLevel="0" collapsed="false">
      <c r="H496" s="113"/>
      <c r="I496" s="113"/>
      <c r="J496" s="113"/>
      <c r="L496" s="113"/>
      <c r="M496" s="113"/>
      <c r="N496" s="113"/>
      <c r="P496" s="113"/>
      <c r="Q496" s="113"/>
      <c r="R496" s="113"/>
      <c r="T496" s="113"/>
      <c r="U496" s="113"/>
      <c r="V496" s="113"/>
    </row>
    <row r="497" customFormat="false" ht="15" hidden="false" customHeight="true" outlineLevel="0" collapsed="false">
      <c r="H497" s="113"/>
      <c r="I497" s="113"/>
      <c r="J497" s="113"/>
      <c r="L497" s="113"/>
      <c r="M497" s="113"/>
      <c r="N497" s="113"/>
      <c r="P497" s="113"/>
      <c r="Q497" s="113"/>
      <c r="R497" s="113"/>
      <c r="T497" s="113"/>
      <c r="U497" s="113"/>
      <c r="V497" s="113"/>
    </row>
    <row r="498" customFormat="false" ht="15" hidden="false" customHeight="true" outlineLevel="0" collapsed="false">
      <c r="H498" s="113"/>
      <c r="I498" s="113"/>
      <c r="J498" s="113"/>
      <c r="L498" s="113"/>
      <c r="M498" s="113"/>
      <c r="N498" s="113"/>
      <c r="P498" s="113"/>
      <c r="Q498" s="113"/>
      <c r="R498" s="113"/>
      <c r="T498" s="113"/>
      <c r="U498" s="113"/>
      <c r="V498" s="113"/>
    </row>
    <row r="499" customFormat="false" ht="15" hidden="false" customHeight="true" outlineLevel="0" collapsed="false">
      <c r="H499" s="113"/>
      <c r="I499" s="113"/>
      <c r="J499" s="113"/>
      <c r="L499" s="113"/>
      <c r="M499" s="113"/>
      <c r="N499" s="113"/>
      <c r="P499" s="113"/>
      <c r="Q499" s="113"/>
      <c r="R499" s="113"/>
      <c r="T499" s="113"/>
      <c r="U499" s="113"/>
      <c r="V499" s="113"/>
    </row>
    <row r="500" customFormat="false" ht="15" hidden="false" customHeight="true" outlineLevel="0" collapsed="false">
      <c r="H500" s="113"/>
      <c r="I500" s="113"/>
      <c r="J500" s="113"/>
      <c r="L500" s="113"/>
      <c r="M500" s="113"/>
      <c r="N500" s="113"/>
      <c r="P500" s="113"/>
      <c r="Q500" s="113"/>
      <c r="R500" s="113"/>
      <c r="T500" s="113"/>
      <c r="U500" s="113"/>
      <c r="V500" s="113"/>
    </row>
    <row r="501" customFormat="false" ht="15" hidden="false" customHeight="true" outlineLevel="0" collapsed="false">
      <c r="H501" s="113"/>
      <c r="I501" s="113"/>
      <c r="J501" s="113"/>
      <c r="L501" s="113"/>
      <c r="M501" s="113"/>
      <c r="N501" s="113"/>
      <c r="P501" s="113"/>
      <c r="Q501" s="113"/>
      <c r="R501" s="113"/>
      <c r="T501" s="113"/>
      <c r="U501" s="113"/>
      <c r="V501" s="113"/>
    </row>
    <row r="502" customFormat="false" ht="15" hidden="false" customHeight="true" outlineLevel="0" collapsed="false">
      <c r="H502" s="113"/>
      <c r="I502" s="113"/>
      <c r="J502" s="113"/>
      <c r="L502" s="113"/>
      <c r="M502" s="113"/>
      <c r="N502" s="113"/>
      <c r="P502" s="113"/>
      <c r="Q502" s="113"/>
      <c r="R502" s="113"/>
      <c r="T502" s="113"/>
      <c r="U502" s="113"/>
      <c r="V502" s="113"/>
    </row>
    <row r="503" customFormat="false" ht="15" hidden="false" customHeight="true" outlineLevel="0" collapsed="false">
      <c r="H503" s="113"/>
      <c r="I503" s="113"/>
      <c r="J503" s="113"/>
      <c r="L503" s="113"/>
      <c r="M503" s="113"/>
      <c r="N503" s="113"/>
      <c r="P503" s="113"/>
      <c r="Q503" s="113"/>
      <c r="R503" s="113"/>
      <c r="T503" s="113"/>
      <c r="U503" s="113"/>
      <c r="V503" s="113"/>
    </row>
    <row r="504" customFormat="false" ht="15" hidden="false" customHeight="true" outlineLevel="0" collapsed="false">
      <c r="H504" s="113"/>
      <c r="I504" s="113"/>
      <c r="J504" s="113"/>
      <c r="L504" s="113"/>
      <c r="M504" s="113"/>
      <c r="N504" s="113"/>
      <c r="P504" s="113"/>
      <c r="Q504" s="113"/>
      <c r="R504" s="113"/>
      <c r="T504" s="113"/>
      <c r="U504" s="113"/>
      <c r="V504" s="113"/>
    </row>
    <row r="505" customFormat="false" ht="15" hidden="false" customHeight="true" outlineLevel="0" collapsed="false">
      <c r="H505" s="113"/>
      <c r="I505" s="113"/>
      <c r="J505" s="113"/>
      <c r="L505" s="113"/>
      <c r="M505" s="113"/>
      <c r="N505" s="113"/>
      <c r="P505" s="113"/>
      <c r="Q505" s="113"/>
      <c r="R505" s="113"/>
      <c r="T505" s="113"/>
      <c r="U505" s="113"/>
      <c r="V505" s="113"/>
    </row>
    <row r="506" customFormat="false" ht="15" hidden="false" customHeight="true" outlineLevel="0" collapsed="false">
      <c r="H506" s="113"/>
      <c r="I506" s="113"/>
      <c r="J506" s="113"/>
      <c r="L506" s="113"/>
      <c r="M506" s="113"/>
      <c r="N506" s="113"/>
      <c r="P506" s="113"/>
      <c r="Q506" s="113"/>
      <c r="R506" s="113"/>
      <c r="T506" s="113"/>
      <c r="U506" s="113"/>
      <c r="V506" s="113"/>
    </row>
    <row r="507" customFormat="false" ht="15" hidden="false" customHeight="true" outlineLevel="0" collapsed="false">
      <c r="H507" s="113"/>
      <c r="I507" s="113"/>
      <c r="J507" s="113"/>
      <c r="L507" s="113"/>
      <c r="M507" s="113"/>
      <c r="N507" s="113"/>
      <c r="P507" s="113"/>
      <c r="Q507" s="113"/>
      <c r="R507" s="113"/>
      <c r="T507" s="113"/>
      <c r="U507" s="113"/>
      <c r="V507" s="113"/>
    </row>
    <row r="508" customFormat="false" ht="15" hidden="false" customHeight="true" outlineLevel="0" collapsed="false">
      <c r="H508" s="113"/>
      <c r="I508" s="113"/>
      <c r="J508" s="113"/>
      <c r="L508" s="113"/>
      <c r="M508" s="113"/>
      <c r="N508" s="113"/>
      <c r="P508" s="113"/>
      <c r="Q508" s="113"/>
      <c r="R508" s="113"/>
      <c r="T508" s="113"/>
      <c r="U508" s="113"/>
      <c r="V508" s="113"/>
    </row>
    <row r="509" customFormat="false" ht="15" hidden="false" customHeight="true" outlineLevel="0" collapsed="false">
      <c r="H509" s="113"/>
      <c r="I509" s="113"/>
      <c r="J509" s="113"/>
      <c r="L509" s="113"/>
      <c r="M509" s="113"/>
      <c r="N509" s="113"/>
      <c r="P509" s="113"/>
      <c r="Q509" s="113"/>
      <c r="R509" s="113"/>
      <c r="T509" s="113"/>
      <c r="U509" s="113"/>
      <c r="V509" s="113"/>
    </row>
    <row r="510" customFormat="false" ht="15" hidden="false" customHeight="true" outlineLevel="0" collapsed="false">
      <c r="H510" s="113"/>
      <c r="I510" s="113"/>
      <c r="J510" s="113"/>
      <c r="L510" s="113"/>
      <c r="M510" s="113"/>
      <c r="N510" s="113"/>
      <c r="P510" s="113"/>
      <c r="Q510" s="113"/>
      <c r="R510" s="113"/>
      <c r="T510" s="113"/>
      <c r="U510" s="113"/>
      <c r="V510" s="113"/>
    </row>
    <row r="511" customFormat="false" ht="15" hidden="false" customHeight="true" outlineLevel="0" collapsed="false">
      <c r="H511" s="113"/>
      <c r="I511" s="113"/>
      <c r="J511" s="113"/>
      <c r="L511" s="113"/>
      <c r="M511" s="113"/>
      <c r="N511" s="113"/>
      <c r="P511" s="113"/>
      <c r="Q511" s="113"/>
      <c r="R511" s="113"/>
      <c r="T511" s="113"/>
      <c r="U511" s="113"/>
      <c r="V511" s="113"/>
    </row>
    <row r="512" customFormat="false" ht="15" hidden="false" customHeight="true" outlineLevel="0" collapsed="false">
      <c r="H512" s="113"/>
      <c r="I512" s="113"/>
      <c r="J512" s="113"/>
      <c r="L512" s="113"/>
      <c r="M512" s="113"/>
      <c r="N512" s="113"/>
      <c r="P512" s="113"/>
      <c r="Q512" s="113"/>
      <c r="R512" s="113"/>
      <c r="T512" s="113"/>
      <c r="U512" s="113"/>
      <c r="V512" s="113"/>
    </row>
    <row r="513" customFormat="false" ht="15" hidden="false" customHeight="true" outlineLevel="0" collapsed="false">
      <c r="H513" s="113"/>
      <c r="I513" s="113"/>
      <c r="J513" s="113"/>
      <c r="L513" s="113"/>
      <c r="M513" s="113"/>
      <c r="N513" s="113"/>
      <c r="P513" s="113"/>
      <c r="Q513" s="113"/>
      <c r="R513" s="113"/>
      <c r="T513" s="113"/>
      <c r="U513" s="113"/>
      <c r="V513" s="113"/>
    </row>
    <row r="514" customFormat="false" ht="15" hidden="false" customHeight="true" outlineLevel="0" collapsed="false">
      <c r="H514" s="113"/>
      <c r="I514" s="113"/>
      <c r="J514" s="113"/>
      <c r="L514" s="113"/>
      <c r="M514" s="113"/>
      <c r="N514" s="113"/>
      <c r="P514" s="113"/>
      <c r="Q514" s="113"/>
      <c r="R514" s="113"/>
      <c r="T514" s="113"/>
      <c r="U514" s="113"/>
      <c r="V514" s="113"/>
    </row>
    <row r="515" customFormat="false" ht="15" hidden="false" customHeight="true" outlineLevel="0" collapsed="false">
      <c r="H515" s="113"/>
      <c r="I515" s="113"/>
      <c r="J515" s="113"/>
      <c r="L515" s="113"/>
      <c r="M515" s="113"/>
      <c r="N515" s="113"/>
      <c r="P515" s="113"/>
      <c r="Q515" s="113"/>
      <c r="R515" s="113"/>
      <c r="T515" s="113"/>
      <c r="U515" s="113"/>
      <c r="V515" s="113"/>
    </row>
    <row r="516" customFormat="false" ht="15" hidden="false" customHeight="true" outlineLevel="0" collapsed="false">
      <c r="H516" s="113"/>
      <c r="I516" s="113"/>
      <c r="J516" s="113"/>
      <c r="L516" s="113"/>
      <c r="M516" s="113"/>
      <c r="N516" s="113"/>
      <c r="P516" s="113"/>
      <c r="Q516" s="113"/>
      <c r="R516" s="113"/>
      <c r="T516" s="113"/>
      <c r="U516" s="113"/>
      <c r="V516" s="113"/>
    </row>
    <row r="517" customFormat="false" ht="15" hidden="false" customHeight="true" outlineLevel="0" collapsed="false">
      <c r="H517" s="113"/>
      <c r="I517" s="113"/>
      <c r="J517" s="113"/>
      <c r="L517" s="113"/>
      <c r="M517" s="113"/>
      <c r="N517" s="113"/>
      <c r="P517" s="113"/>
      <c r="Q517" s="113"/>
      <c r="R517" s="113"/>
      <c r="T517" s="113"/>
      <c r="U517" s="113"/>
      <c r="V517" s="113"/>
    </row>
    <row r="518" customFormat="false" ht="15" hidden="false" customHeight="true" outlineLevel="0" collapsed="false">
      <c r="H518" s="113"/>
      <c r="I518" s="113"/>
      <c r="J518" s="113"/>
      <c r="L518" s="113"/>
      <c r="M518" s="113"/>
      <c r="N518" s="113"/>
      <c r="P518" s="113"/>
      <c r="Q518" s="113"/>
      <c r="R518" s="113"/>
      <c r="T518" s="113"/>
      <c r="U518" s="113"/>
      <c r="V518" s="113"/>
    </row>
    <row r="519" customFormat="false" ht="15" hidden="false" customHeight="true" outlineLevel="0" collapsed="false">
      <c r="H519" s="113"/>
      <c r="I519" s="113"/>
      <c r="J519" s="113"/>
      <c r="L519" s="113"/>
      <c r="M519" s="113"/>
      <c r="N519" s="113"/>
      <c r="P519" s="113"/>
      <c r="Q519" s="113"/>
      <c r="R519" s="113"/>
      <c r="T519" s="113"/>
      <c r="U519" s="113"/>
      <c r="V519" s="113"/>
    </row>
    <row r="520" customFormat="false" ht="15" hidden="false" customHeight="true" outlineLevel="0" collapsed="false">
      <c r="H520" s="113"/>
      <c r="I520" s="113"/>
      <c r="J520" s="113"/>
      <c r="L520" s="113"/>
      <c r="M520" s="113"/>
      <c r="N520" s="113"/>
      <c r="P520" s="113"/>
      <c r="Q520" s="113"/>
      <c r="R520" s="113"/>
      <c r="T520" s="113"/>
      <c r="U520" s="113"/>
      <c r="V520" s="113"/>
    </row>
    <row r="521" customFormat="false" ht="15" hidden="false" customHeight="true" outlineLevel="0" collapsed="false">
      <c r="H521" s="113"/>
      <c r="I521" s="113"/>
      <c r="J521" s="113"/>
      <c r="L521" s="113"/>
      <c r="M521" s="113"/>
      <c r="N521" s="113"/>
      <c r="P521" s="113"/>
      <c r="Q521" s="113"/>
      <c r="R521" s="113"/>
      <c r="T521" s="113"/>
      <c r="U521" s="113"/>
      <c r="V521" s="113"/>
    </row>
    <row r="522" customFormat="false" ht="15" hidden="false" customHeight="true" outlineLevel="0" collapsed="false">
      <c r="H522" s="113"/>
      <c r="I522" s="113"/>
      <c r="J522" s="113"/>
      <c r="L522" s="113"/>
      <c r="M522" s="113"/>
      <c r="N522" s="113"/>
      <c r="P522" s="113"/>
      <c r="Q522" s="113"/>
      <c r="R522" s="113"/>
      <c r="T522" s="113"/>
      <c r="U522" s="113"/>
      <c r="V522" s="113"/>
    </row>
    <row r="523" customFormat="false" ht="15" hidden="false" customHeight="true" outlineLevel="0" collapsed="false">
      <c r="H523" s="113"/>
      <c r="I523" s="113"/>
      <c r="J523" s="113"/>
      <c r="L523" s="113"/>
      <c r="M523" s="113"/>
      <c r="N523" s="113"/>
      <c r="P523" s="113"/>
      <c r="Q523" s="113"/>
      <c r="R523" s="113"/>
      <c r="T523" s="113"/>
      <c r="U523" s="113"/>
      <c r="V523" s="113"/>
    </row>
    <row r="524" customFormat="false" ht="15" hidden="false" customHeight="true" outlineLevel="0" collapsed="false">
      <c r="H524" s="113"/>
      <c r="I524" s="113"/>
      <c r="J524" s="113"/>
      <c r="L524" s="113"/>
      <c r="M524" s="113"/>
      <c r="N524" s="113"/>
      <c r="P524" s="113"/>
      <c r="Q524" s="113"/>
      <c r="R524" s="113"/>
      <c r="T524" s="113"/>
      <c r="U524" s="113"/>
      <c r="V524" s="113"/>
    </row>
    <row r="525" customFormat="false" ht="15" hidden="false" customHeight="true" outlineLevel="0" collapsed="false">
      <c r="H525" s="113"/>
      <c r="I525" s="113"/>
      <c r="J525" s="113"/>
      <c r="L525" s="113"/>
      <c r="M525" s="113"/>
      <c r="N525" s="113"/>
      <c r="P525" s="113"/>
      <c r="Q525" s="113"/>
      <c r="R525" s="113"/>
      <c r="T525" s="113"/>
      <c r="U525" s="113"/>
      <c r="V525" s="113"/>
    </row>
    <row r="526" customFormat="false" ht="15" hidden="false" customHeight="true" outlineLevel="0" collapsed="false">
      <c r="H526" s="113"/>
      <c r="I526" s="113"/>
      <c r="J526" s="113"/>
      <c r="L526" s="113"/>
      <c r="M526" s="113"/>
      <c r="N526" s="113"/>
      <c r="P526" s="113"/>
      <c r="Q526" s="113"/>
      <c r="R526" s="113"/>
      <c r="T526" s="113"/>
      <c r="U526" s="113"/>
      <c r="V526" s="113"/>
    </row>
    <row r="527" customFormat="false" ht="15" hidden="false" customHeight="true" outlineLevel="0" collapsed="false">
      <c r="H527" s="113"/>
      <c r="I527" s="113"/>
      <c r="J527" s="113"/>
      <c r="L527" s="113"/>
      <c r="M527" s="113"/>
      <c r="N527" s="113"/>
      <c r="P527" s="113"/>
      <c r="Q527" s="113"/>
      <c r="R527" s="113"/>
      <c r="T527" s="113"/>
      <c r="U527" s="113"/>
      <c r="V527" s="113"/>
    </row>
    <row r="528" customFormat="false" ht="15" hidden="false" customHeight="true" outlineLevel="0" collapsed="false">
      <c r="H528" s="113"/>
      <c r="I528" s="113"/>
      <c r="J528" s="113"/>
      <c r="L528" s="113"/>
      <c r="M528" s="113"/>
      <c r="N528" s="113"/>
      <c r="P528" s="113"/>
      <c r="Q528" s="113"/>
      <c r="R528" s="113"/>
      <c r="T528" s="113"/>
      <c r="U528" s="113"/>
      <c r="V528" s="113"/>
    </row>
    <row r="529" customFormat="false" ht="15" hidden="false" customHeight="true" outlineLevel="0" collapsed="false">
      <c r="H529" s="113"/>
      <c r="I529" s="113"/>
      <c r="J529" s="113"/>
      <c r="L529" s="113"/>
      <c r="M529" s="113"/>
      <c r="N529" s="113"/>
      <c r="P529" s="113"/>
      <c r="Q529" s="113"/>
      <c r="R529" s="113"/>
      <c r="T529" s="113"/>
      <c r="U529" s="113"/>
      <c r="V529" s="113"/>
    </row>
    <row r="530" customFormat="false" ht="15" hidden="false" customHeight="true" outlineLevel="0" collapsed="false">
      <c r="H530" s="113"/>
      <c r="I530" s="113"/>
      <c r="J530" s="113"/>
      <c r="L530" s="113"/>
      <c r="M530" s="113"/>
      <c r="N530" s="113"/>
      <c r="P530" s="113"/>
      <c r="Q530" s="113"/>
      <c r="R530" s="113"/>
      <c r="T530" s="113"/>
      <c r="U530" s="113"/>
      <c r="V530" s="113"/>
    </row>
    <row r="531" customFormat="false" ht="15" hidden="false" customHeight="true" outlineLevel="0" collapsed="false">
      <c r="H531" s="113"/>
      <c r="I531" s="113"/>
      <c r="J531" s="113"/>
      <c r="L531" s="113"/>
      <c r="M531" s="113"/>
      <c r="N531" s="113"/>
      <c r="P531" s="113"/>
      <c r="Q531" s="113"/>
      <c r="R531" s="113"/>
      <c r="T531" s="113"/>
      <c r="U531" s="113"/>
      <c r="V531" s="113"/>
    </row>
    <row r="532" customFormat="false" ht="15" hidden="false" customHeight="true" outlineLevel="0" collapsed="false">
      <c r="H532" s="113"/>
      <c r="I532" s="113"/>
      <c r="J532" s="113"/>
      <c r="L532" s="113"/>
      <c r="M532" s="113"/>
      <c r="N532" s="113"/>
      <c r="P532" s="113"/>
      <c r="Q532" s="113"/>
      <c r="R532" s="113"/>
      <c r="T532" s="113"/>
      <c r="U532" s="113"/>
      <c r="V532" s="113"/>
    </row>
    <row r="533" customFormat="false" ht="15" hidden="false" customHeight="true" outlineLevel="0" collapsed="false">
      <c r="H533" s="113"/>
      <c r="I533" s="113"/>
      <c r="J533" s="113"/>
      <c r="L533" s="113"/>
      <c r="M533" s="113"/>
      <c r="N533" s="113"/>
      <c r="P533" s="113"/>
      <c r="Q533" s="113"/>
      <c r="R533" s="113"/>
      <c r="T533" s="113"/>
      <c r="U533" s="113"/>
      <c r="V533" s="113"/>
    </row>
    <row r="534" customFormat="false" ht="15" hidden="false" customHeight="true" outlineLevel="0" collapsed="false">
      <c r="H534" s="113"/>
      <c r="I534" s="113"/>
      <c r="J534" s="113"/>
      <c r="L534" s="113"/>
      <c r="M534" s="113"/>
      <c r="N534" s="113"/>
      <c r="P534" s="113"/>
      <c r="Q534" s="113"/>
      <c r="R534" s="113"/>
      <c r="T534" s="113"/>
      <c r="U534" s="113"/>
      <c r="V534" s="113"/>
    </row>
    <row r="535" customFormat="false" ht="15" hidden="false" customHeight="true" outlineLevel="0" collapsed="false">
      <c r="H535" s="113"/>
      <c r="I535" s="113"/>
      <c r="J535" s="113"/>
      <c r="L535" s="113"/>
      <c r="M535" s="113"/>
      <c r="N535" s="113"/>
      <c r="P535" s="113"/>
      <c r="Q535" s="113"/>
      <c r="R535" s="113"/>
      <c r="T535" s="113"/>
      <c r="U535" s="113"/>
      <c r="V535" s="113"/>
    </row>
    <row r="536" customFormat="false" ht="15" hidden="false" customHeight="true" outlineLevel="0" collapsed="false">
      <c r="H536" s="113"/>
      <c r="I536" s="113"/>
      <c r="J536" s="113"/>
      <c r="L536" s="113"/>
      <c r="M536" s="113"/>
      <c r="N536" s="113"/>
      <c r="P536" s="113"/>
      <c r="Q536" s="113"/>
      <c r="R536" s="113"/>
      <c r="T536" s="113"/>
      <c r="U536" s="113"/>
      <c r="V536" s="113"/>
    </row>
    <row r="537" customFormat="false" ht="15" hidden="false" customHeight="true" outlineLevel="0" collapsed="false">
      <c r="H537" s="113"/>
      <c r="I537" s="113"/>
      <c r="J537" s="113"/>
      <c r="L537" s="113"/>
      <c r="M537" s="113"/>
      <c r="N537" s="113"/>
      <c r="P537" s="113"/>
      <c r="Q537" s="113"/>
      <c r="R537" s="113"/>
      <c r="T537" s="113"/>
      <c r="U537" s="113"/>
      <c r="V537" s="113"/>
    </row>
    <row r="538" customFormat="false" ht="15" hidden="false" customHeight="true" outlineLevel="0" collapsed="false">
      <c r="H538" s="113"/>
      <c r="I538" s="113"/>
      <c r="J538" s="113"/>
      <c r="L538" s="113"/>
      <c r="M538" s="113"/>
      <c r="N538" s="113"/>
      <c r="P538" s="113"/>
      <c r="Q538" s="113"/>
      <c r="R538" s="113"/>
      <c r="T538" s="113"/>
      <c r="U538" s="113"/>
      <c r="V538" s="113"/>
    </row>
    <row r="539" customFormat="false" ht="15" hidden="false" customHeight="true" outlineLevel="0" collapsed="false">
      <c r="H539" s="113"/>
      <c r="I539" s="113"/>
      <c r="J539" s="113"/>
      <c r="L539" s="113"/>
      <c r="M539" s="113"/>
      <c r="N539" s="113"/>
      <c r="P539" s="113"/>
      <c r="Q539" s="113"/>
      <c r="R539" s="113"/>
      <c r="T539" s="113"/>
      <c r="U539" s="113"/>
      <c r="V539" s="113"/>
    </row>
    <row r="540" customFormat="false" ht="15" hidden="false" customHeight="true" outlineLevel="0" collapsed="false">
      <c r="H540" s="113"/>
      <c r="I540" s="113"/>
      <c r="J540" s="113"/>
      <c r="L540" s="113"/>
      <c r="M540" s="113"/>
      <c r="N540" s="113"/>
      <c r="P540" s="113"/>
      <c r="Q540" s="113"/>
      <c r="R540" s="113"/>
      <c r="T540" s="113"/>
      <c r="U540" s="113"/>
      <c r="V540" s="113"/>
    </row>
    <row r="541" customFormat="false" ht="15" hidden="false" customHeight="true" outlineLevel="0" collapsed="false">
      <c r="H541" s="113"/>
      <c r="I541" s="113"/>
      <c r="J541" s="113"/>
      <c r="L541" s="113"/>
      <c r="M541" s="113"/>
      <c r="N541" s="113"/>
      <c r="P541" s="113"/>
      <c r="Q541" s="113"/>
      <c r="R541" s="113"/>
      <c r="T541" s="113"/>
      <c r="U541" s="113"/>
      <c r="V541" s="113"/>
    </row>
    <row r="542" customFormat="false" ht="15" hidden="false" customHeight="true" outlineLevel="0" collapsed="false">
      <c r="H542" s="113"/>
      <c r="I542" s="113"/>
      <c r="J542" s="113"/>
      <c r="L542" s="113"/>
      <c r="M542" s="113"/>
      <c r="N542" s="113"/>
      <c r="P542" s="113"/>
      <c r="Q542" s="113"/>
      <c r="R542" s="113"/>
      <c r="T542" s="113"/>
      <c r="U542" s="113"/>
      <c r="V542" s="113"/>
    </row>
    <row r="543" customFormat="false" ht="15" hidden="false" customHeight="true" outlineLevel="0" collapsed="false">
      <c r="H543" s="113"/>
      <c r="I543" s="113"/>
      <c r="J543" s="113"/>
      <c r="L543" s="113"/>
      <c r="M543" s="113"/>
      <c r="N543" s="113"/>
      <c r="P543" s="113"/>
      <c r="Q543" s="113"/>
      <c r="R543" s="113"/>
      <c r="T543" s="113"/>
      <c r="U543" s="113"/>
      <c r="V543" s="113"/>
    </row>
    <row r="544" customFormat="false" ht="15" hidden="false" customHeight="true" outlineLevel="0" collapsed="false">
      <c r="H544" s="113"/>
      <c r="I544" s="113"/>
      <c r="J544" s="113"/>
      <c r="L544" s="113"/>
      <c r="M544" s="113"/>
      <c r="N544" s="113"/>
      <c r="P544" s="113"/>
      <c r="Q544" s="113"/>
      <c r="R544" s="113"/>
      <c r="T544" s="113"/>
      <c r="U544" s="113"/>
      <c r="V544" s="113"/>
    </row>
    <row r="545" customFormat="false" ht="15" hidden="false" customHeight="true" outlineLevel="0" collapsed="false">
      <c r="H545" s="113"/>
      <c r="I545" s="113"/>
      <c r="J545" s="113"/>
      <c r="L545" s="113"/>
      <c r="M545" s="113"/>
      <c r="N545" s="113"/>
      <c r="P545" s="113"/>
      <c r="Q545" s="113"/>
      <c r="R545" s="113"/>
      <c r="T545" s="113"/>
      <c r="U545" s="113"/>
      <c r="V545" s="113"/>
    </row>
    <row r="546" customFormat="false" ht="15" hidden="false" customHeight="true" outlineLevel="0" collapsed="false">
      <c r="H546" s="113"/>
      <c r="I546" s="113"/>
      <c r="J546" s="113"/>
      <c r="L546" s="113"/>
      <c r="M546" s="113"/>
      <c r="N546" s="113"/>
      <c r="P546" s="113"/>
      <c r="Q546" s="113"/>
      <c r="R546" s="113"/>
      <c r="T546" s="113"/>
      <c r="U546" s="113"/>
      <c r="V546" s="113"/>
    </row>
    <row r="547" customFormat="false" ht="15" hidden="false" customHeight="true" outlineLevel="0" collapsed="false">
      <c r="H547" s="113"/>
      <c r="I547" s="113"/>
      <c r="J547" s="113"/>
      <c r="L547" s="113"/>
      <c r="M547" s="113"/>
      <c r="N547" s="113"/>
      <c r="P547" s="113"/>
      <c r="Q547" s="113"/>
      <c r="R547" s="113"/>
      <c r="T547" s="113"/>
      <c r="U547" s="113"/>
      <c r="V547" s="113"/>
    </row>
    <row r="548" customFormat="false" ht="15" hidden="false" customHeight="true" outlineLevel="0" collapsed="false">
      <c r="H548" s="113"/>
      <c r="I548" s="113"/>
      <c r="J548" s="113"/>
      <c r="L548" s="113"/>
      <c r="M548" s="113"/>
      <c r="N548" s="113"/>
      <c r="P548" s="113"/>
      <c r="Q548" s="113"/>
      <c r="R548" s="113"/>
      <c r="T548" s="113"/>
      <c r="U548" s="113"/>
      <c r="V548" s="113"/>
    </row>
    <row r="549" customFormat="false" ht="15" hidden="false" customHeight="true" outlineLevel="0" collapsed="false">
      <c r="H549" s="113"/>
      <c r="I549" s="113"/>
      <c r="J549" s="113"/>
      <c r="L549" s="113"/>
      <c r="M549" s="113"/>
      <c r="N549" s="113"/>
      <c r="P549" s="113"/>
      <c r="Q549" s="113"/>
      <c r="R549" s="113"/>
      <c r="T549" s="113"/>
      <c r="U549" s="113"/>
      <c r="V549" s="113"/>
    </row>
    <row r="550" customFormat="false" ht="15" hidden="false" customHeight="true" outlineLevel="0" collapsed="false">
      <c r="H550" s="113"/>
      <c r="I550" s="113"/>
      <c r="J550" s="113"/>
      <c r="L550" s="113"/>
      <c r="M550" s="113"/>
      <c r="N550" s="113"/>
      <c r="P550" s="113"/>
      <c r="Q550" s="113"/>
      <c r="R550" s="113"/>
      <c r="T550" s="113"/>
      <c r="U550" s="113"/>
      <c r="V550" s="113"/>
    </row>
    <row r="551" customFormat="false" ht="15" hidden="false" customHeight="true" outlineLevel="0" collapsed="false">
      <c r="H551" s="113"/>
      <c r="I551" s="113"/>
      <c r="J551" s="113"/>
      <c r="L551" s="113"/>
      <c r="M551" s="113"/>
      <c r="N551" s="113"/>
      <c r="P551" s="113"/>
      <c r="Q551" s="113"/>
      <c r="R551" s="113"/>
      <c r="T551" s="113"/>
      <c r="U551" s="113"/>
      <c r="V551" s="113"/>
    </row>
    <row r="552" customFormat="false" ht="15" hidden="false" customHeight="true" outlineLevel="0" collapsed="false">
      <c r="H552" s="113"/>
      <c r="I552" s="113"/>
      <c r="J552" s="113"/>
      <c r="L552" s="113"/>
      <c r="M552" s="113"/>
      <c r="N552" s="113"/>
      <c r="P552" s="113"/>
      <c r="Q552" s="113"/>
      <c r="R552" s="113"/>
      <c r="T552" s="113"/>
      <c r="U552" s="113"/>
      <c r="V552" s="113"/>
    </row>
    <row r="553" customFormat="false" ht="15" hidden="false" customHeight="true" outlineLevel="0" collapsed="false">
      <c r="H553" s="113"/>
      <c r="I553" s="113"/>
      <c r="J553" s="113"/>
      <c r="L553" s="113"/>
      <c r="M553" s="113"/>
      <c r="N553" s="113"/>
      <c r="P553" s="113"/>
      <c r="Q553" s="113"/>
      <c r="R553" s="113"/>
      <c r="T553" s="113"/>
      <c r="U553" s="113"/>
      <c r="V553" s="113"/>
    </row>
    <row r="554" customFormat="false" ht="15" hidden="false" customHeight="true" outlineLevel="0" collapsed="false">
      <c r="H554" s="113"/>
      <c r="I554" s="113"/>
      <c r="J554" s="113"/>
      <c r="L554" s="113"/>
      <c r="M554" s="113"/>
      <c r="N554" s="113"/>
      <c r="P554" s="113"/>
      <c r="Q554" s="113"/>
      <c r="R554" s="113"/>
      <c r="T554" s="113"/>
      <c r="U554" s="113"/>
      <c r="V554" s="113"/>
    </row>
    <row r="555" customFormat="false" ht="15" hidden="false" customHeight="true" outlineLevel="0" collapsed="false">
      <c r="H555" s="113"/>
      <c r="I555" s="113"/>
      <c r="J555" s="113"/>
      <c r="L555" s="113"/>
      <c r="M555" s="113"/>
      <c r="N555" s="113"/>
      <c r="P555" s="113"/>
      <c r="Q555" s="113"/>
      <c r="R555" s="113"/>
      <c r="T555" s="113"/>
      <c r="U555" s="113"/>
      <c r="V555" s="113"/>
    </row>
    <row r="556" customFormat="false" ht="15" hidden="false" customHeight="true" outlineLevel="0" collapsed="false">
      <c r="H556" s="113"/>
      <c r="I556" s="113"/>
      <c r="J556" s="113"/>
      <c r="L556" s="113"/>
      <c r="M556" s="113"/>
      <c r="N556" s="113"/>
      <c r="P556" s="113"/>
      <c r="Q556" s="113"/>
      <c r="R556" s="113"/>
      <c r="T556" s="113"/>
      <c r="U556" s="113"/>
      <c r="V556" s="113"/>
    </row>
    <row r="557" customFormat="false" ht="15" hidden="false" customHeight="true" outlineLevel="0" collapsed="false">
      <c r="H557" s="113"/>
      <c r="I557" s="113"/>
      <c r="J557" s="113"/>
      <c r="L557" s="113"/>
      <c r="M557" s="113"/>
      <c r="N557" s="113"/>
      <c r="P557" s="113"/>
      <c r="Q557" s="113"/>
      <c r="R557" s="113"/>
      <c r="T557" s="113"/>
      <c r="U557" s="113"/>
      <c r="V557" s="113"/>
    </row>
    <row r="558" customFormat="false" ht="15" hidden="false" customHeight="true" outlineLevel="0" collapsed="false">
      <c r="H558" s="113"/>
      <c r="I558" s="113"/>
      <c r="J558" s="113"/>
      <c r="L558" s="113"/>
      <c r="M558" s="113"/>
      <c r="N558" s="113"/>
      <c r="P558" s="113"/>
      <c r="Q558" s="113"/>
      <c r="R558" s="113"/>
      <c r="T558" s="113"/>
      <c r="U558" s="113"/>
      <c r="V558" s="113"/>
    </row>
    <row r="559" customFormat="false" ht="15" hidden="false" customHeight="true" outlineLevel="0" collapsed="false">
      <c r="H559" s="113"/>
      <c r="I559" s="113"/>
      <c r="J559" s="113"/>
      <c r="L559" s="113"/>
      <c r="M559" s="113"/>
      <c r="N559" s="113"/>
      <c r="P559" s="113"/>
      <c r="Q559" s="113"/>
      <c r="R559" s="113"/>
      <c r="T559" s="113"/>
      <c r="U559" s="113"/>
      <c r="V559" s="113"/>
    </row>
    <row r="560" customFormat="false" ht="15" hidden="false" customHeight="true" outlineLevel="0" collapsed="false">
      <c r="H560" s="113"/>
      <c r="I560" s="113"/>
      <c r="J560" s="113"/>
      <c r="L560" s="113"/>
      <c r="M560" s="113"/>
      <c r="N560" s="113"/>
      <c r="P560" s="113"/>
      <c r="Q560" s="113"/>
      <c r="R560" s="113"/>
      <c r="T560" s="113"/>
      <c r="U560" s="113"/>
      <c r="V560" s="113"/>
    </row>
    <row r="561" customFormat="false" ht="15" hidden="false" customHeight="true" outlineLevel="0" collapsed="false">
      <c r="H561" s="113"/>
      <c r="I561" s="113"/>
      <c r="J561" s="113"/>
      <c r="L561" s="113"/>
      <c r="M561" s="113"/>
      <c r="N561" s="113"/>
      <c r="P561" s="113"/>
      <c r="Q561" s="113"/>
      <c r="R561" s="113"/>
      <c r="T561" s="113"/>
      <c r="U561" s="113"/>
      <c r="V561" s="113"/>
    </row>
    <row r="562" customFormat="false" ht="15" hidden="false" customHeight="true" outlineLevel="0" collapsed="false">
      <c r="H562" s="113"/>
      <c r="I562" s="113"/>
      <c r="J562" s="113"/>
      <c r="L562" s="113"/>
      <c r="M562" s="113"/>
      <c r="N562" s="113"/>
      <c r="P562" s="113"/>
      <c r="Q562" s="113"/>
      <c r="R562" s="113"/>
      <c r="T562" s="113"/>
      <c r="U562" s="113"/>
      <c r="V562" s="113"/>
    </row>
    <row r="563" customFormat="false" ht="15" hidden="false" customHeight="true" outlineLevel="0" collapsed="false">
      <c r="H563" s="113"/>
      <c r="I563" s="113"/>
      <c r="J563" s="113"/>
      <c r="L563" s="113"/>
      <c r="M563" s="113"/>
      <c r="N563" s="113"/>
      <c r="P563" s="113"/>
      <c r="Q563" s="113"/>
      <c r="R563" s="113"/>
      <c r="T563" s="113"/>
      <c r="U563" s="113"/>
      <c r="V563" s="113"/>
    </row>
    <row r="564" customFormat="false" ht="15" hidden="false" customHeight="true" outlineLevel="0" collapsed="false">
      <c r="H564" s="113"/>
      <c r="I564" s="113"/>
      <c r="J564" s="113"/>
      <c r="L564" s="113"/>
      <c r="M564" s="113"/>
      <c r="N564" s="113"/>
      <c r="P564" s="113"/>
      <c r="Q564" s="113"/>
      <c r="R564" s="113"/>
      <c r="T564" s="113"/>
      <c r="U564" s="113"/>
      <c r="V564" s="113"/>
    </row>
    <row r="565" customFormat="false" ht="15" hidden="false" customHeight="true" outlineLevel="0" collapsed="false">
      <c r="H565" s="113"/>
      <c r="I565" s="113"/>
      <c r="J565" s="113"/>
      <c r="L565" s="113"/>
      <c r="M565" s="113"/>
      <c r="N565" s="113"/>
      <c r="P565" s="113"/>
      <c r="Q565" s="113"/>
      <c r="R565" s="113"/>
      <c r="T565" s="113"/>
      <c r="U565" s="113"/>
      <c r="V565" s="113"/>
    </row>
    <row r="566" customFormat="false" ht="15" hidden="false" customHeight="true" outlineLevel="0" collapsed="false">
      <c r="H566" s="113"/>
      <c r="I566" s="113"/>
      <c r="J566" s="113"/>
      <c r="L566" s="113"/>
      <c r="M566" s="113"/>
      <c r="N566" s="113"/>
      <c r="P566" s="113"/>
      <c r="Q566" s="113"/>
      <c r="R566" s="113"/>
      <c r="T566" s="113"/>
      <c r="U566" s="113"/>
      <c r="V566" s="113"/>
    </row>
    <row r="567" customFormat="false" ht="15" hidden="false" customHeight="true" outlineLevel="0" collapsed="false">
      <c r="H567" s="113"/>
      <c r="I567" s="113"/>
      <c r="J567" s="113"/>
      <c r="L567" s="113"/>
      <c r="M567" s="113"/>
      <c r="N567" s="113"/>
      <c r="P567" s="113"/>
      <c r="Q567" s="113"/>
      <c r="R567" s="113"/>
      <c r="T567" s="113"/>
      <c r="U567" s="113"/>
      <c r="V567" s="113"/>
    </row>
    <row r="568" customFormat="false" ht="15" hidden="false" customHeight="true" outlineLevel="0" collapsed="false">
      <c r="H568" s="113"/>
      <c r="I568" s="113"/>
      <c r="J568" s="113"/>
      <c r="L568" s="113"/>
      <c r="M568" s="113"/>
      <c r="N568" s="113"/>
      <c r="P568" s="113"/>
      <c r="Q568" s="113"/>
      <c r="R568" s="113"/>
      <c r="T568" s="113"/>
      <c r="U568" s="113"/>
      <c r="V568" s="113"/>
    </row>
    <row r="569" customFormat="false" ht="15" hidden="false" customHeight="true" outlineLevel="0" collapsed="false">
      <c r="H569" s="113"/>
      <c r="I569" s="113"/>
      <c r="J569" s="113"/>
      <c r="L569" s="113"/>
      <c r="M569" s="113"/>
      <c r="N569" s="113"/>
      <c r="P569" s="113"/>
      <c r="Q569" s="113"/>
      <c r="R569" s="113"/>
      <c r="T569" s="113"/>
      <c r="U569" s="113"/>
      <c r="V569" s="113"/>
    </row>
    <row r="570" customFormat="false" ht="15" hidden="false" customHeight="true" outlineLevel="0" collapsed="false">
      <c r="H570" s="113"/>
      <c r="I570" s="113"/>
      <c r="J570" s="113"/>
      <c r="L570" s="113"/>
      <c r="M570" s="113"/>
      <c r="N570" s="113"/>
      <c r="P570" s="113"/>
      <c r="Q570" s="113"/>
      <c r="R570" s="113"/>
      <c r="T570" s="113"/>
      <c r="U570" s="113"/>
      <c r="V570" s="113"/>
    </row>
    <row r="571" customFormat="false" ht="15" hidden="false" customHeight="true" outlineLevel="0" collapsed="false">
      <c r="H571" s="113"/>
      <c r="I571" s="113"/>
      <c r="J571" s="113"/>
      <c r="L571" s="113"/>
      <c r="M571" s="113"/>
      <c r="N571" s="113"/>
      <c r="P571" s="113"/>
      <c r="Q571" s="113"/>
      <c r="R571" s="113"/>
      <c r="T571" s="113"/>
      <c r="U571" s="113"/>
      <c r="V571" s="113"/>
    </row>
    <row r="572" customFormat="false" ht="15" hidden="false" customHeight="true" outlineLevel="0" collapsed="false">
      <c r="H572" s="113"/>
      <c r="I572" s="113"/>
      <c r="J572" s="113"/>
      <c r="L572" s="113"/>
      <c r="M572" s="113"/>
      <c r="N572" s="113"/>
      <c r="P572" s="113"/>
      <c r="Q572" s="113"/>
      <c r="R572" s="113"/>
      <c r="T572" s="113"/>
      <c r="U572" s="113"/>
      <c r="V572" s="113"/>
    </row>
    <row r="573" customFormat="false" ht="15" hidden="false" customHeight="true" outlineLevel="0" collapsed="false">
      <c r="H573" s="113"/>
      <c r="I573" s="113"/>
      <c r="J573" s="113"/>
      <c r="L573" s="113"/>
      <c r="M573" s="113"/>
      <c r="N573" s="113"/>
      <c r="P573" s="113"/>
      <c r="Q573" s="113"/>
      <c r="R573" s="113"/>
      <c r="T573" s="113"/>
      <c r="U573" s="113"/>
      <c r="V573" s="113"/>
    </row>
    <row r="574" customFormat="false" ht="15" hidden="false" customHeight="true" outlineLevel="0" collapsed="false">
      <c r="H574" s="113"/>
      <c r="I574" s="113"/>
      <c r="J574" s="113"/>
      <c r="L574" s="113"/>
      <c r="M574" s="113"/>
      <c r="N574" s="113"/>
      <c r="P574" s="113"/>
      <c r="Q574" s="113"/>
      <c r="R574" s="113"/>
      <c r="T574" s="113"/>
      <c r="U574" s="113"/>
      <c r="V574" s="113"/>
    </row>
    <row r="575" customFormat="false" ht="15" hidden="false" customHeight="true" outlineLevel="0" collapsed="false">
      <c r="H575" s="113"/>
      <c r="I575" s="113"/>
      <c r="J575" s="113"/>
      <c r="L575" s="113"/>
      <c r="M575" s="113"/>
      <c r="N575" s="113"/>
      <c r="P575" s="113"/>
      <c r="Q575" s="113"/>
      <c r="R575" s="113"/>
      <c r="T575" s="113"/>
      <c r="U575" s="113"/>
      <c r="V575" s="113"/>
    </row>
    <row r="576" customFormat="false" ht="15" hidden="false" customHeight="true" outlineLevel="0" collapsed="false">
      <c r="H576" s="113"/>
      <c r="I576" s="113"/>
      <c r="J576" s="113"/>
      <c r="L576" s="113"/>
      <c r="M576" s="113"/>
      <c r="N576" s="113"/>
      <c r="P576" s="113"/>
      <c r="Q576" s="113"/>
      <c r="R576" s="113"/>
      <c r="T576" s="113"/>
      <c r="U576" s="113"/>
      <c r="V576" s="113"/>
    </row>
    <row r="577" customFormat="false" ht="15" hidden="false" customHeight="true" outlineLevel="0" collapsed="false">
      <c r="H577" s="113"/>
      <c r="I577" s="113"/>
      <c r="J577" s="113"/>
      <c r="L577" s="113"/>
      <c r="M577" s="113"/>
      <c r="N577" s="113"/>
      <c r="P577" s="113"/>
      <c r="Q577" s="113"/>
      <c r="R577" s="113"/>
      <c r="T577" s="113"/>
      <c r="U577" s="113"/>
      <c r="V577" s="113"/>
    </row>
    <row r="578" customFormat="false" ht="15" hidden="false" customHeight="true" outlineLevel="0" collapsed="false">
      <c r="H578" s="113"/>
      <c r="I578" s="113"/>
      <c r="J578" s="113"/>
      <c r="L578" s="113"/>
      <c r="M578" s="113"/>
      <c r="N578" s="113"/>
      <c r="P578" s="113"/>
      <c r="Q578" s="113"/>
      <c r="R578" s="113"/>
      <c r="T578" s="113"/>
      <c r="U578" s="113"/>
      <c r="V578" s="113"/>
    </row>
    <row r="579" customFormat="false" ht="15" hidden="false" customHeight="true" outlineLevel="0" collapsed="false">
      <c r="H579" s="113"/>
      <c r="I579" s="113"/>
      <c r="J579" s="113"/>
      <c r="L579" s="113"/>
      <c r="M579" s="113"/>
      <c r="N579" s="113"/>
      <c r="P579" s="113"/>
      <c r="Q579" s="113"/>
      <c r="R579" s="113"/>
      <c r="T579" s="113"/>
      <c r="U579" s="113"/>
      <c r="V579" s="113"/>
    </row>
    <row r="580" customFormat="false" ht="15" hidden="false" customHeight="true" outlineLevel="0" collapsed="false">
      <c r="H580" s="113"/>
      <c r="I580" s="113"/>
      <c r="J580" s="113"/>
      <c r="L580" s="113"/>
      <c r="M580" s="113"/>
      <c r="N580" s="113"/>
      <c r="P580" s="113"/>
      <c r="Q580" s="113"/>
      <c r="R580" s="113"/>
      <c r="T580" s="113"/>
      <c r="U580" s="113"/>
      <c r="V580" s="113"/>
    </row>
    <row r="581" customFormat="false" ht="15" hidden="false" customHeight="true" outlineLevel="0" collapsed="false">
      <c r="H581" s="113"/>
      <c r="I581" s="113"/>
      <c r="J581" s="113"/>
      <c r="L581" s="113"/>
      <c r="M581" s="113"/>
      <c r="N581" s="113"/>
      <c r="P581" s="113"/>
      <c r="Q581" s="113"/>
      <c r="R581" s="113"/>
      <c r="T581" s="113"/>
      <c r="U581" s="113"/>
      <c r="V581" s="113"/>
    </row>
    <row r="582" customFormat="false" ht="15" hidden="false" customHeight="true" outlineLevel="0" collapsed="false">
      <c r="H582" s="113"/>
      <c r="I582" s="113"/>
      <c r="J582" s="113"/>
      <c r="L582" s="113"/>
      <c r="M582" s="113"/>
      <c r="N582" s="113"/>
      <c r="P582" s="113"/>
      <c r="Q582" s="113"/>
      <c r="R582" s="113"/>
      <c r="T582" s="113"/>
      <c r="U582" s="113"/>
      <c r="V582" s="113"/>
    </row>
    <row r="583" customFormat="false" ht="15" hidden="false" customHeight="true" outlineLevel="0" collapsed="false">
      <c r="H583" s="113"/>
      <c r="I583" s="113"/>
      <c r="J583" s="113"/>
      <c r="L583" s="113"/>
      <c r="M583" s="113"/>
      <c r="N583" s="113"/>
      <c r="P583" s="113"/>
      <c r="Q583" s="113"/>
      <c r="R583" s="113"/>
      <c r="T583" s="113"/>
      <c r="U583" s="113"/>
      <c r="V583" s="113"/>
    </row>
    <row r="584" customFormat="false" ht="15" hidden="false" customHeight="true" outlineLevel="0" collapsed="false">
      <c r="H584" s="113"/>
      <c r="I584" s="113"/>
      <c r="J584" s="113"/>
      <c r="L584" s="113"/>
      <c r="M584" s="113"/>
      <c r="N584" s="113"/>
      <c r="P584" s="113"/>
      <c r="Q584" s="113"/>
      <c r="R584" s="113"/>
      <c r="T584" s="113"/>
      <c r="U584" s="113"/>
      <c r="V584" s="113"/>
    </row>
    <row r="585" customFormat="false" ht="15" hidden="false" customHeight="true" outlineLevel="0" collapsed="false">
      <c r="H585" s="113"/>
      <c r="I585" s="113"/>
      <c r="J585" s="113"/>
      <c r="L585" s="113"/>
      <c r="M585" s="113"/>
      <c r="N585" s="113"/>
      <c r="P585" s="113"/>
      <c r="Q585" s="113"/>
      <c r="R585" s="113"/>
      <c r="T585" s="113"/>
      <c r="U585" s="113"/>
      <c r="V585" s="113"/>
    </row>
    <row r="586" customFormat="false" ht="15" hidden="false" customHeight="true" outlineLevel="0" collapsed="false">
      <c r="H586" s="113"/>
      <c r="I586" s="113"/>
      <c r="J586" s="113"/>
      <c r="L586" s="113"/>
      <c r="M586" s="113"/>
      <c r="N586" s="113"/>
      <c r="P586" s="113"/>
      <c r="Q586" s="113"/>
      <c r="R586" s="113"/>
      <c r="T586" s="113"/>
      <c r="U586" s="113"/>
      <c r="V586" s="113"/>
    </row>
    <row r="587" customFormat="false" ht="15" hidden="false" customHeight="true" outlineLevel="0" collapsed="false">
      <c r="H587" s="113"/>
      <c r="I587" s="113"/>
      <c r="J587" s="113"/>
      <c r="L587" s="113"/>
      <c r="M587" s="113"/>
      <c r="N587" s="113"/>
      <c r="P587" s="113"/>
      <c r="Q587" s="113"/>
      <c r="R587" s="113"/>
      <c r="T587" s="113"/>
      <c r="U587" s="113"/>
      <c r="V587" s="113"/>
    </row>
    <row r="588" customFormat="false" ht="15" hidden="false" customHeight="true" outlineLevel="0" collapsed="false">
      <c r="H588" s="113"/>
      <c r="I588" s="113"/>
      <c r="J588" s="113"/>
      <c r="L588" s="113"/>
      <c r="M588" s="113"/>
      <c r="N588" s="113"/>
      <c r="P588" s="113"/>
      <c r="Q588" s="113"/>
      <c r="R588" s="113"/>
      <c r="T588" s="113"/>
      <c r="U588" s="113"/>
      <c r="V588" s="113"/>
    </row>
    <row r="589" customFormat="false" ht="15" hidden="false" customHeight="true" outlineLevel="0" collapsed="false">
      <c r="H589" s="113"/>
      <c r="I589" s="113"/>
      <c r="J589" s="113"/>
      <c r="L589" s="113"/>
      <c r="M589" s="113"/>
      <c r="N589" s="113"/>
      <c r="P589" s="113"/>
      <c r="Q589" s="113"/>
      <c r="R589" s="113"/>
      <c r="T589" s="113"/>
      <c r="U589" s="113"/>
      <c r="V589" s="113"/>
    </row>
    <row r="590" customFormat="false" ht="15" hidden="false" customHeight="true" outlineLevel="0" collapsed="false">
      <c r="H590" s="113"/>
      <c r="I590" s="113"/>
      <c r="J590" s="113"/>
      <c r="L590" s="113"/>
      <c r="M590" s="113"/>
      <c r="N590" s="113"/>
      <c r="P590" s="113"/>
      <c r="Q590" s="113"/>
      <c r="R590" s="113"/>
      <c r="T590" s="113"/>
      <c r="U590" s="113"/>
      <c r="V590" s="113"/>
    </row>
    <row r="591" customFormat="false" ht="15" hidden="false" customHeight="true" outlineLevel="0" collapsed="false">
      <c r="H591" s="113"/>
      <c r="I591" s="113"/>
      <c r="J591" s="113"/>
      <c r="L591" s="113"/>
      <c r="M591" s="113"/>
      <c r="N591" s="113"/>
      <c r="P591" s="113"/>
      <c r="Q591" s="113"/>
      <c r="R591" s="113"/>
      <c r="T591" s="113"/>
      <c r="U591" s="113"/>
      <c r="V591" s="113"/>
    </row>
    <row r="592" customFormat="false" ht="15" hidden="false" customHeight="true" outlineLevel="0" collapsed="false">
      <c r="H592" s="113"/>
      <c r="I592" s="113"/>
      <c r="J592" s="113"/>
      <c r="L592" s="113"/>
      <c r="M592" s="113"/>
      <c r="N592" s="113"/>
      <c r="P592" s="113"/>
      <c r="Q592" s="113"/>
      <c r="R592" s="113"/>
      <c r="T592" s="113"/>
      <c r="U592" s="113"/>
      <c r="V592" s="113"/>
    </row>
    <row r="593" customFormat="false" ht="15" hidden="false" customHeight="true" outlineLevel="0" collapsed="false">
      <c r="H593" s="113"/>
      <c r="I593" s="113"/>
      <c r="J593" s="113"/>
      <c r="L593" s="113"/>
      <c r="M593" s="113"/>
      <c r="N593" s="113"/>
      <c r="P593" s="113"/>
      <c r="Q593" s="113"/>
      <c r="R593" s="113"/>
      <c r="T593" s="113"/>
      <c r="U593" s="113"/>
      <c r="V593" s="113"/>
    </row>
    <row r="594" customFormat="false" ht="15" hidden="false" customHeight="true" outlineLevel="0" collapsed="false">
      <c r="H594" s="113"/>
      <c r="I594" s="113"/>
      <c r="J594" s="113"/>
      <c r="L594" s="113"/>
      <c r="M594" s="113"/>
      <c r="N594" s="113"/>
      <c r="P594" s="113"/>
      <c r="Q594" s="113"/>
      <c r="R594" s="113"/>
      <c r="T594" s="113"/>
      <c r="U594" s="113"/>
      <c r="V594" s="113"/>
    </row>
    <row r="595" customFormat="false" ht="15" hidden="false" customHeight="true" outlineLevel="0" collapsed="false">
      <c r="H595" s="113"/>
      <c r="I595" s="113"/>
      <c r="J595" s="113"/>
      <c r="L595" s="113"/>
      <c r="M595" s="113"/>
      <c r="N595" s="113"/>
      <c r="P595" s="113"/>
      <c r="Q595" s="113"/>
      <c r="R595" s="113"/>
      <c r="T595" s="113"/>
      <c r="U595" s="113"/>
      <c r="V595" s="113"/>
    </row>
    <row r="596" customFormat="false" ht="15" hidden="false" customHeight="true" outlineLevel="0" collapsed="false">
      <c r="H596" s="113"/>
      <c r="I596" s="113"/>
      <c r="J596" s="113"/>
      <c r="L596" s="113"/>
      <c r="M596" s="113"/>
      <c r="N596" s="113"/>
      <c r="P596" s="113"/>
      <c r="Q596" s="113"/>
      <c r="R596" s="113"/>
      <c r="T596" s="113"/>
      <c r="U596" s="113"/>
      <c r="V596" s="113"/>
    </row>
    <row r="597" customFormat="false" ht="15" hidden="false" customHeight="true" outlineLevel="0" collapsed="false">
      <c r="H597" s="113"/>
      <c r="I597" s="113"/>
      <c r="J597" s="113"/>
      <c r="L597" s="113"/>
      <c r="M597" s="113"/>
      <c r="N597" s="113"/>
      <c r="P597" s="113"/>
      <c r="Q597" s="113"/>
      <c r="R597" s="113"/>
      <c r="T597" s="113"/>
      <c r="U597" s="113"/>
      <c r="V597" s="113"/>
    </row>
    <row r="598" customFormat="false" ht="15" hidden="false" customHeight="true" outlineLevel="0" collapsed="false">
      <c r="H598" s="113"/>
      <c r="I598" s="113"/>
      <c r="J598" s="113"/>
      <c r="L598" s="113"/>
      <c r="M598" s="113"/>
      <c r="N598" s="113"/>
      <c r="P598" s="113"/>
      <c r="Q598" s="113"/>
      <c r="R598" s="113"/>
      <c r="T598" s="113"/>
      <c r="U598" s="113"/>
      <c r="V598" s="113"/>
    </row>
    <row r="599" customFormat="false" ht="15" hidden="false" customHeight="true" outlineLevel="0" collapsed="false">
      <c r="H599" s="113"/>
      <c r="I599" s="113"/>
      <c r="J599" s="113"/>
      <c r="L599" s="113"/>
      <c r="M599" s="113"/>
      <c r="N599" s="113"/>
      <c r="P599" s="113"/>
      <c r="Q599" s="113"/>
      <c r="R599" s="113"/>
      <c r="T599" s="113"/>
      <c r="U599" s="113"/>
      <c r="V599" s="113"/>
    </row>
    <row r="600" customFormat="false" ht="15" hidden="false" customHeight="true" outlineLevel="0" collapsed="false">
      <c r="H600" s="113"/>
      <c r="I600" s="113"/>
      <c r="J600" s="113"/>
      <c r="L600" s="113"/>
      <c r="M600" s="113"/>
      <c r="N600" s="113"/>
      <c r="P600" s="113"/>
      <c r="Q600" s="113"/>
      <c r="R600" s="113"/>
      <c r="T600" s="113"/>
      <c r="U600" s="113"/>
      <c r="V600" s="113"/>
    </row>
    <row r="601" customFormat="false" ht="15" hidden="false" customHeight="true" outlineLevel="0" collapsed="false">
      <c r="H601" s="113"/>
      <c r="I601" s="113"/>
      <c r="J601" s="113"/>
      <c r="L601" s="113"/>
      <c r="M601" s="113"/>
      <c r="N601" s="113"/>
      <c r="P601" s="113"/>
      <c r="Q601" s="113"/>
      <c r="R601" s="113"/>
      <c r="T601" s="113"/>
      <c r="U601" s="113"/>
      <c r="V601" s="113"/>
    </row>
    <row r="602" customFormat="false" ht="15" hidden="false" customHeight="true" outlineLevel="0" collapsed="false">
      <c r="H602" s="113"/>
      <c r="I602" s="113"/>
      <c r="J602" s="113"/>
      <c r="L602" s="113"/>
      <c r="M602" s="113"/>
      <c r="N602" s="113"/>
      <c r="P602" s="113"/>
      <c r="Q602" s="113"/>
      <c r="R602" s="113"/>
      <c r="T602" s="113"/>
      <c r="U602" s="113"/>
      <c r="V602" s="113"/>
    </row>
    <row r="603" customFormat="false" ht="15" hidden="false" customHeight="true" outlineLevel="0" collapsed="false">
      <c r="H603" s="113"/>
      <c r="I603" s="113"/>
      <c r="J603" s="113"/>
      <c r="L603" s="113"/>
      <c r="M603" s="113"/>
      <c r="N603" s="113"/>
      <c r="P603" s="113"/>
      <c r="Q603" s="113"/>
      <c r="R603" s="113"/>
      <c r="T603" s="113"/>
      <c r="U603" s="113"/>
      <c r="V603" s="113"/>
    </row>
    <row r="604" customFormat="false" ht="15" hidden="false" customHeight="true" outlineLevel="0" collapsed="false">
      <c r="H604" s="113"/>
      <c r="I604" s="113"/>
      <c r="J604" s="113"/>
      <c r="L604" s="113"/>
      <c r="M604" s="113"/>
      <c r="N604" s="113"/>
      <c r="P604" s="113"/>
      <c r="Q604" s="113"/>
      <c r="R604" s="113"/>
      <c r="T604" s="113"/>
      <c r="U604" s="113"/>
      <c r="V604" s="113"/>
    </row>
    <row r="605" customFormat="false" ht="15" hidden="false" customHeight="true" outlineLevel="0" collapsed="false">
      <c r="H605" s="113"/>
      <c r="I605" s="113"/>
      <c r="J605" s="113"/>
      <c r="L605" s="113"/>
      <c r="M605" s="113"/>
      <c r="N605" s="113"/>
      <c r="P605" s="113"/>
      <c r="Q605" s="113"/>
      <c r="R605" s="113"/>
      <c r="T605" s="113"/>
      <c r="U605" s="113"/>
      <c r="V605" s="113"/>
    </row>
    <row r="606" customFormat="false" ht="15" hidden="false" customHeight="true" outlineLevel="0" collapsed="false">
      <c r="H606" s="113"/>
      <c r="I606" s="113"/>
      <c r="J606" s="113"/>
      <c r="L606" s="113"/>
      <c r="M606" s="113"/>
      <c r="N606" s="113"/>
      <c r="P606" s="113"/>
      <c r="Q606" s="113"/>
      <c r="R606" s="113"/>
      <c r="T606" s="113"/>
      <c r="U606" s="113"/>
      <c r="V606" s="113"/>
    </row>
    <row r="607" customFormat="false" ht="15" hidden="false" customHeight="true" outlineLevel="0" collapsed="false">
      <c r="H607" s="113"/>
      <c r="I607" s="113"/>
      <c r="J607" s="113"/>
      <c r="L607" s="113"/>
      <c r="M607" s="113"/>
      <c r="N607" s="113"/>
      <c r="P607" s="113"/>
      <c r="Q607" s="113"/>
      <c r="R607" s="113"/>
      <c r="T607" s="113"/>
      <c r="U607" s="113"/>
      <c r="V607" s="113"/>
    </row>
    <row r="608" customFormat="false" ht="15" hidden="false" customHeight="true" outlineLevel="0" collapsed="false">
      <c r="H608" s="113"/>
      <c r="I608" s="113"/>
      <c r="J608" s="113"/>
      <c r="L608" s="113"/>
      <c r="M608" s="113"/>
      <c r="N608" s="113"/>
      <c r="P608" s="113"/>
      <c r="Q608" s="113"/>
      <c r="R608" s="113"/>
      <c r="T608" s="113"/>
      <c r="U608" s="113"/>
      <c r="V608" s="113"/>
    </row>
    <row r="609" customFormat="false" ht="15" hidden="false" customHeight="true" outlineLevel="0" collapsed="false">
      <c r="H609" s="113"/>
      <c r="I609" s="113"/>
      <c r="J609" s="113"/>
      <c r="L609" s="113"/>
      <c r="M609" s="113"/>
      <c r="N609" s="113"/>
      <c r="P609" s="113"/>
      <c r="Q609" s="113"/>
      <c r="R609" s="113"/>
      <c r="T609" s="113"/>
      <c r="U609" s="113"/>
      <c r="V609" s="113"/>
    </row>
    <row r="610" customFormat="false" ht="15" hidden="false" customHeight="true" outlineLevel="0" collapsed="false">
      <c r="H610" s="113"/>
      <c r="I610" s="113"/>
      <c r="J610" s="113"/>
      <c r="L610" s="113"/>
      <c r="M610" s="113"/>
      <c r="N610" s="113"/>
      <c r="P610" s="113"/>
      <c r="Q610" s="113"/>
      <c r="R610" s="113"/>
      <c r="T610" s="113"/>
      <c r="U610" s="113"/>
      <c r="V610" s="113"/>
    </row>
    <row r="611" customFormat="false" ht="15" hidden="false" customHeight="true" outlineLevel="0" collapsed="false">
      <c r="H611" s="113"/>
      <c r="I611" s="113"/>
      <c r="J611" s="113"/>
      <c r="L611" s="113"/>
      <c r="M611" s="113"/>
      <c r="N611" s="113"/>
      <c r="P611" s="113"/>
      <c r="Q611" s="113"/>
      <c r="R611" s="113"/>
      <c r="T611" s="113"/>
      <c r="U611" s="113"/>
      <c r="V611" s="113"/>
    </row>
    <row r="612" customFormat="false" ht="15" hidden="false" customHeight="true" outlineLevel="0" collapsed="false">
      <c r="H612" s="113"/>
      <c r="I612" s="113"/>
      <c r="J612" s="113"/>
      <c r="L612" s="113"/>
      <c r="M612" s="113"/>
      <c r="N612" s="113"/>
      <c r="P612" s="113"/>
      <c r="Q612" s="113"/>
      <c r="R612" s="113"/>
      <c r="T612" s="113"/>
      <c r="U612" s="113"/>
      <c r="V612" s="113"/>
    </row>
    <row r="613" customFormat="false" ht="15" hidden="false" customHeight="true" outlineLevel="0" collapsed="false">
      <c r="H613" s="113"/>
      <c r="I613" s="113"/>
      <c r="J613" s="113"/>
      <c r="L613" s="113"/>
      <c r="M613" s="113"/>
      <c r="N613" s="113"/>
      <c r="P613" s="113"/>
      <c r="Q613" s="113"/>
      <c r="R613" s="113"/>
      <c r="T613" s="113"/>
      <c r="U613" s="113"/>
      <c r="V613" s="113"/>
    </row>
    <row r="614" customFormat="false" ht="15" hidden="false" customHeight="true" outlineLevel="0" collapsed="false">
      <c r="H614" s="113"/>
      <c r="I614" s="113"/>
      <c r="J614" s="113"/>
      <c r="L614" s="113"/>
      <c r="M614" s="113"/>
      <c r="N614" s="113"/>
      <c r="P614" s="113"/>
      <c r="Q614" s="113"/>
      <c r="R614" s="113"/>
      <c r="T614" s="113"/>
      <c r="U614" s="113"/>
      <c r="V614" s="113"/>
    </row>
    <row r="615" customFormat="false" ht="15" hidden="false" customHeight="true" outlineLevel="0" collapsed="false">
      <c r="H615" s="113"/>
      <c r="I615" s="113"/>
      <c r="J615" s="113"/>
      <c r="L615" s="113"/>
      <c r="M615" s="113"/>
      <c r="N615" s="113"/>
      <c r="P615" s="113"/>
      <c r="Q615" s="113"/>
      <c r="R615" s="113"/>
      <c r="T615" s="113"/>
      <c r="U615" s="113"/>
      <c r="V615" s="113"/>
    </row>
    <row r="616" customFormat="false" ht="15" hidden="false" customHeight="true" outlineLevel="0" collapsed="false">
      <c r="H616" s="113"/>
      <c r="I616" s="113"/>
      <c r="J616" s="113"/>
      <c r="L616" s="113"/>
      <c r="M616" s="113"/>
      <c r="N616" s="113"/>
      <c r="P616" s="113"/>
      <c r="Q616" s="113"/>
      <c r="R616" s="113"/>
      <c r="T616" s="113"/>
      <c r="U616" s="113"/>
      <c r="V616" s="113"/>
    </row>
    <row r="617" customFormat="false" ht="15" hidden="false" customHeight="true" outlineLevel="0" collapsed="false">
      <c r="H617" s="113"/>
      <c r="I617" s="113"/>
      <c r="J617" s="113"/>
      <c r="L617" s="113"/>
      <c r="M617" s="113"/>
      <c r="N617" s="113"/>
      <c r="P617" s="113"/>
      <c r="Q617" s="113"/>
      <c r="R617" s="113"/>
      <c r="T617" s="113"/>
      <c r="U617" s="113"/>
      <c r="V617" s="113"/>
    </row>
    <row r="618" customFormat="false" ht="15" hidden="false" customHeight="true" outlineLevel="0" collapsed="false">
      <c r="H618" s="113"/>
      <c r="I618" s="113"/>
      <c r="J618" s="113"/>
      <c r="L618" s="113"/>
      <c r="M618" s="113"/>
      <c r="N618" s="113"/>
      <c r="P618" s="113"/>
      <c r="Q618" s="113"/>
      <c r="R618" s="113"/>
      <c r="T618" s="113"/>
      <c r="U618" s="113"/>
      <c r="V618" s="113"/>
    </row>
    <row r="619" customFormat="false" ht="15" hidden="false" customHeight="true" outlineLevel="0" collapsed="false">
      <c r="H619" s="113"/>
      <c r="I619" s="113"/>
      <c r="J619" s="113"/>
      <c r="L619" s="113"/>
      <c r="M619" s="113"/>
      <c r="N619" s="113"/>
      <c r="P619" s="113"/>
      <c r="Q619" s="113"/>
      <c r="R619" s="113"/>
      <c r="T619" s="113"/>
      <c r="U619" s="113"/>
      <c r="V619" s="113"/>
    </row>
    <row r="620" customFormat="false" ht="15" hidden="false" customHeight="true" outlineLevel="0" collapsed="false">
      <c r="H620" s="113"/>
      <c r="I620" s="113"/>
      <c r="J620" s="113"/>
      <c r="L620" s="113"/>
      <c r="M620" s="113"/>
      <c r="N620" s="113"/>
      <c r="P620" s="113"/>
      <c r="Q620" s="113"/>
      <c r="R620" s="113"/>
      <c r="T620" s="113"/>
      <c r="U620" s="113"/>
      <c r="V620" s="113"/>
    </row>
    <row r="621" customFormat="false" ht="15" hidden="false" customHeight="true" outlineLevel="0" collapsed="false">
      <c r="H621" s="113"/>
      <c r="I621" s="113"/>
      <c r="J621" s="113"/>
      <c r="L621" s="113"/>
      <c r="M621" s="113"/>
      <c r="N621" s="113"/>
      <c r="P621" s="113"/>
      <c r="Q621" s="113"/>
      <c r="R621" s="113"/>
      <c r="T621" s="113"/>
      <c r="U621" s="113"/>
      <c r="V621" s="113"/>
    </row>
    <row r="622" customFormat="false" ht="15" hidden="false" customHeight="true" outlineLevel="0" collapsed="false">
      <c r="H622" s="113"/>
      <c r="I622" s="113"/>
      <c r="J622" s="113"/>
      <c r="L622" s="113"/>
      <c r="M622" s="113"/>
      <c r="N622" s="113"/>
      <c r="P622" s="113"/>
      <c r="Q622" s="113"/>
      <c r="R622" s="113"/>
      <c r="T622" s="113"/>
      <c r="U622" s="113"/>
      <c r="V622" s="113"/>
    </row>
    <row r="623" customFormat="false" ht="15" hidden="false" customHeight="true" outlineLevel="0" collapsed="false">
      <c r="H623" s="113"/>
      <c r="I623" s="113"/>
      <c r="J623" s="113"/>
      <c r="L623" s="113"/>
      <c r="M623" s="113"/>
      <c r="N623" s="113"/>
      <c r="P623" s="113"/>
      <c r="Q623" s="113"/>
      <c r="R623" s="113"/>
      <c r="T623" s="113"/>
      <c r="U623" s="113"/>
      <c r="V623" s="113"/>
    </row>
    <row r="624" customFormat="false" ht="15" hidden="false" customHeight="true" outlineLevel="0" collapsed="false">
      <c r="H624" s="113"/>
      <c r="I624" s="113"/>
      <c r="J624" s="113"/>
      <c r="L624" s="113"/>
      <c r="M624" s="113"/>
      <c r="N624" s="113"/>
      <c r="P624" s="113"/>
      <c r="Q624" s="113"/>
      <c r="R624" s="113"/>
      <c r="T624" s="113"/>
      <c r="U624" s="113"/>
      <c r="V624" s="113"/>
    </row>
    <row r="625" customFormat="false" ht="15" hidden="false" customHeight="true" outlineLevel="0" collapsed="false">
      <c r="H625" s="113"/>
      <c r="I625" s="113"/>
      <c r="J625" s="113"/>
      <c r="L625" s="113"/>
      <c r="M625" s="113"/>
      <c r="N625" s="113"/>
      <c r="P625" s="113"/>
      <c r="Q625" s="113"/>
      <c r="R625" s="113"/>
      <c r="T625" s="113"/>
      <c r="U625" s="113"/>
      <c r="V625" s="113"/>
    </row>
    <row r="626" customFormat="false" ht="15" hidden="false" customHeight="true" outlineLevel="0" collapsed="false">
      <c r="H626" s="113"/>
      <c r="I626" s="113"/>
      <c r="J626" s="113"/>
      <c r="L626" s="113"/>
      <c r="M626" s="113"/>
      <c r="N626" s="113"/>
      <c r="P626" s="113"/>
      <c r="Q626" s="113"/>
      <c r="R626" s="113"/>
      <c r="T626" s="113"/>
      <c r="U626" s="113"/>
      <c r="V626" s="113"/>
    </row>
    <row r="627" customFormat="false" ht="15" hidden="false" customHeight="true" outlineLevel="0" collapsed="false">
      <c r="H627" s="113"/>
      <c r="I627" s="113"/>
      <c r="J627" s="113"/>
      <c r="L627" s="113"/>
      <c r="M627" s="113"/>
      <c r="N627" s="113"/>
      <c r="P627" s="113"/>
      <c r="Q627" s="113"/>
      <c r="R627" s="113"/>
      <c r="T627" s="113"/>
      <c r="U627" s="113"/>
      <c r="V627" s="113"/>
    </row>
    <row r="628" customFormat="false" ht="15" hidden="false" customHeight="true" outlineLevel="0" collapsed="false">
      <c r="H628" s="113"/>
      <c r="I628" s="113"/>
      <c r="J628" s="113"/>
      <c r="L628" s="113"/>
      <c r="M628" s="113"/>
      <c r="N628" s="113"/>
      <c r="P628" s="113"/>
      <c r="Q628" s="113"/>
      <c r="R628" s="113"/>
      <c r="T628" s="113"/>
      <c r="U628" s="113"/>
      <c r="V628" s="113"/>
    </row>
    <row r="629" customFormat="false" ht="15" hidden="false" customHeight="true" outlineLevel="0" collapsed="false">
      <c r="H629" s="113"/>
      <c r="I629" s="113"/>
      <c r="J629" s="113"/>
      <c r="L629" s="113"/>
      <c r="M629" s="113"/>
      <c r="N629" s="113"/>
      <c r="P629" s="113"/>
      <c r="Q629" s="113"/>
      <c r="R629" s="113"/>
      <c r="T629" s="113"/>
      <c r="U629" s="113"/>
      <c r="V629" s="113"/>
    </row>
    <row r="630" customFormat="false" ht="15" hidden="false" customHeight="true" outlineLevel="0" collapsed="false">
      <c r="H630" s="113"/>
      <c r="I630" s="113"/>
      <c r="J630" s="113"/>
      <c r="L630" s="113"/>
      <c r="M630" s="113"/>
      <c r="N630" s="113"/>
      <c r="P630" s="113"/>
      <c r="Q630" s="113"/>
      <c r="R630" s="113"/>
      <c r="T630" s="113"/>
      <c r="U630" s="113"/>
      <c r="V630" s="113"/>
    </row>
    <row r="631" customFormat="false" ht="15" hidden="false" customHeight="true" outlineLevel="0" collapsed="false">
      <c r="H631" s="113"/>
      <c r="I631" s="113"/>
      <c r="J631" s="113"/>
      <c r="L631" s="113"/>
      <c r="M631" s="113"/>
      <c r="N631" s="113"/>
      <c r="P631" s="113"/>
      <c r="Q631" s="113"/>
      <c r="R631" s="113"/>
      <c r="T631" s="113"/>
      <c r="U631" s="113"/>
      <c r="V631" s="113"/>
    </row>
    <row r="632" customFormat="false" ht="15" hidden="false" customHeight="true" outlineLevel="0" collapsed="false">
      <c r="H632" s="113"/>
      <c r="I632" s="113"/>
      <c r="J632" s="113"/>
      <c r="L632" s="113"/>
      <c r="M632" s="113"/>
      <c r="N632" s="113"/>
      <c r="P632" s="113"/>
      <c r="Q632" s="113"/>
      <c r="R632" s="113"/>
      <c r="T632" s="113"/>
      <c r="U632" s="113"/>
      <c r="V632" s="113"/>
    </row>
    <row r="633" customFormat="false" ht="15" hidden="false" customHeight="true" outlineLevel="0" collapsed="false">
      <c r="H633" s="113"/>
      <c r="I633" s="113"/>
      <c r="J633" s="113"/>
      <c r="L633" s="113"/>
      <c r="M633" s="113"/>
      <c r="N633" s="113"/>
      <c r="P633" s="113"/>
      <c r="Q633" s="113"/>
      <c r="R633" s="113"/>
      <c r="T633" s="113"/>
      <c r="U633" s="113"/>
      <c r="V633" s="113"/>
    </row>
    <row r="634" customFormat="false" ht="15" hidden="false" customHeight="true" outlineLevel="0" collapsed="false">
      <c r="H634" s="113"/>
      <c r="I634" s="113"/>
      <c r="J634" s="113"/>
      <c r="L634" s="113"/>
      <c r="M634" s="113"/>
      <c r="N634" s="113"/>
      <c r="P634" s="113"/>
      <c r="Q634" s="113"/>
      <c r="R634" s="113"/>
      <c r="T634" s="113"/>
      <c r="U634" s="113"/>
      <c r="V634" s="113"/>
    </row>
    <row r="635" customFormat="false" ht="15" hidden="false" customHeight="true" outlineLevel="0" collapsed="false">
      <c r="H635" s="113"/>
      <c r="I635" s="113"/>
      <c r="J635" s="113"/>
      <c r="L635" s="113"/>
      <c r="M635" s="113"/>
      <c r="N635" s="113"/>
      <c r="P635" s="113"/>
      <c r="Q635" s="113"/>
      <c r="R635" s="113"/>
      <c r="T635" s="113"/>
      <c r="U635" s="113"/>
      <c r="V635" s="113"/>
    </row>
    <row r="636" customFormat="false" ht="15" hidden="false" customHeight="true" outlineLevel="0" collapsed="false">
      <c r="H636" s="113"/>
      <c r="I636" s="113"/>
      <c r="J636" s="113"/>
      <c r="L636" s="113"/>
      <c r="M636" s="113"/>
      <c r="N636" s="113"/>
      <c r="P636" s="113"/>
      <c r="Q636" s="113"/>
      <c r="R636" s="113"/>
      <c r="T636" s="113"/>
      <c r="U636" s="113"/>
      <c r="V636" s="113"/>
    </row>
    <row r="637" customFormat="false" ht="15" hidden="false" customHeight="true" outlineLevel="0" collapsed="false">
      <c r="H637" s="113"/>
      <c r="I637" s="113"/>
      <c r="J637" s="113"/>
      <c r="L637" s="113"/>
      <c r="M637" s="113"/>
      <c r="N637" s="113"/>
      <c r="P637" s="113"/>
      <c r="Q637" s="113"/>
      <c r="R637" s="113"/>
      <c r="T637" s="113"/>
      <c r="U637" s="113"/>
      <c r="V637" s="113"/>
    </row>
    <row r="638" customFormat="false" ht="15" hidden="false" customHeight="true" outlineLevel="0" collapsed="false">
      <c r="H638" s="113"/>
      <c r="I638" s="113"/>
      <c r="J638" s="113"/>
      <c r="L638" s="113"/>
      <c r="M638" s="113"/>
      <c r="N638" s="113"/>
      <c r="P638" s="113"/>
      <c r="Q638" s="113"/>
      <c r="R638" s="113"/>
      <c r="T638" s="113"/>
      <c r="U638" s="113"/>
      <c r="V638" s="113"/>
    </row>
    <row r="639" customFormat="false" ht="15" hidden="false" customHeight="true" outlineLevel="0" collapsed="false">
      <c r="H639" s="113"/>
      <c r="I639" s="113"/>
      <c r="J639" s="113"/>
      <c r="L639" s="113"/>
      <c r="M639" s="113"/>
      <c r="N639" s="113"/>
      <c r="P639" s="113"/>
      <c r="Q639" s="113"/>
      <c r="R639" s="113"/>
      <c r="T639" s="113"/>
      <c r="U639" s="113"/>
      <c r="V639" s="113"/>
    </row>
    <row r="640" customFormat="false" ht="15" hidden="false" customHeight="true" outlineLevel="0" collapsed="false">
      <c r="H640" s="113"/>
      <c r="I640" s="113"/>
      <c r="J640" s="113"/>
      <c r="L640" s="113"/>
      <c r="M640" s="113"/>
      <c r="N640" s="113"/>
      <c r="P640" s="113"/>
      <c r="Q640" s="113"/>
      <c r="R640" s="113"/>
      <c r="T640" s="113"/>
      <c r="U640" s="113"/>
      <c r="V640" s="113"/>
    </row>
    <row r="641" customFormat="false" ht="15" hidden="false" customHeight="true" outlineLevel="0" collapsed="false">
      <c r="H641" s="113"/>
      <c r="I641" s="113"/>
      <c r="J641" s="113"/>
      <c r="L641" s="113"/>
      <c r="M641" s="113"/>
      <c r="N641" s="113"/>
      <c r="P641" s="113"/>
      <c r="Q641" s="113"/>
      <c r="R641" s="113"/>
      <c r="T641" s="113"/>
      <c r="U641" s="113"/>
      <c r="V641" s="113"/>
    </row>
    <row r="642" customFormat="false" ht="15" hidden="false" customHeight="true" outlineLevel="0" collapsed="false">
      <c r="H642" s="113"/>
      <c r="I642" s="113"/>
      <c r="J642" s="113"/>
      <c r="L642" s="113"/>
      <c r="M642" s="113"/>
      <c r="N642" s="113"/>
      <c r="P642" s="113"/>
      <c r="Q642" s="113"/>
      <c r="R642" s="113"/>
      <c r="T642" s="113"/>
      <c r="U642" s="113"/>
      <c r="V642" s="113"/>
    </row>
    <row r="643" customFormat="false" ht="15" hidden="false" customHeight="true" outlineLevel="0" collapsed="false">
      <c r="H643" s="113"/>
      <c r="I643" s="113"/>
      <c r="J643" s="113"/>
      <c r="L643" s="113"/>
      <c r="M643" s="113"/>
      <c r="N643" s="113"/>
      <c r="P643" s="113"/>
      <c r="Q643" s="113"/>
      <c r="R643" s="113"/>
      <c r="T643" s="113"/>
      <c r="U643" s="113"/>
      <c r="V643" s="113"/>
    </row>
    <row r="644" customFormat="false" ht="15" hidden="false" customHeight="true" outlineLevel="0" collapsed="false">
      <c r="H644" s="113"/>
      <c r="I644" s="113"/>
      <c r="J644" s="113"/>
      <c r="L644" s="113"/>
      <c r="M644" s="113"/>
      <c r="N644" s="113"/>
      <c r="P644" s="113"/>
      <c r="Q644" s="113"/>
      <c r="R644" s="113"/>
      <c r="T644" s="113"/>
      <c r="U644" s="113"/>
      <c r="V644" s="113"/>
    </row>
    <row r="645" customFormat="false" ht="15" hidden="false" customHeight="true" outlineLevel="0" collapsed="false">
      <c r="H645" s="113"/>
      <c r="I645" s="113"/>
      <c r="J645" s="113"/>
      <c r="L645" s="113"/>
      <c r="M645" s="113"/>
      <c r="N645" s="113"/>
      <c r="P645" s="113"/>
      <c r="Q645" s="113"/>
      <c r="R645" s="113"/>
      <c r="T645" s="113"/>
      <c r="U645" s="113"/>
      <c r="V645" s="113"/>
    </row>
    <row r="646" customFormat="false" ht="15" hidden="false" customHeight="true" outlineLevel="0" collapsed="false">
      <c r="H646" s="113"/>
      <c r="I646" s="113"/>
      <c r="J646" s="113"/>
      <c r="L646" s="113"/>
      <c r="M646" s="113"/>
      <c r="N646" s="113"/>
      <c r="P646" s="113"/>
      <c r="Q646" s="113"/>
      <c r="R646" s="113"/>
      <c r="T646" s="113"/>
      <c r="U646" s="113"/>
      <c r="V646" s="113"/>
    </row>
    <row r="647" customFormat="false" ht="15" hidden="false" customHeight="true" outlineLevel="0" collapsed="false">
      <c r="H647" s="113"/>
      <c r="I647" s="113"/>
      <c r="J647" s="113"/>
      <c r="L647" s="113"/>
      <c r="M647" s="113"/>
      <c r="N647" s="113"/>
      <c r="P647" s="113"/>
      <c r="Q647" s="113"/>
      <c r="R647" s="113"/>
      <c r="T647" s="113"/>
      <c r="U647" s="113"/>
      <c r="V647" s="113"/>
    </row>
    <row r="648" customFormat="false" ht="15" hidden="false" customHeight="true" outlineLevel="0" collapsed="false">
      <c r="H648" s="113"/>
      <c r="I648" s="113"/>
      <c r="J648" s="113"/>
      <c r="L648" s="113"/>
      <c r="M648" s="113"/>
      <c r="N648" s="113"/>
      <c r="P648" s="113"/>
      <c r="Q648" s="113"/>
      <c r="R648" s="113"/>
      <c r="T648" s="113"/>
      <c r="U648" s="113"/>
      <c r="V648" s="113"/>
    </row>
    <row r="649" customFormat="false" ht="15" hidden="false" customHeight="true" outlineLevel="0" collapsed="false">
      <c r="H649" s="113"/>
      <c r="I649" s="113"/>
      <c r="J649" s="113"/>
      <c r="L649" s="113"/>
      <c r="M649" s="113"/>
      <c r="N649" s="113"/>
      <c r="P649" s="113"/>
      <c r="Q649" s="113"/>
      <c r="R649" s="113"/>
      <c r="T649" s="113"/>
      <c r="U649" s="113"/>
      <c r="V649" s="113"/>
    </row>
    <row r="650" customFormat="false" ht="15" hidden="false" customHeight="true" outlineLevel="0" collapsed="false">
      <c r="H650" s="113"/>
      <c r="I650" s="113"/>
      <c r="J650" s="113"/>
      <c r="L650" s="113"/>
      <c r="M650" s="113"/>
      <c r="N650" s="113"/>
      <c r="P650" s="113"/>
      <c r="Q650" s="113"/>
      <c r="R650" s="113"/>
      <c r="T650" s="113"/>
      <c r="U650" s="113"/>
      <c r="V650" s="113"/>
    </row>
    <row r="651" customFormat="false" ht="15" hidden="false" customHeight="true" outlineLevel="0" collapsed="false">
      <c r="H651" s="113"/>
      <c r="I651" s="113"/>
      <c r="J651" s="113"/>
      <c r="L651" s="113"/>
      <c r="M651" s="113"/>
      <c r="N651" s="113"/>
      <c r="P651" s="113"/>
      <c r="Q651" s="113"/>
      <c r="R651" s="113"/>
      <c r="T651" s="113"/>
      <c r="U651" s="113"/>
      <c r="V651" s="113"/>
    </row>
    <row r="652" customFormat="false" ht="15" hidden="false" customHeight="true" outlineLevel="0" collapsed="false">
      <c r="H652" s="113"/>
      <c r="I652" s="113"/>
      <c r="J652" s="113"/>
      <c r="L652" s="113"/>
      <c r="M652" s="113"/>
      <c r="N652" s="113"/>
      <c r="P652" s="113"/>
      <c r="Q652" s="113"/>
      <c r="R652" s="113"/>
      <c r="T652" s="113"/>
      <c r="U652" s="113"/>
      <c r="V652" s="113"/>
    </row>
    <row r="653" customFormat="false" ht="15" hidden="false" customHeight="true" outlineLevel="0" collapsed="false">
      <c r="H653" s="113"/>
      <c r="I653" s="113"/>
      <c r="J653" s="113"/>
      <c r="L653" s="113"/>
      <c r="M653" s="113"/>
      <c r="N653" s="113"/>
      <c r="P653" s="113"/>
      <c r="Q653" s="113"/>
      <c r="R653" s="113"/>
      <c r="T653" s="113"/>
      <c r="U653" s="113"/>
      <c r="V653" s="113"/>
    </row>
    <row r="654" customFormat="false" ht="15" hidden="false" customHeight="true" outlineLevel="0" collapsed="false">
      <c r="H654" s="113"/>
      <c r="I654" s="113"/>
      <c r="J654" s="113"/>
      <c r="L654" s="113"/>
      <c r="M654" s="113"/>
      <c r="N654" s="113"/>
      <c r="P654" s="113"/>
      <c r="Q654" s="113"/>
      <c r="R654" s="113"/>
      <c r="T654" s="113"/>
      <c r="U654" s="113"/>
      <c r="V654" s="113"/>
    </row>
    <row r="655" customFormat="false" ht="15" hidden="false" customHeight="true" outlineLevel="0" collapsed="false">
      <c r="H655" s="113"/>
      <c r="I655" s="113"/>
      <c r="J655" s="113"/>
      <c r="L655" s="113"/>
      <c r="M655" s="113"/>
      <c r="N655" s="113"/>
      <c r="P655" s="113"/>
      <c r="Q655" s="113"/>
      <c r="R655" s="113"/>
      <c r="T655" s="113"/>
      <c r="U655" s="113"/>
      <c r="V655" s="113"/>
    </row>
    <row r="656" customFormat="false" ht="15" hidden="false" customHeight="true" outlineLevel="0" collapsed="false">
      <c r="H656" s="113"/>
      <c r="I656" s="113"/>
      <c r="J656" s="113"/>
      <c r="L656" s="113"/>
      <c r="M656" s="113"/>
      <c r="N656" s="113"/>
      <c r="P656" s="113"/>
      <c r="Q656" s="113"/>
      <c r="R656" s="113"/>
      <c r="T656" s="113"/>
      <c r="U656" s="113"/>
      <c r="V656" s="113"/>
    </row>
    <row r="657" customFormat="false" ht="15" hidden="false" customHeight="true" outlineLevel="0" collapsed="false">
      <c r="H657" s="113"/>
      <c r="I657" s="113"/>
      <c r="J657" s="113"/>
      <c r="L657" s="113"/>
      <c r="M657" s="113"/>
      <c r="N657" s="113"/>
      <c r="P657" s="113"/>
      <c r="Q657" s="113"/>
      <c r="R657" s="113"/>
      <c r="T657" s="113"/>
      <c r="U657" s="113"/>
      <c r="V657" s="113"/>
    </row>
    <row r="658" customFormat="false" ht="15" hidden="false" customHeight="true" outlineLevel="0" collapsed="false">
      <c r="H658" s="113"/>
      <c r="I658" s="113"/>
      <c r="J658" s="113"/>
      <c r="L658" s="113"/>
      <c r="M658" s="113"/>
      <c r="N658" s="113"/>
      <c r="P658" s="113"/>
      <c r="Q658" s="113"/>
      <c r="R658" s="113"/>
      <c r="T658" s="113"/>
      <c r="U658" s="113"/>
      <c r="V658" s="113"/>
    </row>
    <row r="659" customFormat="false" ht="15" hidden="false" customHeight="true" outlineLevel="0" collapsed="false">
      <c r="H659" s="113"/>
      <c r="I659" s="113"/>
      <c r="J659" s="113"/>
      <c r="L659" s="113"/>
      <c r="M659" s="113"/>
      <c r="N659" s="113"/>
      <c r="P659" s="113"/>
      <c r="Q659" s="113"/>
      <c r="R659" s="113"/>
      <c r="T659" s="113"/>
      <c r="U659" s="113"/>
      <c r="V659" s="113"/>
    </row>
    <row r="660" customFormat="false" ht="15" hidden="false" customHeight="true" outlineLevel="0" collapsed="false">
      <c r="H660" s="113"/>
      <c r="I660" s="113"/>
      <c r="J660" s="113"/>
      <c r="L660" s="113"/>
      <c r="M660" s="113"/>
      <c r="N660" s="113"/>
      <c r="P660" s="113"/>
      <c r="Q660" s="113"/>
      <c r="R660" s="113"/>
      <c r="T660" s="113"/>
      <c r="U660" s="113"/>
      <c r="V660" s="113"/>
    </row>
    <row r="661" customFormat="false" ht="15" hidden="false" customHeight="true" outlineLevel="0" collapsed="false">
      <c r="H661" s="113"/>
      <c r="I661" s="113"/>
      <c r="J661" s="113"/>
      <c r="L661" s="113"/>
      <c r="M661" s="113"/>
      <c r="N661" s="113"/>
      <c r="P661" s="113"/>
      <c r="Q661" s="113"/>
      <c r="R661" s="113"/>
      <c r="T661" s="113"/>
      <c r="U661" s="113"/>
      <c r="V661" s="113"/>
    </row>
    <row r="662" customFormat="false" ht="15" hidden="false" customHeight="true" outlineLevel="0" collapsed="false">
      <c r="H662" s="113"/>
      <c r="I662" s="113"/>
      <c r="J662" s="113"/>
      <c r="L662" s="113"/>
      <c r="M662" s="113"/>
      <c r="N662" s="113"/>
      <c r="P662" s="113"/>
      <c r="Q662" s="113"/>
      <c r="R662" s="113"/>
      <c r="T662" s="113"/>
      <c r="U662" s="113"/>
      <c r="V662" s="113"/>
    </row>
    <row r="663" customFormat="false" ht="15" hidden="false" customHeight="true" outlineLevel="0" collapsed="false">
      <c r="H663" s="113"/>
      <c r="I663" s="113"/>
      <c r="J663" s="113"/>
      <c r="L663" s="113"/>
      <c r="M663" s="113"/>
      <c r="N663" s="113"/>
      <c r="P663" s="113"/>
      <c r="Q663" s="113"/>
      <c r="R663" s="113"/>
      <c r="T663" s="113"/>
      <c r="U663" s="113"/>
      <c r="V663" s="113"/>
    </row>
    <row r="664" customFormat="false" ht="15" hidden="false" customHeight="true" outlineLevel="0" collapsed="false"/>
    <row r="665" customFormat="false" ht="15" hidden="false" customHeight="true" outlineLevel="0" collapsed="false"/>
    <row r="666" customFormat="false" ht="15" hidden="false" customHeight="true" outlineLevel="0" collapsed="false"/>
    <row r="667" customFormat="false" ht="15" hidden="false" customHeight="true" outlineLevel="0" collapsed="false"/>
    <row r="668" customFormat="false" ht="15" hidden="false" customHeight="true" outlineLevel="0" collapsed="false"/>
    <row r="669" customFormat="false" ht="15" hidden="false" customHeight="true" outlineLevel="0" collapsed="false"/>
    <row r="670" customFormat="false" ht="15" hidden="false" customHeight="true" outlineLevel="0" collapsed="false"/>
    <row r="671" customFormat="false" ht="15" hidden="false" customHeight="true" outlineLevel="0" collapsed="false"/>
    <row r="672" customFormat="false" ht="15" hidden="false" customHeight="true" outlineLevel="0" collapsed="false"/>
    <row r="673" customFormat="false" ht="15" hidden="false" customHeight="true" outlineLevel="0" collapsed="false"/>
    <row r="674" customFormat="false" ht="15" hidden="false" customHeight="true" outlineLevel="0" collapsed="false"/>
    <row r="675" customFormat="false" ht="15" hidden="false" customHeight="true" outlineLevel="0" collapsed="false"/>
    <row r="676" customFormat="false" ht="15" hidden="false" customHeight="true" outlineLevel="0" collapsed="false"/>
    <row r="677" customFormat="false" ht="15" hidden="false" customHeight="true" outlineLevel="0" collapsed="false"/>
    <row r="678" customFormat="false" ht="15" hidden="false" customHeight="true" outlineLevel="0" collapsed="false"/>
    <row r="679" customFormat="false" ht="15" hidden="false" customHeight="true" outlineLevel="0" collapsed="false"/>
    <row r="680" customFormat="false" ht="15" hidden="false" customHeight="true" outlineLevel="0" collapsed="false"/>
    <row r="681" customFormat="false" ht="15" hidden="false" customHeight="true" outlineLevel="0" collapsed="false"/>
    <row r="682" customFormat="false" ht="15" hidden="false" customHeight="true" outlineLevel="0" collapsed="false"/>
    <row r="683" customFormat="false" ht="15" hidden="false" customHeight="true" outlineLevel="0" collapsed="false"/>
    <row r="684" customFormat="false" ht="15" hidden="false" customHeight="true" outlineLevel="0" collapsed="false"/>
    <row r="685" customFormat="false" ht="15" hidden="false" customHeight="true" outlineLevel="0" collapsed="false"/>
    <row r="686" customFormat="false" ht="15" hidden="false" customHeight="true" outlineLevel="0" collapsed="false"/>
    <row r="687" customFormat="false" ht="15" hidden="false" customHeight="true" outlineLevel="0" collapsed="false"/>
    <row r="688" customFormat="false" ht="15" hidden="false" customHeight="true" outlineLevel="0" collapsed="false"/>
    <row r="689" customFormat="false" ht="15" hidden="false" customHeight="true" outlineLevel="0" collapsed="false"/>
    <row r="690" customFormat="false" ht="15" hidden="false" customHeight="true" outlineLevel="0" collapsed="false"/>
    <row r="691" customFormat="false" ht="15" hidden="false" customHeight="true" outlineLevel="0" collapsed="false"/>
    <row r="692" customFormat="false" ht="15" hidden="false" customHeight="true" outlineLevel="0" collapsed="false"/>
    <row r="693" customFormat="false" ht="15" hidden="false" customHeight="true" outlineLevel="0" collapsed="false"/>
    <row r="694" customFormat="false" ht="15" hidden="false" customHeight="true" outlineLevel="0" collapsed="false"/>
    <row r="695" customFormat="false" ht="15" hidden="false" customHeight="true" outlineLevel="0" collapsed="false"/>
    <row r="696" customFormat="false" ht="15" hidden="false" customHeight="true" outlineLevel="0" collapsed="false"/>
    <row r="697" customFormat="false" ht="15" hidden="false" customHeight="true" outlineLevel="0" collapsed="false"/>
    <row r="698" customFormat="false" ht="15" hidden="false" customHeight="true" outlineLevel="0" collapsed="false"/>
    <row r="699" customFormat="false" ht="15" hidden="false" customHeight="true" outlineLevel="0" collapsed="false"/>
    <row r="700" customFormat="false" ht="15" hidden="false" customHeight="true" outlineLevel="0" collapsed="false"/>
  </sheetData>
  <mergeCells count="62">
    <mergeCell ref="A7:Y7"/>
    <mergeCell ref="B9:I9"/>
    <mergeCell ref="K9:R9"/>
    <mergeCell ref="B10:C10"/>
    <mergeCell ref="D10:E10"/>
    <mergeCell ref="F10:G10"/>
    <mergeCell ref="H10:I10"/>
    <mergeCell ref="K10:L10"/>
    <mergeCell ref="M10:N10"/>
    <mergeCell ref="O10:P10"/>
    <mergeCell ref="Q10:R10"/>
    <mergeCell ref="B11:C11"/>
    <mergeCell ref="D11:E11"/>
    <mergeCell ref="F11:G11"/>
    <mergeCell ref="H11:I11"/>
    <mergeCell ref="K11:L11"/>
    <mergeCell ref="M11:N11"/>
    <mergeCell ref="O11:P11"/>
    <mergeCell ref="Q11:R11"/>
    <mergeCell ref="B12:C13"/>
    <mergeCell ref="D12:E13"/>
    <mergeCell ref="F12:G13"/>
    <mergeCell ref="H12:I13"/>
    <mergeCell ref="K12:L13"/>
    <mergeCell ref="M12:N13"/>
    <mergeCell ref="O12:P13"/>
    <mergeCell ref="Q12:R13"/>
    <mergeCell ref="B14:C14"/>
    <mergeCell ref="D14:E14"/>
    <mergeCell ref="F14:G14"/>
    <mergeCell ref="H14:I14"/>
    <mergeCell ref="K14:L14"/>
    <mergeCell ref="M14:N14"/>
    <mergeCell ref="O14:P14"/>
    <mergeCell ref="Q14:R14"/>
    <mergeCell ref="B16:R16"/>
    <mergeCell ref="B17:D17"/>
    <mergeCell ref="E17:G17"/>
    <mergeCell ref="I17:K17"/>
    <mergeCell ref="M17:O17"/>
    <mergeCell ref="Q17:S17"/>
    <mergeCell ref="B18:D18"/>
    <mergeCell ref="E18:G18"/>
    <mergeCell ref="I18:K18"/>
    <mergeCell ref="M18:O18"/>
    <mergeCell ref="Q18:S18"/>
    <mergeCell ref="B19:D20"/>
    <mergeCell ref="E19:G20"/>
    <mergeCell ref="I19:K20"/>
    <mergeCell ref="M19:O20"/>
    <mergeCell ref="Q19:S20"/>
    <mergeCell ref="B21:D21"/>
    <mergeCell ref="E21:G21"/>
    <mergeCell ref="I21:K21"/>
    <mergeCell ref="M21:O21"/>
    <mergeCell ref="Q21:S21"/>
    <mergeCell ref="B22:D22"/>
    <mergeCell ref="E22:G22"/>
    <mergeCell ref="I22:K22"/>
    <mergeCell ref="M22:O22"/>
    <mergeCell ref="Q22:S22"/>
    <mergeCell ref="B23:S23"/>
  </mergeCells>
  <conditionalFormatting sqref="M49">
    <cfRule type="expression" priority="2" aboveAverage="0" equalAverage="0" bottom="0" percent="0" rank="0" text="" dxfId="0">
      <formula>AND(ISNUMBER(M49),ISNUMBER($G49),OR(AND($D49="P",M49&gt;=$G49),AND($D49="N",M49&lt;=$G49)))</formula>
    </cfRule>
    <cfRule type="expression" priority="3" aboveAverage="0" equalAverage="0" bottom="0" percent="0" rank="0" text="" dxfId="1">
      <formula>AND(ISNUMBER(M49),ISNUMBER($G49),OR(AND($D49="P",M49&lt;$G49),AND($D49="N",M49&gt;$G49)))</formula>
    </cfRule>
  </conditionalFormatting>
  <conditionalFormatting sqref="L49">
    <cfRule type="expression" priority="4" aboveAverage="0" equalAverage="0" bottom="0" percent="0" rank="0" text="" dxfId="0">
      <formula>AND(ISNUMBER(L49),ISNUMBER($G49),OR(AND($D49="P",L49&gt;=$G49),AND($D49="N",L49&lt;=$G49)))</formula>
    </cfRule>
    <cfRule type="expression" priority="5" aboveAverage="0" equalAverage="0" bottom="0" percent="0" rank="0" text="" dxfId="1">
      <formula>AND(ISNUMBER(L49),ISNUMBER($G49),OR(AND($D49="P",L49&lt;$G49),AND($D49="N",L49&gt;$G49)))</formula>
    </cfRule>
  </conditionalFormatting>
  <conditionalFormatting sqref="X36:X105">
    <cfRule type="expression" priority="6" aboveAverage="0" equalAverage="0" bottom="0" percent="0" rank="0" text="" dxfId="0">
      <formula>$Y36="✓ On Target"</formula>
    </cfRule>
    <cfRule type="expression" priority="7" aboveAverage="0" equalAverage="0" bottom="0" percent="0" rank="0" text="" dxfId="1">
      <formula>$Y36="✗ Off Target"</formula>
    </cfRule>
    <cfRule type="expression" priority="8" aboveAverage="0" equalAverage="0" bottom="0" percent="0" rank="0" text="" dxfId="2">
      <formula>$Y36="— No Data"</formula>
    </cfRule>
  </conditionalFormatting>
  <conditionalFormatting sqref="Y36:Y105">
    <cfRule type="expression" priority="9" aboveAverage="0" equalAverage="0" bottom="0" percent="0" rank="0" text="" dxfId="0">
      <formula>Y36="✓ On Target"</formula>
    </cfRule>
    <cfRule type="expression" priority="10" aboveAverage="0" equalAverage="0" bottom="0" percent="0" rank="0" text="" dxfId="1">
      <formula>Y36="✗ Off Target"</formula>
    </cfRule>
    <cfRule type="expression" priority="11" aboveAverage="0" equalAverage="0" bottom="0" percent="0" rank="0" text="" dxfId="2">
      <formula>Y36="— No Data"</formula>
    </cfRule>
  </conditionalFormatting>
  <conditionalFormatting sqref="H36:W48 H49:K49 H50:W105 N49:W49">
    <cfRule type="expression" priority="12" aboveAverage="0" equalAverage="0" bottom="0" percent="0" rank="0" text="" dxfId="0">
      <formula>AND(ISNUMBER(H36),ISNUMBER($G36),OR(AND($D36="P",H36&gt;=$G36),AND($D36="N",H36&lt;=$G36)))</formula>
    </cfRule>
    <cfRule type="expression" priority="13" aboveAverage="0" equalAverage="0" bottom="0" percent="0" rank="0" text="" dxfId="1">
      <formula>AND(ISNUMBER(H36),ISNUMBER($G36),OR(AND($D36="P",H36&lt;$G36),AND($D36="N",H36&gt;$G36)))</formula>
    </cfRule>
  </conditionalFormatting>
  <conditionalFormatting sqref="Y36:Y104">
    <cfRule type="expression" priority="14" aboveAverage="0" equalAverage="0" bottom="0" percent="0" rank="0" text="" dxfId="3">
      <formula>Y36="⊘ Non Target"</formula>
    </cfRule>
  </conditionalFormatting>
  <conditionalFormatting sqref="X36:X104">
    <cfRule type="expression" priority="15" aboveAverage="0" equalAverage="0" bottom="0" percent="0" rank="0" text="" dxfId="3">
      <formula>$Y36="⊘ Non Target"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71"/>
  <sheetViews>
    <sheetView showFormulas="false" showGridLines="fals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J36" activeCellId="0" sqref="J36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8"/>
    <col collapsed="false" customWidth="true" hidden="false" outlineLevel="0" max="3" min="3" style="1" width="13"/>
    <col collapsed="false" customWidth="true" hidden="true" outlineLevel="0" max="4" min="4" style="1" width="3"/>
    <col collapsed="false" customWidth="true" hidden="false" outlineLevel="0" max="5" min="5" style="1" width="9"/>
    <col collapsed="false" customWidth="true" hidden="false" outlineLevel="0" max="7" min="6" style="1" width="10"/>
    <col collapsed="false" customWidth="true" hidden="false" outlineLevel="0" max="10" min="8" style="1" width="7"/>
    <col collapsed="false" customWidth="true" hidden="false" outlineLevel="0" max="11" min="11" style="1" width="8"/>
    <col collapsed="false" customWidth="true" hidden="false" outlineLevel="0" max="14" min="12" style="1" width="7"/>
    <col collapsed="false" customWidth="true" hidden="false" outlineLevel="0" max="15" min="15" style="1" width="8"/>
    <col collapsed="false" customWidth="true" hidden="false" outlineLevel="0" max="18" min="16" style="1" width="7"/>
    <col collapsed="false" customWidth="true" hidden="false" outlineLevel="0" max="19" min="19" style="1" width="8"/>
    <col collapsed="false" customWidth="true" hidden="false" outlineLevel="0" max="22" min="20" style="1" width="7"/>
    <col collapsed="false" customWidth="true" hidden="false" outlineLevel="0" max="23" min="23" style="1" width="8"/>
    <col collapsed="false" customWidth="true" hidden="false" outlineLevel="0" max="24" min="24" style="1" width="10"/>
    <col collapsed="false" customWidth="true" hidden="false" outlineLevel="0" max="25" min="25" style="1" width="14"/>
    <col collapsed="false" customWidth="true" hidden="false" outlineLevel="0" max="26" min="26" style="1" width="16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30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30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30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2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21.75" hidden="false" customHeight="true" outlineLevel="0" collapsed="false">
      <c r="A7" s="3" t="s">
        <v>561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9" customFormat="false" ht="24" hidden="false" customHeight="true" outlineLevel="0" collapsed="false">
      <c r="B9" s="159" t="s">
        <v>486</v>
      </c>
      <c r="C9" s="159"/>
      <c r="D9" s="159"/>
      <c r="E9" s="159"/>
      <c r="F9" s="159"/>
      <c r="G9" s="159"/>
      <c r="H9" s="159"/>
      <c r="I9" s="159"/>
      <c r="K9" s="159" t="s">
        <v>487</v>
      </c>
      <c r="L9" s="159"/>
      <c r="M9" s="159"/>
      <c r="N9" s="159"/>
      <c r="O9" s="159"/>
      <c r="P9" s="159"/>
      <c r="Q9" s="159"/>
      <c r="R9" s="159"/>
    </row>
    <row r="10" customFormat="false" ht="6" hidden="false" customHeight="true" outlineLevel="0" collapsed="false">
      <c r="B10" s="4"/>
      <c r="C10" s="4"/>
      <c r="D10" s="5"/>
      <c r="E10" s="5"/>
      <c r="F10" s="6"/>
      <c r="G10" s="6"/>
      <c r="H10" s="7"/>
      <c r="I10" s="7"/>
      <c r="K10" s="4"/>
      <c r="L10" s="4"/>
      <c r="M10" s="5"/>
      <c r="N10" s="5"/>
      <c r="O10" s="6"/>
      <c r="P10" s="6"/>
      <c r="Q10" s="7"/>
      <c r="R10" s="7"/>
    </row>
    <row r="11" customFormat="false" ht="19.5" hidden="false" customHeight="true" outlineLevel="0" collapsed="false">
      <c r="B11" s="9" t="s">
        <v>488</v>
      </c>
      <c r="C11" s="9"/>
      <c r="D11" s="9" t="s">
        <v>489</v>
      </c>
      <c r="E11" s="9"/>
      <c r="F11" s="9" t="s">
        <v>490</v>
      </c>
      <c r="G11" s="9"/>
      <c r="H11" s="9" t="s">
        <v>248</v>
      </c>
      <c r="I11" s="9"/>
      <c r="K11" s="9" t="s">
        <v>488</v>
      </c>
      <c r="L11" s="9"/>
      <c r="M11" s="9" t="s">
        <v>489</v>
      </c>
      <c r="N11" s="9"/>
      <c r="O11" s="9" t="s">
        <v>490</v>
      </c>
      <c r="P11" s="9"/>
      <c r="Q11" s="9" t="s">
        <v>248</v>
      </c>
      <c r="R11" s="9"/>
    </row>
    <row r="12" customFormat="false" ht="24" hidden="false" customHeight="true" outlineLevel="0" collapsed="false">
      <c r="B12" s="160" t="n">
        <v>25</v>
      </c>
      <c r="C12" s="160"/>
      <c r="D12" s="161" t="n">
        <v>17</v>
      </c>
      <c r="E12" s="161"/>
      <c r="F12" s="162" t="n">
        <v>1</v>
      </c>
      <c r="G12" s="162"/>
      <c r="H12" s="163" t="n">
        <v>1</v>
      </c>
      <c r="I12" s="163"/>
      <c r="K12" s="160" t="n">
        <v>14</v>
      </c>
      <c r="L12" s="160"/>
      <c r="M12" s="161" t="n">
        <v>9</v>
      </c>
      <c r="N12" s="161"/>
      <c r="O12" s="162" t="n">
        <v>2</v>
      </c>
      <c r="P12" s="162"/>
      <c r="Q12" s="163" t="n">
        <v>0</v>
      </c>
      <c r="R12" s="163"/>
    </row>
    <row r="13" customFormat="false" ht="24" hidden="false" customHeight="true" outlineLevel="0" collapsed="false">
      <c r="B13" s="160"/>
      <c r="C13" s="160"/>
      <c r="D13" s="161"/>
      <c r="E13" s="161"/>
      <c r="F13" s="162"/>
      <c r="G13" s="162"/>
      <c r="H13" s="163"/>
      <c r="I13" s="163"/>
      <c r="K13" s="160"/>
      <c r="L13" s="160"/>
      <c r="M13" s="161"/>
      <c r="N13" s="161"/>
      <c r="O13" s="162"/>
      <c r="P13" s="162"/>
      <c r="Q13" s="163"/>
      <c r="R13" s="163"/>
    </row>
    <row r="14" customFormat="false" ht="3.75" hidden="false" customHeight="true" outlineLevel="0" collapsed="false">
      <c r="B14" s="18"/>
      <c r="C14" s="18"/>
      <c r="D14" s="18"/>
      <c r="E14" s="18"/>
      <c r="F14" s="18"/>
      <c r="G14" s="18"/>
      <c r="H14" s="18"/>
      <c r="I14" s="18"/>
      <c r="K14" s="18"/>
      <c r="L14" s="18"/>
      <c r="M14" s="18"/>
      <c r="N14" s="18"/>
      <c r="O14" s="18"/>
      <c r="P14" s="18"/>
      <c r="Q14" s="18"/>
      <c r="R14" s="18"/>
    </row>
    <row r="16" customFormat="false" ht="25.5" hidden="false" customHeight="true" outlineLevel="0" collapsed="false">
      <c r="B16" s="164" t="s">
        <v>562</v>
      </c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</row>
    <row r="17" customFormat="false" ht="6" hidden="false" customHeight="true" outlineLevel="0" collapsed="false">
      <c r="B17" s="165"/>
      <c r="C17" s="165"/>
      <c r="D17" s="165"/>
      <c r="E17" s="5"/>
      <c r="F17" s="5"/>
      <c r="G17" s="5"/>
      <c r="I17" s="6"/>
      <c r="J17" s="6"/>
      <c r="K17" s="6"/>
      <c r="M17" s="7"/>
      <c r="N17" s="7"/>
      <c r="O17" s="7"/>
      <c r="Q17" s="8"/>
      <c r="R17" s="8"/>
      <c r="S17" s="8"/>
    </row>
    <row r="18" customFormat="false" ht="21.75" hidden="false" customHeight="true" outlineLevel="0" collapsed="false">
      <c r="B18" s="9" t="s">
        <v>492</v>
      </c>
      <c r="C18" s="9"/>
      <c r="D18" s="9"/>
      <c r="E18" s="9" t="s">
        <v>489</v>
      </c>
      <c r="F18" s="9"/>
      <c r="G18" s="9"/>
      <c r="I18" s="9" t="s">
        <v>490</v>
      </c>
      <c r="J18" s="9"/>
      <c r="K18" s="9"/>
      <c r="M18" s="9" t="s">
        <v>248</v>
      </c>
      <c r="N18" s="9"/>
      <c r="O18" s="9"/>
      <c r="Q18" s="9" t="s">
        <v>563</v>
      </c>
      <c r="R18" s="9"/>
      <c r="S18" s="9"/>
    </row>
    <row r="19" customFormat="false" ht="27.75" hidden="false" customHeight="true" outlineLevel="0" collapsed="false">
      <c r="B19" s="167" t="n">
        <v>40</v>
      </c>
      <c r="C19" s="167"/>
      <c r="D19" s="167"/>
      <c r="E19" s="168" t="n">
        <v>26</v>
      </c>
      <c r="F19" s="168"/>
      <c r="G19" s="168"/>
      <c r="I19" s="169" t="n">
        <v>3</v>
      </c>
      <c r="J19" s="169"/>
      <c r="K19" s="169"/>
      <c r="M19" s="170" t="n">
        <v>2</v>
      </c>
      <c r="N19" s="170"/>
      <c r="O19" s="170"/>
      <c r="Q19" s="197" t="n">
        <v>12</v>
      </c>
      <c r="R19" s="197"/>
      <c r="S19" s="197"/>
    </row>
    <row r="20" customFormat="false" ht="27.75" hidden="false" customHeight="true" outlineLevel="0" collapsed="false">
      <c r="B20" s="167"/>
      <c r="C20" s="167"/>
      <c r="D20" s="167"/>
      <c r="E20" s="168"/>
      <c r="F20" s="168"/>
      <c r="G20" s="168"/>
      <c r="I20" s="169"/>
      <c r="J20" s="169"/>
      <c r="K20" s="169"/>
      <c r="M20" s="170"/>
      <c r="N20" s="170"/>
      <c r="O20" s="170"/>
      <c r="Q20" s="197"/>
      <c r="R20" s="197"/>
      <c r="S20" s="197"/>
    </row>
    <row r="21" customFormat="false" ht="21.75" hidden="false" customHeight="true" outlineLevel="0" collapsed="false">
      <c r="B21" s="15" t="s">
        <v>493</v>
      </c>
      <c r="C21" s="15"/>
      <c r="D21" s="15"/>
      <c r="E21" s="15" t="s">
        <v>535</v>
      </c>
      <c r="F21" s="15"/>
      <c r="G21" s="15"/>
      <c r="I21" s="15" t="s">
        <v>536</v>
      </c>
      <c r="J21" s="15"/>
      <c r="K21" s="15"/>
      <c r="M21" s="15" t="s">
        <v>564</v>
      </c>
      <c r="N21" s="15"/>
      <c r="O21" s="15"/>
      <c r="Q21" s="15" t="s">
        <v>538</v>
      </c>
      <c r="R21" s="15"/>
      <c r="S21" s="15"/>
    </row>
    <row r="22" customFormat="false" ht="3.75" hidden="false" customHeight="true" outlineLevel="0" collapsed="false">
      <c r="B22" s="18"/>
      <c r="C22" s="18"/>
      <c r="D22" s="18"/>
      <c r="E22" s="18"/>
      <c r="F22" s="18"/>
      <c r="G22" s="18"/>
      <c r="I22" s="18"/>
      <c r="J22" s="18"/>
      <c r="K22" s="18"/>
      <c r="M22" s="18"/>
      <c r="N22" s="18"/>
      <c r="O22" s="18"/>
      <c r="Q22" s="18"/>
      <c r="R22" s="18"/>
      <c r="S22" s="18"/>
    </row>
    <row r="23" customFormat="false" ht="24" hidden="false" customHeight="true" outlineLevel="0" collapsed="false">
      <c r="B23" s="47" t="s">
        <v>565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</row>
    <row r="24" customFormat="false" ht="24" hidden="false" customHeight="true" outlineLevel="0" collapsed="false">
      <c r="B24" s="48" t="s">
        <v>23</v>
      </c>
      <c r="C24" s="48" t="s">
        <v>29</v>
      </c>
      <c r="D24" s="48" t="s">
        <v>65</v>
      </c>
      <c r="E24" s="48" t="s">
        <v>66</v>
      </c>
      <c r="F24" s="48" t="s">
        <v>67</v>
      </c>
      <c r="G24" s="48" t="s">
        <v>30</v>
      </c>
    </row>
    <row r="25" customFormat="false" ht="21.75" hidden="false" customHeight="true" outlineLevel="0" collapsed="false">
      <c r="B25" s="55" t="s">
        <v>35</v>
      </c>
      <c r="C25" s="65" t="n">
        <v>13</v>
      </c>
      <c r="D25" s="57" t="n">
        <v>5</v>
      </c>
      <c r="E25" s="58" t="n">
        <v>1</v>
      </c>
      <c r="F25" s="59" t="n">
        <v>1</v>
      </c>
      <c r="G25" s="60" t="n">
        <v>0.833333333333333</v>
      </c>
    </row>
    <row r="26" customFormat="false" ht="21.75" hidden="false" customHeight="true" outlineLevel="0" collapsed="false">
      <c r="B26" s="49" t="s">
        <v>34</v>
      </c>
      <c r="C26" s="66" t="n">
        <v>9</v>
      </c>
      <c r="D26" s="51" t="n">
        <v>7</v>
      </c>
      <c r="E26" s="52" t="n">
        <v>2</v>
      </c>
      <c r="F26" s="53" t="n">
        <v>0</v>
      </c>
      <c r="G26" s="54" t="n">
        <v>0.777777777777778</v>
      </c>
    </row>
    <row r="27" customFormat="false" ht="21.75" hidden="false" customHeight="true" outlineLevel="0" collapsed="false">
      <c r="B27" s="55" t="s">
        <v>36</v>
      </c>
      <c r="C27" s="65" t="n">
        <v>13</v>
      </c>
      <c r="D27" s="57" t="n">
        <v>12</v>
      </c>
      <c r="E27" s="58" t="n">
        <v>0</v>
      </c>
      <c r="F27" s="59" t="n">
        <v>0</v>
      </c>
      <c r="G27" s="60" t="n">
        <v>1</v>
      </c>
    </row>
    <row r="28" customFormat="false" ht="21.75" hidden="false" customHeight="true" outlineLevel="0" collapsed="false">
      <c r="B28" s="49" t="s">
        <v>39</v>
      </c>
      <c r="C28" s="66" t="n">
        <v>1</v>
      </c>
      <c r="D28" s="51" t="n">
        <v>0</v>
      </c>
      <c r="E28" s="52" t="n">
        <v>0</v>
      </c>
      <c r="F28" s="53" t="n">
        <v>0</v>
      </c>
      <c r="G28" s="54" t="s">
        <v>32</v>
      </c>
    </row>
    <row r="29" customFormat="false" ht="21.75" hidden="false" customHeight="true" outlineLevel="0" collapsed="false">
      <c r="B29" s="55" t="s">
        <v>37</v>
      </c>
      <c r="C29" s="65" t="n">
        <v>4</v>
      </c>
      <c r="D29" s="57" t="n">
        <v>2</v>
      </c>
      <c r="E29" s="58" t="n">
        <v>0</v>
      </c>
      <c r="F29" s="59" t="n">
        <v>1</v>
      </c>
      <c r="G29" s="60" t="n">
        <v>1</v>
      </c>
    </row>
    <row r="30" customFormat="false" ht="25.5" hidden="false" customHeight="true" outlineLevel="0" collapsed="false">
      <c r="B30" s="61" t="s">
        <v>46</v>
      </c>
      <c r="C30" s="63" t="n">
        <v>0</v>
      </c>
      <c r="D30" s="63" t="n">
        <v>0</v>
      </c>
      <c r="E30" s="63" t="n">
        <v>0</v>
      </c>
      <c r="F30" s="63" t="n">
        <v>0</v>
      </c>
      <c r="G30" s="64" t="s">
        <v>32</v>
      </c>
    </row>
    <row r="31" customFormat="false" ht="15.75" hidden="false" customHeight="true" outlineLevel="0" collapsed="false"/>
    <row r="32" customFormat="false" ht="15.75" hidden="false" customHeight="true" outlineLevel="0" collapsed="false"/>
    <row r="35" customFormat="false" ht="25.5" hidden="false" customHeight="true" outlineLevel="0" collapsed="false">
      <c r="A35" s="67" t="s">
        <v>69</v>
      </c>
      <c r="B35" s="67" t="s">
        <v>70</v>
      </c>
      <c r="C35" s="67" t="s">
        <v>71</v>
      </c>
      <c r="D35" s="67" t="s">
        <v>72</v>
      </c>
      <c r="E35" s="67" t="s">
        <v>499</v>
      </c>
      <c r="F35" s="67" t="s">
        <v>500</v>
      </c>
      <c r="G35" s="67" t="s">
        <v>74</v>
      </c>
      <c r="H35" s="67" t="s">
        <v>75</v>
      </c>
      <c r="I35" s="67" t="s">
        <v>76</v>
      </c>
      <c r="J35" s="67" t="s">
        <v>77</v>
      </c>
      <c r="K35" s="173" t="s">
        <v>78</v>
      </c>
      <c r="L35" s="67" t="s">
        <v>79</v>
      </c>
      <c r="M35" s="67" t="s">
        <v>80</v>
      </c>
      <c r="N35" s="67" t="s">
        <v>81</v>
      </c>
      <c r="O35" s="173" t="s">
        <v>82</v>
      </c>
      <c r="P35" s="67" t="s">
        <v>83</v>
      </c>
      <c r="Q35" s="67" t="s">
        <v>84</v>
      </c>
      <c r="R35" s="67" t="s">
        <v>85</v>
      </c>
      <c r="S35" s="173" t="s">
        <v>86</v>
      </c>
      <c r="T35" s="67" t="s">
        <v>87</v>
      </c>
      <c r="U35" s="67" t="s">
        <v>88</v>
      </c>
      <c r="V35" s="67" t="s">
        <v>89</v>
      </c>
      <c r="W35" s="173" t="s">
        <v>90</v>
      </c>
      <c r="X35" s="67" t="s">
        <v>91</v>
      </c>
      <c r="Y35" s="67" t="s">
        <v>92</v>
      </c>
      <c r="Z35" s="68" t="s">
        <v>93</v>
      </c>
    </row>
    <row r="36" customFormat="false" ht="25.5" hidden="false" customHeight="true" outlineLevel="0" collapsed="false">
      <c r="A36" s="69" t="s">
        <v>106</v>
      </c>
      <c r="B36" s="70" t="s">
        <v>107</v>
      </c>
      <c r="C36" s="71" t="s">
        <v>35</v>
      </c>
      <c r="D36" s="71" t="s">
        <v>97</v>
      </c>
      <c r="E36" s="69" t="s">
        <v>501</v>
      </c>
      <c r="F36" s="94" t="n">
        <v>5</v>
      </c>
      <c r="G36" s="97" t="n">
        <v>4.25</v>
      </c>
      <c r="H36" s="177" t="n">
        <v>0.921875</v>
      </c>
      <c r="I36" s="177" t="n">
        <v>0.921875</v>
      </c>
      <c r="J36" s="177" t="n">
        <v>0.921875</v>
      </c>
      <c r="K36" s="178" t="n">
        <f aca="false">IF(COUNT(H36:J36)=0,"",AVERAGE(H36:J36))</f>
        <v>0.921875</v>
      </c>
      <c r="L36" s="179" t="n">
        <v>0.988235294117647</v>
      </c>
      <c r="M36" s="179" t="n">
        <v>4</v>
      </c>
      <c r="N36" s="179" t="n">
        <v>4</v>
      </c>
      <c r="O36" s="178" t="n">
        <f aca="false">IF(COUNT(L36:N36)=0,"",AVERAGE(L36:N36))</f>
        <v>2.99607843137255</v>
      </c>
      <c r="P36" s="179" t="n">
        <v>4</v>
      </c>
      <c r="Q36" s="179"/>
      <c r="R36" s="179"/>
      <c r="S36" s="178" t="n">
        <f aca="false">IF(COUNT(P36:R36)=0,"",AVERAGE(P36:R36))</f>
        <v>4</v>
      </c>
      <c r="T36" s="179"/>
      <c r="U36" s="179"/>
      <c r="V36" s="179"/>
      <c r="W36" s="178" t="str">
        <f aca="false">IF(COUNT(T36:V36)=0,"",AVERAGE(T36:V36))</f>
        <v/>
      </c>
      <c r="X36" s="198" t="n">
        <v>0.955055147058824</v>
      </c>
      <c r="Y36" s="114" t="s">
        <v>104</v>
      </c>
      <c r="Z36" s="78" t="s">
        <v>105</v>
      </c>
    </row>
    <row r="37" customFormat="false" ht="25.5" hidden="false" customHeight="true" outlineLevel="0" collapsed="false">
      <c r="A37" s="69" t="s">
        <v>118</v>
      </c>
      <c r="B37" s="70" t="s">
        <v>119</v>
      </c>
      <c r="C37" s="71" t="s">
        <v>35</v>
      </c>
      <c r="D37" s="71" t="s">
        <v>97</v>
      </c>
      <c r="E37" s="69" t="s">
        <v>501</v>
      </c>
      <c r="F37" s="87" t="s">
        <v>32</v>
      </c>
      <c r="G37" s="91" t="s">
        <v>32</v>
      </c>
      <c r="H37" s="89" t="n">
        <v>0.0461254612546125</v>
      </c>
      <c r="I37" s="89" t="n">
        <v>0.030946977511863</v>
      </c>
      <c r="J37" s="89" t="n">
        <v>0.0414904862579281</v>
      </c>
      <c r="K37" s="174" t="n">
        <f aca="false">IF(COUNT(H37:J37)=0,"",AVERAGE(H37:J37))</f>
        <v>0.0395209750081345</v>
      </c>
      <c r="L37" s="90" t="n">
        <v>0.0358384013900956</v>
      </c>
      <c r="M37" s="90" t="n">
        <v>0.0414134593742967</v>
      </c>
      <c r="N37" s="90" t="n">
        <v>0.0330857528696827</v>
      </c>
      <c r="O37" s="174" t="n">
        <f aca="false">IF(COUNT(L37:N37)=0,"",AVERAGE(L37:N37))</f>
        <v>0.0367792045446917</v>
      </c>
      <c r="P37" s="90" t="n">
        <v>0.0526816883529038</v>
      </c>
      <c r="Q37" s="90"/>
      <c r="R37" s="90"/>
      <c r="S37" s="174" t="n">
        <f aca="false">IF(COUNT(P37:R37)=0,"",AVERAGE(P37:R37))</f>
        <v>0.0526816883529038</v>
      </c>
      <c r="T37" s="90"/>
      <c r="U37" s="90"/>
      <c r="V37" s="90"/>
      <c r="W37" s="174" t="str">
        <f aca="false">IF(COUNT(T37:V37)=0,"",AVERAGE(T37:V37))</f>
        <v/>
      </c>
      <c r="X37" s="92" t="n">
        <v>0.0376796881991151</v>
      </c>
      <c r="Y37" s="114" t="s">
        <v>120</v>
      </c>
      <c r="Z37" s="78" t="s">
        <v>100</v>
      </c>
    </row>
    <row r="38" customFormat="false" ht="25.5" hidden="false" customHeight="true" outlineLevel="0" collapsed="false">
      <c r="A38" s="69" t="s">
        <v>121</v>
      </c>
      <c r="B38" s="70" t="s">
        <v>122</v>
      </c>
      <c r="C38" s="71" t="s">
        <v>35</v>
      </c>
      <c r="D38" s="71" t="s">
        <v>97</v>
      </c>
      <c r="E38" s="69" t="s">
        <v>501</v>
      </c>
      <c r="F38" s="96" t="n">
        <v>23.2</v>
      </c>
      <c r="G38" s="97" t="n">
        <v>19.72</v>
      </c>
      <c r="H38" s="120" t="n">
        <v>12.9558823529412</v>
      </c>
      <c r="I38" s="120" t="n">
        <v>12.1764705882353</v>
      </c>
      <c r="J38" s="120" t="n">
        <v>11.7916666666667</v>
      </c>
      <c r="K38" s="180" t="n">
        <f aca="false">IF(COUNT(H38:J38)=0,"",AVERAGE(H38:J38))</f>
        <v>12.3080065359477</v>
      </c>
      <c r="L38" s="98" t="n">
        <v>15.9272727272727</v>
      </c>
      <c r="M38" s="98" t="n">
        <v>14.1576086956522</v>
      </c>
      <c r="N38" s="98" t="n">
        <v>15.4733333333333</v>
      </c>
      <c r="O38" s="180" t="n">
        <f aca="false">IF(COUNT(L38:N38)=0,"",AVERAGE(L38:N38))</f>
        <v>15.1860715854194</v>
      </c>
      <c r="P38" s="98" t="n">
        <v>14.3012048192771</v>
      </c>
      <c r="Q38" s="98"/>
      <c r="R38" s="98"/>
      <c r="S38" s="180" t="n">
        <f aca="false">IF(COUNT(P38:R38)=0,"",AVERAGE(P38:R38))</f>
        <v>14.3012048192771</v>
      </c>
      <c r="T38" s="98"/>
      <c r="U38" s="98"/>
      <c r="V38" s="98"/>
      <c r="W38" s="180" t="str">
        <f aca="false">IF(COUNT(T38:V38)=0,"",AVERAGE(T38:V38))</f>
        <v/>
      </c>
      <c r="X38" s="100" t="n">
        <v>14.1176396316102</v>
      </c>
      <c r="Y38" s="114" t="s">
        <v>104</v>
      </c>
      <c r="Z38" s="78" t="s">
        <v>100</v>
      </c>
    </row>
    <row r="39" customFormat="false" ht="25.5" hidden="false" customHeight="true" outlineLevel="0" collapsed="false">
      <c r="A39" s="69" t="s">
        <v>127</v>
      </c>
      <c r="B39" s="70" t="s">
        <v>128</v>
      </c>
      <c r="C39" s="71" t="s">
        <v>35</v>
      </c>
      <c r="D39" s="71" t="s">
        <v>110</v>
      </c>
      <c r="E39" s="69" t="s">
        <v>501</v>
      </c>
      <c r="F39" s="102" t="s">
        <v>32</v>
      </c>
      <c r="G39" s="75" t="s">
        <v>32</v>
      </c>
      <c r="H39" s="81" t="n">
        <v>0.00647388864911524</v>
      </c>
      <c r="I39" s="81" t="n">
        <v>0.00344906875143711</v>
      </c>
      <c r="J39" s="81" t="n">
        <v>0.00458855919241358</v>
      </c>
      <c r="K39" s="176" t="n">
        <f aca="false">IF(COUNT(H39:J39)=0,"",AVERAGE(H39:J39))</f>
        <v>0.00483717219765531</v>
      </c>
      <c r="L39" s="103" t="n">
        <v>0.00374344896431245</v>
      </c>
      <c r="M39" s="103" t="n">
        <v>0.00388198757763975</v>
      </c>
      <c r="N39" s="103" t="n">
        <v>0.00388198757763975</v>
      </c>
      <c r="O39" s="176" t="n">
        <f aca="false">IF(COUNT(L39:N39)=0,"",AVERAGE(L39:N39))</f>
        <v>0.00383580803986398</v>
      </c>
      <c r="P39" s="103" t="n">
        <v>0.00614502253174928</v>
      </c>
      <c r="Q39" s="103"/>
      <c r="R39" s="103"/>
      <c r="S39" s="176" t="n">
        <f aca="false">IF(COUNT(P39:R39)=0,"",AVERAGE(P39:R39))</f>
        <v>0.00614502253174928</v>
      </c>
      <c r="T39" s="103"/>
      <c r="U39" s="103"/>
      <c r="V39" s="103"/>
      <c r="W39" s="176" t="str">
        <f aca="false">IF(COUNT(T39:V39)=0,"",AVERAGE(T39:V39))</f>
        <v/>
      </c>
      <c r="X39" s="104" t="n">
        <v>0.00429031058098388</v>
      </c>
      <c r="Y39" s="114" t="s">
        <v>120</v>
      </c>
      <c r="Z39" s="78" t="s">
        <v>100</v>
      </c>
    </row>
    <row r="40" customFormat="false" ht="25.5" hidden="false" customHeight="true" outlineLevel="0" collapsed="false">
      <c r="A40" s="69" t="s">
        <v>129</v>
      </c>
      <c r="B40" s="70" t="s">
        <v>130</v>
      </c>
      <c r="C40" s="71" t="s">
        <v>35</v>
      </c>
      <c r="D40" s="71" t="s">
        <v>110</v>
      </c>
      <c r="E40" s="69" t="s">
        <v>501</v>
      </c>
      <c r="F40" s="102" t="s">
        <v>32</v>
      </c>
      <c r="G40" s="75" t="s">
        <v>32</v>
      </c>
      <c r="H40" s="81" t="n">
        <v>0.0347938144329897</v>
      </c>
      <c r="I40" s="81" t="n">
        <v>0.0054032419451671</v>
      </c>
      <c r="J40" s="81" t="n">
        <v>0.00685105303222532</v>
      </c>
      <c r="K40" s="176" t="n">
        <f aca="false">IF(COUNT(H40:J40)=0,"",AVERAGE(H40:J40))</f>
        <v>0.015682703136794</v>
      </c>
      <c r="L40" s="103" t="n">
        <v>0.00566156426923883</v>
      </c>
      <c r="M40" s="103" t="n">
        <v>0.00583531445861249</v>
      </c>
      <c r="N40" s="103" t="n">
        <v>0.00583531445861249</v>
      </c>
      <c r="O40" s="176" t="n">
        <f aca="false">IF(COUNT(L40:N40)=0,"",AVERAGE(L40:N40))</f>
        <v>0.00577739772882127</v>
      </c>
      <c r="P40" s="103" t="n">
        <v>0.0072354537232439</v>
      </c>
      <c r="Q40" s="103"/>
      <c r="R40" s="103"/>
      <c r="S40" s="176" t="n">
        <f aca="false">IF(COUNT(P40:R40)=0,"",AVERAGE(P40:R40))</f>
        <v>0.0072354537232439</v>
      </c>
      <c r="T40" s="103"/>
      <c r="U40" s="103"/>
      <c r="V40" s="103"/>
      <c r="W40" s="176" t="str">
        <f aca="false">IF(COUNT(T40:V40)=0,"",AVERAGE(T40:V40))</f>
        <v/>
      </c>
      <c r="X40" s="104" t="n">
        <v>0.0106721337030164</v>
      </c>
      <c r="Y40" s="114" t="s">
        <v>120</v>
      </c>
      <c r="Z40" s="78" t="s">
        <v>100</v>
      </c>
    </row>
    <row r="41" customFormat="false" ht="25.5" hidden="false" customHeight="true" outlineLevel="0" collapsed="false">
      <c r="A41" s="69" t="s">
        <v>132</v>
      </c>
      <c r="B41" s="70" t="s">
        <v>133</v>
      </c>
      <c r="C41" s="71" t="s">
        <v>35</v>
      </c>
      <c r="D41" s="71" t="s">
        <v>97</v>
      </c>
      <c r="E41" s="69" t="s">
        <v>501</v>
      </c>
      <c r="F41" s="102" t="s">
        <v>32</v>
      </c>
      <c r="G41" s="75" t="s">
        <v>32</v>
      </c>
      <c r="H41" s="103"/>
      <c r="I41" s="103"/>
      <c r="J41" s="81" t="n">
        <v>0.000305903946160906</v>
      </c>
      <c r="K41" s="176" t="n">
        <f aca="false">IF(COUNT(H41:J41)=0,"",AVERAGE(H41:J41))</f>
        <v>0.000305903946160906</v>
      </c>
      <c r="L41" s="103"/>
      <c r="M41" s="103"/>
      <c r="N41" s="103"/>
      <c r="O41" s="176" t="str">
        <f aca="false">IF(COUNT(L41:N41)=0,"",AVERAGE(L41:N41))</f>
        <v/>
      </c>
      <c r="P41" s="103"/>
      <c r="Q41" s="103"/>
      <c r="R41" s="103"/>
      <c r="S41" s="176" t="str">
        <f aca="false">IF(COUNT(P41:R41)=0,"",AVERAGE(P41:R41))</f>
        <v/>
      </c>
      <c r="T41" s="103"/>
      <c r="U41" s="103"/>
      <c r="V41" s="103"/>
      <c r="W41" s="176" t="str">
        <f aca="false">IF(COUNT(T41:V41)=0,"",AVERAGE(T41:V41))</f>
        <v/>
      </c>
      <c r="X41" s="104" t="n">
        <v>0.000305903946160906</v>
      </c>
      <c r="Y41" s="114" t="s">
        <v>120</v>
      </c>
      <c r="Z41" s="78" t="s">
        <v>100</v>
      </c>
    </row>
    <row r="42" customFormat="false" ht="25.5" hidden="false" customHeight="true" outlineLevel="0" collapsed="false">
      <c r="A42" s="69" t="s">
        <v>139</v>
      </c>
      <c r="B42" s="70" t="s">
        <v>140</v>
      </c>
      <c r="C42" s="71" t="s">
        <v>35</v>
      </c>
      <c r="D42" s="71" t="s">
        <v>97</v>
      </c>
      <c r="E42" s="69" t="s">
        <v>501</v>
      </c>
      <c r="F42" s="87" t="n">
        <v>0.646</v>
      </c>
      <c r="G42" s="88" t="s">
        <v>141</v>
      </c>
      <c r="H42" s="89" t="n">
        <v>0.529519172245892</v>
      </c>
      <c r="I42" s="89" t="n">
        <v>0.549865229110512</v>
      </c>
      <c r="J42" s="89" t="n">
        <v>0.497463988638669</v>
      </c>
      <c r="K42" s="174" t="n">
        <f aca="false">IF(COUNT(H42:J42)=0,"",AVERAGE(H42:J42))</f>
        <v>0.525616129998358</v>
      </c>
      <c r="L42" s="90" t="n">
        <v>0.550943396226415</v>
      </c>
      <c r="M42" s="90" t="n">
        <v>0.528504767701359</v>
      </c>
      <c r="N42" s="90" t="n">
        <v>0.486582809224319</v>
      </c>
      <c r="O42" s="174" t="n">
        <f aca="false">IF(COUNT(L42:N42)=0,"",AVERAGE(L42:N42))</f>
        <v>0.522010324384031</v>
      </c>
      <c r="P42" s="90" t="n">
        <v>0.481639277743964</v>
      </c>
      <c r="Q42" s="90"/>
      <c r="R42" s="90"/>
      <c r="S42" s="174" t="n">
        <f aca="false">IF(COUNT(P42:R42)=0,"",AVERAGE(P42:R42))</f>
        <v>0.481639277743964</v>
      </c>
      <c r="T42" s="90"/>
      <c r="U42" s="90"/>
      <c r="V42" s="90"/>
      <c r="W42" s="174" t="str">
        <f aca="false">IF(COUNT(T42:V42)=0,"",AVERAGE(T42:V42))</f>
        <v/>
      </c>
      <c r="X42" s="92" t="n">
        <v>0.538279763112386</v>
      </c>
      <c r="Y42" s="114" t="s">
        <v>104</v>
      </c>
      <c r="Z42" s="78" t="s">
        <v>100</v>
      </c>
    </row>
    <row r="43" customFormat="false" ht="25.5" hidden="false" customHeight="true" outlineLevel="0" collapsed="false">
      <c r="A43" s="69" t="s">
        <v>144</v>
      </c>
      <c r="B43" s="70" t="s">
        <v>145</v>
      </c>
      <c r="C43" s="71" t="s">
        <v>35</v>
      </c>
      <c r="D43" s="71" t="s">
        <v>97</v>
      </c>
      <c r="E43" s="69" t="s">
        <v>501</v>
      </c>
      <c r="F43" s="87" t="n">
        <v>0.087</v>
      </c>
      <c r="G43" s="88" t="n">
        <v>0.0738</v>
      </c>
      <c r="H43" s="89" t="n">
        <v>0.0307692307692308</v>
      </c>
      <c r="I43" s="89" t="n">
        <v>0.0714285714285714</v>
      </c>
      <c r="J43" s="89" t="n">
        <v>0.0882352941176471</v>
      </c>
      <c r="K43" s="174" t="n">
        <f aca="false">IF(COUNT(H43:J43)=0,"",AVERAGE(H43:J43))</f>
        <v>0.0634776987718164</v>
      </c>
      <c r="L43" s="90" t="n">
        <v>0.0740740740740741</v>
      </c>
      <c r="M43" s="90" t="n">
        <v>0.043956043956044</v>
      </c>
      <c r="N43" s="90" t="n">
        <v>0.0379746835443038</v>
      </c>
      <c r="O43" s="174" t="n">
        <f aca="false">IF(COUNT(L43:N43)=0,"",AVERAGE(L43:N43))</f>
        <v>0.0520016005248073</v>
      </c>
      <c r="P43" s="90" t="n">
        <v>0.0925925925925926</v>
      </c>
      <c r="Q43" s="90"/>
      <c r="R43" s="90"/>
      <c r="S43" s="174" t="n">
        <f aca="false">IF(COUNT(P43:R43)=0,"",AVERAGE(P43:R43))</f>
        <v>0.0925925925925926</v>
      </c>
      <c r="T43" s="90"/>
      <c r="U43" s="90"/>
      <c r="V43" s="90"/>
      <c r="W43" s="174" t="str">
        <f aca="false">IF(COUNT(T43:V43)=0,"",AVERAGE(T43:V43))</f>
        <v/>
      </c>
      <c r="X43" s="92" t="n">
        <v>0.0687758864229453</v>
      </c>
      <c r="Y43" s="114" t="s">
        <v>104</v>
      </c>
      <c r="Z43" s="78" t="s">
        <v>100</v>
      </c>
    </row>
    <row r="44" customFormat="false" ht="25.5" hidden="false" customHeight="true" outlineLevel="0" collapsed="false">
      <c r="A44" s="69" t="s">
        <v>154</v>
      </c>
      <c r="B44" s="70" t="s">
        <v>155</v>
      </c>
      <c r="C44" s="71" t="s">
        <v>34</v>
      </c>
      <c r="D44" s="71" t="s">
        <v>97</v>
      </c>
      <c r="E44" s="69" t="s">
        <v>501</v>
      </c>
      <c r="F44" s="102" t="n">
        <v>0.18</v>
      </c>
      <c r="G44" s="82" t="n">
        <v>0</v>
      </c>
      <c r="H44" s="103" t="n">
        <v>0</v>
      </c>
      <c r="I44" s="103" t="n">
        <v>0</v>
      </c>
      <c r="J44" s="81" t="n">
        <v>0</v>
      </c>
      <c r="K44" s="176" t="n">
        <f aca="false">IF(COUNT(H44:J44)=0,"",SUM(H44:J44))</f>
        <v>0</v>
      </c>
      <c r="L44" s="74" t="n">
        <v>0</v>
      </c>
      <c r="M44" s="103" t="n">
        <v>0</v>
      </c>
      <c r="N44" s="103" t="n">
        <v>0</v>
      </c>
      <c r="O44" s="176" t="n">
        <f aca="false">IF(COUNT(L44:N44)=0,"",SUM(L44:N44))</f>
        <v>0</v>
      </c>
      <c r="P44" s="103" t="n">
        <v>0</v>
      </c>
      <c r="Q44" s="103"/>
      <c r="R44" s="103"/>
      <c r="S44" s="176" t="n">
        <v>0</v>
      </c>
      <c r="T44" s="103"/>
      <c r="U44" s="103"/>
      <c r="V44" s="103"/>
      <c r="W44" s="176" t="n">
        <v>0</v>
      </c>
      <c r="X44" s="104" t="n">
        <v>0</v>
      </c>
      <c r="Y44" s="114" t="s">
        <v>104</v>
      </c>
      <c r="Z44" s="78" t="s">
        <v>100</v>
      </c>
    </row>
    <row r="45" customFormat="false" ht="25.5" hidden="false" customHeight="true" outlineLevel="0" collapsed="false">
      <c r="A45" s="69" t="s">
        <v>156</v>
      </c>
      <c r="B45" s="70" t="s">
        <v>157</v>
      </c>
      <c r="C45" s="71" t="s">
        <v>34</v>
      </c>
      <c r="D45" s="71" t="s">
        <v>110</v>
      </c>
      <c r="E45" s="69" t="s">
        <v>501</v>
      </c>
      <c r="F45" s="87" t="n">
        <v>0.974</v>
      </c>
      <c r="G45" s="88" t="n">
        <v>0.98</v>
      </c>
      <c r="H45" s="89" t="n">
        <v>1</v>
      </c>
      <c r="I45" s="89" t="n">
        <v>0.993250843644544</v>
      </c>
      <c r="J45" s="89" t="n">
        <v>0.990990990990991</v>
      </c>
      <c r="K45" s="174" t="n">
        <f aca="false">IF(COUNT(H45:J45)=0,"",AVERAGE(H45:J45))</f>
        <v>0.994747278211845</v>
      </c>
      <c r="L45" s="90" t="n">
        <v>0.994400895856663</v>
      </c>
      <c r="M45" s="90" t="n">
        <v>0.995918367346939</v>
      </c>
      <c r="N45" s="90" t="n">
        <v>0.999494183105716</v>
      </c>
      <c r="O45" s="174" t="n">
        <f aca="false">IF(COUNT(L45:N45)=0,"",AVERAGE(L45:N45))</f>
        <v>0.996604482103106</v>
      </c>
      <c r="P45" s="90" t="n">
        <v>0.995346869712352</v>
      </c>
      <c r="Q45" s="90"/>
      <c r="R45" s="90"/>
      <c r="S45" s="174" t="n">
        <f aca="false">IF(COUNT(P45:R45)=0,"",AVERAGE(P45:R45))</f>
        <v>0.995346869712352</v>
      </c>
      <c r="T45" s="90"/>
      <c r="U45" s="90"/>
      <c r="V45" s="90"/>
      <c r="W45" s="174" t="str">
        <f aca="false">IF(COUNT(T45:V45)=0,"",AVERAGE(T45:V45))</f>
        <v/>
      </c>
      <c r="X45" s="92" t="n">
        <v>0.994574087034254</v>
      </c>
      <c r="Y45" s="114" t="s">
        <v>104</v>
      </c>
      <c r="Z45" s="78" t="s">
        <v>100</v>
      </c>
    </row>
    <row r="46" customFormat="false" ht="25.5" hidden="false" customHeight="true" outlineLevel="0" collapsed="false">
      <c r="A46" s="69" t="s">
        <v>160</v>
      </c>
      <c r="B46" s="70" t="s">
        <v>161</v>
      </c>
      <c r="C46" s="71" t="s">
        <v>34</v>
      </c>
      <c r="D46" s="71" t="s">
        <v>110</v>
      </c>
      <c r="E46" s="69" t="s">
        <v>501</v>
      </c>
      <c r="F46" s="87" t="n">
        <v>1</v>
      </c>
      <c r="G46" s="88" t="n">
        <v>1</v>
      </c>
      <c r="H46" s="89" t="n">
        <v>1</v>
      </c>
      <c r="I46" s="89" t="n">
        <v>1</v>
      </c>
      <c r="J46" s="89" t="n">
        <v>1</v>
      </c>
      <c r="K46" s="174" t="n">
        <f aca="false">IF(COUNT(H46:J46)=0,"",AVERAGE(H46:J46))</f>
        <v>1</v>
      </c>
      <c r="L46" s="90" t="n">
        <v>1</v>
      </c>
      <c r="M46" s="90" t="n">
        <v>1</v>
      </c>
      <c r="N46" s="90" t="n">
        <v>1</v>
      </c>
      <c r="O46" s="174" t="n">
        <f aca="false">IF(COUNT(L46:N46)=0,"",AVERAGE(L46:N46))</f>
        <v>1</v>
      </c>
      <c r="P46" s="90" t="n">
        <v>1</v>
      </c>
      <c r="Q46" s="90"/>
      <c r="R46" s="90"/>
      <c r="S46" s="174" t="n">
        <f aca="false">IF(COUNT(P46:R46)=0,"",AVERAGE(P46:R46))</f>
        <v>1</v>
      </c>
      <c r="T46" s="90"/>
      <c r="U46" s="90"/>
      <c r="V46" s="90"/>
      <c r="W46" s="174" t="str">
        <f aca="false">IF(COUNT(T46:V46)=0,"",AVERAGE(T46:V46))</f>
        <v/>
      </c>
      <c r="X46" s="92" t="n">
        <v>1</v>
      </c>
      <c r="Y46" s="114" t="s">
        <v>104</v>
      </c>
      <c r="Z46" s="78" t="s">
        <v>100</v>
      </c>
    </row>
    <row r="47" customFormat="false" ht="25.5" hidden="false" customHeight="true" outlineLevel="0" collapsed="false">
      <c r="A47" s="69" t="s">
        <v>162</v>
      </c>
      <c r="B47" s="70" t="s">
        <v>163</v>
      </c>
      <c r="C47" s="71" t="s">
        <v>34</v>
      </c>
      <c r="D47" s="71" t="s">
        <v>97</v>
      </c>
      <c r="E47" s="69" t="s">
        <v>501</v>
      </c>
      <c r="F47" s="87" t="n">
        <v>0.01</v>
      </c>
      <c r="G47" s="88" t="n">
        <v>0.012</v>
      </c>
      <c r="H47" s="89" t="n">
        <v>0.0272373540856031</v>
      </c>
      <c r="I47" s="89" t="n">
        <v>0.010482180293501</v>
      </c>
      <c r="J47" s="89" t="n">
        <v>0.0368932038834951</v>
      </c>
      <c r="K47" s="174" t="n">
        <f aca="false">IF(COUNT(H47:J47)=0,"",AVERAGE(H47:J47))</f>
        <v>0.0248709127541997</v>
      </c>
      <c r="L47" s="90" t="n">
        <v>0.0469011725293132</v>
      </c>
      <c r="M47" s="90" t="n">
        <v>0.0431778929188256</v>
      </c>
      <c r="N47" s="90" t="n">
        <v>0.0369685767097967</v>
      </c>
      <c r="O47" s="174" t="n">
        <f aca="false">IF(COUNT(L47:N47)=0,"",AVERAGE(L47:N47))</f>
        <v>0.0423492140526452</v>
      </c>
      <c r="P47" s="90" t="n">
        <v>0.0272572402044293</v>
      </c>
      <c r="Q47" s="90"/>
      <c r="R47" s="90"/>
      <c r="S47" s="174" t="n">
        <f aca="false">IF(COUNT(P47:R47)=0,"",AVERAGE(P47:R47))</f>
        <v>0.0272572402044293</v>
      </c>
      <c r="T47" s="90"/>
      <c r="U47" s="90"/>
      <c r="V47" s="90"/>
      <c r="W47" s="174" t="str">
        <f aca="false">IF(COUNT(T47:V47)=0,"",AVERAGE(T47:V47))</f>
        <v/>
      </c>
      <c r="X47" s="92" t="n">
        <v>0.0358860426417565</v>
      </c>
      <c r="Y47" s="114" t="s">
        <v>113</v>
      </c>
      <c r="Z47" s="78" t="s">
        <v>100</v>
      </c>
    </row>
    <row r="48" customFormat="false" ht="25.5" hidden="false" customHeight="true" outlineLevel="0" collapsed="false">
      <c r="A48" s="69" t="s">
        <v>164</v>
      </c>
      <c r="B48" s="70" t="s">
        <v>165</v>
      </c>
      <c r="C48" s="71" t="s">
        <v>166</v>
      </c>
      <c r="D48" s="71" t="s">
        <v>110</v>
      </c>
      <c r="E48" s="69" t="s">
        <v>501</v>
      </c>
      <c r="F48" s="87" t="n">
        <v>0.788</v>
      </c>
      <c r="G48" s="88" t="n">
        <v>0.9</v>
      </c>
      <c r="H48" s="89" t="n">
        <v>0.9</v>
      </c>
      <c r="I48" s="90" t="n">
        <v>0.9643</v>
      </c>
      <c r="J48" s="90" t="n">
        <v>1</v>
      </c>
      <c r="K48" s="174" t="n">
        <f aca="false">IF(COUNT(H48:J48)=0,"",AVERAGE(H48:J48))</f>
        <v>0.954766666666667</v>
      </c>
      <c r="L48" s="90" t="n">
        <v>0.9024</v>
      </c>
      <c r="M48" s="90" t="n">
        <v>0.9121</v>
      </c>
      <c r="N48" s="90" t="n">
        <v>0.8281</v>
      </c>
      <c r="O48" s="174" t="n">
        <f aca="false">IF(COUNT(L48:N48)=0,"",AVERAGE(L48:N48))</f>
        <v>0.880866666666667</v>
      </c>
      <c r="P48" s="90" t="n">
        <v>0.926</v>
      </c>
      <c r="Q48" s="90"/>
      <c r="R48" s="90"/>
      <c r="S48" s="174" t="n">
        <f aca="false">IF(COUNT(P48:R48)=0,"",AVERAGE(P48:R48))</f>
        <v>0.926</v>
      </c>
      <c r="T48" s="90"/>
      <c r="U48" s="90"/>
      <c r="V48" s="90"/>
      <c r="W48" s="174" t="str">
        <f aca="false">IF(COUNT(T48:V48)=0,"",AVERAGE(T48:V48))</f>
        <v/>
      </c>
      <c r="X48" s="92" t="n">
        <v>0.9</v>
      </c>
      <c r="Y48" s="114" t="s">
        <v>104</v>
      </c>
      <c r="Z48" s="78" t="s">
        <v>105</v>
      </c>
    </row>
    <row r="49" customFormat="false" ht="25.5" hidden="false" customHeight="true" outlineLevel="0" collapsed="false">
      <c r="A49" s="69" t="s">
        <v>167</v>
      </c>
      <c r="B49" s="70" t="s">
        <v>168</v>
      </c>
      <c r="C49" s="71" t="s">
        <v>166</v>
      </c>
      <c r="D49" s="71" t="s">
        <v>110</v>
      </c>
      <c r="E49" s="69" t="s">
        <v>501</v>
      </c>
      <c r="F49" s="87" t="n">
        <v>0.988</v>
      </c>
      <c r="G49" s="88" t="n">
        <v>0.99</v>
      </c>
      <c r="H49" s="89" t="n">
        <v>1</v>
      </c>
      <c r="I49" s="89" t="n">
        <v>1</v>
      </c>
      <c r="J49" s="89" t="n">
        <v>1</v>
      </c>
      <c r="K49" s="174" t="n">
        <f aca="false">IF(COUNT(H49:J49)=0,"",AVERAGE(H49:J49))</f>
        <v>1</v>
      </c>
      <c r="L49" s="174" t="n">
        <f aca="false">IF(COUNT(I49:K49)=0,"",AVERAGE(I49:K49))</f>
        <v>1</v>
      </c>
      <c r="M49" s="174" t="n">
        <f aca="false">IF(COUNT(J49:L49)=0,"",AVERAGE(J49:L49))</f>
        <v>1</v>
      </c>
      <c r="N49" s="90"/>
      <c r="O49" s="174" t="n">
        <f aca="false">IF(COUNT(L49:N49)=0,"",AVERAGE(L49:N49))</f>
        <v>1</v>
      </c>
      <c r="P49" s="90"/>
      <c r="Q49" s="90"/>
      <c r="R49" s="90"/>
      <c r="S49" s="174" t="str">
        <f aca="false">IF(COUNT(P49:R49)=0,"",AVERAGE(P49:R49))</f>
        <v/>
      </c>
      <c r="T49" s="90"/>
      <c r="U49" s="90"/>
      <c r="V49" s="90"/>
      <c r="W49" s="174" t="str">
        <f aca="false">IF(COUNT(T49:V49)=0,"",AVERAGE(T49:V49))</f>
        <v/>
      </c>
      <c r="X49" s="92" t="n">
        <v>1</v>
      </c>
      <c r="Y49" s="114" t="s">
        <v>104</v>
      </c>
      <c r="Z49" s="78" t="s">
        <v>100</v>
      </c>
    </row>
    <row r="50" customFormat="false" ht="25.5" hidden="false" customHeight="true" outlineLevel="0" collapsed="false">
      <c r="A50" s="69" t="s">
        <v>169</v>
      </c>
      <c r="B50" s="70" t="s">
        <v>170</v>
      </c>
      <c r="C50" s="71" t="s">
        <v>166</v>
      </c>
      <c r="D50" s="71" t="s">
        <v>110</v>
      </c>
      <c r="E50" s="69" t="s">
        <v>501</v>
      </c>
      <c r="F50" s="87" t="n">
        <v>0.92</v>
      </c>
      <c r="G50" s="88" t="n">
        <v>0.93</v>
      </c>
      <c r="H50" s="89" t="n">
        <v>0.992217898832685</v>
      </c>
      <c r="I50" s="89" t="n">
        <v>0.991614255765199</v>
      </c>
      <c r="J50" s="89" t="n">
        <v>0.990291262135922</v>
      </c>
      <c r="K50" s="174" t="n">
        <f aca="false">IF(COUNT(H50:J50)=0,"",AVERAGE(H50:J50))</f>
        <v>0.991374472244602</v>
      </c>
      <c r="L50" s="90" t="n">
        <v>0.984924623115578</v>
      </c>
      <c r="M50" s="90" t="n">
        <v>0.995</v>
      </c>
      <c r="N50" s="90" t="n">
        <v>0.993975903614458</v>
      </c>
      <c r="O50" s="174" t="n">
        <f aca="false">IF(COUNT(L50:N50)=0,"",AVERAGE(L50:N50))</f>
        <v>0.991300175576679</v>
      </c>
      <c r="P50" s="90" t="n">
        <v>0.994</v>
      </c>
      <c r="Q50" s="90"/>
      <c r="R50" s="90"/>
      <c r="S50" s="174" t="n">
        <f aca="false">IF(COUNT(P50:R50)=0,"",AVERAGE(P50:R50))</f>
        <v>0.994</v>
      </c>
      <c r="T50" s="90"/>
      <c r="U50" s="90"/>
      <c r="V50" s="90"/>
      <c r="W50" s="174" t="str">
        <f aca="false">IF(COUNT(T50:V50)=0,"",AVERAGE(T50:V50))</f>
        <v/>
      </c>
      <c r="X50" s="92" t="n">
        <v>0.98814954768009</v>
      </c>
      <c r="Y50" s="114" t="s">
        <v>104</v>
      </c>
      <c r="Z50" s="78" t="s">
        <v>100</v>
      </c>
    </row>
    <row r="51" customFormat="false" ht="25.5" hidden="false" customHeight="true" outlineLevel="0" collapsed="false">
      <c r="A51" s="69" t="s">
        <v>171</v>
      </c>
      <c r="B51" s="70" t="s">
        <v>172</v>
      </c>
      <c r="C51" s="71" t="s">
        <v>166</v>
      </c>
      <c r="D51" s="71" t="s">
        <v>97</v>
      </c>
      <c r="E51" s="69" t="s">
        <v>501</v>
      </c>
      <c r="F51" s="72" t="n">
        <v>0.55</v>
      </c>
      <c r="G51" s="73" t="s">
        <v>32</v>
      </c>
      <c r="H51" s="106" t="n">
        <v>0</v>
      </c>
      <c r="I51" s="106" t="n">
        <v>0</v>
      </c>
      <c r="J51" s="106" t="n">
        <v>0</v>
      </c>
      <c r="K51" s="182" t="n">
        <f aca="false">IF(COUNT(H51:J51)=0,"",SUM(H51:J51))</f>
        <v>0</v>
      </c>
      <c r="L51" s="74" t="n">
        <v>0</v>
      </c>
      <c r="M51" s="74" t="n">
        <v>0</v>
      </c>
      <c r="N51" s="74" t="n">
        <v>0</v>
      </c>
      <c r="O51" s="182" t="n">
        <f aca="false">IF(COUNT(L51:N51)=0,"",SUM(L51:N51))</f>
        <v>0</v>
      </c>
      <c r="P51" s="74" t="n">
        <v>0</v>
      </c>
      <c r="Q51" s="74"/>
      <c r="R51" s="74"/>
      <c r="S51" s="182" t="n">
        <v>0</v>
      </c>
      <c r="T51" s="74"/>
      <c r="U51" s="74"/>
      <c r="V51" s="74"/>
      <c r="W51" s="182" t="n">
        <v>0</v>
      </c>
      <c r="X51" s="76" t="n">
        <v>0</v>
      </c>
      <c r="Y51" s="114" t="s">
        <v>120</v>
      </c>
      <c r="Z51" s="78" t="s">
        <v>100</v>
      </c>
    </row>
    <row r="52" customFormat="false" ht="25.5" hidden="false" customHeight="true" outlineLevel="0" collapsed="false">
      <c r="A52" s="69" t="s">
        <v>178</v>
      </c>
      <c r="B52" s="70" t="s">
        <v>179</v>
      </c>
      <c r="C52" s="71" t="s">
        <v>166</v>
      </c>
      <c r="D52" s="71" t="s">
        <v>97</v>
      </c>
      <c r="E52" s="69" t="s">
        <v>501</v>
      </c>
      <c r="F52" s="87" t="n">
        <v>0.019</v>
      </c>
      <c r="G52" s="88" t="n">
        <v>0.0162</v>
      </c>
      <c r="H52" s="89" t="n">
        <v>0</v>
      </c>
      <c r="I52" s="89" t="n">
        <v>0.00419287211740042</v>
      </c>
      <c r="J52" s="89" t="n">
        <v>0</v>
      </c>
      <c r="K52" s="174" t="n">
        <f aca="false">IF(COUNT(H52:J52)=0,"",AVERAGE(H52:J52))</f>
        <v>0.00139762403913347</v>
      </c>
      <c r="L52" s="90" t="n">
        <v>0.0016750418760469</v>
      </c>
      <c r="M52" s="90" t="n">
        <v>0.0034</v>
      </c>
      <c r="N52" s="90" t="n">
        <v>0.0436746987951807</v>
      </c>
      <c r="O52" s="174" t="n">
        <f aca="false">IF(COUNT(L52:N52)=0,"",AVERAGE(L52:N52))</f>
        <v>0.0162499135570759</v>
      </c>
      <c r="P52" s="90" t="n">
        <v>0.0045</v>
      </c>
      <c r="Q52" s="90"/>
      <c r="R52" s="90"/>
      <c r="S52" s="174" t="n">
        <f aca="false">IF(COUNT(P52:R52)=0,"",AVERAGE(P52:R52))</f>
        <v>0.0045</v>
      </c>
      <c r="T52" s="90"/>
      <c r="U52" s="90"/>
      <c r="V52" s="90"/>
      <c r="W52" s="174" t="str">
        <f aca="false">IF(COUNT(T52:V52)=0,"",AVERAGE(T52:V52))</f>
        <v/>
      </c>
      <c r="X52" s="92" t="n">
        <v>0.00153633295759019</v>
      </c>
      <c r="Y52" s="114" t="s">
        <v>104</v>
      </c>
      <c r="Z52" s="78" t="s">
        <v>100</v>
      </c>
    </row>
    <row r="53" customFormat="false" ht="25.5" hidden="false" customHeight="true" outlineLevel="0" collapsed="false">
      <c r="A53" s="69" t="s">
        <v>182</v>
      </c>
      <c r="B53" s="70" t="s">
        <v>183</v>
      </c>
      <c r="C53" s="71" t="s">
        <v>166</v>
      </c>
      <c r="D53" s="71" t="s">
        <v>97</v>
      </c>
      <c r="E53" s="69" t="s">
        <v>501</v>
      </c>
      <c r="F53" s="87" t="n">
        <v>0.072</v>
      </c>
      <c r="G53" s="88" t="n">
        <v>0.0612</v>
      </c>
      <c r="H53" s="89" t="n">
        <v>0</v>
      </c>
      <c r="I53" s="89" t="n">
        <v>0</v>
      </c>
      <c r="J53" s="89" t="n">
        <v>0</v>
      </c>
      <c r="K53" s="174" t="n">
        <f aca="false">IF(COUNT(H53:J53)=0,"",AVERAGE(H53:J53))</f>
        <v>0</v>
      </c>
      <c r="L53" s="90" t="n">
        <v>0</v>
      </c>
      <c r="M53" s="90" t="n">
        <v>0</v>
      </c>
      <c r="N53" s="90"/>
      <c r="O53" s="174" t="n">
        <f aca="false">IF(COUNT(L53:N53)=0,"",AVERAGE(L53:N53))</f>
        <v>0</v>
      </c>
      <c r="P53" s="90" t="n">
        <v>0</v>
      </c>
      <c r="Q53" s="90"/>
      <c r="R53" s="90"/>
      <c r="S53" s="174" t="n">
        <f aca="false">IF(COUNT(P53:R53)=0,"",AVERAGE(P53:R53))</f>
        <v>0</v>
      </c>
      <c r="T53" s="90"/>
      <c r="U53" s="90"/>
      <c r="V53" s="90"/>
      <c r="W53" s="174" t="str">
        <f aca="false">IF(COUNT(T53:V53)=0,"",AVERAGE(T53:V53))</f>
        <v/>
      </c>
      <c r="X53" s="92" t="n">
        <v>0</v>
      </c>
      <c r="Y53" s="114" t="s">
        <v>104</v>
      </c>
      <c r="Z53" s="78" t="s">
        <v>100</v>
      </c>
    </row>
    <row r="54" customFormat="false" ht="25.5" hidden="false" customHeight="true" outlineLevel="0" collapsed="false">
      <c r="A54" s="69" t="s">
        <v>186</v>
      </c>
      <c r="B54" s="70" t="s">
        <v>187</v>
      </c>
      <c r="C54" s="71" t="s">
        <v>166</v>
      </c>
      <c r="D54" s="71" t="s">
        <v>97</v>
      </c>
      <c r="E54" s="69" t="s">
        <v>501</v>
      </c>
      <c r="F54" s="102" t="n">
        <v>0.027</v>
      </c>
      <c r="G54" s="82" t="n">
        <v>0.0135</v>
      </c>
      <c r="H54" s="81" t="n">
        <v>0</v>
      </c>
      <c r="I54" s="81" t="n">
        <v>0</v>
      </c>
      <c r="J54" s="81" t="n">
        <v>0</v>
      </c>
      <c r="K54" s="176" t="n">
        <f aca="false">IF(COUNT(H54:J54)=0,"",AVERAGE(H54:J54))</f>
        <v>0</v>
      </c>
      <c r="L54" s="103" t="n">
        <v>0</v>
      </c>
      <c r="M54" s="103" t="n">
        <v>0</v>
      </c>
      <c r="N54" s="103" t="n">
        <v>0</v>
      </c>
      <c r="O54" s="176" t="n">
        <f aca="false">IF(COUNT(L54:N54)=0,"",AVERAGE(L54:N54))</f>
        <v>0</v>
      </c>
      <c r="P54" s="103"/>
      <c r="Q54" s="103"/>
      <c r="R54" s="103"/>
      <c r="S54" s="176" t="str">
        <f aca="false">IF(COUNT(P54:R54)=0,"",AVERAGE(P54:R54))</f>
        <v/>
      </c>
      <c r="T54" s="103"/>
      <c r="U54" s="103"/>
      <c r="V54" s="103"/>
      <c r="W54" s="176" t="str">
        <f aca="false">IF(COUNT(T54:V54)=0,"",AVERAGE(T54:V54))</f>
        <v/>
      </c>
      <c r="X54" s="104" t="n">
        <v>0</v>
      </c>
      <c r="Y54" s="114" t="s">
        <v>104</v>
      </c>
      <c r="Z54" s="78" t="s">
        <v>100</v>
      </c>
    </row>
    <row r="55" customFormat="false" ht="25.5" hidden="false" customHeight="true" outlineLevel="0" collapsed="false">
      <c r="A55" s="69" t="s">
        <v>191</v>
      </c>
      <c r="B55" s="70" t="s">
        <v>192</v>
      </c>
      <c r="C55" s="71" t="s">
        <v>166</v>
      </c>
      <c r="D55" s="71" t="s">
        <v>110</v>
      </c>
      <c r="E55" s="69" t="s">
        <v>501</v>
      </c>
      <c r="F55" s="87" t="n">
        <v>0.8863</v>
      </c>
      <c r="G55" s="88" t="n">
        <v>0.8938</v>
      </c>
      <c r="H55" s="89" t="n">
        <v>0.9582</v>
      </c>
      <c r="I55" s="89" t="n">
        <v>0.9521</v>
      </c>
      <c r="J55" s="89" t="n">
        <v>0.9668</v>
      </c>
      <c r="K55" s="174" t="n">
        <f aca="false">IF(COUNT(H55:J55)=0,"",AVERAGE(H55:J55))</f>
        <v>0.959033333333333</v>
      </c>
      <c r="L55" s="90" t="n">
        <v>0.9551</v>
      </c>
      <c r="M55" s="90" t="n">
        <v>0.9138</v>
      </c>
      <c r="N55" s="90" t="n">
        <v>0.9725</v>
      </c>
      <c r="O55" s="174" t="n">
        <f aca="false">IF(COUNT(L55:N55)=0,"",AVERAGE(L55:N55))</f>
        <v>0.947133333333333</v>
      </c>
      <c r="P55" s="90"/>
      <c r="Q55" s="90"/>
      <c r="R55" s="90"/>
      <c r="S55" s="174" t="str">
        <f aca="false">IF(COUNT(P55:R55)=0,"",AVERAGE(P55:R55))</f>
        <v/>
      </c>
      <c r="T55" s="90"/>
      <c r="U55" s="90"/>
      <c r="V55" s="90"/>
      <c r="W55" s="174" t="str">
        <f aca="false">IF(COUNT(T55:V55)=0,"",AVERAGE(T55:V55))</f>
        <v/>
      </c>
      <c r="X55" s="92" t="n">
        <v>0.9551</v>
      </c>
      <c r="Y55" s="114" t="s">
        <v>104</v>
      </c>
      <c r="Z55" s="78" t="s">
        <v>100</v>
      </c>
    </row>
    <row r="56" customFormat="false" ht="25.5" hidden="false" customHeight="true" outlineLevel="0" collapsed="false">
      <c r="A56" s="69" t="s">
        <v>193</v>
      </c>
      <c r="B56" s="70" t="s">
        <v>194</v>
      </c>
      <c r="C56" s="71" t="s">
        <v>166</v>
      </c>
      <c r="D56" s="71" t="s">
        <v>110</v>
      </c>
      <c r="E56" s="69" t="s">
        <v>501</v>
      </c>
      <c r="F56" s="87" t="n">
        <v>0.9024</v>
      </c>
      <c r="G56" s="88" t="n">
        <v>0.8658</v>
      </c>
      <c r="H56" s="90"/>
      <c r="I56" s="89" t="n">
        <v>0.9521</v>
      </c>
      <c r="J56" s="90"/>
      <c r="K56" s="174" t="n">
        <f aca="false">IF(COUNT(H56:J56)=0,"",AVERAGE(H56:J56))</f>
        <v>0.9521</v>
      </c>
      <c r="L56" s="90"/>
      <c r="M56" s="90"/>
      <c r="N56" s="90"/>
      <c r="O56" s="174" t="str">
        <f aca="false">IF(COUNT(L56:N56)=0,"",AVERAGE(L56:N56))</f>
        <v/>
      </c>
      <c r="P56" s="90"/>
      <c r="Q56" s="90"/>
      <c r="R56" s="90"/>
      <c r="S56" s="174" t="str">
        <f aca="false">IF(COUNT(P56:R56)=0,"",AVERAGE(P56:R56))</f>
        <v/>
      </c>
      <c r="T56" s="90"/>
      <c r="U56" s="90"/>
      <c r="V56" s="90"/>
      <c r="W56" s="174" t="str">
        <f aca="false">IF(COUNT(T56:V56)=0,"",AVERAGE(T56:V56))</f>
        <v/>
      </c>
      <c r="X56" s="92" t="n">
        <v>0.9521</v>
      </c>
      <c r="Y56" s="114" t="s">
        <v>104</v>
      </c>
      <c r="Z56" s="78" t="s">
        <v>100</v>
      </c>
    </row>
    <row r="57" customFormat="false" ht="25.5" hidden="false" customHeight="true" outlineLevel="0" collapsed="false">
      <c r="A57" s="69" t="s">
        <v>196</v>
      </c>
      <c r="B57" s="70" t="s">
        <v>197</v>
      </c>
      <c r="C57" s="71" t="s">
        <v>166</v>
      </c>
      <c r="D57" s="71" t="s">
        <v>110</v>
      </c>
      <c r="E57" s="69" t="s">
        <v>501</v>
      </c>
      <c r="F57" s="87" t="n">
        <v>0.782</v>
      </c>
      <c r="G57" s="88" t="n">
        <v>0.807</v>
      </c>
      <c r="H57" s="89" t="n">
        <v>0.8645</v>
      </c>
      <c r="I57" s="89" t="n">
        <v>0.9521</v>
      </c>
      <c r="J57" s="90"/>
      <c r="K57" s="174" t="n">
        <f aca="false">IF(COUNT(H57:J57)=0,"",AVERAGE(H57:J57))</f>
        <v>0.9083</v>
      </c>
      <c r="L57" s="90"/>
      <c r="M57" s="90"/>
      <c r="N57" s="90"/>
      <c r="O57" s="174" t="str">
        <f aca="false">IF(COUNT(L57:N57)=0,"",AVERAGE(L57:N57))</f>
        <v/>
      </c>
      <c r="P57" s="90"/>
      <c r="Q57" s="90"/>
      <c r="R57" s="90"/>
      <c r="S57" s="174" t="str">
        <f aca="false">IF(COUNT(P57:R57)=0,"",AVERAGE(P57:R57))</f>
        <v/>
      </c>
      <c r="T57" s="90"/>
      <c r="U57" s="90"/>
      <c r="V57" s="90"/>
      <c r="W57" s="174" t="str">
        <f aca="false">IF(COUNT(T57:V57)=0,"",AVERAGE(T57:V57))</f>
        <v/>
      </c>
      <c r="X57" s="92" t="n">
        <v>0.9083</v>
      </c>
      <c r="Y57" s="114" t="s">
        <v>104</v>
      </c>
      <c r="Z57" s="78" t="s">
        <v>100</v>
      </c>
    </row>
    <row r="58" customFormat="false" ht="25.5" hidden="false" customHeight="true" outlineLevel="0" collapsed="false">
      <c r="A58" s="69" t="s">
        <v>198</v>
      </c>
      <c r="B58" s="70" t="s">
        <v>199</v>
      </c>
      <c r="C58" s="71" t="s">
        <v>166</v>
      </c>
      <c r="D58" s="71" t="s">
        <v>110</v>
      </c>
      <c r="E58" s="69" t="s">
        <v>501</v>
      </c>
      <c r="F58" s="87" t="n">
        <v>0.821</v>
      </c>
      <c r="G58" s="88" t="n">
        <v>0.848</v>
      </c>
      <c r="H58" s="89" t="n">
        <v>1</v>
      </c>
      <c r="I58" s="89" t="n">
        <v>1</v>
      </c>
      <c r="J58" s="90" t="n">
        <v>1</v>
      </c>
      <c r="K58" s="174" t="n">
        <f aca="false">IF(COUNT(H58:J58)=0,"",AVERAGE(H58:J58))</f>
        <v>1</v>
      </c>
      <c r="L58" s="90" t="n">
        <v>0.9091</v>
      </c>
      <c r="M58" s="90" t="n">
        <v>1</v>
      </c>
      <c r="N58" s="90" t="n">
        <v>1</v>
      </c>
      <c r="O58" s="174" t="n">
        <f aca="false">IF(COUNT(L58:N58)=0,"",AVERAGE(L58:N58))</f>
        <v>0.9697</v>
      </c>
      <c r="P58" s="90" t="n">
        <v>1</v>
      </c>
      <c r="Q58" s="90"/>
      <c r="R58" s="90"/>
      <c r="S58" s="174" t="n">
        <f aca="false">IF(COUNT(P58:R58)=0,"",AVERAGE(P58:R58))</f>
        <v>1</v>
      </c>
      <c r="T58" s="90"/>
      <c r="U58" s="90"/>
      <c r="V58" s="90"/>
      <c r="W58" s="174" t="str">
        <f aca="false">IF(COUNT(T58:V58)=0,"",AVERAGE(T58:V58))</f>
        <v/>
      </c>
      <c r="X58" s="92" t="n">
        <v>0.9091</v>
      </c>
      <c r="Y58" s="114" t="s">
        <v>104</v>
      </c>
      <c r="Z58" s="78" t="s">
        <v>190</v>
      </c>
    </row>
    <row r="59" customFormat="false" ht="25.5" hidden="false" customHeight="true" outlineLevel="0" collapsed="false">
      <c r="A59" s="69" t="s">
        <v>211</v>
      </c>
      <c r="B59" s="70" t="s">
        <v>212</v>
      </c>
      <c r="C59" s="71" t="s">
        <v>213</v>
      </c>
      <c r="D59" s="71" t="s">
        <v>110</v>
      </c>
      <c r="E59" s="69" t="s">
        <v>501</v>
      </c>
      <c r="F59" s="87" t="s">
        <v>32</v>
      </c>
      <c r="G59" s="91" t="n">
        <v>1</v>
      </c>
      <c r="H59" s="89" t="n">
        <v>0</v>
      </c>
      <c r="I59" s="89" t="n">
        <v>0</v>
      </c>
      <c r="J59" s="89" t="n">
        <v>1</v>
      </c>
      <c r="K59" s="174" t="n">
        <f aca="false">IF(COUNT(H59:J59)=0,"",LOOKUP(2,1/(H59:J59&lt;&gt;""),H59:J59))</f>
        <v>1</v>
      </c>
      <c r="L59" s="90" t="n">
        <v>1</v>
      </c>
      <c r="M59" s="90" t="n">
        <v>1</v>
      </c>
      <c r="N59" s="90" t="n">
        <v>1</v>
      </c>
      <c r="O59" s="174" t="n">
        <f aca="false">IF(COUNT(L59:N59)=0,"",LOOKUP(2,1/(L59:N59&lt;&gt;""),L59:N59))</f>
        <v>1</v>
      </c>
      <c r="P59" s="90" t="n">
        <v>1</v>
      </c>
      <c r="Q59" s="90"/>
      <c r="R59" s="90"/>
      <c r="S59" s="174" t="n">
        <f aca="false">IF(COUNT(P59:R59)=0,"",LOOKUP(2,1/(P59:R59&lt;&gt;""),P59:R59))</f>
        <v>1</v>
      </c>
      <c r="T59" s="90"/>
      <c r="U59" s="90"/>
      <c r="V59" s="90"/>
      <c r="W59" s="174" t="str">
        <f aca="false">IF(COUNT(T59:V59)=0,"",LOOKUP(2,1/(T59:V59&lt;&gt;""),T59:V59))</f>
        <v/>
      </c>
      <c r="X59" s="92" t="n">
        <v>0.611111111111111</v>
      </c>
      <c r="Y59" s="114" t="s">
        <v>120</v>
      </c>
      <c r="Z59" s="78" t="s">
        <v>214</v>
      </c>
    </row>
    <row r="60" customFormat="false" ht="25.5" hidden="false" customHeight="true" outlineLevel="0" collapsed="false">
      <c r="A60" s="69" t="s">
        <v>255</v>
      </c>
      <c r="B60" s="70" t="s">
        <v>256</v>
      </c>
      <c r="C60" s="71" t="s">
        <v>35</v>
      </c>
      <c r="D60" s="71" t="s">
        <v>110</v>
      </c>
      <c r="E60" s="183" t="s">
        <v>502</v>
      </c>
      <c r="F60" s="87" t="n">
        <v>0.33</v>
      </c>
      <c r="G60" s="88" t="n">
        <v>0.2</v>
      </c>
      <c r="H60" s="184"/>
      <c r="I60" s="184"/>
      <c r="J60" s="184"/>
      <c r="K60" s="185" t="n">
        <v>0.944444444444444</v>
      </c>
      <c r="L60" s="184"/>
      <c r="M60" s="184"/>
      <c r="N60" s="184"/>
      <c r="O60" s="186" t="n">
        <v>1.06</v>
      </c>
      <c r="P60" s="184"/>
      <c r="Q60" s="184"/>
      <c r="R60" s="184"/>
      <c r="S60" s="186"/>
      <c r="T60" s="184"/>
      <c r="U60" s="184"/>
      <c r="V60" s="184"/>
      <c r="W60" s="186"/>
      <c r="X60" s="92" t="n">
        <v>0.944444444444444</v>
      </c>
      <c r="Y60" s="114" t="s">
        <v>104</v>
      </c>
      <c r="Z60" s="78" t="s">
        <v>257</v>
      </c>
    </row>
    <row r="61" customFormat="false" ht="25.5" hidden="false" customHeight="true" outlineLevel="0" collapsed="false">
      <c r="A61" s="69" t="s">
        <v>262</v>
      </c>
      <c r="B61" s="70" t="s">
        <v>263</v>
      </c>
      <c r="C61" s="71" t="s">
        <v>35</v>
      </c>
      <c r="D61" s="71" t="s">
        <v>110</v>
      </c>
      <c r="E61" s="183" t="s">
        <v>502</v>
      </c>
      <c r="F61" s="87" t="s">
        <v>32</v>
      </c>
      <c r="G61" s="91" t="s">
        <v>32</v>
      </c>
      <c r="H61" s="184"/>
      <c r="I61" s="184"/>
      <c r="J61" s="184"/>
      <c r="K61" s="185" t="n">
        <v>1</v>
      </c>
      <c r="L61" s="184"/>
      <c r="M61" s="184"/>
      <c r="N61" s="184"/>
      <c r="O61" s="186"/>
      <c r="P61" s="184"/>
      <c r="Q61" s="184"/>
      <c r="R61" s="184"/>
      <c r="S61" s="186"/>
      <c r="T61" s="184"/>
      <c r="U61" s="184"/>
      <c r="V61" s="184"/>
      <c r="W61" s="186"/>
      <c r="X61" s="92" t="n">
        <v>1</v>
      </c>
      <c r="Y61" s="114" t="s">
        <v>120</v>
      </c>
      <c r="Z61" s="78" t="s">
        <v>264</v>
      </c>
    </row>
    <row r="62" customFormat="false" ht="25.5" hidden="false" customHeight="true" outlineLevel="0" collapsed="false">
      <c r="A62" s="69" t="s">
        <v>274</v>
      </c>
      <c r="B62" s="70" t="s">
        <v>275</v>
      </c>
      <c r="C62" s="71" t="s">
        <v>35</v>
      </c>
      <c r="D62" s="71" t="s">
        <v>110</v>
      </c>
      <c r="E62" s="183" t="s">
        <v>502</v>
      </c>
      <c r="F62" s="102" t="n">
        <v>0.3</v>
      </c>
      <c r="G62" s="82" t="n">
        <v>0.9</v>
      </c>
      <c r="H62" s="191"/>
      <c r="I62" s="191"/>
      <c r="J62" s="191"/>
      <c r="K62" s="192" t="n">
        <v>0.169811320754717</v>
      </c>
      <c r="L62" s="191"/>
      <c r="M62" s="191"/>
      <c r="N62" s="191"/>
      <c r="O62" s="193" t="s">
        <v>566</v>
      </c>
      <c r="P62" s="191"/>
      <c r="Q62" s="191"/>
      <c r="R62" s="191"/>
      <c r="S62" s="193"/>
      <c r="T62" s="191"/>
      <c r="U62" s="191"/>
      <c r="V62" s="191"/>
      <c r="W62" s="193"/>
      <c r="X62" s="104" t="n">
        <v>0.169811320754717</v>
      </c>
      <c r="Y62" s="114" t="s">
        <v>113</v>
      </c>
      <c r="Z62" s="78" t="s">
        <v>257</v>
      </c>
    </row>
    <row r="63" customFormat="false" ht="25.5" hidden="false" customHeight="true" outlineLevel="0" collapsed="false">
      <c r="A63" s="69" t="s">
        <v>277</v>
      </c>
      <c r="B63" s="70" t="s">
        <v>278</v>
      </c>
      <c r="C63" s="71" t="s">
        <v>35</v>
      </c>
      <c r="D63" s="71" t="s">
        <v>110</v>
      </c>
      <c r="E63" s="183" t="s">
        <v>502</v>
      </c>
      <c r="F63" s="87" t="n">
        <v>0.5879</v>
      </c>
      <c r="G63" s="91" t="s">
        <v>32</v>
      </c>
      <c r="H63" s="184"/>
      <c r="I63" s="184"/>
      <c r="J63" s="184"/>
      <c r="K63" s="185" t="n">
        <v>1</v>
      </c>
      <c r="L63" s="184"/>
      <c r="M63" s="184"/>
      <c r="N63" s="184"/>
      <c r="O63" s="186" t="n">
        <v>1</v>
      </c>
      <c r="P63" s="184"/>
      <c r="Q63" s="184"/>
      <c r="R63" s="184"/>
      <c r="S63" s="186"/>
      <c r="T63" s="184"/>
      <c r="U63" s="184"/>
      <c r="V63" s="184"/>
      <c r="W63" s="186"/>
      <c r="X63" s="92" t="n">
        <v>1</v>
      </c>
      <c r="Y63" s="114" t="s">
        <v>120</v>
      </c>
      <c r="Z63" s="78" t="s">
        <v>190</v>
      </c>
    </row>
    <row r="64" customFormat="false" ht="25.5" hidden="false" customHeight="true" outlineLevel="0" collapsed="false">
      <c r="A64" s="69" t="s">
        <v>301</v>
      </c>
      <c r="B64" s="70" t="s">
        <v>302</v>
      </c>
      <c r="C64" s="71" t="s">
        <v>34</v>
      </c>
      <c r="D64" s="71" t="s">
        <v>110</v>
      </c>
      <c r="E64" s="183" t="s">
        <v>502</v>
      </c>
      <c r="F64" s="87" t="n">
        <v>0.995</v>
      </c>
      <c r="G64" s="91" t="n">
        <v>0.6</v>
      </c>
      <c r="H64" s="184"/>
      <c r="I64" s="184"/>
      <c r="J64" s="184"/>
      <c r="K64" s="185" t="n">
        <v>1.02321428571429</v>
      </c>
      <c r="L64" s="184"/>
      <c r="M64" s="184"/>
      <c r="N64" s="184"/>
      <c r="O64" s="186" t="n">
        <v>1.16</v>
      </c>
      <c r="P64" s="184"/>
      <c r="Q64" s="184"/>
      <c r="R64" s="184"/>
      <c r="S64" s="186"/>
      <c r="T64" s="184"/>
      <c r="U64" s="184"/>
      <c r="V64" s="184"/>
      <c r="W64" s="186"/>
      <c r="X64" s="92" t="n">
        <v>1.02321428571429</v>
      </c>
      <c r="Y64" s="114" t="s">
        <v>104</v>
      </c>
      <c r="Z64" s="78" t="s">
        <v>257</v>
      </c>
    </row>
    <row r="65" customFormat="false" ht="25.5" hidden="false" customHeight="true" outlineLevel="0" collapsed="false">
      <c r="A65" s="69" t="s">
        <v>313</v>
      </c>
      <c r="B65" s="70" t="s">
        <v>314</v>
      </c>
      <c r="C65" s="71" t="s">
        <v>34</v>
      </c>
      <c r="D65" s="71" t="s">
        <v>97</v>
      </c>
      <c r="E65" s="183" t="s">
        <v>502</v>
      </c>
      <c r="F65" s="102" t="n">
        <v>0.13</v>
      </c>
      <c r="G65" s="122" t="n">
        <v>11</v>
      </c>
      <c r="H65" s="191"/>
      <c r="I65" s="191"/>
      <c r="J65" s="191"/>
      <c r="K65" s="192" t="n">
        <v>0</v>
      </c>
      <c r="L65" s="191"/>
      <c r="M65" s="191"/>
      <c r="N65" s="191"/>
      <c r="O65" s="193" t="n">
        <v>0</v>
      </c>
      <c r="P65" s="191"/>
      <c r="Q65" s="191"/>
      <c r="R65" s="191"/>
      <c r="S65" s="193"/>
      <c r="T65" s="191"/>
      <c r="U65" s="191"/>
      <c r="V65" s="191"/>
      <c r="W65" s="193"/>
      <c r="X65" s="104" t="n">
        <v>0</v>
      </c>
      <c r="Y65" s="114" t="s">
        <v>104</v>
      </c>
      <c r="Z65" s="78" t="s">
        <v>257</v>
      </c>
    </row>
    <row r="66" customFormat="false" ht="25.5" hidden="false" customHeight="true" outlineLevel="0" collapsed="false">
      <c r="A66" s="69" t="s">
        <v>325</v>
      </c>
      <c r="B66" s="70" t="s">
        <v>326</v>
      </c>
      <c r="C66" s="71" t="s">
        <v>34</v>
      </c>
      <c r="D66" s="71" t="s">
        <v>110</v>
      </c>
      <c r="E66" s="183" t="s">
        <v>502</v>
      </c>
      <c r="F66" s="102" t="n">
        <v>0.9</v>
      </c>
      <c r="G66" s="82" t="n">
        <v>3</v>
      </c>
      <c r="H66" s="191"/>
      <c r="I66" s="191"/>
      <c r="J66" s="191"/>
      <c r="K66" s="192" t="n">
        <v>0.64</v>
      </c>
      <c r="L66" s="191"/>
      <c r="M66" s="191"/>
      <c r="N66" s="191"/>
      <c r="O66" s="193" t="n">
        <v>0.62</v>
      </c>
      <c r="P66" s="191"/>
      <c r="Q66" s="191"/>
      <c r="R66" s="191"/>
      <c r="S66" s="193"/>
      <c r="T66" s="191"/>
      <c r="U66" s="191"/>
      <c r="V66" s="191"/>
      <c r="W66" s="193"/>
      <c r="X66" s="104" t="n">
        <v>0.64</v>
      </c>
      <c r="Y66" s="114" t="s">
        <v>113</v>
      </c>
      <c r="Z66" s="78" t="s">
        <v>257</v>
      </c>
    </row>
    <row r="67" customFormat="false" ht="25.5" hidden="false" customHeight="true" outlineLevel="0" collapsed="false">
      <c r="A67" s="69" t="s">
        <v>327</v>
      </c>
      <c r="B67" s="70" t="s">
        <v>328</v>
      </c>
      <c r="C67" s="71" t="s">
        <v>34</v>
      </c>
      <c r="D67" s="71" t="s">
        <v>110</v>
      </c>
      <c r="E67" s="183" t="s">
        <v>502</v>
      </c>
      <c r="F67" s="87" t="n">
        <v>0.777</v>
      </c>
      <c r="G67" s="88" t="n">
        <v>0.7</v>
      </c>
      <c r="H67" s="184"/>
      <c r="I67" s="184"/>
      <c r="J67" s="184"/>
      <c r="K67" s="185" t="n">
        <v>0.7166</v>
      </c>
      <c r="L67" s="184"/>
      <c r="M67" s="184"/>
      <c r="N67" s="184"/>
      <c r="O67" s="186" t="n">
        <v>0.7423</v>
      </c>
      <c r="P67" s="184"/>
      <c r="Q67" s="184"/>
      <c r="R67" s="184"/>
      <c r="S67" s="186"/>
      <c r="T67" s="184"/>
      <c r="U67" s="184"/>
      <c r="V67" s="184"/>
      <c r="W67" s="186"/>
      <c r="X67" s="92" t="n">
        <v>0.7166</v>
      </c>
      <c r="Y67" s="114" t="s">
        <v>104</v>
      </c>
      <c r="Z67" s="78" t="s">
        <v>257</v>
      </c>
    </row>
    <row r="68" customFormat="false" ht="25.5" hidden="false" customHeight="true" outlineLevel="0" collapsed="false">
      <c r="A68" s="69" t="s">
        <v>342</v>
      </c>
      <c r="B68" s="70" t="s">
        <v>343</v>
      </c>
      <c r="C68" s="71" t="s">
        <v>166</v>
      </c>
      <c r="D68" s="71" t="s">
        <v>110</v>
      </c>
      <c r="E68" s="183" t="s">
        <v>502</v>
      </c>
      <c r="F68" s="87" t="n">
        <v>0.78</v>
      </c>
      <c r="G68" s="91" t="n">
        <v>0.85</v>
      </c>
      <c r="H68" s="184"/>
      <c r="I68" s="184"/>
      <c r="J68" s="184"/>
      <c r="K68" s="185" t="n">
        <v>1</v>
      </c>
      <c r="L68" s="184"/>
      <c r="M68" s="184"/>
      <c r="N68" s="184"/>
      <c r="O68" s="186" t="n">
        <v>1</v>
      </c>
      <c r="P68" s="184"/>
      <c r="Q68" s="184"/>
      <c r="R68" s="184"/>
      <c r="S68" s="186"/>
      <c r="T68" s="184"/>
      <c r="U68" s="184"/>
      <c r="V68" s="184"/>
      <c r="W68" s="186"/>
      <c r="X68" s="92" t="n">
        <v>1</v>
      </c>
      <c r="Y68" s="114" t="s">
        <v>104</v>
      </c>
      <c r="Z68" s="78" t="s">
        <v>344</v>
      </c>
    </row>
    <row r="69" customFormat="false" ht="25.5" hidden="false" customHeight="true" outlineLevel="0" collapsed="false">
      <c r="A69" s="69" t="s">
        <v>349</v>
      </c>
      <c r="B69" s="70" t="s">
        <v>350</v>
      </c>
      <c r="C69" s="71" t="s">
        <v>166</v>
      </c>
      <c r="D69" s="71" t="s">
        <v>97</v>
      </c>
      <c r="E69" s="183" t="s">
        <v>502</v>
      </c>
      <c r="F69" s="94" t="n">
        <v>13.3</v>
      </c>
      <c r="G69" s="109" t="n">
        <v>25</v>
      </c>
      <c r="H69" s="194"/>
      <c r="I69" s="194"/>
      <c r="J69" s="194"/>
      <c r="K69" s="199" t="n">
        <v>8</v>
      </c>
      <c r="L69" s="194"/>
      <c r="M69" s="194"/>
      <c r="N69" s="194"/>
      <c r="O69" s="196"/>
      <c r="P69" s="194"/>
      <c r="Q69" s="194"/>
      <c r="R69" s="194"/>
      <c r="S69" s="196"/>
      <c r="T69" s="194"/>
      <c r="U69" s="194"/>
      <c r="V69" s="194"/>
      <c r="W69" s="196" t="n">
        <v>8</v>
      </c>
      <c r="X69" s="125" t="n">
        <v>8</v>
      </c>
      <c r="Y69" s="114" t="s">
        <v>104</v>
      </c>
      <c r="Z69" s="78" t="s">
        <v>257</v>
      </c>
    </row>
    <row r="70" customFormat="false" ht="25.5" hidden="false" customHeight="true" outlineLevel="0" collapsed="false">
      <c r="A70" s="69" t="s">
        <v>377</v>
      </c>
      <c r="B70" s="70" t="s">
        <v>378</v>
      </c>
      <c r="C70" s="71" t="s">
        <v>236</v>
      </c>
      <c r="D70" s="71" t="s">
        <v>110</v>
      </c>
      <c r="E70" s="183" t="s">
        <v>502</v>
      </c>
      <c r="F70" s="87" t="n">
        <v>0.483</v>
      </c>
      <c r="G70" s="88" t="n">
        <v>0.5606</v>
      </c>
      <c r="H70" s="184"/>
      <c r="I70" s="184"/>
      <c r="J70" s="184"/>
      <c r="K70" s="185" t="n">
        <v>0.757281553398058</v>
      </c>
      <c r="L70" s="184"/>
      <c r="M70" s="184"/>
      <c r="N70" s="184"/>
      <c r="O70" s="186" t="n">
        <v>0.794117647058824</v>
      </c>
      <c r="P70" s="184"/>
      <c r="Q70" s="184"/>
      <c r="R70" s="184"/>
      <c r="S70" s="186"/>
      <c r="T70" s="184"/>
      <c r="U70" s="184"/>
      <c r="V70" s="184"/>
      <c r="W70" s="186"/>
      <c r="X70" s="92" t="n">
        <v>0.757281553398058</v>
      </c>
      <c r="Y70" s="114" t="s">
        <v>104</v>
      </c>
      <c r="Z70" s="78" t="s">
        <v>190</v>
      </c>
    </row>
    <row r="71" customFormat="false" ht="25.5" hidden="false" customHeight="true" outlineLevel="0" collapsed="false">
      <c r="A71" s="69" t="s">
        <v>379</v>
      </c>
      <c r="B71" s="70" t="s">
        <v>380</v>
      </c>
      <c r="C71" s="71" t="s">
        <v>236</v>
      </c>
      <c r="D71" s="71" t="s">
        <v>97</v>
      </c>
      <c r="E71" s="183" t="s">
        <v>502</v>
      </c>
      <c r="F71" s="87" t="s">
        <v>32</v>
      </c>
      <c r="G71" s="91" t="s">
        <v>32</v>
      </c>
      <c r="H71" s="184"/>
      <c r="I71" s="184"/>
      <c r="J71" s="184"/>
      <c r="K71" s="185" t="n">
        <v>0.0923076923076923</v>
      </c>
      <c r="L71" s="184"/>
      <c r="M71" s="184"/>
      <c r="N71" s="184"/>
      <c r="O71" s="186"/>
      <c r="P71" s="184"/>
      <c r="Q71" s="184"/>
      <c r="R71" s="184"/>
      <c r="S71" s="186"/>
      <c r="T71" s="184"/>
      <c r="U71" s="184"/>
      <c r="V71" s="184"/>
      <c r="W71" s="186"/>
      <c r="X71" s="92" t="n">
        <v>0.0923076923076923</v>
      </c>
      <c r="Y71" s="114" t="s">
        <v>120</v>
      </c>
      <c r="Z71" s="78" t="s">
        <v>105</v>
      </c>
    </row>
    <row r="72" customFormat="false" ht="25.5" hidden="false" customHeight="true" outlineLevel="0" collapsed="false">
      <c r="A72" s="69" t="s">
        <v>382</v>
      </c>
      <c r="B72" s="70" t="s">
        <v>383</v>
      </c>
      <c r="C72" s="71" t="s">
        <v>236</v>
      </c>
      <c r="D72" s="71" t="s">
        <v>97</v>
      </c>
      <c r="E72" s="183" t="s">
        <v>502</v>
      </c>
      <c r="F72" s="87" t="n">
        <v>0.07</v>
      </c>
      <c r="G72" s="88" t="n">
        <v>0.115</v>
      </c>
      <c r="H72" s="184"/>
      <c r="I72" s="184"/>
      <c r="J72" s="184"/>
      <c r="K72" s="185" t="n">
        <v>0.032258064516129</v>
      </c>
      <c r="L72" s="184"/>
      <c r="M72" s="184"/>
      <c r="N72" s="184"/>
      <c r="O72" s="186"/>
      <c r="P72" s="184"/>
      <c r="Q72" s="184"/>
      <c r="R72" s="184"/>
      <c r="S72" s="186"/>
      <c r="T72" s="184"/>
      <c r="U72" s="184"/>
      <c r="V72" s="184"/>
      <c r="W72" s="186"/>
      <c r="X72" s="92" t="n">
        <v>0.032258064516129</v>
      </c>
      <c r="Y72" s="114" t="s">
        <v>104</v>
      </c>
      <c r="Z72" s="78" t="s">
        <v>257</v>
      </c>
    </row>
    <row r="73" customFormat="false" ht="25.5" hidden="false" customHeight="true" outlineLevel="0" collapsed="false">
      <c r="A73" s="69" t="s">
        <v>464</v>
      </c>
      <c r="B73" s="70" t="s">
        <v>465</v>
      </c>
      <c r="C73" s="71" t="s">
        <v>236</v>
      </c>
      <c r="D73" s="71" t="s">
        <v>110</v>
      </c>
      <c r="E73" s="183" t="s">
        <v>504</v>
      </c>
      <c r="F73" s="87" t="n">
        <v>0.755</v>
      </c>
      <c r="G73" s="91" t="n">
        <v>0.7</v>
      </c>
      <c r="H73" s="184"/>
      <c r="I73" s="184"/>
      <c r="J73" s="184"/>
      <c r="K73" s="186"/>
      <c r="L73" s="184"/>
      <c r="M73" s="184"/>
      <c r="N73" s="184"/>
      <c r="O73" s="186"/>
      <c r="P73" s="184"/>
      <c r="Q73" s="184"/>
      <c r="R73" s="184"/>
      <c r="S73" s="186"/>
      <c r="T73" s="184"/>
      <c r="U73" s="184"/>
      <c r="V73" s="184"/>
      <c r="W73" s="186"/>
      <c r="X73" s="92"/>
      <c r="Y73" s="114" t="s">
        <v>99</v>
      </c>
      <c r="Z73" s="78" t="s">
        <v>257</v>
      </c>
    </row>
    <row r="74" customFormat="false" ht="25.5" hidden="false" customHeight="true" outlineLevel="0" collapsed="false">
      <c r="A74" s="69" t="s">
        <v>220</v>
      </c>
      <c r="B74" s="70" t="s">
        <v>221</v>
      </c>
      <c r="C74" s="71" t="s">
        <v>35</v>
      </c>
      <c r="D74" s="71" t="s">
        <v>97</v>
      </c>
      <c r="E74" s="183" t="s">
        <v>501</v>
      </c>
      <c r="F74" s="87" t="n">
        <v>6</v>
      </c>
      <c r="G74" s="91" t="n">
        <v>5</v>
      </c>
      <c r="H74" s="184"/>
      <c r="I74" s="184"/>
      <c r="J74" s="184"/>
      <c r="K74" s="186" t="str">
        <f aca="false">IF(COUNT(H75:J75)=0,"",AVERAGE(H75:J75))</f>
        <v/>
      </c>
      <c r="L74" s="184"/>
      <c r="M74" s="184"/>
      <c r="N74" s="184"/>
      <c r="O74" s="186" t="str">
        <f aca="false">IF(COUNT(L75:N75)=0,"",AVERAGE(L75:N75))</f>
        <v/>
      </c>
      <c r="P74" s="184"/>
      <c r="Q74" s="184"/>
      <c r="R74" s="184"/>
      <c r="S74" s="186" t="str">
        <f aca="false">IF(COUNT(P75:R75)=0,"",AVERAGE(P75:R75))</f>
        <v/>
      </c>
      <c r="T74" s="184"/>
      <c r="U74" s="184"/>
      <c r="V74" s="184"/>
      <c r="W74" s="186" t="str">
        <f aca="false">IF(COUNT(T75:V75)=0,"",AVERAGE(T75:V75))</f>
        <v/>
      </c>
      <c r="X74" s="92"/>
      <c r="Y74" s="114" t="s">
        <v>99</v>
      </c>
      <c r="Z74" s="78" t="s">
        <v>100</v>
      </c>
    </row>
    <row r="75" customFormat="false" ht="15" hidden="false" customHeight="true" outlineLevel="0" collapsed="false">
      <c r="H75" s="113"/>
      <c r="I75" s="113"/>
      <c r="J75" s="113"/>
      <c r="L75" s="113"/>
      <c r="M75" s="113"/>
      <c r="N75" s="113"/>
      <c r="P75" s="113"/>
      <c r="Q75" s="113"/>
      <c r="R75" s="113"/>
      <c r="T75" s="113"/>
      <c r="U75" s="113"/>
      <c r="V75" s="113"/>
    </row>
    <row r="76" customFormat="false" ht="15" hidden="false" customHeight="true" outlineLevel="0" collapsed="false">
      <c r="H76" s="113"/>
      <c r="I76" s="113"/>
      <c r="J76" s="113"/>
      <c r="L76" s="113"/>
      <c r="M76" s="113"/>
      <c r="N76" s="113"/>
      <c r="P76" s="113"/>
      <c r="Q76" s="113"/>
      <c r="R76" s="113"/>
      <c r="T76" s="113"/>
      <c r="U76" s="113"/>
      <c r="V76" s="113"/>
    </row>
    <row r="77" customFormat="false" ht="15" hidden="false" customHeight="true" outlineLevel="0" collapsed="false">
      <c r="H77" s="113"/>
      <c r="I77" s="113"/>
      <c r="J77" s="113"/>
      <c r="L77" s="113"/>
      <c r="M77" s="113"/>
      <c r="N77" s="113"/>
      <c r="P77" s="113"/>
      <c r="Q77" s="113"/>
      <c r="R77" s="113"/>
      <c r="T77" s="113"/>
      <c r="U77" s="113"/>
      <c r="V77" s="113"/>
    </row>
    <row r="78" customFormat="false" ht="15" hidden="false" customHeight="true" outlineLevel="0" collapsed="false">
      <c r="H78" s="113"/>
      <c r="I78" s="113"/>
      <c r="J78" s="113"/>
      <c r="L78" s="113"/>
      <c r="M78" s="113"/>
      <c r="N78" s="113"/>
      <c r="P78" s="113"/>
      <c r="Q78" s="113"/>
      <c r="R78" s="113"/>
      <c r="T78" s="113"/>
      <c r="U78" s="113"/>
      <c r="V78" s="113"/>
    </row>
    <row r="79" customFormat="false" ht="15" hidden="false" customHeight="true" outlineLevel="0" collapsed="false">
      <c r="H79" s="113"/>
      <c r="I79" s="113"/>
      <c r="J79" s="113"/>
      <c r="L79" s="113"/>
      <c r="M79" s="113"/>
      <c r="N79" s="113"/>
      <c r="P79" s="113"/>
      <c r="Q79" s="113"/>
      <c r="R79" s="113"/>
      <c r="T79" s="113"/>
      <c r="U79" s="113"/>
      <c r="V79" s="113"/>
    </row>
    <row r="80" customFormat="false" ht="15" hidden="false" customHeight="true" outlineLevel="0" collapsed="false">
      <c r="H80" s="113"/>
      <c r="I80" s="113"/>
      <c r="J80" s="113"/>
      <c r="L80" s="113"/>
      <c r="M80" s="113"/>
      <c r="N80" s="113"/>
      <c r="P80" s="113"/>
      <c r="Q80" s="113"/>
      <c r="R80" s="113"/>
      <c r="T80" s="113"/>
      <c r="U80" s="113"/>
      <c r="V80" s="113"/>
    </row>
    <row r="81" customFormat="false" ht="15" hidden="false" customHeight="true" outlineLevel="0" collapsed="false">
      <c r="H81" s="113"/>
      <c r="I81" s="113"/>
      <c r="J81" s="113"/>
      <c r="L81" s="113"/>
      <c r="M81" s="113"/>
      <c r="N81" s="113"/>
      <c r="P81" s="113"/>
      <c r="Q81" s="113"/>
      <c r="R81" s="113"/>
      <c r="T81" s="113"/>
      <c r="U81" s="113"/>
      <c r="V81" s="113"/>
    </row>
    <row r="82" customFormat="false" ht="15" hidden="false" customHeight="true" outlineLevel="0" collapsed="false">
      <c r="H82" s="113"/>
      <c r="I82" s="113"/>
      <c r="J82" s="113"/>
      <c r="L82" s="113"/>
      <c r="M82" s="113"/>
      <c r="N82" s="113"/>
      <c r="P82" s="113"/>
      <c r="Q82" s="113"/>
      <c r="R82" s="113"/>
      <c r="T82" s="113"/>
      <c r="U82" s="113"/>
      <c r="V82" s="113"/>
    </row>
    <row r="83" customFormat="false" ht="15" hidden="false" customHeight="true" outlineLevel="0" collapsed="false">
      <c r="H83" s="113"/>
      <c r="I83" s="113"/>
      <c r="J83" s="113"/>
      <c r="L83" s="113"/>
      <c r="M83" s="113"/>
      <c r="N83" s="113"/>
      <c r="P83" s="113"/>
      <c r="Q83" s="113"/>
      <c r="R83" s="113"/>
      <c r="T83" s="113"/>
      <c r="U83" s="113"/>
      <c r="V83" s="113"/>
    </row>
    <row r="84" customFormat="false" ht="15" hidden="false" customHeight="true" outlineLevel="0" collapsed="false">
      <c r="H84" s="113"/>
      <c r="I84" s="113"/>
      <c r="J84" s="113"/>
      <c r="L84" s="113"/>
      <c r="M84" s="113"/>
      <c r="N84" s="113"/>
      <c r="P84" s="113"/>
      <c r="Q84" s="113"/>
      <c r="R84" s="113"/>
      <c r="T84" s="113"/>
      <c r="U84" s="113"/>
      <c r="V84" s="113"/>
    </row>
    <row r="85" customFormat="false" ht="15" hidden="false" customHeight="true" outlineLevel="0" collapsed="false">
      <c r="H85" s="113"/>
      <c r="I85" s="113"/>
      <c r="J85" s="113"/>
      <c r="L85" s="113"/>
      <c r="M85" s="113"/>
      <c r="N85" s="113"/>
      <c r="P85" s="113"/>
      <c r="Q85" s="113"/>
      <c r="R85" s="113"/>
      <c r="T85" s="113"/>
      <c r="U85" s="113"/>
      <c r="V85" s="113"/>
    </row>
    <row r="86" customFormat="false" ht="15" hidden="false" customHeight="true" outlineLevel="0" collapsed="false">
      <c r="H86" s="113"/>
      <c r="I86" s="113"/>
      <c r="J86" s="113"/>
      <c r="L86" s="113"/>
      <c r="M86" s="113"/>
      <c r="N86" s="113"/>
      <c r="P86" s="113"/>
      <c r="Q86" s="113"/>
      <c r="R86" s="113"/>
      <c r="T86" s="113"/>
      <c r="U86" s="113"/>
      <c r="V86" s="113"/>
    </row>
    <row r="87" customFormat="false" ht="15" hidden="false" customHeight="true" outlineLevel="0" collapsed="false">
      <c r="H87" s="113"/>
      <c r="I87" s="113"/>
      <c r="J87" s="113"/>
      <c r="L87" s="113"/>
      <c r="M87" s="113"/>
      <c r="N87" s="113"/>
      <c r="P87" s="113"/>
      <c r="Q87" s="113"/>
      <c r="R87" s="113"/>
      <c r="T87" s="113"/>
      <c r="U87" s="113"/>
      <c r="V87" s="113"/>
    </row>
    <row r="88" customFormat="false" ht="15" hidden="false" customHeight="true" outlineLevel="0" collapsed="false">
      <c r="H88" s="113"/>
      <c r="I88" s="113"/>
      <c r="J88" s="113"/>
      <c r="L88" s="113"/>
      <c r="M88" s="113"/>
      <c r="N88" s="113"/>
      <c r="P88" s="113"/>
      <c r="Q88" s="113"/>
      <c r="R88" s="113"/>
      <c r="T88" s="113"/>
      <c r="U88" s="113"/>
      <c r="V88" s="113"/>
    </row>
    <row r="89" customFormat="false" ht="15" hidden="false" customHeight="true" outlineLevel="0" collapsed="false">
      <c r="H89" s="113"/>
      <c r="I89" s="113"/>
      <c r="J89" s="113"/>
      <c r="L89" s="113"/>
      <c r="M89" s="113"/>
      <c r="N89" s="113"/>
      <c r="P89" s="113"/>
      <c r="Q89" s="113"/>
      <c r="R89" s="113"/>
      <c r="T89" s="113"/>
      <c r="U89" s="113"/>
      <c r="V89" s="113"/>
    </row>
    <row r="90" customFormat="false" ht="15" hidden="false" customHeight="true" outlineLevel="0" collapsed="false">
      <c r="H90" s="113"/>
      <c r="I90" s="113"/>
      <c r="J90" s="113"/>
      <c r="L90" s="113"/>
      <c r="M90" s="113"/>
      <c r="N90" s="113"/>
      <c r="P90" s="113"/>
      <c r="Q90" s="113"/>
      <c r="R90" s="113"/>
      <c r="T90" s="113"/>
      <c r="U90" s="113"/>
      <c r="V90" s="113"/>
    </row>
    <row r="91" customFormat="false" ht="15" hidden="false" customHeight="true" outlineLevel="0" collapsed="false">
      <c r="H91" s="113"/>
      <c r="I91" s="113"/>
      <c r="J91" s="113"/>
      <c r="L91" s="113"/>
      <c r="M91" s="113"/>
      <c r="N91" s="113"/>
      <c r="P91" s="113"/>
      <c r="Q91" s="113"/>
      <c r="R91" s="113"/>
      <c r="T91" s="113"/>
      <c r="U91" s="113"/>
      <c r="V91" s="113"/>
    </row>
    <row r="92" customFormat="false" ht="15" hidden="false" customHeight="true" outlineLevel="0" collapsed="false">
      <c r="H92" s="113"/>
      <c r="I92" s="113"/>
      <c r="J92" s="113"/>
      <c r="L92" s="113"/>
      <c r="M92" s="113"/>
      <c r="N92" s="113"/>
      <c r="P92" s="113"/>
      <c r="Q92" s="113"/>
      <c r="R92" s="113"/>
      <c r="T92" s="113"/>
      <c r="U92" s="113"/>
      <c r="V92" s="113"/>
    </row>
    <row r="93" customFormat="false" ht="15" hidden="false" customHeight="true" outlineLevel="0" collapsed="false">
      <c r="H93" s="113"/>
      <c r="I93" s="113"/>
      <c r="J93" s="113"/>
      <c r="L93" s="113"/>
      <c r="M93" s="113"/>
      <c r="N93" s="113"/>
      <c r="P93" s="113"/>
      <c r="Q93" s="113"/>
      <c r="R93" s="113"/>
      <c r="T93" s="113"/>
      <c r="U93" s="113"/>
      <c r="V93" s="113"/>
    </row>
    <row r="94" customFormat="false" ht="15" hidden="false" customHeight="true" outlineLevel="0" collapsed="false">
      <c r="H94" s="113"/>
      <c r="I94" s="113"/>
      <c r="J94" s="113"/>
      <c r="L94" s="113"/>
      <c r="M94" s="113"/>
      <c r="N94" s="113"/>
      <c r="P94" s="113"/>
      <c r="Q94" s="113"/>
      <c r="R94" s="113"/>
      <c r="T94" s="113"/>
      <c r="U94" s="113"/>
      <c r="V94" s="113"/>
    </row>
    <row r="95" customFormat="false" ht="15" hidden="false" customHeight="true" outlineLevel="0" collapsed="false">
      <c r="H95" s="113"/>
      <c r="I95" s="113"/>
      <c r="J95" s="113"/>
      <c r="L95" s="113"/>
      <c r="M95" s="113"/>
      <c r="N95" s="113"/>
      <c r="P95" s="113"/>
      <c r="Q95" s="113"/>
      <c r="R95" s="113"/>
      <c r="T95" s="113"/>
      <c r="U95" s="113"/>
      <c r="V95" s="113"/>
    </row>
    <row r="96" customFormat="false" ht="15" hidden="false" customHeight="true" outlineLevel="0" collapsed="false">
      <c r="H96" s="113"/>
      <c r="I96" s="113"/>
      <c r="J96" s="113"/>
      <c r="L96" s="113"/>
      <c r="M96" s="113"/>
      <c r="N96" s="113"/>
      <c r="P96" s="113"/>
      <c r="Q96" s="113"/>
      <c r="R96" s="113"/>
      <c r="T96" s="113"/>
      <c r="U96" s="113"/>
      <c r="V96" s="113"/>
    </row>
    <row r="97" customFormat="false" ht="15" hidden="false" customHeight="true" outlineLevel="0" collapsed="false">
      <c r="H97" s="113"/>
      <c r="I97" s="113"/>
      <c r="J97" s="113"/>
      <c r="L97" s="113"/>
      <c r="M97" s="113"/>
      <c r="N97" s="113"/>
      <c r="P97" s="113"/>
      <c r="Q97" s="113"/>
      <c r="R97" s="113"/>
      <c r="T97" s="113"/>
      <c r="U97" s="113"/>
      <c r="V97" s="113"/>
    </row>
    <row r="98" customFormat="false" ht="15" hidden="false" customHeight="true" outlineLevel="0" collapsed="false">
      <c r="H98" s="113"/>
      <c r="I98" s="113"/>
      <c r="J98" s="113"/>
      <c r="L98" s="113"/>
      <c r="M98" s="113"/>
      <c r="N98" s="113"/>
      <c r="P98" s="113"/>
      <c r="Q98" s="113"/>
      <c r="R98" s="113"/>
      <c r="T98" s="113"/>
      <c r="U98" s="113"/>
      <c r="V98" s="113"/>
    </row>
    <row r="99" customFormat="false" ht="15" hidden="false" customHeight="true" outlineLevel="0" collapsed="false">
      <c r="H99" s="113"/>
      <c r="I99" s="113"/>
      <c r="J99" s="113"/>
      <c r="L99" s="113"/>
      <c r="M99" s="113"/>
      <c r="N99" s="113"/>
      <c r="P99" s="113"/>
      <c r="Q99" s="113"/>
      <c r="R99" s="113"/>
      <c r="T99" s="113"/>
      <c r="U99" s="113"/>
      <c r="V99" s="113"/>
    </row>
    <row r="100" customFormat="false" ht="15" hidden="false" customHeight="true" outlineLevel="0" collapsed="false">
      <c r="H100" s="113"/>
      <c r="I100" s="113"/>
      <c r="J100" s="113"/>
      <c r="L100" s="113"/>
      <c r="M100" s="113"/>
      <c r="N100" s="113"/>
      <c r="P100" s="113"/>
      <c r="Q100" s="113"/>
      <c r="R100" s="113"/>
      <c r="T100" s="113"/>
      <c r="U100" s="113"/>
      <c r="V100" s="113"/>
    </row>
    <row r="101" customFormat="false" ht="15" hidden="false" customHeight="true" outlineLevel="0" collapsed="false">
      <c r="H101" s="113"/>
      <c r="I101" s="113"/>
      <c r="J101" s="113"/>
      <c r="L101" s="113"/>
      <c r="M101" s="113"/>
      <c r="N101" s="113"/>
      <c r="P101" s="113"/>
      <c r="Q101" s="113"/>
      <c r="R101" s="113"/>
      <c r="T101" s="113"/>
      <c r="U101" s="113"/>
      <c r="V101" s="113"/>
    </row>
    <row r="102" customFormat="false" ht="15" hidden="false" customHeight="true" outlineLevel="0" collapsed="false">
      <c r="H102" s="113"/>
      <c r="I102" s="113"/>
      <c r="J102" s="113"/>
      <c r="L102" s="113"/>
      <c r="M102" s="113"/>
      <c r="N102" s="113"/>
      <c r="P102" s="113"/>
      <c r="Q102" s="113"/>
      <c r="R102" s="113"/>
      <c r="T102" s="113"/>
      <c r="U102" s="113"/>
      <c r="V102" s="113"/>
    </row>
    <row r="103" customFormat="false" ht="15" hidden="false" customHeight="true" outlineLevel="0" collapsed="false">
      <c r="H103" s="113"/>
      <c r="I103" s="113"/>
      <c r="J103" s="113"/>
      <c r="L103" s="113"/>
      <c r="M103" s="113"/>
      <c r="N103" s="113"/>
      <c r="P103" s="113"/>
      <c r="Q103" s="113"/>
      <c r="R103" s="113"/>
      <c r="T103" s="113"/>
      <c r="U103" s="113"/>
      <c r="V103" s="113"/>
    </row>
    <row r="104" customFormat="false" ht="15" hidden="false" customHeight="true" outlineLevel="0" collapsed="false">
      <c r="H104" s="113"/>
      <c r="I104" s="113"/>
      <c r="J104" s="113"/>
      <c r="L104" s="113"/>
      <c r="M104" s="113"/>
      <c r="N104" s="113"/>
      <c r="P104" s="113"/>
      <c r="Q104" s="113"/>
      <c r="R104" s="113"/>
      <c r="T104" s="113"/>
      <c r="U104" s="113"/>
      <c r="V104" s="113"/>
    </row>
    <row r="105" customFormat="false" ht="15" hidden="false" customHeight="true" outlineLevel="0" collapsed="false">
      <c r="H105" s="113"/>
      <c r="I105" s="113"/>
      <c r="J105" s="113"/>
      <c r="L105" s="113"/>
      <c r="M105" s="113"/>
      <c r="N105" s="113"/>
      <c r="P105" s="113"/>
      <c r="Q105" s="113"/>
      <c r="R105" s="113"/>
      <c r="T105" s="113"/>
      <c r="U105" s="113"/>
      <c r="V105" s="113"/>
    </row>
    <row r="106" customFormat="false" ht="15" hidden="false" customHeight="true" outlineLevel="0" collapsed="false">
      <c r="H106" s="113"/>
      <c r="I106" s="113"/>
      <c r="J106" s="113"/>
      <c r="L106" s="113"/>
      <c r="M106" s="113"/>
      <c r="N106" s="113"/>
      <c r="P106" s="113"/>
      <c r="Q106" s="113"/>
      <c r="R106" s="113"/>
      <c r="T106" s="113"/>
      <c r="U106" s="113"/>
      <c r="V106" s="113"/>
    </row>
    <row r="107" customFormat="false" ht="15" hidden="false" customHeight="true" outlineLevel="0" collapsed="false">
      <c r="H107" s="113"/>
      <c r="I107" s="113"/>
      <c r="J107" s="113"/>
      <c r="L107" s="113"/>
      <c r="M107" s="113"/>
      <c r="N107" s="113"/>
      <c r="P107" s="113"/>
      <c r="Q107" s="113"/>
      <c r="R107" s="113"/>
      <c r="T107" s="113"/>
      <c r="U107" s="113"/>
      <c r="V107" s="113"/>
    </row>
    <row r="108" customFormat="false" ht="15" hidden="false" customHeight="true" outlineLevel="0" collapsed="false">
      <c r="H108" s="113"/>
      <c r="I108" s="113"/>
      <c r="J108" s="113"/>
      <c r="L108" s="113"/>
      <c r="M108" s="113"/>
      <c r="N108" s="113"/>
      <c r="P108" s="113"/>
      <c r="Q108" s="113"/>
      <c r="R108" s="113"/>
      <c r="T108" s="113"/>
      <c r="U108" s="113"/>
      <c r="V108" s="113"/>
    </row>
    <row r="109" customFormat="false" ht="15" hidden="false" customHeight="true" outlineLevel="0" collapsed="false">
      <c r="H109" s="113"/>
      <c r="I109" s="113"/>
      <c r="J109" s="113"/>
      <c r="L109" s="113"/>
      <c r="M109" s="113"/>
      <c r="N109" s="113"/>
      <c r="P109" s="113"/>
      <c r="Q109" s="113"/>
      <c r="R109" s="113"/>
      <c r="T109" s="113"/>
      <c r="U109" s="113"/>
      <c r="V109" s="113"/>
    </row>
    <row r="110" customFormat="false" ht="15" hidden="false" customHeight="true" outlineLevel="0" collapsed="false">
      <c r="H110" s="113"/>
      <c r="I110" s="113"/>
      <c r="J110" s="113"/>
      <c r="L110" s="113"/>
      <c r="M110" s="113"/>
      <c r="N110" s="113"/>
      <c r="P110" s="113"/>
      <c r="Q110" s="113"/>
      <c r="R110" s="113"/>
      <c r="T110" s="113"/>
      <c r="U110" s="113"/>
      <c r="V110" s="113"/>
    </row>
    <row r="111" customFormat="false" ht="15" hidden="false" customHeight="true" outlineLevel="0" collapsed="false">
      <c r="H111" s="113"/>
      <c r="I111" s="113"/>
      <c r="J111" s="113"/>
      <c r="L111" s="113"/>
      <c r="M111" s="113"/>
      <c r="N111" s="113"/>
      <c r="P111" s="113"/>
      <c r="Q111" s="113"/>
      <c r="R111" s="113"/>
      <c r="T111" s="113"/>
      <c r="U111" s="113"/>
      <c r="V111" s="113"/>
    </row>
    <row r="112" customFormat="false" ht="15" hidden="false" customHeight="true" outlineLevel="0" collapsed="false">
      <c r="H112" s="113"/>
      <c r="I112" s="113"/>
      <c r="J112" s="113"/>
      <c r="L112" s="113"/>
      <c r="M112" s="113"/>
      <c r="N112" s="113"/>
      <c r="P112" s="113"/>
      <c r="Q112" s="113"/>
      <c r="R112" s="113"/>
      <c r="T112" s="113"/>
      <c r="U112" s="113"/>
      <c r="V112" s="113"/>
    </row>
    <row r="113" customFormat="false" ht="15" hidden="false" customHeight="true" outlineLevel="0" collapsed="false">
      <c r="H113" s="113"/>
      <c r="I113" s="113"/>
      <c r="J113" s="113"/>
      <c r="L113" s="113"/>
      <c r="M113" s="113"/>
      <c r="N113" s="113"/>
      <c r="P113" s="113"/>
      <c r="Q113" s="113"/>
      <c r="R113" s="113"/>
      <c r="T113" s="113"/>
      <c r="U113" s="113"/>
      <c r="V113" s="113"/>
    </row>
    <row r="114" customFormat="false" ht="15" hidden="false" customHeight="true" outlineLevel="0" collapsed="false">
      <c r="H114" s="113"/>
      <c r="I114" s="113"/>
      <c r="J114" s="113"/>
      <c r="L114" s="113"/>
      <c r="M114" s="113"/>
      <c r="N114" s="113"/>
      <c r="P114" s="113"/>
      <c r="Q114" s="113"/>
      <c r="R114" s="113"/>
      <c r="T114" s="113"/>
      <c r="U114" s="113"/>
      <c r="V114" s="113"/>
    </row>
    <row r="115" customFormat="false" ht="15" hidden="false" customHeight="true" outlineLevel="0" collapsed="false">
      <c r="H115" s="113"/>
      <c r="I115" s="113"/>
      <c r="J115" s="113"/>
      <c r="L115" s="113"/>
      <c r="M115" s="113"/>
      <c r="N115" s="113"/>
      <c r="P115" s="113"/>
      <c r="Q115" s="113"/>
      <c r="R115" s="113"/>
      <c r="T115" s="113"/>
      <c r="U115" s="113"/>
      <c r="V115" s="113"/>
    </row>
    <row r="116" customFormat="false" ht="15" hidden="false" customHeight="true" outlineLevel="0" collapsed="false">
      <c r="H116" s="113"/>
      <c r="I116" s="113"/>
      <c r="J116" s="113"/>
      <c r="L116" s="113"/>
      <c r="M116" s="113"/>
      <c r="N116" s="113"/>
      <c r="P116" s="113"/>
      <c r="Q116" s="113"/>
      <c r="R116" s="113"/>
      <c r="T116" s="113"/>
      <c r="U116" s="113"/>
      <c r="V116" s="113"/>
    </row>
    <row r="117" customFormat="false" ht="15" hidden="false" customHeight="true" outlineLevel="0" collapsed="false">
      <c r="H117" s="113"/>
      <c r="I117" s="113"/>
      <c r="J117" s="113"/>
      <c r="L117" s="113"/>
      <c r="M117" s="113"/>
      <c r="N117" s="113"/>
      <c r="P117" s="113"/>
      <c r="Q117" s="113"/>
      <c r="R117" s="113"/>
      <c r="T117" s="113"/>
      <c r="U117" s="113"/>
      <c r="V117" s="113"/>
    </row>
    <row r="118" customFormat="false" ht="15" hidden="false" customHeight="true" outlineLevel="0" collapsed="false">
      <c r="H118" s="113"/>
      <c r="I118" s="113"/>
      <c r="J118" s="113"/>
      <c r="L118" s="113"/>
      <c r="M118" s="113"/>
      <c r="N118" s="113"/>
      <c r="P118" s="113"/>
      <c r="Q118" s="113"/>
      <c r="R118" s="113"/>
      <c r="T118" s="113"/>
      <c r="U118" s="113"/>
      <c r="V118" s="113"/>
    </row>
    <row r="119" customFormat="false" ht="15" hidden="false" customHeight="true" outlineLevel="0" collapsed="false">
      <c r="H119" s="113"/>
      <c r="I119" s="113"/>
      <c r="J119" s="113"/>
      <c r="L119" s="113"/>
      <c r="M119" s="113"/>
      <c r="N119" s="113"/>
      <c r="P119" s="113"/>
      <c r="Q119" s="113"/>
      <c r="R119" s="113"/>
      <c r="T119" s="113"/>
      <c r="U119" s="113"/>
      <c r="V119" s="113"/>
    </row>
    <row r="120" customFormat="false" ht="15" hidden="false" customHeight="true" outlineLevel="0" collapsed="false">
      <c r="H120" s="113"/>
      <c r="I120" s="113"/>
      <c r="J120" s="113"/>
      <c r="L120" s="113"/>
      <c r="M120" s="113"/>
      <c r="N120" s="113"/>
      <c r="P120" s="113"/>
      <c r="Q120" s="113"/>
      <c r="R120" s="113"/>
      <c r="T120" s="113"/>
      <c r="U120" s="113"/>
      <c r="V120" s="113"/>
    </row>
    <row r="121" customFormat="false" ht="15" hidden="false" customHeight="true" outlineLevel="0" collapsed="false">
      <c r="H121" s="113"/>
      <c r="I121" s="113"/>
      <c r="J121" s="113"/>
      <c r="L121" s="113"/>
      <c r="M121" s="113"/>
      <c r="N121" s="113"/>
      <c r="P121" s="113"/>
      <c r="Q121" s="113"/>
      <c r="R121" s="113"/>
      <c r="T121" s="113"/>
      <c r="U121" s="113"/>
      <c r="V121" s="113"/>
    </row>
    <row r="122" customFormat="false" ht="15" hidden="false" customHeight="true" outlineLevel="0" collapsed="false">
      <c r="H122" s="113"/>
      <c r="I122" s="113"/>
      <c r="J122" s="113"/>
      <c r="L122" s="113"/>
      <c r="M122" s="113"/>
      <c r="N122" s="113"/>
      <c r="P122" s="113"/>
      <c r="Q122" s="113"/>
      <c r="R122" s="113"/>
      <c r="T122" s="113"/>
      <c r="U122" s="113"/>
      <c r="V122" s="113"/>
    </row>
    <row r="123" customFormat="false" ht="15" hidden="false" customHeight="true" outlineLevel="0" collapsed="false">
      <c r="H123" s="113"/>
      <c r="I123" s="113"/>
      <c r="J123" s="113"/>
      <c r="L123" s="113"/>
      <c r="M123" s="113"/>
      <c r="N123" s="113"/>
      <c r="P123" s="113"/>
      <c r="Q123" s="113"/>
      <c r="R123" s="113"/>
      <c r="T123" s="113"/>
      <c r="U123" s="113"/>
      <c r="V123" s="113"/>
    </row>
    <row r="124" customFormat="false" ht="15" hidden="false" customHeight="true" outlineLevel="0" collapsed="false">
      <c r="H124" s="113"/>
      <c r="I124" s="113"/>
      <c r="J124" s="113"/>
      <c r="L124" s="113"/>
      <c r="M124" s="113"/>
      <c r="N124" s="113"/>
      <c r="P124" s="113"/>
      <c r="Q124" s="113"/>
      <c r="R124" s="113"/>
      <c r="T124" s="113"/>
      <c r="U124" s="113"/>
      <c r="V124" s="113"/>
    </row>
    <row r="125" customFormat="false" ht="15" hidden="false" customHeight="true" outlineLevel="0" collapsed="false">
      <c r="H125" s="113"/>
      <c r="I125" s="113"/>
      <c r="J125" s="113"/>
      <c r="L125" s="113"/>
      <c r="M125" s="113"/>
      <c r="N125" s="113"/>
      <c r="P125" s="113"/>
      <c r="Q125" s="113"/>
      <c r="R125" s="113"/>
      <c r="T125" s="113"/>
      <c r="U125" s="113"/>
      <c r="V125" s="113"/>
    </row>
    <row r="126" customFormat="false" ht="15" hidden="false" customHeight="true" outlineLevel="0" collapsed="false">
      <c r="H126" s="113"/>
      <c r="I126" s="113"/>
      <c r="J126" s="113"/>
      <c r="L126" s="113"/>
      <c r="M126" s="113"/>
      <c r="N126" s="113"/>
      <c r="P126" s="113"/>
      <c r="Q126" s="113"/>
      <c r="R126" s="113"/>
      <c r="T126" s="113"/>
      <c r="U126" s="113"/>
      <c r="V126" s="113"/>
    </row>
    <row r="127" customFormat="false" ht="15" hidden="false" customHeight="true" outlineLevel="0" collapsed="false">
      <c r="H127" s="113"/>
      <c r="I127" s="113"/>
      <c r="J127" s="113"/>
      <c r="L127" s="113"/>
      <c r="M127" s="113"/>
      <c r="N127" s="113"/>
      <c r="P127" s="113"/>
      <c r="Q127" s="113"/>
      <c r="R127" s="113"/>
      <c r="T127" s="113"/>
      <c r="U127" s="113"/>
      <c r="V127" s="113"/>
    </row>
    <row r="128" customFormat="false" ht="15" hidden="false" customHeight="true" outlineLevel="0" collapsed="false">
      <c r="H128" s="113"/>
      <c r="I128" s="113"/>
      <c r="J128" s="113"/>
      <c r="L128" s="113"/>
      <c r="M128" s="113"/>
      <c r="N128" s="113"/>
      <c r="P128" s="113"/>
      <c r="Q128" s="113"/>
      <c r="R128" s="113"/>
      <c r="T128" s="113"/>
      <c r="U128" s="113"/>
      <c r="V128" s="113"/>
    </row>
    <row r="129" customFormat="false" ht="15" hidden="false" customHeight="true" outlineLevel="0" collapsed="false">
      <c r="H129" s="113"/>
      <c r="I129" s="113"/>
      <c r="J129" s="113"/>
      <c r="L129" s="113"/>
      <c r="M129" s="113"/>
      <c r="N129" s="113"/>
      <c r="P129" s="113"/>
      <c r="Q129" s="113"/>
      <c r="R129" s="113"/>
      <c r="T129" s="113"/>
      <c r="U129" s="113"/>
      <c r="V129" s="113"/>
    </row>
    <row r="130" customFormat="false" ht="15" hidden="false" customHeight="true" outlineLevel="0" collapsed="false">
      <c r="H130" s="113"/>
      <c r="I130" s="113"/>
      <c r="J130" s="113"/>
      <c r="L130" s="113"/>
      <c r="M130" s="113"/>
      <c r="N130" s="113"/>
      <c r="P130" s="113"/>
      <c r="Q130" s="113"/>
      <c r="R130" s="113"/>
      <c r="T130" s="113"/>
      <c r="U130" s="113"/>
      <c r="V130" s="113"/>
    </row>
    <row r="131" customFormat="false" ht="15" hidden="false" customHeight="true" outlineLevel="0" collapsed="false">
      <c r="H131" s="113"/>
      <c r="I131" s="113"/>
      <c r="J131" s="113"/>
      <c r="L131" s="113"/>
      <c r="M131" s="113"/>
      <c r="N131" s="113"/>
      <c r="P131" s="113"/>
      <c r="Q131" s="113"/>
      <c r="R131" s="113"/>
      <c r="T131" s="113"/>
      <c r="U131" s="113"/>
      <c r="V131" s="113"/>
    </row>
    <row r="132" customFormat="false" ht="15" hidden="false" customHeight="true" outlineLevel="0" collapsed="false">
      <c r="H132" s="113"/>
      <c r="I132" s="113"/>
      <c r="J132" s="113"/>
      <c r="L132" s="113"/>
      <c r="M132" s="113"/>
      <c r="N132" s="113"/>
      <c r="P132" s="113"/>
      <c r="Q132" s="113"/>
      <c r="R132" s="113"/>
      <c r="T132" s="113"/>
      <c r="U132" s="113"/>
      <c r="V132" s="113"/>
    </row>
    <row r="133" customFormat="false" ht="15" hidden="false" customHeight="true" outlineLevel="0" collapsed="false">
      <c r="H133" s="113"/>
      <c r="I133" s="113"/>
      <c r="J133" s="113"/>
      <c r="L133" s="113"/>
      <c r="M133" s="113"/>
      <c r="N133" s="113"/>
      <c r="P133" s="113"/>
      <c r="Q133" s="113"/>
      <c r="R133" s="113"/>
      <c r="T133" s="113"/>
      <c r="U133" s="113"/>
      <c r="V133" s="113"/>
    </row>
    <row r="134" customFormat="false" ht="15" hidden="false" customHeight="true" outlineLevel="0" collapsed="false">
      <c r="H134" s="113"/>
      <c r="I134" s="113"/>
      <c r="J134" s="113"/>
      <c r="L134" s="113"/>
      <c r="M134" s="113"/>
      <c r="N134" s="113"/>
      <c r="P134" s="113"/>
      <c r="Q134" s="113"/>
      <c r="R134" s="113"/>
      <c r="T134" s="113"/>
      <c r="U134" s="113"/>
      <c r="V134" s="113"/>
    </row>
    <row r="135" customFormat="false" ht="15" hidden="false" customHeight="true" outlineLevel="0" collapsed="false">
      <c r="H135" s="113"/>
      <c r="I135" s="113"/>
      <c r="J135" s="113"/>
      <c r="L135" s="113"/>
      <c r="M135" s="113"/>
      <c r="N135" s="113"/>
      <c r="P135" s="113"/>
      <c r="Q135" s="113"/>
      <c r="R135" s="113"/>
      <c r="T135" s="113"/>
      <c r="U135" s="113"/>
      <c r="V135" s="113"/>
    </row>
    <row r="136" customFormat="false" ht="15" hidden="false" customHeight="true" outlineLevel="0" collapsed="false">
      <c r="H136" s="113"/>
      <c r="I136" s="113"/>
      <c r="J136" s="113"/>
      <c r="L136" s="113"/>
      <c r="M136" s="113"/>
      <c r="N136" s="113"/>
      <c r="P136" s="113"/>
      <c r="Q136" s="113"/>
      <c r="R136" s="113"/>
      <c r="T136" s="113"/>
      <c r="U136" s="113"/>
      <c r="V136" s="113"/>
    </row>
    <row r="137" customFormat="false" ht="15" hidden="false" customHeight="true" outlineLevel="0" collapsed="false">
      <c r="H137" s="113"/>
      <c r="I137" s="113"/>
      <c r="J137" s="113"/>
      <c r="L137" s="113"/>
      <c r="M137" s="113"/>
      <c r="N137" s="113"/>
      <c r="P137" s="113"/>
      <c r="Q137" s="113"/>
      <c r="R137" s="113"/>
      <c r="T137" s="113"/>
      <c r="U137" s="113"/>
      <c r="V137" s="113"/>
    </row>
    <row r="138" customFormat="false" ht="15" hidden="false" customHeight="true" outlineLevel="0" collapsed="false">
      <c r="H138" s="113"/>
      <c r="I138" s="113"/>
      <c r="J138" s="113"/>
      <c r="L138" s="113"/>
      <c r="M138" s="113"/>
      <c r="N138" s="113"/>
      <c r="P138" s="113"/>
      <c r="Q138" s="113"/>
      <c r="R138" s="113"/>
      <c r="T138" s="113"/>
      <c r="U138" s="113"/>
      <c r="V138" s="113"/>
    </row>
    <row r="139" customFormat="false" ht="15" hidden="false" customHeight="true" outlineLevel="0" collapsed="false">
      <c r="H139" s="113"/>
      <c r="I139" s="113"/>
      <c r="J139" s="113"/>
      <c r="L139" s="113"/>
      <c r="M139" s="113"/>
      <c r="N139" s="113"/>
      <c r="P139" s="113"/>
      <c r="Q139" s="113"/>
      <c r="R139" s="113"/>
      <c r="T139" s="113"/>
      <c r="U139" s="113"/>
      <c r="V139" s="113"/>
    </row>
    <row r="140" customFormat="false" ht="15" hidden="false" customHeight="true" outlineLevel="0" collapsed="false">
      <c r="H140" s="113"/>
      <c r="I140" s="113"/>
      <c r="J140" s="113"/>
      <c r="L140" s="113"/>
      <c r="M140" s="113"/>
      <c r="N140" s="113"/>
      <c r="P140" s="113"/>
      <c r="Q140" s="113"/>
      <c r="R140" s="113"/>
      <c r="T140" s="113"/>
      <c r="U140" s="113"/>
      <c r="V140" s="113"/>
    </row>
    <row r="141" customFormat="false" ht="15" hidden="false" customHeight="true" outlineLevel="0" collapsed="false">
      <c r="H141" s="113"/>
      <c r="I141" s="113"/>
      <c r="J141" s="113"/>
      <c r="L141" s="113"/>
      <c r="M141" s="113"/>
      <c r="N141" s="113"/>
      <c r="P141" s="113"/>
      <c r="Q141" s="113"/>
      <c r="R141" s="113"/>
      <c r="T141" s="113"/>
      <c r="U141" s="113"/>
      <c r="V141" s="113"/>
    </row>
    <row r="142" customFormat="false" ht="15" hidden="false" customHeight="true" outlineLevel="0" collapsed="false">
      <c r="H142" s="113"/>
      <c r="I142" s="113"/>
      <c r="J142" s="113"/>
      <c r="L142" s="113"/>
      <c r="M142" s="113"/>
      <c r="N142" s="113"/>
      <c r="P142" s="113"/>
      <c r="Q142" s="113"/>
      <c r="R142" s="113"/>
      <c r="T142" s="113"/>
      <c r="U142" s="113"/>
      <c r="V142" s="113"/>
    </row>
    <row r="143" customFormat="false" ht="15" hidden="false" customHeight="true" outlineLevel="0" collapsed="false">
      <c r="H143" s="113"/>
      <c r="I143" s="113"/>
      <c r="J143" s="113"/>
      <c r="L143" s="113"/>
      <c r="M143" s="113"/>
      <c r="N143" s="113"/>
      <c r="P143" s="113"/>
      <c r="Q143" s="113"/>
      <c r="R143" s="113"/>
      <c r="T143" s="113"/>
      <c r="U143" s="113"/>
      <c r="V143" s="113"/>
    </row>
    <row r="144" customFormat="false" ht="15" hidden="false" customHeight="true" outlineLevel="0" collapsed="false">
      <c r="H144" s="113"/>
      <c r="I144" s="113"/>
      <c r="J144" s="113"/>
      <c r="L144" s="113"/>
      <c r="M144" s="113"/>
      <c r="N144" s="113"/>
      <c r="P144" s="113"/>
      <c r="Q144" s="113"/>
      <c r="R144" s="113"/>
      <c r="T144" s="113"/>
      <c r="U144" s="113"/>
      <c r="V144" s="113"/>
    </row>
    <row r="145" customFormat="false" ht="15" hidden="false" customHeight="true" outlineLevel="0" collapsed="false">
      <c r="H145" s="113"/>
      <c r="I145" s="113"/>
      <c r="J145" s="113"/>
      <c r="L145" s="113"/>
      <c r="M145" s="113"/>
      <c r="N145" s="113"/>
      <c r="P145" s="113"/>
      <c r="Q145" s="113"/>
      <c r="R145" s="113"/>
      <c r="T145" s="113"/>
      <c r="U145" s="113"/>
      <c r="V145" s="113"/>
    </row>
    <row r="146" customFormat="false" ht="15" hidden="false" customHeight="true" outlineLevel="0" collapsed="false">
      <c r="H146" s="113"/>
      <c r="I146" s="113"/>
      <c r="J146" s="113"/>
      <c r="L146" s="113"/>
      <c r="M146" s="113"/>
      <c r="N146" s="113"/>
      <c r="P146" s="113"/>
      <c r="Q146" s="113"/>
      <c r="R146" s="113"/>
      <c r="T146" s="113"/>
      <c r="U146" s="113"/>
      <c r="V146" s="113"/>
    </row>
    <row r="147" customFormat="false" ht="15" hidden="false" customHeight="true" outlineLevel="0" collapsed="false">
      <c r="H147" s="113"/>
      <c r="I147" s="113"/>
      <c r="J147" s="113"/>
      <c r="L147" s="113"/>
      <c r="M147" s="113"/>
      <c r="N147" s="113"/>
      <c r="P147" s="113"/>
      <c r="Q147" s="113"/>
      <c r="R147" s="113"/>
      <c r="T147" s="113"/>
      <c r="U147" s="113"/>
      <c r="V147" s="113"/>
    </row>
    <row r="148" customFormat="false" ht="15" hidden="false" customHeight="true" outlineLevel="0" collapsed="false">
      <c r="H148" s="113"/>
      <c r="I148" s="113"/>
      <c r="J148" s="113"/>
      <c r="L148" s="113"/>
      <c r="M148" s="113"/>
      <c r="N148" s="113"/>
      <c r="P148" s="113"/>
      <c r="Q148" s="113"/>
      <c r="R148" s="113"/>
      <c r="T148" s="113"/>
      <c r="U148" s="113"/>
      <c r="V148" s="113"/>
    </row>
    <row r="149" customFormat="false" ht="15" hidden="false" customHeight="true" outlineLevel="0" collapsed="false">
      <c r="H149" s="113"/>
      <c r="I149" s="113"/>
      <c r="J149" s="113"/>
      <c r="L149" s="113"/>
      <c r="M149" s="113"/>
      <c r="N149" s="113"/>
      <c r="P149" s="113"/>
      <c r="Q149" s="113"/>
      <c r="R149" s="113"/>
      <c r="T149" s="113"/>
      <c r="U149" s="113"/>
      <c r="V149" s="113"/>
    </row>
    <row r="150" customFormat="false" ht="15" hidden="false" customHeight="true" outlineLevel="0" collapsed="false">
      <c r="H150" s="113"/>
      <c r="I150" s="113"/>
      <c r="J150" s="113"/>
      <c r="L150" s="113"/>
      <c r="M150" s="113"/>
      <c r="N150" s="113"/>
      <c r="P150" s="113"/>
      <c r="Q150" s="113"/>
      <c r="R150" s="113"/>
      <c r="T150" s="113"/>
      <c r="U150" s="113"/>
      <c r="V150" s="113"/>
    </row>
    <row r="151" customFormat="false" ht="15" hidden="false" customHeight="true" outlineLevel="0" collapsed="false">
      <c r="H151" s="113"/>
      <c r="I151" s="113"/>
      <c r="J151" s="113"/>
      <c r="L151" s="113"/>
      <c r="M151" s="113"/>
      <c r="N151" s="113"/>
      <c r="P151" s="113"/>
      <c r="Q151" s="113"/>
      <c r="R151" s="113"/>
      <c r="T151" s="113"/>
      <c r="U151" s="113"/>
      <c r="V151" s="113"/>
    </row>
    <row r="152" customFormat="false" ht="15" hidden="false" customHeight="true" outlineLevel="0" collapsed="false">
      <c r="H152" s="113"/>
      <c r="I152" s="113"/>
      <c r="J152" s="113"/>
      <c r="L152" s="113"/>
      <c r="M152" s="113"/>
      <c r="N152" s="113"/>
      <c r="P152" s="113"/>
      <c r="Q152" s="113"/>
      <c r="R152" s="113"/>
      <c r="T152" s="113"/>
      <c r="U152" s="113"/>
      <c r="V152" s="113"/>
    </row>
    <row r="153" customFormat="false" ht="15" hidden="false" customHeight="true" outlineLevel="0" collapsed="false">
      <c r="H153" s="113"/>
      <c r="I153" s="113"/>
      <c r="J153" s="113"/>
      <c r="L153" s="113"/>
      <c r="M153" s="113"/>
      <c r="N153" s="113"/>
      <c r="P153" s="113"/>
      <c r="Q153" s="113"/>
      <c r="R153" s="113"/>
      <c r="T153" s="113"/>
      <c r="U153" s="113"/>
      <c r="V153" s="113"/>
    </row>
    <row r="154" customFormat="false" ht="15" hidden="false" customHeight="true" outlineLevel="0" collapsed="false">
      <c r="H154" s="113"/>
      <c r="I154" s="113"/>
      <c r="J154" s="113"/>
      <c r="L154" s="113"/>
      <c r="M154" s="113"/>
      <c r="N154" s="113"/>
      <c r="P154" s="113"/>
      <c r="Q154" s="113"/>
      <c r="R154" s="113"/>
      <c r="T154" s="113"/>
      <c r="U154" s="113"/>
      <c r="V154" s="113"/>
    </row>
    <row r="155" customFormat="false" ht="15" hidden="false" customHeight="true" outlineLevel="0" collapsed="false">
      <c r="H155" s="113"/>
      <c r="I155" s="113"/>
      <c r="J155" s="113"/>
      <c r="L155" s="113"/>
      <c r="M155" s="113"/>
      <c r="N155" s="113"/>
      <c r="P155" s="113"/>
      <c r="Q155" s="113"/>
      <c r="R155" s="113"/>
      <c r="T155" s="113"/>
      <c r="U155" s="113"/>
      <c r="V155" s="113"/>
    </row>
    <row r="156" customFormat="false" ht="15" hidden="false" customHeight="true" outlineLevel="0" collapsed="false">
      <c r="H156" s="113"/>
      <c r="I156" s="113"/>
      <c r="J156" s="113"/>
      <c r="L156" s="113"/>
      <c r="M156" s="113"/>
      <c r="N156" s="113"/>
      <c r="P156" s="113"/>
      <c r="Q156" s="113"/>
      <c r="R156" s="113"/>
      <c r="T156" s="113"/>
      <c r="U156" s="113"/>
      <c r="V156" s="113"/>
    </row>
    <row r="157" customFormat="false" ht="15" hidden="false" customHeight="true" outlineLevel="0" collapsed="false">
      <c r="H157" s="113"/>
      <c r="I157" s="113"/>
      <c r="J157" s="113"/>
      <c r="L157" s="113"/>
      <c r="M157" s="113"/>
      <c r="N157" s="113"/>
      <c r="P157" s="113"/>
      <c r="Q157" s="113"/>
      <c r="R157" s="113"/>
      <c r="T157" s="113"/>
      <c r="U157" s="113"/>
      <c r="V157" s="113"/>
    </row>
    <row r="158" customFormat="false" ht="15" hidden="false" customHeight="true" outlineLevel="0" collapsed="false">
      <c r="H158" s="113"/>
      <c r="I158" s="113"/>
      <c r="J158" s="113"/>
      <c r="L158" s="113"/>
      <c r="M158" s="113"/>
      <c r="N158" s="113"/>
      <c r="P158" s="113"/>
      <c r="Q158" s="113"/>
      <c r="R158" s="113"/>
      <c r="T158" s="113"/>
      <c r="U158" s="113"/>
      <c r="V158" s="113"/>
    </row>
    <row r="159" customFormat="false" ht="15" hidden="false" customHeight="true" outlineLevel="0" collapsed="false">
      <c r="H159" s="113"/>
      <c r="I159" s="113"/>
      <c r="J159" s="113"/>
      <c r="L159" s="113"/>
      <c r="M159" s="113"/>
      <c r="N159" s="113"/>
      <c r="P159" s="113"/>
      <c r="Q159" s="113"/>
      <c r="R159" s="113"/>
      <c r="T159" s="113"/>
      <c r="U159" s="113"/>
      <c r="V159" s="113"/>
    </row>
    <row r="160" customFormat="false" ht="15" hidden="false" customHeight="true" outlineLevel="0" collapsed="false">
      <c r="H160" s="113"/>
      <c r="I160" s="113"/>
      <c r="J160" s="113"/>
      <c r="L160" s="113"/>
      <c r="M160" s="113"/>
      <c r="N160" s="113"/>
      <c r="P160" s="113"/>
      <c r="Q160" s="113"/>
      <c r="R160" s="113"/>
      <c r="T160" s="113"/>
      <c r="U160" s="113"/>
      <c r="V160" s="113"/>
    </row>
    <row r="161" customFormat="false" ht="15" hidden="false" customHeight="true" outlineLevel="0" collapsed="false">
      <c r="H161" s="113"/>
      <c r="I161" s="113"/>
      <c r="J161" s="113"/>
      <c r="L161" s="113"/>
      <c r="M161" s="113"/>
      <c r="N161" s="113"/>
      <c r="P161" s="113"/>
      <c r="Q161" s="113"/>
      <c r="R161" s="113"/>
      <c r="T161" s="113"/>
      <c r="U161" s="113"/>
      <c r="V161" s="113"/>
    </row>
    <row r="162" customFormat="false" ht="15" hidden="false" customHeight="true" outlineLevel="0" collapsed="false">
      <c r="H162" s="113"/>
      <c r="I162" s="113"/>
      <c r="J162" s="113"/>
      <c r="L162" s="113"/>
      <c r="M162" s="113"/>
      <c r="N162" s="113"/>
      <c r="P162" s="113"/>
      <c r="Q162" s="113"/>
      <c r="R162" s="113"/>
      <c r="T162" s="113"/>
      <c r="U162" s="113"/>
      <c r="V162" s="113"/>
    </row>
    <row r="163" customFormat="false" ht="15" hidden="false" customHeight="true" outlineLevel="0" collapsed="false">
      <c r="H163" s="113"/>
      <c r="I163" s="113"/>
      <c r="J163" s="113"/>
      <c r="L163" s="113"/>
      <c r="M163" s="113"/>
      <c r="N163" s="113"/>
      <c r="P163" s="113"/>
      <c r="Q163" s="113"/>
      <c r="R163" s="113"/>
      <c r="T163" s="113"/>
      <c r="U163" s="113"/>
      <c r="V163" s="113"/>
    </row>
    <row r="164" customFormat="false" ht="15" hidden="false" customHeight="true" outlineLevel="0" collapsed="false">
      <c r="H164" s="113"/>
      <c r="I164" s="113"/>
      <c r="J164" s="113"/>
      <c r="L164" s="113"/>
      <c r="M164" s="113"/>
      <c r="N164" s="113"/>
      <c r="P164" s="113"/>
      <c r="Q164" s="113"/>
      <c r="R164" s="113"/>
      <c r="T164" s="113"/>
      <c r="U164" s="113"/>
      <c r="V164" s="113"/>
    </row>
    <row r="165" customFormat="false" ht="15" hidden="false" customHeight="true" outlineLevel="0" collapsed="false">
      <c r="H165" s="113"/>
      <c r="I165" s="113"/>
      <c r="J165" s="113"/>
      <c r="L165" s="113"/>
      <c r="M165" s="113"/>
      <c r="N165" s="113"/>
      <c r="P165" s="113"/>
      <c r="Q165" s="113"/>
      <c r="R165" s="113"/>
      <c r="T165" s="113"/>
      <c r="U165" s="113"/>
      <c r="V165" s="113"/>
    </row>
    <row r="166" customFormat="false" ht="15" hidden="false" customHeight="true" outlineLevel="0" collapsed="false">
      <c r="H166" s="113"/>
      <c r="I166" s="113"/>
      <c r="J166" s="113"/>
      <c r="L166" s="113"/>
      <c r="M166" s="113"/>
      <c r="N166" s="113"/>
      <c r="P166" s="113"/>
      <c r="Q166" s="113"/>
      <c r="R166" s="113"/>
      <c r="T166" s="113"/>
      <c r="U166" s="113"/>
      <c r="V166" s="113"/>
    </row>
    <row r="167" customFormat="false" ht="15" hidden="false" customHeight="true" outlineLevel="0" collapsed="false">
      <c r="H167" s="113"/>
      <c r="I167" s="113"/>
      <c r="J167" s="113"/>
      <c r="L167" s="113"/>
      <c r="M167" s="113"/>
      <c r="N167" s="113"/>
      <c r="P167" s="113"/>
      <c r="Q167" s="113"/>
      <c r="R167" s="113"/>
      <c r="T167" s="113"/>
      <c r="U167" s="113"/>
      <c r="V167" s="113"/>
    </row>
    <row r="168" customFormat="false" ht="15" hidden="false" customHeight="true" outlineLevel="0" collapsed="false">
      <c r="H168" s="113"/>
      <c r="I168" s="113"/>
      <c r="J168" s="113"/>
      <c r="L168" s="113"/>
      <c r="M168" s="113"/>
      <c r="N168" s="113"/>
      <c r="P168" s="113"/>
      <c r="Q168" s="113"/>
      <c r="R168" s="113"/>
      <c r="T168" s="113"/>
      <c r="U168" s="113"/>
      <c r="V168" s="113"/>
    </row>
    <row r="169" customFormat="false" ht="15" hidden="false" customHeight="true" outlineLevel="0" collapsed="false">
      <c r="H169" s="113"/>
      <c r="I169" s="113"/>
      <c r="J169" s="113"/>
      <c r="L169" s="113"/>
      <c r="M169" s="113"/>
      <c r="N169" s="113"/>
      <c r="P169" s="113"/>
      <c r="Q169" s="113"/>
      <c r="R169" s="113"/>
      <c r="T169" s="113"/>
      <c r="U169" s="113"/>
      <c r="V169" s="113"/>
    </row>
    <row r="170" customFormat="false" ht="15" hidden="false" customHeight="true" outlineLevel="0" collapsed="false">
      <c r="H170" s="113"/>
      <c r="I170" s="113"/>
      <c r="J170" s="113"/>
      <c r="L170" s="113"/>
      <c r="M170" s="113"/>
      <c r="N170" s="113"/>
      <c r="P170" s="113"/>
      <c r="Q170" s="113"/>
      <c r="R170" s="113"/>
      <c r="T170" s="113"/>
      <c r="U170" s="113"/>
      <c r="V170" s="113"/>
    </row>
    <row r="171" customFormat="false" ht="15" hidden="false" customHeight="true" outlineLevel="0" collapsed="false">
      <c r="H171" s="113"/>
      <c r="I171" s="113"/>
      <c r="J171" s="113"/>
      <c r="L171" s="113"/>
      <c r="M171" s="113"/>
      <c r="N171" s="113"/>
      <c r="P171" s="113"/>
      <c r="Q171" s="113"/>
      <c r="R171" s="113"/>
      <c r="T171" s="113"/>
      <c r="U171" s="113"/>
      <c r="V171" s="113"/>
    </row>
    <row r="172" customFormat="false" ht="15" hidden="false" customHeight="true" outlineLevel="0" collapsed="false">
      <c r="H172" s="113"/>
      <c r="I172" s="113"/>
      <c r="J172" s="113"/>
      <c r="L172" s="113"/>
      <c r="M172" s="113"/>
      <c r="N172" s="113"/>
      <c r="P172" s="113"/>
      <c r="Q172" s="113"/>
      <c r="R172" s="113"/>
      <c r="T172" s="113"/>
      <c r="U172" s="113"/>
      <c r="V172" s="113"/>
    </row>
    <row r="173" customFormat="false" ht="15" hidden="false" customHeight="true" outlineLevel="0" collapsed="false">
      <c r="H173" s="113"/>
      <c r="I173" s="113"/>
      <c r="J173" s="113"/>
      <c r="L173" s="113"/>
      <c r="M173" s="113"/>
      <c r="N173" s="113"/>
      <c r="P173" s="113"/>
      <c r="Q173" s="113"/>
      <c r="R173" s="113"/>
      <c r="T173" s="113"/>
      <c r="U173" s="113"/>
      <c r="V173" s="113"/>
    </row>
    <row r="174" customFormat="false" ht="15" hidden="false" customHeight="true" outlineLevel="0" collapsed="false">
      <c r="H174" s="113"/>
      <c r="I174" s="113"/>
      <c r="J174" s="113"/>
      <c r="L174" s="113"/>
      <c r="M174" s="113"/>
      <c r="N174" s="113"/>
      <c r="P174" s="113"/>
      <c r="Q174" s="113"/>
      <c r="R174" s="113"/>
      <c r="T174" s="113"/>
      <c r="U174" s="113"/>
      <c r="V174" s="113"/>
    </row>
    <row r="175" customFormat="false" ht="15" hidden="false" customHeight="true" outlineLevel="0" collapsed="false">
      <c r="H175" s="113"/>
      <c r="I175" s="113"/>
      <c r="J175" s="113"/>
      <c r="L175" s="113"/>
      <c r="M175" s="113"/>
      <c r="N175" s="113"/>
      <c r="P175" s="113"/>
      <c r="Q175" s="113"/>
      <c r="R175" s="113"/>
      <c r="T175" s="113"/>
      <c r="U175" s="113"/>
      <c r="V175" s="113"/>
    </row>
    <row r="176" customFormat="false" ht="15" hidden="false" customHeight="true" outlineLevel="0" collapsed="false">
      <c r="H176" s="113"/>
      <c r="I176" s="113"/>
      <c r="J176" s="113"/>
      <c r="L176" s="113"/>
      <c r="M176" s="113"/>
      <c r="N176" s="113"/>
      <c r="P176" s="113"/>
      <c r="Q176" s="113"/>
      <c r="R176" s="113"/>
      <c r="T176" s="113"/>
      <c r="U176" s="113"/>
      <c r="V176" s="113"/>
    </row>
    <row r="177" customFormat="false" ht="15" hidden="false" customHeight="true" outlineLevel="0" collapsed="false">
      <c r="H177" s="113"/>
      <c r="I177" s="113"/>
      <c r="J177" s="113"/>
      <c r="L177" s="113"/>
      <c r="M177" s="113"/>
      <c r="N177" s="113"/>
      <c r="P177" s="113"/>
      <c r="Q177" s="113"/>
      <c r="R177" s="113"/>
      <c r="T177" s="113"/>
      <c r="U177" s="113"/>
      <c r="V177" s="113"/>
    </row>
    <row r="178" customFormat="false" ht="15" hidden="false" customHeight="true" outlineLevel="0" collapsed="false">
      <c r="H178" s="113"/>
      <c r="I178" s="113"/>
      <c r="J178" s="113"/>
      <c r="L178" s="113"/>
      <c r="M178" s="113"/>
      <c r="N178" s="113"/>
      <c r="P178" s="113"/>
      <c r="Q178" s="113"/>
      <c r="R178" s="113"/>
      <c r="T178" s="113"/>
      <c r="U178" s="113"/>
      <c r="V178" s="113"/>
    </row>
    <row r="179" customFormat="false" ht="15" hidden="false" customHeight="true" outlineLevel="0" collapsed="false">
      <c r="H179" s="113"/>
      <c r="I179" s="113"/>
      <c r="J179" s="113"/>
      <c r="L179" s="113"/>
      <c r="M179" s="113"/>
      <c r="N179" s="113"/>
      <c r="P179" s="113"/>
      <c r="Q179" s="113"/>
      <c r="R179" s="113"/>
      <c r="T179" s="113"/>
      <c r="U179" s="113"/>
      <c r="V179" s="113"/>
    </row>
    <row r="180" customFormat="false" ht="15" hidden="false" customHeight="true" outlineLevel="0" collapsed="false">
      <c r="H180" s="113"/>
      <c r="I180" s="113"/>
      <c r="J180" s="113"/>
      <c r="L180" s="113"/>
      <c r="M180" s="113"/>
      <c r="N180" s="113"/>
      <c r="P180" s="113"/>
      <c r="Q180" s="113"/>
      <c r="R180" s="113"/>
      <c r="T180" s="113"/>
      <c r="U180" s="113"/>
      <c r="V180" s="113"/>
    </row>
    <row r="181" customFormat="false" ht="15" hidden="false" customHeight="true" outlineLevel="0" collapsed="false">
      <c r="H181" s="113"/>
      <c r="I181" s="113"/>
      <c r="J181" s="113"/>
      <c r="L181" s="113"/>
      <c r="M181" s="113"/>
      <c r="N181" s="113"/>
      <c r="P181" s="113"/>
      <c r="Q181" s="113"/>
      <c r="R181" s="113"/>
      <c r="T181" s="113"/>
      <c r="U181" s="113"/>
      <c r="V181" s="113"/>
    </row>
    <row r="182" customFormat="false" ht="15" hidden="false" customHeight="true" outlineLevel="0" collapsed="false">
      <c r="H182" s="113"/>
      <c r="I182" s="113"/>
      <c r="J182" s="113"/>
      <c r="L182" s="113"/>
      <c r="M182" s="113"/>
      <c r="N182" s="113"/>
      <c r="P182" s="113"/>
      <c r="Q182" s="113"/>
      <c r="R182" s="113"/>
      <c r="T182" s="113"/>
      <c r="U182" s="113"/>
      <c r="V182" s="113"/>
    </row>
    <row r="183" customFormat="false" ht="15" hidden="false" customHeight="true" outlineLevel="0" collapsed="false">
      <c r="H183" s="113"/>
      <c r="I183" s="113"/>
      <c r="J183" s="113"/>
      <c r="L183" s="113"/>
      <c r="M183" s="113"/>
      <c r="N183" s="113"/>
      <c r="P183" s="113"/>
      <c r="Q183" s="113"/>
      <c r="R183" s="113"/>
      <c r="T183" s="113"/>
      <c r="U183" s="113"/>
      <c r="V183" s="113"/>
    </row>
    <row r="184" customFormat="false" ht="15" hidden="false" customHeight="true" outlineLevel="0" collapsed="false">
      <c r="H184" s="113"/>
      <c r="I184" s="113"/>
      <c r="J184" s="113"/>
      <c r="L184" s="113"/>
      <c r="M184" s="113"/>
      <c r="N184" s="113"/>
      <c r="P184" s="113"/>
      <c r="Q184" s="113"/>
      <c r="R184" s="113"/>
      <c r="T184" s="113"/>
      <c r="U184" s="113"/>
      <c r="V184" s="113"/>
    </row>
    <row r="185" customFormat="false" ht="15" hidden="false" customHeight="true" outlineLevel="0" collapsed="false">
      <c r="H185" s="113"/>
      <c r="I185" s="113"/>
      <c r="J185" s="113"/>
      <c r="L185" s="113"/>
      <c r="M185" s="113"/>
      <c r="N185" s="113"/>
      <c r="P185" s="113"/>
      <c r="Q185" s="113"/>
      <c r="R185" s="113"/>
      <c r="T185" s="113"/>
      <c r="U185" s="113"/>
      <c r="V185" s="113"/>
    </row>
    <row r="186" customFormat="false" ht="15" hidden="false" customHeight="true" outlineLevel="0" collapsed="false">
      <c r="H186" s="113"/>
      <c r="I186" s="113"/>
      <c r="J186" s="113"/>
      <c r="L186" s="113"/>
      <c r="M186" s="113"/>
      <c r="N186" s="113"/>
      <c r="P186" s="113"/>
      <c r="Q186" s="113"/>
      <c r="R186" s="113"/>
      <c r="T186" s="113"/>
      <c r="U186" s="113"/>
      <c r="V186" s="113"/>
    </row>
    <row r="187" customFormat="false" ht="15" hidden="false" customHeight="true" outlineLevel="0" collapsed="false">
      <c r="H187" s="113"/>
      <c r="I187" s="113"/>
      <c r="J187" s="113"/>
      <c r="L187" s="113"/>
      <c r="M187" s="113"/>
      <c r="N187" s="113"/>
      <c r="P187" s="113"/>
      <c r="Q187" s="113"/>
      <c r="R187" s="113"/>
      <c r="T187" s="113"/>
      <c r="U187" s="113"/>
      <c r="V187" s="113"/>
    </row>
    <row r="188" customFormat="false" ht="15" hidden="false" customHeight="true" outlineLevel="0" collapsed="false">
      <c r="H188" s="113"/>
      <c r="I188" s="113"/>
      <c r="J188" s="113"/>
      <c r="L188" s="113"/>
      <c r="M188" s="113"/>
      <c r="N188" s="113"/>
      <c r="P188" s="113"/>
      <c r="Q188" s="113"/>
      <c r="R188" s="113"/>
      <c r="T188" s="113"/>
      <c r="U188" s="113"/>
      <c r="V188" s="113"/>
    </row>
    <row r="189" customFormat="false" ht="15" hidden="false" customHeight="true" outlineLevel="0" collapsed="false">
      <c r="H189" s="113"/>
      <c r="I189" s="113"/>
      <c r="J189" s="113"/>
      <c r="L189" s="113"/>
      <c r="M189" s="113"/>
      <c r="N189" s="113"/>
      <c r="P189" s="113"/>
      <c r="Q189" s="113"/>
      <c r="R189" s="113"/>
      <c r="T189" s="113"/>
      <c r="U189" s="113"/>
      <c r="V189" s="113"/>
    </row>
    <row r="190" customFormat="false" ht="15" hidden="false" customHeight="true" outlineLevel="0" collapsed="false">
      <c r="H190" s="113"/>
      <c r="I190" s="113"/>
      <c r="J190" s="113"/>
      <c r="L190" s="113"/>
      <c r="M190" s="113"/>
      <c r="N190" s="113"/>
      <c r="P190" s="113"/>
      <c r="Q190" s="113"/>
      <c r="R190" s="113"/>
      <c r="T190" s="113"/>
      <c r="U190" s="113"/>
      <c r="V190" s="113"/>
    </row>
    <row r="191" customFormat="false" ht="15" hidden="false" customHeight="true" outlineLevel="0" collapsed="false">
      <c r="H191" s="113"/>
      <c r="I191" s="113"/>
      <c r="J191" s="113"/>
      <c r="L191" s="113"/>
      <c r="M191" s="113"/>
      <c r="N191" s="113"/>
      <c r="P191" s="113"/>
      <c r="Q191" s="113"/>
      <c r="R191" s="113"/>
      <c r="T191" s="113"/>
      <c r="U191" s="113"/>
      <c r="V191" s="113"/>
    </row>
    <row r="192" customFormat="false" ht="15" hidden="false" customHeight="true" outlineLevel="0" collapsed="false">
      <c r="H192" s="113"/>
      <c r="I192" s="113"/>
      <c r="J192" s="113"/>
      <c r="L192" s="113"/>
      <c r="M192" s="113"/>
      <c r="N192" s="113"/>
      <c r="P192" s="113"/>
      <c r="Q192" s="113"/>
      <c r="R192" s="113"/>
      <c r="T192" s="113"/>
      <c r="U192" s="113"/>
      <c r="V192" s="113"/>
    </row>
    <row r="193" customFormat="false" ht="15" hidden="false" customHeight="true" outlineLevel="0" collapsed="false">
      <c r="H193" s="113"/>
      <c r="I193" s="113"/>
      <c r="J193" s="113"/>
      <c r="L193" s="113"/>
      <c r="M193" s="113"/>
      <c r="N193" s="113"/>
      <c r="P193" s="113"/>
      <c r="Q193" s="113"/>
      <c r="R193" s="113"/>
      <c r="T193" s="113"/>
      <c r="U193" s="113"/>
      <c r="V193" s="113"/>
    </row>
    <row r="194" customFormat="false" ht="15" hidden="false" customHeight="true" outlineLevel="0" collapsed="false">
      <c r="H194" s="113"/>
      <c r="I194" s="113"/>
      <c r="J194" s="113"/>
      <c r="L194" s="113"/>
      <c r="M194" s="113"/>
      <c r="N194" s="113"/>
      <c r="P194" s="113"/>
      <c r="Q194" s="113"/>
      <c r="R194" s="113"/>
      <c r="T194" s="113"/>
      <c r="U194" s="113"/>
      <c r="V194" s="113"/>
    </row>
    <row r="195" customFormat="false" ht="15" hidden="false" customHeight="true" outlineLevel="0" collapsed="false">
      <c r="H195" s="113"/>
      <c r="I195" s="113"/>
      <c r="J195" s="113"/>
      <c r="L195" s="113"/>
      <c r="M195" s="113"/>
      <c r="N195" s="113"/>
      <c r="P195" s="113"/>
      <c r="Q195" s="113"/>
      <c r="R195" s="113"/>
      <c r="T195" s="113"/>
      <c r="U195" s="113"/>
      <c r="V195" s="113"/>
    </row>
    <row r="196" customFormat="false" ht="15" hidden="false" customHeight="true" outlineLevel="0" collapsed="false">
      <c r="H196" s="113"/>
      <c r="I196" s="113"/>
      <c r="J196" s="113"/>
      <c r="L196" s="113"/>
      <c r="M196" s="113"/>
      <c r="N196" s="113"/>
      <c r="P196" s="113"/>
      <c r="Q196" s="113"/>
      <c r="R196" s="113"/>
      <c r="T196" s="113"/>
      <c r="U196" s="113"/>
      <c r="V196" s="113"/>
    </row>
    <row r="197" customFormat="false" ht="15" hidden="false" customHeight="true" outlineLevel="0" collapsed="false">
      <c r="H197" s="113"/>
      <c r="I197" s="113"/>
      <c r="J197" s="113"/>
      <c r="L197" s="113"/>
      <c r="M197" s="113"/>
      <c r="N197" s="113"/>
      <c r="P197" s="113"/>
      <c r="Q197" s="113"/>
      <c r="R197" s="113"/>
      <c r="T197" s="113"/>
      <c r="U197" s="113"/>
      <c r="V197" s="113"/>
    </row>
    <row r="198" customFormat="false" ht="15" hidden="false" customHeight="true" outlineLevel="0" collapsed="false">
      <c r="H198" s="113"/>
      <c r="I198" s="113"/>
      <c r="J198" s="113"/>
      <c r="L198" s="113"/>
      <c r="M198" s="113"/>
      <c r="N198" s="113"/>
      <c r="P198" s="113"/>
      <c r="Q198" s="113"/>
      <c r="R198" s="113"/>
      <c r="T198" s="113"/>
      <c r="U198" s="113"/>
      <c r="V198" s="113"/>
    </row>
    <row r="199" customFormat="false" ht="15" hidden="false" customHeight="true" outlineLevel="0" collapsed="false">
      <c r="H199" s="113"/>
      <c r="I199" s="113"/>
      <c r="J199" s="113"/>
      <c r="L199" s="113"/>
      <c r="M199" s="113"/>
      <c r="N199" s="113"/>
      <c r="P199" s="113"/>
      <c r="Q199" s="113"/>
      <c r="R199" s="113"/>
      <c r="T199" s="113"/>
      <c r="U199" s="113"/>
      <c r="V199" s="113"/>
    </row>
    <row r="200" customFormat="false" ht="15" hidden="false" customHeight="true" outlineLevel="0" collapsed="false">
      <c r="H200" s="113"/>
      <c r="I200" s="113"/>
      <c r="J200" s="113"/>
      <c r="L200" s="113"/>
      <c r="M200" s="113"/>
      <c r="N200" s="113"/>
      <c r="P200" s="113"/>
      <c r="Q200" s="113"/>
      <c r="R200" s="113"/>
      <c r="T200" s="113"/>
      <c r="U200" s="113"/>
      <c r="V200" s="113"/>
    </row>
    <row r="201" customFormat="false" ht="15" hidden="false" customHeight="true" outlineLevel="0" collapsed="false">
      <c r="H201" s="113"/>
      <c r="I201" s="113"/>
      <c r="J201" s="113"/>
      <c r="L201" s="113"/>
      <c r="M201" s="113"/>
      <c r="N201" s="113"/>
      <c r="P201" s="113"/>
      <c r="Q201" s="113"/>
      <c r="R201" s="113"/>
      <c r="T201" s="113"/>
      <c r="U201" s="113"/>
      <c r="V201" s="113"/>
    </row>
    <row r="202" customFormat="false" ht="15" hidden="false" customHeight="true" outlineLevel="0" collapsed="false">
      <c r="H202" s="113"/>
      <c r="I202" s="113"/>
      <c r="J202" s="113"/>
      <c r="L202" s="113"/>
      <c r="M202" s="113"/>
      <c r="N202" s="113"/>
      <c r="P202" s="113"/>
      <c r="Q202" s="113"/>
      <c r="R202" s="113"/>
      <c r="T202" s="113"/>
      <c r="U202" s="113"/>
      <c r="V202" s="113"/>
    </row>
    <row r="203" customFormat="false" ht="15" hidden="false" customHeight="true" outlineLevel="0" collapsed="false">
      <c r="H203" s="113"/>
      <c r="I203" s="113"/>
      <c r="J203" s="113"/>
      <c r="L203" s="113"/>
      <c r="M203" s="113"/>
      <c r="N203" s="113"/>
      <c r="P203" s="113"/>
      <c r="Q203" s="113"/>
      <c r="R203" s="113"/>
      <c r="T203" s="113"/>
      <c r="U203" s="113"/>
      <c r="V203" s="113"/>
    </row>
    <row r="204" customFormat="false" ht="15" hidden="false" customHeight="true" outlineLevel="0" collapsed="false">
      <c r="H204" s="113"/>
      <c r="I204" s="113"/>
      <c r="J204" s="113"/>
      <c r="L204" s="113"/>
      <c r="M204" s="113"/>
      <c r="N204" s="113"/>
      <c r="P204" s="113"/>
      <c r="Q204" s="113"/>
      <c r="R204" s="113"/>
      <c r="T204" s="113"/>
      <c r="U204" s="113"/>
      <c r="V204" s="113"/>
    </row>
    <row r="205" customFormat="false" ht="15" hidden="false" customHeight="true" outlineLevel="0" collapsed="false">
      <c r="H205" s="113"/>
      <c r="I205" s="113"/>
      <c r="J205" s="113"/>
      <c r="L205" s="113"/>
      <c r="M205" s="113"/>
      <c r="N205" s="113"/>
      <c r="P205" s="113"/>
      <c r="Q205" s="113"/>
      <c r="R205" s="113"/>
      <c r="T205" s="113"/>
      <c r="U205" s="113"/>
      <c r="V205" s="113"/>
    </row>
    <row r="206" customFormat="false" ht="15" hidden="false" customHeight="true" outlineLevel="0" collapsed="false">
      <c r="H206" s="113"/>
      <c r="I206" s="113"/>
      <c r="J206" s="113"/>
      <c r="L206" s="113"/>
      <c r="M206" s="113"/>
      <c r="N206" s="113"/>
      <c r="P206" s="113"/>
      <c r="Q206" s="113"/>
      <c r="R206" s="113"/>
      <c r="T206" s="113"/>
      <c r="U206" s="113"/>
      <c r="V206" s="113"/>
    </row>
    <row r="207" customFormat="false" ht="15" hidden="false" customHeight="true" outlineLevel="0" collapsed="false">
      <c r="H207" s="113"/>
      <c r="I207" s="113"/>
      <c r="J207" s="113"/>
      <c r="L207" s="113"/>
      <c r="M207" s="113"/>
      <c r="N207" s="113"/>
      <c r="P207" s="113"/>
      <c r="Q207" s="113"/>
      <c r="R207" s="113"/>
      <c r="T207" s="113"/>
      <c r="U207" s="113"/>
      <c r="V207" s="113"/>
    </row>
    <row r="208" customFormat="false" ht="15" hidden="false" customHeight="true" outlineLevel="0" collapsed="false">
      <c r="H208" s="113"/>
      <c r="I208" s="113"/>
      <c r="J208" s="113"/>
      <c r="L208" s="113"/>
      <c r="M208" s="113"/>
      <c r="N208" s="113"/>
      <c r="P208" s="113"/>
      <c r="Q208" s="113"/>
      <c r="R208" s="113"/>
      <c r="T208" s="113"/>
      <c r="U208" s="113"/>
      <c r="V208" s="113"/>
    </row>
    <row r="209" customFormat="false" ht="15" hidden="false" customHeight="true" outlineLevel="0" collapsed="false">
      <c r="H209" s="113"/>
      <c r="I209" s="113"/>
      <c r="J209" s="113"/>
      <c r="L209" s="113"/>
      <c r="M209" s="113"/>
      <c r="N209" s="113"/>
      <c r="P209" s="113"/>
      <c r="Q209" s="113"/>
      <c r="R209" s="113"/>
      <c r="T209" s="113"/>
      <c r="U209" s="113"/>
      <c r="V209" s="113"/>
    </row>
    <row r="210" customFormat="false" ht="15" hidden="false" customHeight="true" outlineLevel="0" collapsed="false">
      <c r="H210" s="113"/>
      <c r="I210" s="113"/>
      <c r="J210" s="113"/>
      <c r="L210" s="113"/>
      <c r="M210" s="113"/>
      <c r="N210" s="113"/>
      <c r="P210" s="113"/>
      <c r="Q210" s="113"/>
      <c r="R210" s="113"/>
      <c r="T210" s="113"/>
      <c r="U210" s="113"/>
      <c r="V210" s="113"/>
    </row>
    <row r="211" customFormat="false" ht="15" hidden="false" customHeight="true" outlineLevel="0" collapsed="false">
      <c r="H211" s="113"/>
      <c r="I211" s="113"/>
      <c r="J211" s="113"/>
      <c r="L211" s="113"/>
      <c r="M211" s="113"/>
      <c r="N211" s="113"/>
      <c r="P211" s="113"/>
      <c r="Q211" s="113"/>
      <c r="R211" s="113"/>
      <c r="T211" s="113"/>
      <c r="U211" s="113"/>
      <c r="V211" s="113"/>
    </row>
    <row r="212" customFormat="false" ht="15" hidden="false" customHeight="true" outlineLevel="0" collapsed="false">
      <c r="H212" s="113"/>
      <c r="I212" s="113"/>
      <c r="J212" s="113"/>
      <c r="L212" s="113"/>
      <c r="M212" s="113"/>
      <c r="N212" s="113"/>
      <c r="P212" s="113"/>
      <c r="Q212" s="113"/>
      <c r="R212" s="113"/>
      <c r="T212" s="113"/>
      <c r="U212" s="113"/>
      <c r="V212" s="113"/>
    </row>
    <row r="213" customFormat="false" ht="15" hidden="false" customHeight="true" outlineLevel="0" collapsed="false">
      <c r="H213" s="113"/>
      <c r="I213" s="113"/>
      <c r="J213" s="113"/>
      <c r="L213" s="113"/>
      <c r="M213" s="113"/>
      <c r="N213" s="113"/>
      <c r="P213" s="113"/>
      <c r="Q213" s="113"/>
      <c r="R213" s="113"/>
      <c r="T213" s="113"/>
      <c r="U213" s="113"/>
      <c r="V213" s="113"/>
    </row>
    <row r="214" customFormat="false" ht="15" hidden="false" customHeight="true" outlineLevel="0" collapsed="false">
      <c r="H214" s="113"/>
      <c r="I214" s="113"/>
      <c r="J214" s="113"/>
      <c r="L214" s="113"/>
      <c r="M214" s="113"/>
      <c r="N214" s="113"/>
      <c r="P214" s="113"/>
      <c r="Q214" s="113"/>
      <c r="R214" s="113"/>
      <c r="T214" s="113"/>
      <c r="U214" s="113"/>
      <c r="V214" s="113"/>
    </row>
    <row r="215" customFormat="false" ht="15" hidden="false" customHeight="true" outlineLevel="0" collapsed="false">
      <c r="H215" s="113"/>
      <c r="I215" s="113"/>
      <c r="J215" s="113"/>
      <c r="L215" s="113"/>
      <c r="M215" s="113"/>
      <c r="N215" s="113"/>
      <c r="P215" s="113"/>
      <c r="Q215" s="113"/>
      <c r="R215" s="113"/>
      <c r="T215" s="113"/>
      <c r="U215" s="113"/>
      <c r="V215" s="113"/>
    </row>
    <row r="216" customFormat="false" ht="15" hidden="false" customHeight="true" outlineLevel="0" collapsed="false">
      <c r="H216" s="113"/>
      <c r="I216" s="113"/>
      <c r="J216" s="113"/>
      <c r="L216" s="113"/>
      <c r="M216" s="113"/>
      <c r="N216" s="113"/>
      <c r="P216" s="113"/>
      <c r="Q216" s="113"/>
      <c r="R216" s="113"/>
      <c r="T216" s="113"/>
      <c r="U216" s="113"/>
      <c r="V216" s="113"/>
    </row>
    <row r="217" customFormat="false" ht="15" hidden="false" customHeight="true" outlineLevel="0" collapsed="false">
      <c r="H217" s="113"/>
      <c r="I217" s="113"/>
      <c r="J217" s="113"/>
      <c r="L217" s="113"/>
      <c r="M217" s="113"/>
      <c r="N217" s="113"/>
      <c r="P217" s="113"/>
      <c r="Q217" s="113"/>
      <c r="R217" s="113"/>
      <c r="T217" s="113"/>
      <c r="U217" s="113"/>
      <c r="V217" s="113"/>
    </row>
    <row r="218" customFormat="false" ht="15" hidden="false" customHeight="true" outlineLevel="0" collapsed="false">
      <c r="H218" s="113"/>
      <c r="I218" s="113"/>
      <c r="J218" s="113"/>
      <c r="L218" s="113"/>
      <c r="M218" s="113"/>
      <c r="N218" s="113"/>
      <c r="P218" s="113"/>
      <c r="Q218" s="113"/>
      <c r="R218" s="113"/>
      <c r="T218" s="113"/>
      <c r="U218" s="113"/>
      <c r="V218" s="113"/>
    </row>
    <row r="219" customFormat="false" ht="15" hidden="false" customHeight="true" outlineLevel="0" collapsed="false">
      <c r="H219" s="113"/>
      <c r="I219" s="113"/>
      <c r="J219" s="113"/>
      <c r="L219" s="113"/>
      <c r="M219" s="113"/>
      <c r="N219" s="113"/>
      <c r="P219" s="113"/>
      <c r="Q219" s="113"/>
      <c r="R219" s="113"/>
      <c r="T219" s="113"/>
      <c r="U219" s="113"/>
      <c r="V219" s="113"/>
    </row>
    <row r="220" customFormat="false" ht="15" hidden="false" customHeight="true" outlineLevel="0" collapsed="false">
      <c r="H220" s="113"/>
      <c r="I220" s="113"/>
      <c r="J220" s="113"/>
      <c r="L220" s="113"/>
      <c r="M220" s="113"/>
      <c r="N220" s="113"/>
      <c r="P220" s="113"/>
      <c r="Q220" s="113"/>
      <c r="R220" s="113"/>
      <c r="T220" s="113"/>
      <c r="U220" s="113"/>
      <c r="V220" s="113"/>
    </row>
    <row r="221" customFormat="false" ht="15" hidden="false" customHeight="true" outlineLevel="0" collapsed="false">
      <c r="H221" s="113"/>
      <c r="I221" s="113"/>
      <c r="J221" s="113"/>
      <c r="L221" s="113"/>
      <c r="M221" s="113"/>
      <c r="N221" s="113"/>
      <c r="P221" s="113"/>
      <c r="Q221" s="113"/>
      <c r="R221" s="113"/>
      <c r="T221" s="113"/>
      <c r="U221" s="113"/>
      <c r="V221" s="113"/>
    </row>
    <row r="222" customFormat="false" ht="15" hidden="false" customHeight="true" outlineLevel="0" collapsed="false">
      <c r="H222" s="113"/>
      <c r="I222" s="113"/>
      <c r="J222" s="113"/>
      <c r="L222" s="113"/>
      <c r="M222" s="113"/>
      <c r="N222" s="113"/>
      <c r="P222" s="113"/>
      <c r="Q222" s="113"/>
      <c r="R222" s="113"/>
      <c r="T222" s="113"/>
      <c r="U222" s="113"/>
      <c r="V222" s="113"/>
    </row>
    <row r="223" customFormat="false" ht="15" hidden="false" customHeight="true" outlineLevel="0" collapsed="false">
      <c r="H223" s="113"/>
      <c r="I223" s="113"/>
      <c r="J223" s="113"/>
      <c r="L223" s="113"/>
      <c r="M223" s="113"/>
      <c r="N223" s="113"/>
      <c r="P223" s="113"/>
      <c r="Q223" s="113"/>
      <c r="R223" s="113"/>
      <c r="T223" s="113"/>
      <c r="U223" s="113"/>
      <c r="V223" s="113"/>
    </row>
    <row r="224" customFormat="false" ht="15" hidden="false" customHeight="true" outlineLevel="0" collapsed="false">
      <c r="H224" s="113"/>
      <c r="I224" s="113"/>
      <c r="J224" s="113"/>
      <c r="L224" s="113"/>
      <c r="M224" s="113"/>
      <c r="N224" s="113"/>
      <c r="P224" s="113"/>
      <c r="Q224" s="113"/>
      <c r="R224" s="113"/>
      <c r="T224" s="113"/>
      <c r="U224" s="113"/>
      <c r="V224" s="113"/>
    </row>
    <row r="225" customFormat="false" ht="15" hidden="false" customHeight="true" outlineLevel="0" collapsed="false">
      <c r="H225" s="113"/>
      <c r="I225" s="113"/>
      <c r="J225" s="113"/>
      <c r="L225" s="113"/>
      <c r="M225" s="113"/>
      <c r="N225" s="113"/>
      <c r="P225" s="113"/>
      <c r="Q225" s="113"/>
      <c r="R225" s="113"/>
      <c r="T225" s="113"/>
      <c r="U225" s="113"/>
      <c r="V225" s="113"/>
    </row>
    <row r="226" customFormat="false" ht="15" hidden="false" customHeight="true" outlineLevel="0" collapsed="false">
      <c r="H226" s="113"/>
      <c r="I226" s="113"/>
      <c r="J226" s="113"/>
      <c r="L226" s="113"/>
      <c r="M226" s="113"/>
      <c r="N226" s="113"/>
      <c r="P226" s="113"/>
      <c r="Q226" s="113"/>
      <c r="R226" s="113"/>
      <c r="T226" s="113"/>
      <c r="U226" s="113"/>
      <c r="V226" s="113"/>
    </row>
    <row r="227" customFormat="false" ht="15" hidden="false" customHeight="true" outlineLevel="0" collapsed="false">
      <c r="H227" s="113"/>
      <c r="I227" s="113"/>
      <c r="J227" s="113"/>
      <c r="L227" s="113"/>
      <c r="M227" s="113"/>
      <c r="N227" s="113"/>
      <c r="P227" s="113"/>
      <c r="Q227" s="113"/>
      <c r="R227" s="113"/>
      <c r="T227" s="113"/>
      <c r="U227" s="113"/>
      <c r="V227" s="113"/>
    </row>
    <row r="228" customFormat="false" ht="15" hidden="false" customHeight="true" outlineLevel="0" collapsed="false">
      <c r="H228" s="113"/>
      <c r="I228" s="113"/>
      <c r="J228" s="113"/>
      <c r="L228" s="113"/>
      <c r="M228" s="113"/>
      <c r="N228" s="113"/>
      <c r="P228" s="113"/>
      <c r="Q228" s="113"/>
      <c r="R228" s="113"/>
      <c r="T228" s="113"/>
      <c r="U228" s="113"/>
      <c r="V228" s="113"/>
    </row>
    <row r="229" customFormat="false" ht="15" hidden="false" customHeight="true" outlineLevel="0" collapsed="false">
      <c r="H229" s="113"/>
      <c r="I229" s="113"/>
      <c r="J229" s="113"/>
      <c r="L229" s="113"/>
      <c r="M229" s="113"/>
      <c r="N229" s="113"/>
      <c r="P229" s="113"/>
      <c r="Q229" s="113"/>
      <c r="R229" s="113"/>
      <c r="T229" s="113"/>
      <c r="U229" s="113"/>
      <c r="V229" s="113"/>
    </row>
    <row r="230" customFormat="false" ht="15" hidden="false" customHeight="true" outlineLevel="0" collapsed="false">
      <c r="H230" s="113"/>
      <c r="I230" s="113"/>
      <c r="J230" s="113"/>
      <c r="L230" s="113"/>
      <c r="M230" s="113"/>
      <c r="N230" s="113"/>
      <c r="P230" s="113"/>
      <c r="Q230" s="113"/>
      <c r="R230" s="113"/>
      <c r="T230" s="113"/>
      <c r="U230" s="113"/>
      <c r="V230" s="113"/>
    </row>
    <row r="231" customFormat="false" ht="15" hidden="false" customHeight="true" outlineLevel="0" collapsed="false">
      <c r="H231" s="113"/>
      <c r="I231" s="113"/>
      <c r="J231" s="113"/>
      <c r="L231" s="113"/>
      <c r="M231" s="113"/>
      <c r="N231" s="113"/>
      <c r="P231" s="113"/>
      <c r="Q231" s="113"/>
      <c r="R231" s="113"/>
      <c r="T231" s="113"/>
      <c r="U231" s="113"/>
      <c r="V231" s="113"/>
    </row>
    <row r="232" customFormat="false" ht="15" hidden="false" customHeight="true" outlineLevel="0" collapsed="false">
      <c r="H232" s="113"/>
      <c r="I232" s="113"/>
      <c r="J232" s="113"/>
      <c r="L232" s="113"/>
      <c r="M232" s="113"/>
      <c r="N232" s="113"/>
      <c r="P232" s="113"/>
      <c r="Q232" s="113"/>
      <c r="R232" s="113"/>
      <c r="T232" s="113"/>
      <c r="U232" s="113"/>
      <c r="V232" s="113"/>
    </row>
    <row r="233" customFormat="false" ht="15" hidden="false" customHeight="true" outlineLevel="0" collapsed="false">
      <c r="H233" s="113"/>
      <c r="I233" s="113"/>
      <c r="J233" s="113"/>
      <c r="L233" s="113"/>
      <c r="M233" s="113"/>
      <c r="N233" s="113"/>
      <c r="P233" s="113"/>
      <c r="Q233" s="113"/>
      <c r="R233" s="113"/>
      <c r="T233" s="113"/>
      <c r="U233" s="113"/>
      <c r="V233" s="113"/>
    </row>
    <row r="234" customFormat="false" ht="15" hidden="false" customHeight="true" outlineLevel="0" collapsed="false">
      <c r="H234" s="113"/>
      <c r="I234" s="113"/>
      <c r="J234" s="113"/>
      <c r="L234" s="113"/>
      <c r="M234" s="113"/>
      <c r="N234" s="113"/>
      <c r="P234" s="113"/>
      <c r="Q234" s="113"/>
      <c r="R234" s="113"/>
      <c r="T234" s="113"/>
      <c r="U234" s="113"/>
      <c r="V234" s="113"/>
    </row>
    <row r="235" customFormat="false" ht="15" hidden="false" customHeight="true" outlineLevel="0" collapsed="false">
      <c r="H235" s="113"/>
      <c r="I235" s="113"/>
      <c r="J235" s="113"/>
      <c r="L235" s="113"/>
      <c r="M235" s="113"/>
      <c r="N235" s="113"/>
      <c r="P235" s="113"/>
      <c r="Q235" s="113"/>
      <c r="R235" s="113"/>
      <c r="T235" s="113"/>
      <c r="U235" s="113"/>
      <c r="V235" s="113"/>
    </row>
    <row r="236" customFormat="false" ht="15" hidden="false" customHeight="true" outlineLevel="0" collapsed="false">
      <c r="H236" s="113"/>
      <c r="I236" s="113"/>
      <c r="J236" s="113"/>
      <c r="L236" s="113"/>
      <c r="M236" s="113"/>
      <c r="N236" s="113"/>
      <c r="P236" s="113"/>
      <c r="Q236" s="113"/>
      <c r="R236" s="113"/>
      <c r="T236" s="113"/>
      <c r="U236" s="113"/>
      <c r="V236" s="113"/>
    </row>
    <row r="237" customFormat="false" ht="15" hidden="false" customHeight="true" outlineLevel="0" collapsed="false">
      <c r="H237" s="113"/>
      <c r="I237" s="113"/>
      <c r="J237" s="113"/>
      <c r="L237" s="113"/>
      <c r="M237" s="113"/>
      <c r="N237" s="113"/>
      <c r="P237" s="113"/>
      <c r="Q237" s="113"/>
      <c r="R237" s="113"/>
      <c r="T237" s="113"/>
      <c r="U237" s="113"/>
      <c r="V237" s="113"/>
    </row>
    <row r="238" customFormat="false" ht="15" hidden="false" customHeight="true" outlineLevel="0" collapsed="false">
      <c r="H238" s="113"/>
      <c r="I238" s="113"/>
      <c r="J238" s="113"/>
      <c r="L238" s="113"/>
      <c r="M238" s="113"/>
      <c r="N238" s="113"/>
      <c r="P238" s="113"/>
      <c r="Q238" s="113"/>
      <c r="R238" s="113"/>
      <c r="T238" s="113"/>
      <c r="U238" s="113"/>
      <c r="V238" s="113"/>
    </row>
    <row r="239" customFormat="false" ht="15" hidden="false" customHeight="true" outlineLevel="0" collapsed="false">
      <c r="H239" s="113"/>
      <c r="I239" s="113"/>
      <c r="J239" s="113"/>
      <c r="L239" s="113"/>
      <c r="M239" s="113"/>
      <c r="N239" s="113"/>
      <c r="P239" s="113"/>
      <c r="Q239" s="113"/>
      <c r="R239" s="113"/>
      <c r="T239" s="113"/>
      <c r="U239" s="113"/>
      <c r="V239" s="113"/>
    </row>
    <row r="240" customFormat="false" ht="15" hidden="false" customHeight="true" outlineLevel="0" collapsed="false">
      <c r="H240" s="113"/>
      <c r="I240" s="113"/>
      <c r="J240" s="113"/>
      <c r="L240" s="113"/>
      <c r="M240" s="113"/>
      <c r="N240" s="113"/>
      <c r="P240" s="113"/>
      <c r="Q240" s="113"/>
      <c r="R240" s="113"/>
      <c r="T240" s="113"/>
      <c r="U240" s="113"/>
      <c r="V240" s="113"/>
    </row>
    <row r="241" customFormat="false" ht="15" hidden="false" customHeight="true" outlineLevel="0" collapsed="false">
      <c r="H241" s="113"/>
      <c r="I241" s="113"/>
      <c r="J241" s="113"/>
      <c r="L241" s="113"/>
      <c r="M241" s="113"/>
      <c r="N241" s="113"/>
      <c r="P241" s="113"/>
      <c r="Q241" s="113"/>
      <c r="R241" s="113"/>
      <c r="T241" s="113"/>
      <c r="U241" s="113"/>
      <c r="V241" s="113"/>
    </row>
    <row r="242" customFormat="false" ht="15" hidden="false" customHeight="true" outlineLevel="0" collapsed="false">
      <c r="H242" s="113"/>
      <c r="I242" s="113"/>
      <c r="J242" s="113"/>
      <c r="L242" s="113"/>
      <c r="M242" s="113"/>
      <c r="N242" s="113"/>
      <c r="P242" s="113"/>
      <c r="Q242" s="113"/>
      <c r="R242" s="113"/>
      <c r="T242" s="113"/>
      <c r="U242" s="113"/>
      <c r="V242" s="113"/>
    </row>
    <row r="243" customFormat="false" ht="15" hidden="false" customHeight="true" outlineLevel="0" collapsed="false">
      <c r="H243" s="113"/>
      <c r="I243" s="113"/>
      <c r="J243" s="113"/>
      <c r="L243" s="113"/>
      <c r="M243" s="113"/>
      <c r="N243" s="113"/>
      <c r="P243" s="113"/>
      <c r="Q243" s="113"/>
      <c r="R243" s="113"/>
      <c r="T243" s="113"/>
      <c r="U243" s="113"/>
      <c r="V243" s="113"/>
    </row>
    <row r="244" customFormat="false" ht="15" hidden="false" customHeight="true" outlineLevel="0" collapsed="false">
      <c r="H244" s="113"/>
      <c r="I244" s="113"/>
      <c r="J244" s="113"/>
      <c r="L244" s="113"/>
      <c r="M244" s="113"/>
      <c r="N244" s="113"/>
      <c r="P244" s="113"/>
      <c r="Q244" s="113"/>
      <c r="R244" s="113"/>
      <c r="T244" s="113"/>
      <c r="U244" s="113"/>
      <c r="V244" s="113"/>
    </row>
    <row r="245" customFormat="false" ht="15" hidden="false" customHeight="true" outlineLevel="0" collapsed="false">
      <c r="H245" s="113"/>
      <c r="I245" s="113"/>
      <c r="J245" s="113"/>
      <c r="L245" s="113"/>
      <c r="M245" s="113"/>
      <c r="N245" s="113"/>
      <c r="P245" s="113"/>
      <c r="Q245" s="113"/>
      <c r="R245" s="113"/>
      <c r="T245" s="113"/>
      <c r="U245" s="113"/>
      <c r="V245" s="113"/>
    </row>
    <row r="246" customFormat="false" ht="15" hidden="false" customHeight="true" outlineLevel="0" collapsed="false">
      <c r="H246" s="113"/>
      <c r="I246" s="113"/>
      <c r="J246" s="113"/>
      <c r="L246" s="113"/>
      <c r="M246" s="113"/>
      <c r="N246" s="113"/>
      <c r="P246" s="113"/>
      <c r="Q246" s="113"/>
      <c r="R246" s="113"/>
      <c r="T246" s="113"/>
      <c r="U246" s="113"/>
      <c r="V246" s="113"/>
    </row>
    <row r="247" customFormat="false" ht="15" hidden="false" customHeight="true" outlineLevel="0" collapsed="false">
      <c r="H247" s="113"/>
      <c r="I247" s="113"/>
      <c r="J247" s="113"/>
      <c r="L247" s="113"/>
      <c r="M247" s="113"/>
      <c r="N247" s="113"/>
      <c r="P247" s="113"/>
      <c r="Q247" s="113"/>
      <c r="R247" s="113"/>
      <c r="T247" s="113"/>
      <c r="U247" s="113"/>
      <c r="V247" s="113"/>
    </row>
    <row r="248" customFormat="false" ht="15" hidden="false" customHeight="true" outlineLevel="0" collapsed="false">
      <c r="H248" s="113"/>
      <c r="I248" s="113"/>
      <c r="J248" s="113"/>
      <c r="L248" s="113"/>
      <c r="M248" s="113"/>
      <c r="N248" s="113"/>
      <c r="P248" s="113"/>
      <c r="Q248" s="113"/>
      <c r="R248" s="113"/>
      <c r="T248" s="113"/>
      <c r="U248" s="113"/>
      <c r="V248" s="113"/>
    </row>
    <row r="249" customFormat="false" ht="15" hidden="false" customHeight="true" outlineLevel="0" collapsed="false">
      <c r="H249" s="113"/>
      <c r="I249" s="113"/>
      <c r="J249" s="113"/>
      <c r="L249" s="113"/>
      <c r="M249" s="113"/>
      <c r="N249" s="113"/>
      <c r="P249" s="113"/>
      <c r="Q249" s="113"/>
      <c r="R249" s="113"/>
      <c r="T249" s="113"/>
      <c r="U249" s="113"/>
      <c r="V249" s="113"/>
    </row>
    <row r="250" customFormat="false" ht="15" hidden="false" customHeight="true" outlineLevel="0" collapsed="false">
      <c r="H250" s="113"/>
      <c r="I250" s="113"/>
      <c r="J250" s="113"/>
      <c r="L250" s="113"/>
      <c r="M250" s="113"/>
      <c r="N250" s="113"/>
      <c r="P250" s="113"/>
      <c r="Q250" s="113"/>
      <c r="R250" s="113"/>
      <c r="T250" s="113"/>
      <c r="U250" s="113"/>
      <c r="V250" s="113"/>
    </row>
    <row r="251" customFormat="false" ht="15" hidden="false" customHeight="true" outlineLevel="0" collapsed="false">
      <c r="H251" s="113"/>
      <c r="I251" s="113"/>
      <c r="J251" s="113"/>
      <c r="L251" s="113"/>
      <c r="M251" s="113"/>
      <c r="N251" s="113"/>
      <c r="P251" s="113"/>
      <c r="Q251" s="113"/>
      <c r="R251" s="113"/>
      <c r="T251" s="113"/>
      <c r="U251" s="113"/>
      <c r="V251" s="113"/>
    </row>
    <row r="252" customFormat="false" ht="15" hidden="false" customHeight="true" outlineLevel="0" collapsed="false">
      <c r="H252" s="113"/>
      <c r="I252" s="113"/>
      <c r="J252" s="113"/>
      <c r="L252" s="113"/>
      <c r="M252" s="113"/>
      <c r="N252" s="113"/>
      <c r="P252" s="113"/>
      <c r="Q252" s="113"/>
      <c r="R252" s="113"/>
      <c r="T252" s="113"/>
      <c r="U252" s="113"/>
      <c r="V252" s="113"/>
    </row>
    <row r="253" customFormat="false" ht="15" hidden="false" customHeight="true" outlineLevel="0" collapsed="false">
      <c r="H253" s="113"/>
      <c r="I253" s="113"/>
      <c r="J253" s="113"/>
      <c r="L253" s="113"/>
      <c r="M253" s="113"/>
      <c r="N253" s="113"/>
      <c r="P253" s="113"/>
      <c r="Q253" s="113"/>
      <c r="R253" s="113"/>
      <c r="T253" s="113"/>
      <c r="U253" s="113"/>
      <c r="V253" s="113"/>
    </row>
    <row r="254" customFormat="false" ht="15" hidden="false" customHeight="true" outlineLevel="0" collapsed="false">
      <c r="H254" s="113"/>
      <c r="I254" s="113"/>
      <c r="J254" s="113"/>
      <c r="L254" s="113"/>
      <c r="M254" s="113"/>
      <c r="N254" s="113"/>
      <c r="P254" s="113"/>
      <c r="Q254" s="113"/>
      <c r="R254" s="113"/>
      <c r="T254" s="113"/>
      <c r="U254" s="113"/>
      <c r="V254" s="113"/>
    </row>
    <row r="255" customFormat="false" ht="15" hidden="false" customHeight="true" outlineLevel="0" collapsed="false">
      <c r="H255" s="113"/>
      <c r="I255" s="113"/>
      <c r="J255" s="113"/>
      <c r="L255" s="113"/>
      <c r="M255" s="113"/>
      <c r="N255" s="113"/>
      <c r="P255" s="113"/>
      <c r="Q255" s="113"/>
      <c r="R255" s="113"/>
      <c r="T255" s="113"/>
      <c r="U255" s="113"/>
      <c r="V255" s="113"/>
    </row>
    <row r="256" customFormat="false" ht="15" hidden="false" customHeight="true" outlineLevel="0" collapsed="false">
      <c r="H256" s="113"/>
      <c r="I256" s="113"/>
      <c r="J256" s="113"/>
      <c r="L256" s="113"/>
      <c r="M256" s="113"/>
      <c r="N256" s="113"/>
      <c r="P256" s="113"/>
      <c r="Q256" s="113"/>
      <c r="R256" s="113"/>
      <c r="T256" s="113"/>
      <c r="U256" s="113"/>
      <c r="V256" s="113"/>
    </row>
    <row r="257" customFormat="false" ht="15" hidden="false" customHeight="true" outlineLevel="0" collapsed="false">
      <c r="H257" s="113"/>
      <c r="I257" s="113"/>
      <c r="J257" s="113"/>
      <c r="L257" s="113"/>
      <c r="M257" s="113"/>
      <c r="N257" s="113"/>
      <c r="P257" s="113"/>
      <c r="Q257" s="113"/>
      <c r="R257" s="113"/>
      <c r="T257" s="113"/>
      <c r="U257" s="113"/>
      <c r="V257" s="113"/>
    </row>
    <row r="258" customFormat="false" ht="15" hidden="false" customHeight="true" outlineLevel="0" collapsed="false">
      <c r="H258" s="113"/>
      <c r="I258" s="113"/>
      <c r="J258" s="113"/>
      <c r="L258" s="113"/>
      <c r="M258" s="113"/>
      <c r="N258" s="113"/>
      <c r="P258" s="113"/>
      <c r="Q258" s="113"/>
      <c r="R258" s="113"/>
      <c r="T258" s="113"/>
      <c r="U258" s="113"/>
      <c r="V258" s="113"/>
    </row>
    <row r="259" customFormat="false" ht="15" hidden="false" customHeight="true" outlineLevel="0" collapsed="false">
      <c r="H259" s="113"/>
      <c r="I259" s="113"/>
      <c r="J259" s="113"/>
      <c r="L259" s="113"/>
      <c r="M259" s="113"/>
      <c r="N259" s="113"/>
      <c r="P259" s="113"/>
      <c r="Q259" s="113"/>
      <c r="R259" s="113"/>
      <c r="T259" s="113"/>
      <c r="U259" s="113"/>
      <c r="V259" s="113"/>
    </row>
    <row r="260" customFormat="false" ht="15" hidden="false" customHeight="true" outlineLevel="0" collapsed="false">
      <c r="H260" s="113"/>
      <c r="I260" s="113"/>
      <c r="J260" s="113"/>
      <c r="L260" s="113"/>
      <c r="M260" s="113"/>
      <c r="N260" s="113"/>
      <c r="P260" s="113"/>
      <c r="Q260" s="113"/>
      <c r="R260" s="113"/>
      <c r="T260" s="113"/>
      <c r="U260" s="113"/>
      <c r="V260" s="113"/>
    </row>
    <row r="261" customFormat="false" ht="15" hidden="false" customHeight="true" outlineLevel="0" collapsed="false">
      <c r="H261" s="113"/>
      <c r="I261" s="113"/>
      <c r="J261" s="113"/>
      <c r="L261" s="113"/>
      <c r="M261" s="113"/>
      <c r="N261" s="113"/>
      <c r="P261" s="113"/>
      <c r="Q261" s="113"/>
      <c r="R261" s="113"/>
      <c r="T261" s="113"/>
      <c r="U261" s="113"/>
      <c r="V261" s="113"/>
    </row>
    <row r="262" customFormat="false" ht="15" hidden="false" customHeight="true" outlineLevel="0" collapsed="false">
      <c r="H262" s="113"/>
      <c r="I262" s="113"/>
      <c r="J262" s="113"/>
      <c r="L262" s="113"/>
      <c r="M262" s="113"/>
      <c r="N262" s="113"/>
      <c r="P262" s="113"/>
      <c r="Q262" s="113"/>
      <c r="R262" s="113"/>
      <c r="T262" s="113"/>
      <c r="U262" s="113"/>
      <c r="V262" s="113"/>
    </row>
    <row r="263" customFormat="false" ht="15" hidden="false" customHeight="true" outlineLevel="0" collapsed="false">
      <c r="H263" s="113"/>
      <c r="I263" s="113"/>
      <c r="J263" s="113"/>
      <c r="L263" s="113"/>
      <c r="M263" s="113"/>
      <c r="N263" s="113"/>
      <c r="P263" s="113"/>
      <c r="Q263" s="113"/>
      <c r="R263" s="113"/>
      <c r="T263" s="113"/>
      <c r="U263" s="113"/>
      <c r="V263" s="113"/>
    </row>
    <row r="264" customFormat="false" ht="15" hidden="false" customHeight="true" outlineLevel="0" collapsed="false">
      <c r="H264" s="113"/>
      <c r="I264" s="113"/>
      <c r="J264" s="113"/>
      <c r="L264" s="113"/>
      <c r="M264" s="113"/>
      <c r="N264" s="113"/>
      <c r="P264" s="113"/>
      <c r="Q264" s="113"/>
      <c r="R264" s="113"/>
      <c r="T264" s="113"/>
      <c r="U264" s="113"/>
      <c r="V264" s="113"/>
    </row>
    <row r="265" customFormat="false" ht="15" hidden="false" customHeight="true" outlineLevel="0" collapsed="false">
      <c r="H265" s="113"/>
      <c r="I265" s="113"/>
      <c r="J265" s="113"/>
      <c r="L265" s="113"/>
      <c r="M265" s="113"/>
      <c r="N265" s="113"/>
      <c r="P265" s="113"/>
      <c r="Q265" s="113"/>
      <c r="R265" s="113"/>
      <c r="T265" s="113"/>
      <c r="U265" s="113"/>
      <c r="V265" s="113"/>
    </row>
    <row r="266" customFormat="false" ht="15" hidden="false" customHeight="true" outlineLevel="0" collapsed="false">
      <c r="H266" s="113"/>
      <c r="I266" s="113"/>
      <c r="J266" s="113"/>
      <c r="L266" s="113"/>
      <c r="M266" s="113"/>
      <c r="N266" s="113"/>
      <c r="P266" s="113"/>
      <c r="Q266" s="113"/>
      <c r="R266" s="113"/>
      <c r="T266" s="113"/>
      <c r="U266" s="113"/>
      <c r="V266" s="113"/>
    </row>
    <row r="267" customFormat="false" ht="15" hidden="false" customHeight="true" outlineLevel="0" collapsed="false">
      <c r="H267" s="113"/>
      <c r="I267" s="113"/>
      <c r="J267" s="113"/>
      <c r="L267" s="113"/>
      <c r="M267" s="113"/>
      <c r="N267" s="113"/>
      <c r="P267" s="113"/>
      <c r="Q267" s="113"/>
      <c r="R267" s="113"/>
      <c r="T267" s="113"/>
      <c r="U267" s="113"/>
      <c r="V267" s="113"/>
    </row>
    <row r="268" customFormat="false" ht="15" hidden="false" customHeight="true" outlineLevel="0" collapsed="false">
      <c r="H268" s="113"/>
      <c r="I268" s="113"/>
      <c r="J268" s="113"/>
      <c r="L268" s="113"/>
      <c r="M268" s="113"/>
      <c r="N268" s="113"/>
      <c r="P268" s="113"/>
      <c r="Q268" s="113"/>
      <c r="R268" s="113"/>
      <c r="T268" s="113"/>
      <c r="U268" s="113"/>
      <c r="V268" s="113"/>
    </row>
    <row r="269" customFormat="false" ht="15" hidden="false" customHeight="true" outlineLevel="0" collapsed="false">
      <c r="H269" s="113"/>
      <c r="I269" s="113"/>
      <c r="J269" s="113"/>
      <c r="L269" s="113"/>
      <c r="M269" s="113"/>
      <c r="N269" s="113"/>
      <c r="P269" s="113"/>
      <c r="Q269" s="113"/>
      <c r="R269" s="113"/>
      <c r="T269" s="113"/>
      <c r="U269" s="113"/>
      <c r="V269" s="113"/>
    </row>
    <row r="270" customFormat="false" ht="15" hidden="false" customHeight="true" outlineLevel="0" collapsed="false">
      <c r="H270" s="113"/>
      <c r="I270" s="113"/>
      <c r="J270" s="113"/>
      <c r="L270" s="113"/>
      <c r="M270" s="113"/>
      <c r="N270" s="113"/>
      <c r="P270" s="113"/>
      <c r="Q270" s="113"/>
      <c r="R270" s="113"/>
      <c r="T270" s="113"/>
      <c r="U270" s="113"/>
      <c r="V270" s="113"/>
    </row>
    <row r="271" customFormat="false" ht="15" hidden="false" customHeight="true" outlineLevel="0" collapsed="false">
      <c r="H271" s="113"/>
      <c r="I271" s="113"/>
      <c r="J271" s="113"/>
      <c r="L271" s="113"/>
      <c r="M271" s="113"/>
      <c r="N271" s="113"/>
      <c r="P271" s="113"/>
      <c r="Q271" s="113"/>
      <c r="R271" s="113"/>
      <c r="T271" s="113"/>
      <c r="U271" s="113"/>
      <c r="V271" s="113"/>
    </row>
    <row r="272" customFormat="false" ht="15" hidden="false" customHeight="true" outlineLevel="0" collapsed="false">
      <c r="H272" s="113"/>
      <c r="I272" s="113"/>
      <c r="J272" s="113"/>
      <c r="L272" s="113"/>
      <c r="M272" s="113"/>
      <c r="N272" s="113"/>
      <c r="P272" s="113"/>
      <c r="Q272" s="113"/>
      <c r="R272" s="113"/>
      <c r="T272" s="113"/>
      <c r="U272" s="113"/>
      <c r="V272" s="113"/>
    </row>
    <row r="273" customFormat="false" ht="15" hidden="false" customHeight="true" outlineLevel="0" collapsed="false">
      <c r="H273" s="113"/>
      <c r="I273" s="113"/>
      <c r="J273" s="113"/>
      <c r="L273" s="113"/>
      <c r="M273" s="113"/>
      <c r="N273" s="113"/>
      <c r="P273" s="113"/>
      <c r="Q273" s="113"/>
      <c r="R273" s="113"/>
      <c r="T273" s="113"/>
      <c r="U273" s="113"/>
      <c r="V273" s="113"/>
    </row>
    <row r="274" customFormat="false" ht="15" hidden="false" customHeight="true" outlineLevel="0" collapsed="false">
      <c r="H274" s="113"/>
      <c r="I274" s="113"/>
      <c r="J274" s="113"/>
      <c r="L274" s="113"/>
      <c r="M274" s="113"/>
      <c r="N274" s="113"/>
      <c r="P274" s="113"/>
      <c r="Q274" s="113"/>
      <c r="R274" s="113"/>
      <c r="T274" s="113"/>
      <c r="U274" s="113"/>
      <c r="V274" s="113"/>
    </row>
    <row r="275" customFormat="false" ht="15" hidden="false" customHeight="true" outlineLevel="0" collapsed="false">
      <c r="H275" s="113"/>
      <c r="I275" s="113"/>
      <c r="J275" s="113"/>
      <c r="L275" s="113"/>
      <c r="M275" s="113"/>
      <c r="N275" s="113"/>
      <c r="P275" s="113"/>
      <c r="Q275" s="113"/>
      <c r="R275" s="113"/>
      <c r="T275" s="113"/>
      <c r="U275" s="113"/>
      <c r="V275" s="113"/>
    </row>
    <row r="276" customFormat="false" ht="15" hidden="false" customHeight="true" outlineLevel="0" collapsed="false">
      <c r="H276" s="113"/>
      <c r="I276" s="113"/>
      <c r="J276" s="113"/>
      <c r="L276" s="113"/>
      <c r="M276" s="113"/>
      <c r="N276" s="113"/>
      <c r="P276" s="113"/>
      <c r="Q276" s="113"/>
      <c r="R276" s="113"/>
      <c r="T276" s="113"/>
      <c r="U276" s="113"/>
      <c r="V276" s="113"/>
    </row>
    <row r="277" customFormat="false" ht="15" hidden="false" customHeight="true" outlineLevel="0" collapsed="false">
      <c r="H277" s="113"/>
      <c r="I277" s="113"/>
      <c r="J277" s="113"/>
      <c r="L277" s="113"/>
      <c r="M277" s="113"/>
      <c r="N277" s="113"/>
      <c r="P277" s="113"/>
      <c r="Q277" s="113"/>
      <c r="R277" s="113"/>
      <c r="T277" s="113"/>
      <c r="U277" s="113"/>
      <c r="V277" s="113"/>
    </row>
    <row r="278" customFormat="false" ht="15" hidden="false" customHeight="true" outlineLevel="0" collapsed="false">
      <c r="H278" s="113"/>
      <c r="I278" s="113"/>
      <c r="J278" s="113"/>
      <c r="L278" s="113"/>
      <c r="M278" s="113"/>
      <c r="N278" s="113"/>
      <c r="P278" s="113"/>
      <c r="Q278" s="113"/>
      <c r="R278" s="113"/>
      <c r="T278" s="113"/>
      <c r="U278" s="113"/>
      <c r="V278" s="113"/>
    </row>
    <row r="279" customFormat="false" ht="15" hidden="false" customHeight="true" outlineLevel="0" collapsed="false">
      <c r="H279" s="113"/>
      <c r="I279" s="113"/>
      <c r="J279" s="113"/>
      <c r="L279" s="113"/>
      <c r="M279" s="113"/>
      <c r="N279" s="113"/>
      <c r="P279" s="113"/>
      <c r="Q279" s="113"/>
      <c r="R279" s="113"/>
      <c r="T279" s="113"/>
      <c r="U279" s="113"/>
      <c r="V279" s="113"/>
    </row>
    <row r="280" customFormat="false" ht="15" hidden="false" customHeight="true" outlineLevel="0" collapsed="false">
      <c r="H280" s="113"/>
      <c r="I280" s="113"/>
      <c r="J280" s="113"/>
      <c r="L280" s="113"/>
      <c r="M280" s="113"/>
      <c r="N280" s="113"/>
      <c r="P280" s="113"/>
      <c r="Q280" s="113"/>
      <c r="R280" s="113"/>
      <c r="T280" s="113"/>
      <c r="U280" s="113"/>
      <c r="V280" s="113"/>
    </row>
    <row r="281" customFormat="false" ht="15" hidden="false" customHeight="true" outlineLevel="0" collapsed="false">
      <c r="H281" s="113"/>
      <c r="I281" s="113"/>
      <c r="J281" s="113"/>
      <c r="L281" s="113"/>
      <c r="M281" s="113"/>
      <c r="N281" s="113"/>
      <c r="P281" s="113"/>
      <c r="Q281" s="113"/>
      <c r="R281" s="113"/>
      <c r="T281" s="113"/>
      <c r="U281" s="113"/>
      <c r="V281" s="113"/>
    </row>
    <row r="282" customFormat="false" ht="15" hidden="false" customHeight="true" outlineLevel="0" collapsed="false">
      <c r="H282" s="113"/>
      <c r="I282" s="113"/>
      <c r="J282" s="113"/>
      <c r="L282" s="113"/>
      <c r="M282" s="113"/>
      <c r="N282" s="113"/>
      <c r="P282" s="113"/>
      <c r="Q282" s="113"/>
      <c r="R282" s="113"/>
      <c r="T282" s="113"/>
      <c r="U282" s="113"/>
      <c r="V282" s="113"/>
    </row>
    <row r="283" customFormat="false" ht="15" hidden="false" customHeight="true" outlineLevel="0" collapsed="false">
      <c r="H283" s="113"/>
      <c r="I283" s="113"/>
      <c r="J283" s="113"/>
      <c r="L283" s="113"/>
      <c r="M283" s="113"/>
      <c r="N283" s="113"/>
      <c r="P283" s="113"/>
      <c r="Q283" s="113"/>
      <c r="R283" s="113"/>
      <c r="T283" s="113"/>
      <c r="U283" s="113"/>
      <c r="V283" s="113"/>
    </row>
    <row r="284" customFormat="false" ht="15" hidden="false" customHeight="true" outlineLevel="0" collapsed="false">
      <c r="H284" s="113"/>
      <c r="I284" s="113"/>
      <c r="J284" s="113"/>
      <c r="L284" s="113"/>
      <c r="M284" s="113"/>
      <c r="N284" s="113"/>
      <c r="P284" s="113"/>
      <c r="Q284" s="113"/>
      <c r="R284" s="113"/>
      <c r="T284" s="113"/>
      <c r="U284" s="113"/>
      <c r="V284" s="113"/>
    </row>
    <row r="285" customFormat="false" ht="15" hidden="false" customHeight="true" outlineLevel="0" collapsed="false">
      <c r="H285" s="113"/>
      <c r="I285" s="113"/>
      <c r="J285" s="113"/>
      <c r="L285" s="113"/>
      <c r="M285" s="113"/>
      <c r="N285" s="113"/>
      <c r="P285" s="113"/>
      <c r="Q285" s="113"/>
      <c r="R285" s="113"/>
      <c r="T285" s="113"/>
      <c r="U285" s="113"/>
      <c r="V285" s="113"/>
    </row>
    <row r="286" customFormat="false" ht="15" hidden="false" customHeight="true" outlineLevel="0" collapsed="false">
      <c r="H286" s="113"/>
      <c r="I286" s="113"/>
      <c r="J286" s="113"/>
      <c r="L286" s="113"/>
      <c r="M286" s="113"/>
      <c r="N286" s="113"/>
      <c r="P286" s="113"/>
      <c r="Q286" s="113"/>
      <c r="R286" s="113"/>
      <c r="T286" s="113"/>
      <c r="U286" s="113"/>
      <c r="V286" s="113"/>
    </row>
    <row r="287" customFormat="false" ht="15" hidden="false" customHeight="true" outlineLevel="0" collapsed="false">
      <c r="H287" s="113"/>
      <c r="I287" s="113"/>
      <c r="J287" s="113"/>
      <c r="L287" s="113"/>
      <c r="M287" s="113"/>
      <c r="N287" s="113"/>
      <c r="P287" s="113"/>
      <c r="Q287" s="113"/>
      <c r="R287" s="113"/>
      <c r="T287" s="113"/>
      <c r="U287" s="113"/>
      <c r="V287" s="113"/>
    </row>
    <row r="288" customFormat="false" ht="15" hidden="false" customHeight="true" outlineLevel="0" collapsed="false">
      <c r="H288" s="113"/>
      <c r="I288" s="113"/>
      <c r="J288" s="113"/>
      <c r="L288" s="113"/>
      <c r="M288" s="113"/>
      <c r="N288" s="113"/>
      <c r="P288" s="113"/>
      <c r="Q288" s="113"/>
      <c r="R288" s="113"/>
      <c r="T288" s="113"/>
      <c r="U288" s="113"/>
      <c r="V288" s="113"/>
    </row>
    <row r="289" customFormat="false" ht="15" hidden="false" customHeight="true" outlineLevel="0" collapsed="false">
      <c r="H289" s="113"/>
      <c r="I289" s="113"/>
      <c r="J289" s="113"/>
      <c r="L289" s="113"/>
      <c r="M289" s="113"/>
      <c r="N289" s="113"/>
      <c r="P289" s="113"/>
      <c r="Q289" s="113"/>
      <c r="R289" s="113"/>
      <c r="T289" s="113"/>
      <c r="U289" s="113"/>
      <c r="V289" s="113"/>
    </row>
    <row r="290" customFormat="false" ht="15" hidden="false" customHeight="true" outlineLevel="0" collapsed="false">
      <c r="H290" s="113"/>
      <c r="I290" s="113"/>
      <c r="J290" s="113"/>
      <c r="L290" s="113"/>
      <c r="M290" s="113"/>
      <c r="N290" s="113"/>
      <c r="P290" s="113"/>
      <c r="Q290" s="113"/>
      <c r="R290" s="113"/>
      <c r="T290" s="113"/>
      <c r="U290" s="113"/>
      <c r="V290" s="113"/>
    </row>
    <row r="291" customFormat="false" ht="15" hidden="false" customHeight="true" outlineLevel="0" collapsed="false">
      <c r="H291" s="113"/>
      <c r="I291" s="113"/>
      <c r="J291" s="113"/>
      <c r="L291" s="113"/>
      <c r="M291" s="113"/>
      <c r="N291" s="113"/>
      <c r="P291" s="113"/>
      <c r="Q291" s="113"/>
      <c r="R291" s="113"/>
      <c r="T291" s="113"/>
      <c r="U291" s="113"/>
      <c r="V291" s="113"/>
    </row>
    <row r="292" customFormat="false" ht="15" hidden="false" customHeight="true" outlineLevel="0" collapsed="false">
      <c r="H292" s="113"/>
      <c r="I292" s="113"/>
      <c r="J292" s="113"/>
      <c r="L292" s="113"/>
      <c r="M292" s="113"/>
      <c r="N292" s="113"/>
      <c r="P292" s="113"/>
      <c r="Q292" s="113"/>
      <c r="R292" s="113"/>
      <c r="T292" s="113"/>
      <c r="U292" s="113"/>
      <c r="V292" s="113"/>
    </row>
    <row r="293" customFormat="false" ht="15" hidden="false" customHeight="true" outlineLevel="0" collapsed="false">
      <c r="H293" s="113"/>
      <c r="I293" s="113"/>
      <c r="J293" s="113"/>
      <c r="L293" s="113"/>
      <c r="M293" s="113"/>
      <c r="N293" s="113"/>
      <c r="P293" s="113"/>
      <c r="Q293" s="113"/>
      <c r="R293" s="113"/>
      <c r="T293" s="113"/>
      <c r="U293" s="113"/>
      <c r="V293" s="113"/>
    </row>
    <row r="294" customFormat="false" ht="15" hidden="false" customHeight="true" outlineLevel="0" collapsed="false">
      <c r="H294" s="113"/>
      <c r="I294" s="113"/>
      <c r="J294" s="113"/>
      <c r="L294" s="113"/>
      <c r="M294" s="113"/>
      <c r="N294" s="113"/>
      <c r="P294" s="113"/>
      <c r="Q294" s="113"/>
      <c r="R294" s="113"/>
      <c r="T294" s="113"/>
      <c r="U294" s="113"/>
      <c r="V294" s="113"/>
    </row>
    <row r="295" customFormat="false" ht="15" hidden="false" customHeight="true" outlineLevel="0" collapsed="false">
      <c r="H295" s="113"/>
      <c r="I295" s="113"/>
      <c r="J295" s="113"/>
      <c r="L295" s="113"/>
      <c r="M295" s="113"/>
      <c r="N295" s="113"/>
      <c r="P295" s="113"/>
      <c r="Q295" s="113"/>
      <c r="R295" s="113"/>
      <c r="T295" s="113"/>
      <c r="U295" s="113"/>
      <c r="V295" s="113"/>
    </row>
    <row r="296" customFormat="false" ht="15" hidden="false" customHeight="true" outlineLevel="0" collapsed="false">
      <c r="H296" s="113"/>
      <c r="I296" s="113"/>
      <c r="J296" s="113"/>
      <c r="L296" s="113"/>
      <c r="M296" s="113"/>
      <c r="N296" s="113"/>
      <c r="P296" s="113"/>
      <c r="Q296" s="113"/>
      <c r="R296" s="113"/>
      <c r="T296" s="113"/>
      <c r="U296" s="113"/>
      <c r="V296" s="113"/>
    </row>
    <row r="297" customFormat="false" ht="15" hidden="false" customHeight="true" outlineLevel="0" collapsed="false">
      <c r="H297" s="113"/>
      <c r="I297" s="113"/>
      <c r="J297" s="113"/>
      <c r="L297" s="113"/>
      <c r="M297" s="113"/>
      <c r="N297" s="113"/>
      <c r="P297" s="113"/>
      <c r="Q297" s="113"/>
      <c r="R297" s="113"/>
      <c r="T297" s="113"/>
      <c r="U297" s="113"/>
      <c r="V297" s="113"/>
    </row>
    <row r="298" customFormat="false" ht="15" hidden="false" customHeight="true" outlineLevel="0" collapsed="false">
      <c r="H298" s="113"/>
      <c r="I298" s="113"/>
      <c r="J298" s="113"/>
      <c r="L298" s="113"/>
      <c r="M298" s="113"/>
      <c r="N298" s="113"/>
      <c r="P298" s="113"/>
      <c r="Q298" s="113"/>
      <c r="R298" s="113"/>
      <c r="T298" s="113"/>
      <c r="U298" s="113"/>
      <c r="V298" s="113"/>
    </row>
    <row r="299" customFormat="false" ht="15" hidden="false" customHeight="true" outlineLevel="0" collapsed="false">
      <c r="H299" s="113"/>
      <c r="I299" s="113"/>
      <c r="J299" s="113"/>
      <c r="L299" s="113"/>
      <c r="M299" s="113"/>
      <c r="N299" s="113"/>
      <c r="P299" s="113"/>
      <c r="Q299" s="113"/>
      <c r="R299" s="113"/>
      <c r="T299" s="113"/>
      <c r="U299" s="113"/>
      <c r="V299" s="113"/>
    </row>
    <row r="300" customFormat="false" ht="15" hidden="false" customHeight="true" outlineLevel="0" collapsed="false">
      <c r="H300" s="113"/>
      <c r="I300" s="113"/>
      <c r="J300" s="113"/>
      <c r="L300" s="113"/>
      <c r="M300" s="113"/>
      <c r="N300" s="113"/>
      <c r="P300" s="113"/>
      <c r="Q300" s="113"/>
      <c r="R300" s="113"/>
      <c r="T300" s="113"/>
      <c r="U300" s="113"/>
      <c r="V300" s="113"/>
    </row>
    <row r="301" customFormat="false" ht="15" hidden="false" customHeight="true" outlineLevel="0" collapsed="false">
      <c r="H301" s="113"/>
      <c r="I301" s="113"/>
      <c r="J301" s="113"/>
      <c r="L301" s="113"/>
      <c r="M301" s="113"/>
      <c r="N301" s="113"/>
      <c r="P301" s="113"/>
      <c r="Q301" s="113"/>
      <c r="R301" s="113"/>
      <c r="T301" s="113"/>
      <c r="U301" s="113"/>
      <c r="V301" s="113"/>
    </row>
    <row r="302" customFormat="false" ht="15" hidden="false" customHeight="true" outlineLevel="0" collapsed="false">
      <c r="H302" s="113"/>
      <c r="I302" s="113"/>
      <c r="J302" s="113"/>
      <c r="L302" s="113"/>
      <c r="M302" s="113"/>
      <c r="N302" s="113"/>
      <c r="P302" s="113"/>
      <c r="Q302" s="113"/>
      <c r="R302" s="113"/>
      <c r="T302" s="113"/>
      <c r="U302" s="113"/>
      <c r="V302" s="113"/>
    </row>
    <row r="303" customFormat="false" ht="15" hidden="false" customHeight="true" outlineLevel="0" collapsed="false">
      <c r="H303" s="113"/>
      <c r="I303" s="113"/>
      <c r="J303" s="113"/>
      <c r="L303" s="113"/>
      <c r="M303" s="113"/>
      <c r="N303" s="113"/>
      <c r="P303" s="113"/>
      <c r="Q303" s="113"/>
      <c r="R303" s="113"/>
      <c r="T303" s="113"/>
      <c r="U303" s="113"/>
      <c r="V303" s="113"/>
    </row>
    <row r="304" customFormat="false" ht="15" hidden="false" customHeight="true" outlineLevel="0" collapsed="false">
      <c r="H304" s="113"/>
      <c r="I304" s="113"/>
      <c r="J304" s="113"/>
      <c r="L304" s="113"/>
      <c r="M304" s="113"/>
      <c r="N304" s="113"/>
      <c r="P304" s="113"/>
      <c r="Q304" s="113"/>
      <c r="R304" s="113"/>
      <c r="T304" s="113"/>
      <c r="U304" s="113"/>
      <c r="V304" s="113"/>
    </row>
    <row r="305" customFormat="false" ht="15" hidden="false" customHeight="true" outlineLevel="0" collapsed="false">
      <c r="H305" s="113"/>
      <c r="I305" s="113"/>
      <c r="J305" s="113"/>
      <c r="L305" s="113"/>
      <c r="M305" s="113"/>
      <c r="N305" s="113"/>
      <c r="P305" s="113"/>
      <c r="Q305" s="113"/>
      <c r="R305" s="113"/>
      <c r="T305" s="113"/>
      <c r="U305" s="113"/>
      <c r="V305" s="113"/>
    </row>
    <row r="306" customFormat="false" ht="15" hidden="false" customHeight="true" outlineLevel="0" collapsed="false">
      <c r="H306" s="113"/>
      <c r="I306" s="113"/>
      <c r="J306" s="113"/>
      <c r="L306" s="113"/>
      <c r="M306" s="113"/>
      <c r="N306" s="113"/>
      <c r="P306" s="113"/>
      <c r="Q306" s="113"/>
      <c r="R306" s="113"/>
      <c r="T306" s="113"/>
      <c r="U306" s="113"/>
      <c r="V306" s="113"/>
    </row>
    <row r="307" customFormat="false" ht="15" hidden="false" customHeight="true" outlineLevel="0" collapsed="false">
      <c r="H307" s="113"/>
      <c r="I307" s="113"/>
      <c r="J307" s="113"/>
      <c r="L307" s="113"/>
      <c r="M307" s="113"/>
      <c r="N307" s="113"/>
      <c r="P307" s="113"/>
      <c r="Q307" s="113"/>
      <c r="R307" s="113"/>
      <c r="T307" s="113"/>
      <c r="U307" s="113"/>
      <c r="V307" s="113"/>
    </row>
    <row r="308" customFormat="false" ht="15" hidden="false" customHeight="true" outlineLevel="0" collapsed="false">
      <c r="H308" s="113"/>
      <c r="I308" s="113"/>
      <c r="J308" s="113"/>
      <c r="L308" s="113"/>
      <c r="M308" s="113"/>
      <c r="N308" s="113"/>
      <c r="P308" s="113"/>
      <c r="Q308" s="113"/>
      <c r="R308" s="113"/>
      <c r="T308" s="113"/>
      <c r="U308" s="113"/>
      <c r="V308" s="113"/>
    </row>
    <row r="309" customFormat="false" ht="15" hidden="false" customHeight="true" outlineLevel="0" collapsed="false">
      <c r="H309" s="113"/>
      <c r="I309" s="113"/>
      <c r="J309" s="113"/>
      <c r="L309" s="113"/>
      <c r="M309" s="113"/>
      <c r="N309" s="113"/>
      <c r="P309" s="113"/>
      <c r="Q309" s="113"/>
      <c r="R309" s="113"/>
      <c r="T309" s="113"/>
      <c r="U309" s="113"/>
      <c r="V309" s="113"/>
    </row>
    <row r="310" customFormat="false" ht="15" hidden="false" customHeight="true" outlineLevel="0" collapsed="false">
      <c r="H310" s="113"/>
      <c r="I310" s="113"/>
      <c r="J310" s="113"/>
      <c r="L310" s="113"/>
      <c r="M310" s="113"/>
      <c r="N310" s="113"/>
      <c r="P310" s="113"/>
      <c r="Q310" s="113"/>
      <c r="R310" s="113"/>
      <c r="T310" s="113"/>
      <c r="U310" s="113"/>
      <c r="V310" s="113"/>
    </row>
    <row r="311" customFormat="false" ht="15" hidden="false" customHeight="true" outlineLevel="0" collapsed="false">
      <c r="H311" s="113"/>
      <c r="I311" s="113"/>
      <c r="J311" s="113"/>
      <c r="L311" s="113"/>
      <c r="M311" s="113"/>
      <c r="N311" s="113"/>
      <c r="P311" s="113"/>
      <c r="Q311" s="113"/>
      <c r="R311" s="113"/>
      <c r="T311" s="113"/>
      <c r="U311" s="113"/>
      <c r="V311" s="113"/>
    </row>
    <row r="312" customFormat="false" ht="15" hidden="false" customHeight="true" outlineLevel="0" collapsed="false">
      <c r="H312" s="113"/>
      <c r="I312" s="113"/>
      <c r="J312" s="113"/>
      <c r="L312" s="113"/>
      <c r="M312" s="113"/>
      <c r="N312" s="113"/>
      <c r="P312" s="113"/>
      <c r="Q312" s="113"/>
      <c r="R312" s="113"/>
      <c r="T312" s="113"/>
      <c r="U312" s="113"/>
      <c r="V312" s="113"/>
    </row>
    <row r="313" customFormat="false" ht="15" hidden="false" customHeight="true" outlineLevel="0" collapsed="false">
      <c r="H313" s="113"/>
      <c r="I313" s="113"/>
      <c r="J313" s="113"/>
      <c r="L313" s="113"/>
      <c r="M313" s="113"/>
      <c r="N313" s="113"/>
      <c r="P313" s="113"/>
      <c r="Q313" s="113"/>
      <c r="R313" s="113"/>
      <c r="T313" s="113"/>
      <c r="U313" s="113"/>
      <c r="V313" s="113"/>
    </row>
    <row r="314" customFormat="false" ht="15" hidden="false" customHeight="true" outlineLevel="0" collapsed="false">
      <c r="H314" s="113"/>
      <c r="I314" s="113"/>
      <c r="J314" s="113"/>
      <c r="L314" s="113"/>
      <c r="M314" s="113"/>
      <c r="N314" s="113"/>
      <c r="P314" s="113"/>
      <c r="Q314" s="113"/>
      <c r="R314" s="113"/>
      <c r="T314" s="113"/>
      <c r="U314" s="113"/>
      <c r="V314" s="113"/>
    </row>
    <row r="315" customFormat="false" ht="15" hidden="false" customHeight="true" outlineLevel="0" collapsed="false">
      <c r="H315" s="113"/>
      <c r="I315" s="113"/>
      <c r="J315" s="113"/>
      <c r="L315" s="113"/>
      <c r="M315" s="113"/>
      <c r="N315" s="113"/>
      <c r="P315" s="113"/>
      <c r="Q315" s="113"/>
      <c r="R315" s="113"/>
      <c r="T315" s="113"/>
      <c r="U315" s="113"/>
      <c r="V315" s="113"/>
    </row>
    <row r="316" customFormat="false" ht="15" hidden="false" customHeight="true" outlineLevel="0" collapsed="false">
      <c r="H316" s="113"/>
      <c r="I316" s="113"/>
      <c r="J316" s="113"/>
      <c r="L316" s="113"/>
      <c r="M316" s="113"/>
      <c r="N316" s="113"/>
      <c r="P316" s="113"/>
      <c r="Q316" s="113"/>
      <c r="R316" s="113"/>
      <c r="T316" s="113"/>
      <c r="U316" s="113"/>
      <c r="V316" s="113"/>
    </row>
    <row r="317" customFormat="false" ht="15" hidden="false" customHeight="true" outlineLevel="0" collapsed="false">
      <c r="H317" s="113"/>
      <c r="I317" s="113"/>
      <c r="J317" s="113"/>
      <c r="L317" s="113"/>
      <c r="M317" s="113"/>
      <c r="N317" s="113"/>
      <c r="P317" s="113"/>
      <c r="Q317" s="113"/>
      <c r="R317" s="113"/>
      <c r="T317" s="113"/>
      <c r="U317" s="113"/>
      <c r="V317" s="113"/>
    </row>
    <row r="318" customFormat="false" ht="15" hidden="false" customHeight="true" outlineLevel="0" collapsed="false">
      <c r="H318" s="113"/>
      <c r="I318" s="113"/>
      <c r="J318" s="113"/>
      <c r="L318" s="113"/>
      <c r="M318" s="113"/>
      <c r="N318" s="113"/>
      <c r="P318" s="113"/>
      <c r="Q318" s="113"/>
      <c r="R318" s="113"/>
      <c r="T318" s="113"/>
      <c r="U318" s="113"/>
      <c r="V318" s="113"/>
    </row>
    <row r="319" customFormat="false" ht="15" hidden="false" customHeight="true" outlineLevel="0" collapsed="false">
      <c r="H319" s="113"/>
      <c r="I319" s="113"/>
      <c r="J319" s="113"/>
      <c r="L319" s="113"/>
      <c r="M319" s="113"/>
      <c r="N319" s="113"/>
      <c r="P319" s="113"/>
      <c r="Q319" s="113"/>
      <c r="R319" s="113"/>
      <c r="T319" s="113"/>
      <c r="U319" s="113"/>
      <c r="V319" s="113"/>
    </row>
    <row r="320" customFormat="false" ht="15" hidden="false" customHeight="true" outlineLevel="0" collapsed="false">
      <c r="H320" s="113"/>
      <c r="I320" s="113"/>
      <c r="J320" s="113"/>
      <c r="L320" s="113"/>
      <c r="M320" s="113"/>
      <c r="N320" s="113"/>
      <c r="P320" s="113"/>
      <c r="Q320" s="113"/>
      <c r="R320" s="113"/>
      <c r="T320" s="113"/>
      <c r="U320" s="113"/>
      <c r="V320" s="113"/>
    </row>
    <row r="321" customFormat="false" ht="15" hidden="false" customHeight="true" outlineLevel="0" collapsed="false">
      <c r="H321" s="113"/>
      <c r="I321" s="113"/>
      <c r="J321" s="113"/>
      <c r="L321" s="113"/>
      <c r="M321" s="113"/>
      <c r="N321" s="113"/>
      <c r="P321" s="113"/>
      <c r="Q321" s="113"/>
      <c r="R321" s="113"/>
      <c r="T321" s="113"/>
      <c r="U321" s="113"/>
      <c r="V321" s="113"/>
    </row>
    <row r="322" customFormat="false" ht="15" hidden="false" customHeight="true" outlineLevel="0" collapsed="false">
      <c r="H322" s="113"/>
      <c r="I322" s="113"/>
      <c r="J322" s="113"/>
      <c r="L322" s="113"/>
      <c r="M322" s="113"/>
      <c r="N322" s="113"/>
      <c r="P322" s="113"/>
      <c r="Q322" s="113"/>
      <c r="R322" s="113"/>
      <c r="T322" s="113"/>
      <c r="U322" s="113"/>
      <c r="V322" s="113"/>
    </row>
    <row r="323" customFormat="false" ht="15" hidden="false" customHeight="true" outlineLevel="0" collapsed="false">
      <c r="H323" s="113"/>
      <c r="I323" s="113"/>
      <c r="J323" s="113"/>
      <c r="L323" s="113"/>
      <c r="M323" s="113"/>
      <c r="N323" s="113"/>
      <c r="P323" s="113"/>
      <c r="Q323" s="113"/>
      <c r="R323" s="113"/>
      <c r="T323" s="113"/>
      <c r="U323" s="113"/>
      <c r="V323" s="113"/>
    </row>
    <row r="324" customFormat="false" ht="15" hidden="false" customHeight="true" outlineLevel="0" collapsed="false">
      <c r="H324" s="113"/>
      <c r="I324" s="113"/>
      <c r="J324" s="113"/>
      <c r="L324" s="113"/>
      <c r="M324" s="113"/>
      <c r="N324" s="113"/>
      <c r="P324" s="113"/>
      <c r="Q324" s="113"/>
      <c r="R324" s="113"/>
      <c r="T324" s="113"/>
      <c r="U324" s="113"/>
      <c r="V324" s="113"/>
    </row>
    <row r="325" customFormat="false" ht="15" hidden="false" customHeight="true" outlineLevel="0" collapsed="false">
      <c r="H325" s="113"/>
      <c r="I325" s="113"/>
      <c r="J325" s="113"/>
      <c r="L325" s="113"/>
      <c r="M325" s="113"/>
      <c r="N325" s="113"/>
      <c r="P325" s="113"/>
      <c r="Q325" s="113"/>
      <c r="R325" s="113"/>
      <c r="T325" s="113"/>
      <c r="U325" s="113"/>
      <c r="V325" s="113"/>
    </row>
    <row r="326" customFormat="false" ht="15" hidden="false" customHeight="true" outlineLevel="0" collapsed="false">
      <c r="H326" s="113"/>
      <c r="I326" s="113"/>
      <c r="J326" s="113"/>
      <c r="L326" s="113"/>
      <c r="M326" s="113"/>
      <c r="N326" s="113"/>
      <c r="P326" s="113"/>
      <c r="Q326" s="113"/>
      <c r="R326" s="113"/>
      <c r="T326" s="113"/>
      <c r="U326" s="113"/>
      <c r="V326" s="113"/>
    </row>
    <row r="327" customFormat="false" ht="15" hidden="false" customHeight="true" outlineLevel="0" collapsed="false">
      <c r="H327" s="113"/>
      <c r="I327" s="113"/>
      <c r="J327" s="113"/>
      <c r="L327" s="113"/>
      <c r="M327" s="113"/>
      <c r="N327" s="113"/>
      <c r="P327" s="113"/>
      <c r="Q327" s="113"/>
      <c r="R327" s="113"/>
      <c r="T327" s="113"/>
      <c r="U327" s="113"/>
      <c r="V327" s="113"/>
    </row>
    <row r="328" customFormat="false" ht="15" hidden="false" customHeight="true" outlineLevel="0" collapsed="false">
      <c r="H328" s="113"/>
      <c r="I328" s="113"/>
      <c r="J328" s="113"/>
      <c r="L328" s="113"/>
      <c r="M328" s="113"/>
      <c r="N328" s="113"/>
      <c r="P328" s="113"/>
      <c r="Q328" s="113"/>
      <c r="R328" s="113"/>
      <c r="T328" s="113"/>
      <c r="U328" s="113"/>
      <c r="V328" s="113"/>
    </row>
    <row r="329" customFormat="false" ht="15" hidden="false" customHeight="true" outlineLevel="0" collapsed="false">
      <c r="H329" s="113"/>
      <c r="I329" s="113"/>
      <c r="J329" s="113"/>
      <c r="L329" s="113"/>
      <c r="M329" s="113"/>
      <c r="N329" s="113"/>
      <c r="P329" s="113"/>
      <c r="Q329" s="113"/>
      <c r="R329" s="113"/>
      <c r="T329" s="113"/>
      <c r="U329" s="113"/>
      <c r="V329" s="113"/>
    </row>
    <row r="330" customFormat="false" ht="15" hidden="false" customHeight="true" outlineLevel="0" collapsed="false">
      <c r="H330" s="113"/>
      <c r="I330" s="113"/>
      <c r="J330" s="113"/>
      <c r="L330" s="113"/>
      <c r="M330" s="113"/>
      <c r="N330" s="113"/>
      <c r="P330" s="113"/>
      <c r="Q330" s="113"/>
      <c r="R330" s="113"/>
      <c r="T330" s="113"/>
      <c r="U330" s="113"/>
      <c r="V330" s="113"/>
    </row>
    <row r="331" customFormat="false" ht="15" hidden="false" customHeight="true" outlineLevel="0" collapsed="false">
      <c r="H331" s="113"/>
      <c r="I331" s="113"/>
      <c r="J331" s="113"/>
      <c r="L331" s="113"/>
      <c r="M331" s="113"/>
      <c r="N331" s="113"/>
      <c r="P331" s="113"/>
      <c r="Q331" s="113"/>
      <c r="R331" s="113"/>
      <c r="T331" s="113"/>
      <c r="U331" s="113"/>
      <c r="V331" s="113"/>
    </row>
    <row r="332" customFormat="false" ht="15" hidden="false" customHeight="true" outlineLevel="0" collapsed="false">
      <c r="H332" s="113"/>
      <c r="I332" s="113"/>
      <c r="J332" s="113"/>
      <c r="L332" s="113"/>
      <c r="M332" s="113"/>
      <c r="N332" s="113"/>
      <c r="P332" s="113"/>
      <c r="Q332" s="113"/>
      <c r="R332" s="113"/>
      <c r="T332" s="113"/>
      <c r="U332" s="113"/>
      <c r="V332" s="113"/>
    </row>
    <row r="333" customFormat="false" ht="15" hidden="false" customHeight="true" outlineLevel="0" collapsed="false">
      <c r="H333" s="113"/>
      <c r="I333" s="113"/>
      <c r="J333" s="113"/>
      <c r="L333" s="113"/>
      <c r="M333" s="113"/>
      <c r="N333" s="113"/>
      <c r="P333" s="113"/>
      <c r="Q333" s="113"/>
      <c r="R333" s="113"/>
      <c r="T333" s="113"/>
      <c r="U333" s="113"/>
      <c r="V333" s="113"/>
    </row>
    <row r="334" customFormat="false" ht="15" hidden="false" customHeight="true" outlineLevel="0" collapsed="false">
      <c r="H334" s="113"/>
      <c r="I334" s="113"/>
      <c r="J334" s="113"/>
      <c r="L334" s="113"/>
      <c r="M334" s="113"/>
      <c r="N334" s="113"/>
      <c r="P334" s="113"/>
      <c r="Q334" s="113"/>
      <c r="R334" s="113"/>
      <c r="T334" s="113"/>
      <c r="U334" s="113"/>
      <c r="V334" s="113"/>
    </row>
    <row r="335" customFormat="false" ht="15" hidden="false" customHeight="true" outlineLevel="0" collapsed="false">
      <c r="H335" s="113"/>
      <c r="I335" s="113"/>
      <c r="J335" s="113"/>
      <c r="L335" s="113"/>
      <c r="M335" s="113"/>
      <c r="N335" s="113"/>
      <c r="P335" s="113"/>
      <c r="Q335" s="113"/>
      <c r="R335" s="113"/>
      <c r="T335" s="113"/>
      <c r="U335" s="113"/>
      <c r="V335" s="113"/>
    </row>
    <row r="336" customFormat="false" ht="15" hidden="false" customHeight="true" outlineLevel="0" collapsed="false">
      <c r="H336" s="113"/>
      <c r="I336" s="113"/>
      <c r="J336" s="113"/>
      <c r="L336" s="113"/>
      <c r="M336" s="113"/>
      <c r="N336" s="113"/>
      <c r="P336" s="113"/>
      <c r="Q336" s="113"/>
      <c r="R336" s="113"/>
      <c r="T336" s="113"/>
      <c r="U336" s="113"/>
      <c r="V336" s="113"/>
    </row>
    <row r="337" customFormat="false" ht="15" hidden="false" customHeight="true" outlineLevel="0" collapsed="false">
      <c r="H337" s="113"/>
      <c r="I337" s="113"/>
      <c r="J337" s="113"/>
      <c r="L337" s="113"/>
      <c r="M337" s="113"/>
      <c r="N337" s="113"/>
      <c r="P337" s="113"/>
      <c r="Q337" s="113"/>
      <c r="R337" s="113"/>
      <c r="T337" s="113"/>
      <c r="U337" s="113"/>
      <c r="V337" s="113"/>
    </row>
    <row r="338" customFormat="false" ht="15" hidden="false" customHeight="true" outlineLevel="0" collapsed="false">
      <c r="H338" s="113"/>
      <c r="I338" s="113"/>
      <c r="J338" s="113"/>
      <c r="L338" s="113"/>
      <c r="M338" s="113"/>
      <c r="N338" s="113"/>
      <c r="P338" s="113"/>
      <c r="Q338" s="113"/>
      <c r="R338" s="113"/>
      <c r="T338" s="113"/>
      <c r="U338" s="113"/>
      <c r="V338" s="113"/>
    </row>
    <row r="339" customFormat="false" ht="15" hidden="false" customHeight="true" outlineLevel="0" collapsed="false">
      <c r="H339" s="113"/>
      <c r="I339" s="113"/>
      <c r="J339" s="113"/>
      <c r="L339" s="113"/>
      <c r="M339" s="113"/>
      <c r="N339" s="113"/>
      <c r="P339" s="113"/>
      <c r="Q339" s="113"/>
      <c r="R339" s="113"/>
      <c r="T339" s="113"/>
      <c r="U339" s="113"/>
      <c r="V339" s="113"/>
    </row>
    <row r="340" customFormat="false" ht="15" hidden="false" customHeight="true" outlineLevel="0" collapsed="false">
      <c r="H340" s="113"/>
      <c r="I340" s="113"/>
      <c r="J340" s="113"/>
      <c r="L340" s="113"/>
      <c r="M340" s="113"/>
      <c r="N340" s="113"/>
      <c r="P340" s="113"/>
      <c r="Q340" s="113"/>
      <c r="R340" s="113"/>
      <c r="T340" s="113"/>
      <c r="U340" s="113"/>
      <c r="V340" s="113"/>
    </row>
    <row r="341" customFormat="false" ht="15" hidden="false" customHeight="true" outlineLevel="0" collapsed="false">
      <c r="H341" s="113"/>
      <c r="I341" s="113"/>
      <c r="J341" s="113"/>
      <c r="L341" s="113"/>
      <c r="M341" s="113"/>
      <c r="N341" s="113"/>
      <c r="P341" s="113"/>
      <c r="Q341" s="113"/>
      <c r="R341" s="113"/>
      <c r="T341" s="113"/>
      <c r="U341" s="113"/>
      <c r="V341" s="113"/>
    </row>
    <row r="342" customFormat="false" ht="15" hidden="false" customHeight="true" outlineLevel="0" collapsed="false">
      <c r="H342" s="113"/>
      <c r="I342" s="113"/>
      <c r="J342" s="113"/>
      <c r="L342" s="113"/>
      <c r="M342" s="113"/>
      <c r="N342" s="113"/>
      <c r="P342" s="113"/>
      <c r="Q342" s="113"/>
      <c r="R342" s="113"/>
      <c r="T342" s="113"/>
      <c r="U342" s="113"/>
      <c r="V342" s="113"/>
    </row>
    <row r="343" customFormat="false" ht="15" hidden="false" customHeight="true" outlineLevel="0" collapsed="false">
      <c r="H343" s="113"/>
      <c r="I343" s="113"/>
      <c r="J343" s="113"/>
      <c r="L343" s="113"/>
      <c r="M343" s="113"/>
      <c r="N343" s="113"/>
      <c r="P343" s="113"/>
      <c r="Q343" s="113"/>
      <c r="R343" s="113"/>
      <c r="T343" s="113"/>
      <c r="U343" s="113"/>
      <c r="V343" s="113"/>
    </row>
    <row r="344" customFormat="false" ht="15" hidden="false" customHeight="true" outlineLevel="0" collapsed="false">
      <c r="H344" s="113"/>
      <c r="I344" s="113"/>
      <c r="J344" s="113"/>
      <c r="L344" s="113"/>
      <c r="M344" s="113"/>
      <c r="N344" s="113"/>
      <c r="P344" s="113"/>
      <c r="Q344" s="113"/>
      <c r="R344" s="113"/>
      <c r="T344" s="113"/>
      <c r="U344" s="113"/>
      <c r="V344" s="113"/>
    </row>
    <row r="345" customFormat="false" ht="15" hidden="false" customHeight="true" outlineLevel="0" collapsed="false">
      <c r="H345" s="113"/>
      <c r="I345" s="113"/>
      <c r="J345" s="113"/>
      <c r="L345" s="113"/>
      <c r="M345" s="113"/>
      <c r="N345" s="113"/>
      <c r="P345" s="113"/>
      <c r="Q345" s="113"/>
      <c r="R345" s="113"/>
      <c r="T345" s="113"/>
      <c r="U345" s="113"/>
      <c r="V345" s="113"/>
    </row>
    <row r="346" customFormat="false" ht="15" hidden="false" customHeight="true" outlineLevel="0" collapsed="false">
      <c r="H346" s="113"/>
      <c r="I346" s="113"/>
      <c r="J346" s="113"/>
      <c r="L346" s="113"/>
      <c r="M346" s="113"/>
      <c r="N346" s="113"/>
      <c r="P346" s="113"/>
      <c r="Q346" s="113"/>
      <c r="R346" s="113"/>
      <c r="T346" s="113"/>
      <c r="U346" s="113"/>
      <c r="V346" s="113"/>
    </row>
    <row r="347" customFormat="false" ht="15" hidden="false" customHeight="true" outlineLevel="0" collapsed="false">
      <c r="H347" s="113"/>
      <c r="I347" s="113"/>
      <c r="J347" s="113"/>
      <c r="L347" s="113"/>
      <c r="M347" s="113"/>
      <c r="N347" s="113"/>
      <c r="P347" s="113"/>
      <c r="Q347" s="113"/>
      <c r="R347" s="113"/>
      <c r="T347" s="113"/>
      <c r="U347" s="113"/>
      <c r="V347" s="113"/>
    </row>
    <row r="348" customFormat="false" ht="15" hidden="false" customHeight="true" outlineLevel="0" collapsed="false">
      <c r="H348" s="113"/>
      <c r="I348" s="113"/>
      <c r="J348" s="113"/>
      <c r="L348" s="113"/>
      <c r="M348" s="113"/>
      <c r="N348" s="113"/>
      <c r="P348" s="113"/>
      <c r="Q348" s="113"/>
      <c r="R348" s="113"/>
      <c r="T348" s="113"/>
      <c r="U348" s="113"/>
      <c r="V348" s="113"/>
    </row>
    <row r="349" customFormat="false" ht="15" hidden="false" customHeight="true" outlineLevel="0" collapsed="false">
      <c r="H349" s="113"/>
      <c r="I349" s="113"/>
      <c r="J349" s="113"/>
      <c r="L349" s="113"/>
      <c r="M349" s="113"/>
      <c r="N349" s="113"/>
      <c r="P349" s="113"/>
      <c r="Q349" s="113"/>
      <c r="R349" s="113"/>
      <c r="T349" s="113"/>
      <c r="U349" s="113"/>
      <c r="V349" s="113"/>
    </row>
    <row r="350" customFormat="false" ht="15" hidden="false" customHeight="true" outlineLevel="0" collapsed="false">
      <c r="H350" s="113"/>
      <c r="I350" s="113"/>
      <c r="J350" s="113"/>
      <c r="L350" s="113"/>
      <c r="M350" s="113"/>
      <c r="N350" s="113"/>
      <c r="P350" s="113"/>
      <c r="Q350" s="113"/>
      <c r="R350" s="113"/>
      <c r="T350" s="113"/>
      <c r="U350" s="113"/>
      <c r="V350" s="113"/>
    </row>
    <row r="351" customFormat="false" ht="15" hidden="false" customHeight="true" outlineLevel="0" collapsed="false">
      <c r="H351" s="113"/>
      <c r="I351" s="113"/>
      <c r="J351" s="113"/>
      <c r="L351" s="113"/>
      <c r="M351" s="113"/>
      <c r="N351" s="113"/>
      <c r="P351" s="113"/>
      <c r="Q351" s="113"/>
      <c r="R351" s="113"/>
      <c r="T351" s="113"/>
      <c r="U351" s="113"/>
      <c r="V351" s="113"/>
    </row>
    <row r="352" customFormat="false" ht="15" hidden="false" customHeight="true" outlineLevel="0" collapsed="false">
      <c r="H352" s="113"/>
      <c r="I352" s="113"/>
      <c r="J352" s="113"/>
      <c r="L352" s="113"/>
      <c r="M352" s="113"/>
      <c r="N352" s="113"/>
      <c r="P352" s="113"/>
      <c r="Q352" s="113"/>
      <c r="R352" s="113"/>
      <c r="T352" s="113"/>
      <c r="U352" s="113"/>
      <c r="V352" s="113"/>
    </row>
    <row r="353" customFormat="false" ht="15" hidden="false" customHeight="true" outlineLevel="0" collapsed="false">
      <c r="H353" s="113"/>
      <c r="I353" s="113"/>
      <c r="J353" s="113"/>
      <c r="L353" s="113"/>
      <c r="M353" s="113"/>
      <c r="N353" s="113"/>
      <c r="P353" s="113"/>
      <c r="Q353" s="113"/>
      <c r="R353" s="113"/>
      <c r="T353" s="113"/>
      <c r="U353" s="113"/>
      <c r="V353" s="113"/>
    </row>
    <row r="354" customFormat="false" ht="15" hidden="false" customHeight="true" outlineLevel="0" collapsed="false">
      <c r="H354" s="113"/>
      <c r="I354" s="113"/>
      <c r="J354" s="113"/>
      <c r="L354" s="113"/>
      <c r="M354" s="113"/>
      <c r="N354" s="113"/>
      <c r="P354" s="113"/>
      <c r="Q354" s="113"/>
      <c r="R354" s="113"/>
      <c r="T354" s="113"/>
      <c r="U354" s="113"/>
      <c r="V354" s="113"/>
    </row>
    <row r="355" customFormat="false" ht="15" hidden="false" customHeight="true" outlineLevel="0" collapsed="false">
      <c r="H355" s="113"/>
      <c r="I355" s="113"/>
      <c r="J355" s="113"/>
      <c r="L355" s="113"/>
      <c r="M355" s="113"/>
      <c r="N355" s="113"/>
      <c r="P355" s="113"/>
      <c r="Q355" s="113"/>
      <c r="R355" s="113"/>
      <c r="T355" s="113"/>
      <c r="U355" s="113"/>
      <c r="V355" s="113"/>
    </row>
    <row r="356" customFormat="false" ht="15" hidden="false" customHeight="true" outlineLevel="0" collapsed="false">
      <c r="H356" s="113"/>
      <c r="I356" s="113"/>
      <c r="J356" s="113"/>
      <c r="L356" s="113"/>
      <c r="M356" s="113"/>
      <c r="N356" s="113"/>
      <c r="P356" s="113"/>
      <c r="Q356" s="113"/>
      <c r="R356" s="113"/>
      <c r="T356" s="113"/>
      <c r="U356" s="113"/>
      <c r="V356" s="113"/>
    </row>
    <row r="357" customFormat="false" ht="15" hidden="false" customHeight="true" outlineLevel="0" collapsed="false">
      <c r="H357" s="113"/>
      <c r="I357" s="113"/>
      <c r="J357" s="113"/>
      <c r="L357" s="113"/>
      <c r="M357" s="113"/>
      <c r="N357" s="113"/>
      <c r="P357" s="113"/>
      <c r="Q357" s="113"/>
      <c r="R357" s="113"/>
      <c r="T357" s="113"/>
      <c r="U357" s="113"/>
      <c r="V357" s="113"/>
    </row>
    <row r="358" customFormat="false" ht="15" hidden="false" customHeight="true" outlineLevel="0" collapsed="false">
      <c r="H358" s="113"/>
      <c r="I358" s="113"/>
      <c r="J358" s="113"/>
      <c r="L358" s="113"/>
      <c r="M358" s="113"/>
      <c r="N358" s="113"/>
      <c r="P358" s="113"/>
      <c r="Q358" s="113"/>
      <c r="R358" s="113"/>
      <c r="T358" s="113"/>
      <c r="U358" s="113"/>
      <c r="V358" s="113"/>
    </row>
    <row r="359" customFormat="false" ht="15" hidden="false" customHeight="true" outlineLevel="0" collapsed="false">
      <c r="H359" s="113"/>
      <c r="I359" s="113"/>
      <c r="J359" s="113"/>
      <c r="L359" s="113"/>
      <c r="M359" s="113"/>
      <c r="N359" s="113"/>
      <c r="P359" s="113"/>
      <c r="Q359" s="113"/>
      <c r="R359" s="113"/>
      <c r="T359" s="113"/>
      <c r="U359" s="113"/>
      <c r="V359" s="113"/>
    </row>
    <row r="360" customFormat="false" ht="15" hidden="false" customHeight="true" outlineLevel="0" collapsed="false">
      <c r="H360" s="113"/>
      <c r="I360" s="113"/>
      <c r="J360" s="113"/>
      <c r="L360" s="113"/>
      <c r="M360" s="113"/>
      <c r="N360" s="113"/>
      <c r="P360" s="113"/>
      <c r="Q360" s="113"/>
      <c r="R360" s="113"/>
      <c r="T360" s="113"/>
      <c r="U360" s="113"/>
      <c r="V360" s="113"/>
    </row>
    <row r="361" customFormat="false" ht="15" hidden="false" customHeight="true" outlineLevel="0" collapsed="false">
      <c r="H361" s="113"/>
      <c r="I361" s="113"/>
      <c r="J361" s="113"/>
      <c r="L361" s="113"/>
      <c r="M361" s="113"/>
      <c r="N361" s="113"/>
      <c r="P361" s="113"/>
      <c r="Q361" s="113"/>
      <c r="R361" s="113"/>
      <c r="T361" s="113"/>
      <c r="U361" s="113"/>
      <c r="V361" s="113"/>
    </row>
    <row r="362" customFormat="false" ht="15" hidden="false" customHeight="true" outlineLevel="0" collapsed="false">
      <c r="H362" s="113"/>
      <c r="I362" s="113"/>
      <c r="J362" s="113"/>
      <c r="L362" s="113"/>
      <c r="M362" s="113"/>
      <c r="N362" s="113"/>
      <c r="P362" s="113"/>
      <c r="Q362" s="113"/>
      <c r="R362" s="113"/>
      <c r="T362" s="113"/>
      <c r="U362" s="113"/>
      <c r="V362" s="113"/>
    </row>
    <row r="363" customFormat="false" ht="15" hidden="false" customHeight="true" outlineLevel="0" collapsed="false">
      <c r="H363" s="113"/>
      <c r="I363" s="113"/>
      <c r="J363" s="113"/>
      <c r="L363" s="113"/>
      <c r="M363" s="113"/>
      <c r="N363" s="113"/>
      <c r="P363" s="113"/>
      <c r="Q363" s="113"/>
      <c r="R363" s="113"/>
      <c r="T363" s="113"/>
      <c r="U363" s="113"/>
      <c r="V363" s="113"/>
    </row>
    <row r="364" customFormat="false" ht="15" hidden="false" customHeight="true" outlineLevel="0" collapsed="false">
      <c r="H364" s="113"/>
      <c r="I364" s="113"/>
      <c r="J364" s="113"/>
      <c r="L364" s="113"/>
      <c r="M364" s="113"/>
      <c r="N364" s="113"/>
      <c r="P364" s="113"/>
      <c r="Q364" s="113"/>
      <c r="R364" s="113"/>
      <c r="T364" s="113"/>
      <c r="U364" s="113"/>
      <c r="V364" s="113"/>
    </row>
    <row r="365" customFormat="false" ht="15" hidden="false" customHeight="true" outlineLevel="0" collapsed="false">
      <c r="H365" s="113"/>
      <c r="I365" s="113"/>
      <c r="J365" s="113"/>
      <c r="L365" s="113"/>
      <c r="M365" s="113"/>
      <c r="N365" s="113"/>
      <c r="P365" s="113"/>
      <c r="Q365" s="113"/>
      <c r="R365" s="113"/>
      <c r="T365" s="113"/>
      <c r="U365" s="113"/>
      <c r="V365" s="113"/>
    </row>
    <row r="366" customFormat="false" ht="15" hidden="false" customHeight="true" outlineLevel="0" collapsed="false">
      <c r="H366" s="113"/>
      <c r="I366" s="113"/>
      <c r="J366" s="113"/>
      <c r="L366" s="113"/>
      <c r="M366" s="113"/>
      <c r="N366" s="113"/>
      <c r="P366" s="113"/>
      <c r="Q366" s="113"/>
      <c r="R366" s="113"/>
      <c r="T366" s="113"/>
      <c r="U366" s="113"/>
      <c r="V366" s="113"/>
    </row>
    <row r="367" customFormat="false" ht="15" hidden="false" customHeight="true" outlineLevel="0" collapsed="false">
      <c r="H367" s="113"/>
      <c r="I367" s="113"/>
      <c r="J367" s="113"/>
      <c r="L367" s="113"/>
      <c r="M367" s="113"/>
      <c r="N367" s="113"/>
      <c r="P367" s="113"/>
      <c r="Q367" s="113"/>
      <c r="R367" s="113"/>
      <c r="T367" s="113"/>
      <c r="U367" s="113"/>
      <c r="V367" s="113"/>
    </row>
    <row r="368" customFormat="false" ht="15" hidden="false" customHeight="true" outlineLevel="0" collapsed="false">
      <c r="H368" s="113"/>
      <c r="I368" s="113"/>
      <c r="J368" s="113"/>
      <c r="L368" s="113"/>
      <c r="M368" s="113"/>
      <c r="N368" s="113"/>
      <c r="P368" s="113"/>
      <c r="Q368" s="113"/>
      <c r="R368" s="113"/>
      <c r="T368" s="113"/>
      <c r="U368" s="113"/>
      <c r="V368" s="113"/>
    </row>
    <row r="369" customFormat="false" ht="15" hidden="false" customHeight="true" outlineLevel="0" collapsed="false">
      <c r="H369" s="113"/>
      <c r="I369" s="113"/>
      <c r="J369" s="113"/>
      <c r="L369" s="113"/>
      <c r="M369" s="113"/>
      <c r="N369" s="113"/>
      <c r="P369" s="113"/>
      <c r="Q369" s="113"/>
      <c r="R369" s="113"/>
      <c r="T369" s="113"/>
      <c r="U369" s="113"/>
      <c r="V369" s="113"/>
    </row>
    <row r="370" customFormat="false" ht="15" hidden="false" customHeight="true" outlineLevel="0" collapsed="false">
      <c r="H370" s="113"/>
      <c r="I370" s="113"/>
      <c r="J370" s="113"/>
      <c r="L370" s="113"/>
      <c r="M370" s="113"/>
      <c r="N370" s="113"/>
      <c r="P370" s="113"/>
      <c r="Q370" s="113"/>
      <c r="R370" s="113"/>
      <c r="T370" s="113"/>
      <c r="U370" s="113"/>
      <c r="V370" s="113"/>
    </row>
    <row r="371" customFormat="false" ht="15" hidden="false" customHeight="true" outlineLevel="0" collapsed="false">
      <c r="H371" s="113"/>
      <c r="I371" s="113"/>
      <c r="J371" s="113"/>
      <c r="L371" s="113"/>
      <c r="M371" s="113"/>
      <c r="N371" s="113"/>
      <c r="P371" s="113"/>
      <c r="Q371" s="113"/>
      <c r="R371" s="113"/>
      <c r="T371" s="113"/>
      <c r="U371" s="113"/>
      <c r="V371" s="113"/>
    </row>
    <row r="372" customFormat="false" ht="15" hidden="false" customHeight="true" outlineLevel="0" collapsed="false">
      <c r="H372" s="113"/>
      <c r="I372" s="113"/>
      <c r="J372" s="113"/>
      <c r="L372" s="113"/>
      <c r="M372" s="113"/>
      <c r="N372" s="113"/>
      <c r="P372" s="113"/>
      <c r="Q372" s="113"/>
      <c r="R372" s="113"/>
      <c r="T372" s="113"/>
      <c r="U372" s="113"/>
      <c r="V372" s="113"/>
    </row>
    <row r="373" customFormat="false" ht="15" hidden="false" customHeight="true" outlineLevel="0" collapsed="false">
      <c r="H373" s="113"/>
      <c r="I373" s="113"/>
      <c r="J373" s="113"/>
      <c r="L373" s="113"/>
      <c r="M373" s="113"/>
      <c r="N373" s="113"/>
      <c r="P373" s="113"/>
      <c r="Q373" s="113"/>
      <c r="R373" s="113"/>
      <c r="T373" s="113"/>
      <c r="U373" s="113"/>
      <c r="V373" s="113"/>
    </row>
    <row r="374" customFormat="false" ht="15" hidden="false" customHeight="true" outlineLevel="0" collapsed="false">
      <c r="H374" s="113"/>
      <c r="I374" s="113"/>
      <c r="J374" s="113"/>
      <c r="L374" s="113"/>
      <c r="M374" s="113"/>
      <c r="N374" s="113"/>
      <c r="P374" s="113"/>
      <c r="Q374" s="113"/>
      <c r="R374" s="113"/>
      <c r="T374" s="113"/>
      <c r="U374" s="113"/>
      <c r="V374" s="113"/>
    </row>
    <row r="375" customFormat="false" ht="15" hidden="false" customHeight="true" outlineLevel="0" collapsed="false">
      <c r="H375" s="113"/>
      <c r="I375" s="113"/>
      <c r="J375" s="113"/>
      <c r="L375" s="113"/>
      <c r="M375" s="113"/>
      <c r="N375" s="113"/>
      <c r="P375" s="113"/>
      <c r="Q375" s="113"/>
      <c r="R375" s="113"/>
      <c r="T375" s="113"/>
      <c r="U375" s="113"/>
      <c r="V375" s="113"/>
    </row>
    <row r="376" customFormat="false" ht="15" hidden="false" customHeight="true" outlineLevel="0" collapsed="false">
      <c r="H376" s="113"/>
      <c r="I376" s="113"/>
      <c r="J376" s="113"/>
      <c r="L376" s="113"/>
      <c r="M376" s="113"/>
      <c r="N376" s="113"/>
      <c r="P376" s="113"/>
      <c r="Q376" s="113"/>
      <c r="R376" s="113"/>
      <c r="T376" s="113"/>
      <c r="U376" s="113"/>
      <c r="V376" s="113"/>
    </row>
    <row r="377" customFormat="false" ht="15" hidden="false" customHeight="true" outlineLevel="0" collapsed="false">
      <c r="H377" s="113"/>
      <c r="I377" s="113"/>
      <c r="J377" s="113"/>
      <c r="L377" s="113"/>
      <c r="M377" s="113"/>
      <c r="N377" s="113"/>
      <c r="P377" s="113"/>
      <c r="Q377" s="113"/>
      <c r="R377" s="113"/>
      <c r="T377" s="113"/>
      <c r="U377" s="113"/>
      <c r="V377" s="113"/>
    </row>
    <row r="378" customFormat="false" ht="15" hidden="false" customHeight="true" outlineLevel="0" collapsed="false">
      <c r="H378" s="113"/>
      <c r="I378" s="113"/>
      <c r="J378" s="113"/>
      <c r="L378" s="113"/>
      <c r="M378" s="113"/>
      <c r="N378" s="113"/>
      <c r="P378" s="113"/>
      <c r="Q378" s="113"/>
      <c r="R378" s="113"/>
      <c r="T378" s="113"/>
      <c r="U378" s="113"/>
      <c r="V378" s="113"/>
    </row>
    <row r="379" customFormat="false" ht="15" hidden="false" customHeight="true" outlineLevel="0" collapsed="false">
      <c r="H379" s="113"/>
      <c r="I379" s="113"/>
      <c r="J379" s="113"/>
      <c r="L379" s="113"/>
      <c r="M379" s="113"/>
      <c r="N379" s="113"/>
      <c r="P379" s="113"/>
      <c r="Q379" s="113"/>
      <c r="R379" s="113"/>
      <c r="T379" s="113"/>
      <c r="U379" s="113"/>
      <c r="V379" s="113"/>
    </row>
    <row r="380" customFormat="false" ht="15" hidden="false" customHeight="true" outlineLevel="0" collapsed="false">
      <c r="H380" s="113"/>
      <c r="I380" s="113"/>
      <c r="J380" s="113"/>
      <c r="L380" s="113"/>
      <c r="M380" s="113"/>
      <c r="N380" s="113"/>
      <c r="P380" s="113"/>
      <c r="Q380" s="113"/>
      <c r="R380" s="113"/>
      <c r="T380" s="113"/>
      <c r="U380" s="113"/>
      <c r="V380" s="113"/>
    </row>
    <row r="381" customFormat="false" ht="15" hidden="false" customHeight="true" outlineLevel="0" collapsed="false">
      <c r="H381" s="113"/>
      <c r="I381" s="113"/>
      <c r="J381" s="113"/>
      <c r="L381" s="113"/>
      <c r="M381" s="113"/>
      <c r="N381" s="113"/>
      <c r="P381" s="113"/>
      <c r="Q381" s="113"/>
      <c r="R381" s="113"/>
      <c r="T381" s="113"/>
      <c r="U381" s="113"/>
      <c r="V381" s="113"/>
    </row>
    <row r="382" customFormat="false" ht="15" hidden="false" customHeight="true" outlineLevel="0" collapsed="false">
      <c r="H382" s="113"/>
      <c r="I382" s="113"/>
      <c r="J382" s="113"/>
      <c r="L382" s="113"/>
      <c r="M382" s="113"/>
      <c r="N382" s="113"/>
      <c r="P382" s="113"/>
      <c r="Q382" s="113"/>
      <c r="R382" s="113"/>
      <c r="T382" s="113"/>
      <c r="U382" s="113"/>
      <c r="V382" s="113"/>
    </row>
    <row r="383" customFormat="false" ht="15" hidden="false" customHeight="true" outlineLevel="0" collapsed="false">
      <c r="H383" s="113"/>
      <c r="I383" s="113"/>
      <c r="J383" s="113"/>
      <c r="L383" s="113"/>
      <c r="M383" s="113"/>
      <c r="N383" s="113"/>
      <c r="P383" s="113"/>
      <c r="Q383" s="113"/>
      <c r="R383" s="113"/>
      <c r="T383" s="113"/>
      <c r="U383" s="113"/>
      <c r="V383" s="113"/>
    </row>
    <row r="384" customFormat="false" ht="15" hidden="false" customHeight="true" outlineLevel="0" collapsed="false">
      <c r="H384" s="113"/>
      <c r="I384" s="113"/>
      <c r="J384" s="113"/>
      <c r="L384" s="113"/>
      <c r="M384" s="113"/>
      <c r="N384" s="113"/>
      <c r="P384" s="113"/>
      <c r="Q384" s="113"/>
      <c r="R384" s="113"/>
      <c r="T384" s="113"/>
      <c r="U384" s="113"/>
      <c r="V384" s="113"/>
    </row>
    <row r="385" customFormat="false" ht="15" hidden="false" customHeight="true" outlineLevel="0" collapsed="false">
      <c r="H385" s="113"/>
      <c r="I385" s="113"/>
      <c r="J385" s="113"/>
      <c r="L385" s="113"/>
      <c r="M385" s="113"/>
      <c r="N385" s="113"/>
      <c r="P385" s="113"/>
      <c r="Q385" s="113"/>
      <c r="R385" s="113"/>
      <c r="T385" s="113"/>
      <c r="U385" s="113"/>
      <c r="V385" s="113"/>
    </row>
    <row r="386" customFormat="false" ht="15" hidden="false" customHeight="true" outlineLevel="0" collapsed="false">
      <c r="H386" s="113"/>
      <c r="I386" s="113"/>
      <c r="J386" s="113"/>
      <c r="L386" s="113"/>
      <c r="M386" s="113"/>
      <c r="N386" s="113"/>
      <c r="P386" s="113"/>
      <c r="Q386" s="113"/>
      <c r="R386" s="113"/>
      <c r="T386" s="113"/>
      <c r="U386" s="113"/>
      <c r="V386" s="113"/>
    </row>
    <row r="387" customFormat="false" ht="15" hidden="false" customHeight="true" outlineLevel="0" collapsed="false">
      <c r="H387" s="113"/>
      <c r="I387" s="113"/>
      <c r="J387" s="113"/>
      <c r="L387" s="113"/>
      <c r="M387" s="113"/>
      <c r="N387" s="113"/>
      <c r="P387" s="113"/>
      <c r="Q387" s="113"/>
      <c r="R387" s="113"/>
      <c r="T387" s="113"/>
      <c r="U387" s="113"/>
      <c r="V387" s="113"/>
    </row>
    <row r="388" customFormat="false" ht="15" hidden="false" customHeight="true" outlineLevel="0" collapsed="false">
      <c r="H388" s="113"/>
      <c r="I388" s="113"/>
      <c r="J388" s="113"/>
      <c r="L388" s="113"/>
      <c r="M388" s="113"/>
      <c r="N388" s="113"/>
      <c r="P388" s="113"/>
      <c r="Q388" s="113"/>
      <c r="R388" s="113"/>
      <c r="T388" s="113"/>
      <c r="U388" s="113"/>
      <c r="V388" s="113"/>
    </row>
    <row r="389" customFormat="false" ht="15" hidden="false" customHeight="true" outlineLevel="0" collapsed="false">
      <c r="H389" s="113"/>
      <c r="I389" s="113"/>
      <c r="J389" s="113"/>
      <c r="L389" s="113"/>
      <c r="M389" s="113"/>
      <c r="N389" s="113"/>
      <c r="P389" s="113"/>
      <c r="Q389" s="113"/>
      <c r="R389" s="113"/>
      <c r="T389" s="113"/>
      <c r="U389" s="113"/>
      <c r="V389" s="113"/>
    </row>
    <row r="390" customFormat="false" ht="15" hidden="false" customHeight="true" outlineLevel="0" collapsed="false">
      <c r="H390" s="113"/>
      <c r="I390" s="113"/>
      <c r="J390" s="113"/>
      <c r="L390" s="113"/>
      <c r="M390" s="113"/>
      <c r="N390" s="113"/>
      <c r="P390" s="113"/>
      <c r="Q390" s="113"/>
      <c r="R390" s="113"/>
      <c r="T390" s="113"/>
      <c r="U390" s="113"/>
      <c r="V390" s="113"/>
    </row>
    <row r="391" customFormat="false" ht="15" hidden="false" customHeight="true" outlineLevel="0" collapsed="false">
      <c r="H391" s="113"/>
      <c r="I391" s="113"/>
      <c r="J391" s="113"/>
      <c r="L391" s="113"/>
      <c r="M391" s="113"/>
      <c r="N391" s="113"/>
      <c r="P391" s="113"/>
      <c r="Q391" s="113"/>
      <c r="R391" s="113"/>
      <c r="T391" s="113"/>
      <c r="U391" s="113"/>
      <c r="V391" s="113"/>
    </row>
    <row r="392" customFormat="false" ht="15" hidden="false" customHeight="true" outlineLevel="0" collapsed="false">
      <c r="H392" s="113"/>
      <c r="I392" s="113"/>
      <c r="J392" s="113"/>
      <c r="L392" s="113"/>
      <c r="M392" s="113"/>
      <c r="N392" s="113"/>
      <c r="P392" s="113"/>
      <c r="Q392" s="113"/>
      <c r="R392" s="113"/>
      <c r="T392" s="113"/>
      <c r="U392" s="113"/>
      <c r="V392" s="113"/>
    </row>
    <row r="393" customFormat="false" ht="15" hidden="false" customHeight="true" outlineLevel="0" collapsed="false">
      <c r="H393" s="113"/>
      <c r="I393" s="113"/>
      <c r="J393" s="113"/>
      <c r="L393" s="113"/>
      <c r="M393" s="113"/>
      <c r="N393" s="113"/>
      <c r="P393" s="113"/>
      <c r="Q393" s="113"/>
      <c r="R393" s="113"/>
      <c r="T393" s="113"/>
      <c r="U393" s="113"/>
      <c r="V393" s="113"/>
    </row>
    <row r="394" customFormat="false" ht="15" hidden="false" customHeight="true" outlineLevel="0" collapsed="false">
      <c r="H394" s="113"/>
      <c r="I394" s="113"/>
      <c r="J394" s="113"/>
      <c r="L394" s="113"/>
      <c r="M394" s="113"/>
      <c r="N394" s="113"/>
      <c r="P394" s="113"/>
      <c r="Q394" s="113"/>
      <c r="R394" s="113"/>
      <c r="T394" s="113"/>
      <c r="U394" s="113"/>
      <c r="V394" s="113"/>
    </row>
    <row r="395" customFormat="false" ht="15" hidden="false" customHeight="true" outlineLevel="0" collapsed="false">
      <c r="H395" s="113"/>
      <c r="I395" s="113"/>
      <c r="J395" s="113"/>
      <c r="L395" s="113"/>
      <c r="M395" s="113"/>
      <c r="N395" s="113"/>
      <c r="P395" s="113"/>
      <c r="Q395" s="113"/>
      <c r="R395" s="113"/>
      <c r="T395" s="113"/>
      <c r="U395" s="113"/>
      <c r="V395" s="113"/>
    </row>
    <row r="396" customFormat="false" ht="15" hidden="false" customHeight="true" outlineLevel="0" collapsed="false">
      <c r="H396" s="113"/>
      <c r="I396" s="113"/>
      <c r="J396" s="113"/>
      <c r="L396" s="113"/>
      <c r="M396" s="113"/>
      <c r="N396" s="113"/>
      <c r="P396" s="113"/>
      <c r="Q396" s="113"/>
      <c r="R396" s="113"/>
      <c r="T396" s="113"/>
      <c r="U396" s="113"/>
      <c r="V396" s="113"/>
    </row>
    <row r="397" customFormat="false" ht="15" hidden="false" customHeight="true" outlineLevel="0" collapsed="false">
      <c r="H397" s="113"/>
      <c r="I397" s="113"/>
      <c r="J397" s="113"/>
      <c r="L397" s="113"/>
      <c r="M397" s="113"/>
      <c r="N397" s="113"/>
      <c r="P397" s="113"/>
      <c r="Q397" s="113"/>
      <c r="R397" s="113"/>
      <c r="T397" s="113"/>
      <c r="U397" s="113"/>
      <c r="V397" s="113"/>
    </row>
    <row r="398" customFormat="false" ht="15" hidden="false" customHeight="true" outlineLevel="0" collapsed="false">
      <c r="H398" s="113"/>
      <c r="I398" s="113"/>
      <c r="J398" s="113"/>
      <c r="L398" s="113"/>
      <c r="M398" s="113"/>
      <c r="N398" s="113"/>
      <c r="P398" s="113"/>
      <c r="Q398" s="113"/>
      <c r="R398" s="113"/>
      <c r="T398" s="113"/>
      <c r="U398" s="113"/>
      <c r="V398" s="113"/>
    </row>
    <row r="399" customFormat="false" ht="15" hidden="false" customHeight="true" outlineLevel="0" collapsed="false">
      <c r="H399" s="113"/>
      <c r="I399" s="113"/>
      <c r="J399" s="113"/>
      <c r="L399" s="113"/>
      <c r="M399" s="113"/>
      <c r="N399" s="113"/>
      <c r="P399" s="113"/>
      <c r="Q399" s="113"/>
      <c r="R399" s="113"/>
      <c r="T399" s="113"/>
      <c r="U399" s="113"/>
      <c r="V399" s="113"/>
    </row>
    <row r="400" customFormat="false" ht="15" hidden="false" customHeight="true" outlineLevel="0" collapsed="false">
      <c r="H400" s="113"/>
      <c r="I400" s="113"/>
      <c r="J400" s="113"/>
      <c r="L400" s="113"/>
      <c r="M400" s="113"/>
      <c r="N400" s="113"/>
      <c r="P400" s="113"/>
      <c r="Q400" s="113"/>
      <c r="R400" s="113"/>
      <c r="T400" s="113"/>
      <c r="U400" s="113"/>
      <c r="V400" s="113"/>
    </row>
    <row r="401" customFormat="false" ht="15" hidden="false" customHeight="true" outlineLevel="0" collapsed="false">
      <c r="H401" s="113"/>
      <c r="I401" s="113"/>
      <c r="J401" s="113"/>
      <c r="L401" s="113"/>
      <c r="M401" s="113"/>
      <c r="N401" s="113"/>
      <c r="P401" s="113"/>
      <c r="Q401" s="113"/>
      <c r="R401" s="113"/>
      <c r="T401" s="113"/>
      <c r="U401" s="113"/>
      <c r="V401" s="113"/>
    </row>
    <row r="402" customFormat="false" ht="15" hidden="false" customHeight="true" outlineLevel="0" collapsed="false">
      <c r="H402" s="113"/>
      <c r="I402" s="113"/>
      <c r="J402" s="113"/>
      <c r="L402" s="113"/>
      <c r="M402" s="113"/>
      <c r="N402" s="113"/>
      <c r="P402" s="113"/>
      <c r="Q402" s="113"/>
      <c r="R402" s="113"/>
      <c r="T402" s="113"/>
      <c r="U402" s="113"/>
      <c r="V402" s="113"/>
    </row>
    <row r="403" customFormat="false" ht="15" hidden="false" customHeight="true" outlineLevel="0" collapsed="false">
      <c r="H403" s="113"/>
      <c r="I403" s="113"/>
      <c r="J403" s="113"/>
      <c r="L403" s="113"/>
      <c r="M403" s="113"/>
      <c r="N403" s="113"/>
      <c r="P403" s="113"/>
      <c r="Q403" s="113"/>
      <c r="R403" s="113"/>
      <c r="T403" s="113"/>
      <c r="U403" s="113"/>
      <c r="V403" s="113"/>
    </row>
    <row r="404" customFormat="false" ht="15" hidden="false" customHeight="true" outlineLevel="0" collapsed="false">
      <c r="H404" s="113"/>
      <c r="I404" s="113"/>
      <c r="J404" s="113"/>
      <c r="L404" s="113"/>
      <c r="M404" s="113"/>
      <c r="N404" s="113"/>
      <c r="P404" s="113"/>
      <c r="Q404" s="113"/>
      <c r="R404" s="113"/>
      <c r="T404" s="113"/>
      <c r="U404" s="113"/>
      <c r="V404" s="113"/>
    </row>
    <row r="405" customFormat="false" ht="15" hidden="false" customHeight="true" outlineLevel="0" collapsed="false">
      <c r="H405" s="113"/>
      <c r="I405" s="113"/>
      <c r="J405" s="113"/>
      <c r="L405" s="113"/>
      <c r="M405" s="113"/>
      <c r="N405" s="113"/>
      <c r="P405" s="113"/>
      <c r="Q405" s="113"/>
      <c r="R405" s="113"/>
      <c r="T405" s="113"/>
      <c r="U405" s="113"/>
      <c r="V405" s="113"/>
    </row>
    <row r="406" customFormat="false" ht="15" hidden="false" customHeight="true" outlineLevel="0" collapsed="false">
      <c r="H406" s="113"/>
      <c r="I406" s="113"/>
      <c r="J406" s="113"/>
      <c r="L406" s="113"/>
      <c r="M406" s="113"/>
      <c r="N406" s="113"/>
      <c r="P406" s="113"/>
      <c r="Q406" s="113"/>
      <c r="R406" s="113"/>
      <c r="T406" s="113"/>
      <c r="U406" s="113"/>
      <c r="V406" s="113"/>
    </row>
    <row r="407" customFormat="false" ht="15" hidden="false" customHeight="true" outlineLevel="0" collapsed="false">
      <c r="H407" s="113"/>
      <c r="I407" s="113"/>
      <c r="J407" s="113"/>
      <c r="L407" s="113"/>
      <c r="M407" s="113"/>
      <c r="N407" s="113"/>
      <c r="P407" s="113"/>
      <c r="Q407" s="113"/>
      <c r="R407" s="113"/>
      <c r="T407" s="113"/>
      <c r="U407" s="113"/>
      <c r="V407" s="113"/>
    </row>
    <row r="408" customFormat="false" ht="15" hidden="false" customHeight="true" outlineLevel="0" collapsed="false">
      <c r="H408" s="113"/>
      <c r="I408" s="113"/>
      <c r="J408" s="113"/>
      <c r="L408" s="113"/>
      <c r="M408" s="113"/>
      <c r="N408" s="113"/>
      <c r="P408" s="113"/>
      <c r="Q408" s="113"/>
      <c r="R408" s="113"/>
      <c r="T408" s="113"/>
      <c r="U408" s="113"/>
      <c r="V408" s="113"/>
    </row>
    <row r="409" customFormat="false" ht="15" hidden="false" customHeight="true" outlineLevel="0" collapsed="false">
      <c r="H409" s="113"/>
      <c r="I409" s="113"/>
      <c r="J409" s="113"/>
      <c r="L409" s="113"/>
      <c r="M409" s="113"/>
      <c r="N409" s="113"/>
      <c r="P409" s="113"/>
      <c r="Q409" s="113"/>
      <c r="R409" s="113"/>
      <c r="T409" s="113"/>
      <c r="U409" s="113"/>
      <c r="V409" s="113"/>
    </row>
    <row r="410" customFormat="false" ht="15" hidden="false" customHeight="true" outlineLevel="0" collapsed="false">
      <c r="H410" s="113"/>
      <c r="I410" s="113"/>
      <c r="J410" s="113"/>
      <c r="L410" s="113"/>
      <c r="M410" s="113"/>
      <c r="N410" s="113"/>
      <c r="P410" s="113"/>
      <c r="Q410" s="113"/>
      <c r="R410" s="113"/>
      <c r="T410" s="113"/>
      <c r="U410" s="113"/>
      <c r="V410" s="113"/>
    </row>
    <row r="411" customFormat="false" ht="15" hidden="false" customHeight="true" outlineLevel="0" collapsed="false">
      <c r="H411" s="113"/>
      <c r="I411" s="113"/>
      <c r="J411" s="113"/>
      <c r="L411" s="113"/>
      <c r="M411" s="113"/>
      <c r="N411" s="113"/>
      <c r="P411" s="113"/>
      <c r="Q411" s="113"/>
      <c r="R411" s="113"/>
      <c r="T411" s="113"/>
      <c r="U411" s="113"/>
      <c r="V411" s="113"/>
    </row>
    <row r="412" customFormat="false" ht="15" hidden="false" customHeight="true" outlineLevel="0" collapsed="false">
      <c r="H412" s="113"/>
      <c r="I412" s="113"/>
      <c r="J412" s="113"/>
      <c r="L412" s="113"/>
      <c r="M412" s="113"/>
      <c r="N412" s="113"/>
      <c r="P412" s="113"/>
      <c r="Q412" s="113"/>
      <c r="R412" s="113"/>
      <c r="T412" s="113"/>
      <c r="U412" s="113"/>
      <c r="V412" s="113"/>
    </row>
    <row r="413" customFormat="false" ht="15" hidden="false" customHeight="true" outlineLevel="0" collapsed="false">
      <c r="H413" s="113"/>
      <c r="I413" s="113"/>
      <c r="J413" s="113"/>
      <c r="L413" s="113"/>
      <c r="M413" s="113"/>
      <c r="N413" s="113"/>
      <c r="P413" s="113"/>
      <c r="Q413" s="113"/>
      <c r="R413" s="113"/>
      <c r="T413" s="113"/>
      <c r="U413" s="113"/>
      <c r="V413" s="113"/>
    </row>
    <row r="414" customFormat="false" ht="15" hidden="false" customHeight="true" outlineLevel="0" collapsed="false">
      <c r="H414" s="113"/>
      <c r="I414" s="113"/>
      <c r="J414" s="113"/>
      <c r="L414" s="113"/>
      <c r="M414" s="113"/>
      <c r="N414" s="113"/>
      <c r="P414" s="113"/>
      <c r="Q414" s="113"/>
      <c r="R414" s="113"/>
      <c r="T414" s="113"/>
      <c r="U414" s="113"/>
      <c r="V414" s="113"/>
    </row>
    <row r="415" customFormat="false" ht="15" hidden="false" customHeight="true" outlineLevel="0" collapsed="false">
      <c r="H415" s="113"/>
      <c r="I415" s="113"/>
      <c r="J415" s="113"/>
      <c r="L415" s="113"/>
      <c r="M415" s="113"/>
      <c r="N415" s="113"/>
      <c r="P415" s="113"/>
      <c r="Q415" s="113"/>
      <c r="R415" s="113"/>
      <c r="T415" s="113"/>
      <c r="U415" s="113"/>
      <c r="V415" s="113"/>
    </row>
    <row r="416" customFormat="false" ht="15" hidden="false" customHeight="true" outlineLevel="0" collapsed="false">
      <c r="H416" s="113"/>
      <c r="I416" s="113"/>
      <c r="J416" s="113"/>
      <c r="L416" s="113"/>
      <c r="M416" s="113"/>
      <c r="N416" s="113"/>
      <c r="P416" s="113"/>
      <c r="Q416" s="113"/>
      <c r="R416" s="113"/>
      <c r="T416" s="113"/>
      <c r="U416" s="113"/>
      <c r="V416" s="113"/>
    </row>
    <row r="417" customFormat="false" ht="15" hidden="false" customHeight="true" outlineLevel="0" collapsed="false">
      <c r="H417" s="113"/>
      <c r="I417" s="113"/>
      <c r="J417" s="113"/>
      <c r="L417" s="113"/>
      <c r="M417" s="113"/>
      <c r="N417" s="113"/>
      <c r="P417" s="113"/>
      <c r="Q417" s="113"/>
      <c r="R417" s="113"/>
      <c r="T417" s="113"/>
      <c r="U417" s="113"/>
      <c r="V417" s="113"/>
    </row>
    <row r="418" customFormat="false" ht="15" hidden="false" customHeight="true" outlineLevel="0" collapsed="false">
      <c r="H418" s="113"/>
      <c r="I418" s="113"/>
      <c r="J418" s="113"/>
      <c r="L418" s="113"/>
      <c r="M418" s="113"/>
      <c r="N418" s="113"/>
      <c r="P418" s="113"/>
      <c r="Q418" s="113"/>
      <c r="R418" s="113"/>
      <c r="T418" s="113"/>
      <c r="U418" s="113"/>
      <c r="V418" s="113"/>
    </row>
    <row r="419" customFormat="false" ht="15" hidden="false" customHeight="true" outlineLevel="0" collapsed="false">
      <c r="H419" s="113"/>
      <c r="I419" s="113"/>
      <c r="J419" s="113"/>
      <c r="L419" s="113"/>
      <c r="M419" s="113"/>
      <c r="N419" s="113"/>
      <c r="P419" s="113"/>
      <c r="Q419" s="113"/>
      <c r="R419" s="113"/>
      <c r="T419" s="113"/>
      <c r="U419" s="113"/>
      <c r="V419" s="113"/>
    </row>
    <row r="420" customFormat="false" ht="15" hidden="false" customHeight="true" outlineLevel="0" collapsed="false">
      <c r="H420" s="113"/>
      <c r="I420" s="113"/>
      <c r="J420" s="113"/>
      <c r="L420" s="113"/>
      <c r="M420" s="113"/>
      <c r="N420" s="113"/>
      <c r="P420" s="113"/>
      <c r="Q420" s="113"/>
      <c r="R420" s="113"/>
      <c r="T420" s="113"/>
      <c r="U420" s="113"/>
      <c r="V420" s="113"/>
    </row>
    <row r="421" customFormat="false" ht="15" hidden="false" customHeight="true" outlineLevel="0" collapsed="false">
      <c r="H421" s="113"/>
      <c r="I421" s="113"/>
      <c r="J421" s="113"/>
      <c r="L421" s="113"/>
      <c r="M421" s="113"/>
      <c r="N421" s="113"/>
      <c r="P421" s="113"/>
      <c r="Q421" s="113"/>
      <c r="R421" s="113"/>
      <c r="T421" s="113"/>
      <c r="U421" s="113"/>
      <c r="V421" s="113"/>
    </row>
    <row r="422" customFormat="false" ht="15" hidden="false" customHeight="true" outlineLevel="0" collapsed="false">
      <c r="H422" s="113"/>
      <c r="I422" s="113"/>
      <c r="J422" s="113"/>
      <c r="L422" s="113"/>
      <c r="M422" s="113"/>
      <c r="N422" s="113"/>
      <c r="P422" s="113"/>
      <c r="Q422" s="113"/>
      <c r="R422" s="113"/>
      <c r="T422" s="113"/>
      <c r="U422" s="113"/>
      <c r="V422" s="113"/>
    </row>
    <row r="423" customFormat="false" ht="15" hidden="false" customHeight="true" outlineLevel="0" collapsed="false">
      <c r="H423" s="113"/>
      <c r="I423" s="113"/>
      <c r="J423" s="113"/>
      <c r="L423" s="113"/>
      <c r="M423" s="113"/>
      <c r="N423" s="113"/>
      <c r="P423" s="113"/>
      <c r="Q423" s="113"/>
      <c r="R423" s="113"/>
      <c r="T423" s="113"/>
      <c r="U423" s="113"/>
      <c r="V423" s="113"/>
    </row>
    <row r="424" customFormat="false" ht="15" hidden="false" customHeight="true" outlineLevel="0" collapsed="false">
      <c r="H424" s="113"/>
      <c r="I424" s="113"/>
      <c r="J424" s="113"/>
      <c r="L424" s="113"/>
      <c r="M424" s="113"/>
      <c r="N424" s="113"/>
      <c r="P424" s="113"/>
      <c r="Q424" s="113"/>
      <c r="R424" s="113"/>
      <c r="T424" s="113"/>
      <c r="U424" s="113"/>
      <c r="V424" s="113"/>
    </row>
    <row r="425" customFormat="false" ht="15" hidden="false" customHeight="true" outlineLevel="0" collapsed="false">
      <c r="H425" s="113"/>
      <c r="I425" s="113"/>
      <c r="J425" s="113"/>
      <c r="L425" s="113"/>
      <c r="M425" s="113"/>
      <c r="N425" s="113"/>
      <c r="P425" s="113"/>
      <c r="Q425" s="113"/>
      <c r="R425" s="113"/>
      <c r="T425" s="113"/>
      <c r="U425" s="113"/>
      <c r="V425" s="113"/>
    </row>
    <row r="426" customFormat="false" ht="15" hidden="false" customHeight="true" outlineLevel="0" collapsed="false">
      <c r="H426" s="113"/>
      <c r="I426" s="113"/>
      <c r="J426" s="113"/>
      <c r="L426" s="113"/>
      <c r="M426" s="113"/>
      <c r="N426" s="113"/>
      <c r="P426" s="113"/>
      <c r="Q426" s="113"/>
      <c r="R426" s="113"/>
      <c r="T426" s="113"/>
      <c r="U426" s="113"/>
      <c r="V426" s="113"/>
    </row>
    <row r="427" customFormat="false" ht="15" hidden="false" customHeight="true" outlineLevel="0" collapsed="false">
      <c r="H427" s="113"/>
      <c r="I427" s="113"/>
      <c r="J427" s="113"/>
      <c r="L427" s="113"/>
      <c r="M427" s="113"/>
      <c r="N427" s="113"/>
      <c r="P427" s="113"/>
      <c r="Q427" s="113"/>
      <c r="R427" s="113"/>
      <c r="T427" s="113"/>
      <c r="U427" s="113"/>
      <c r="V427" s="113"/>
    </row>
    <row r="428" customFormat="false" ht="15" hidden="false" customHeight="true" outlineLevel="0" collapsed="false">
      <c r="H428" s="113"/>
      <c r="I428" s="113"/>
      <c r="J428" s="113"/>
      <c r="L428" s="113"/>
      <c r="M428" s="113"/>
      <c r="N428" s="113"/>
      <c r="P428" s="113"/>
      <c r="Q428" s="113"/>
      <c r="R428" s="113"/>
      <c r="T428" s="113"/>
      <c r="U428" s="113"/>
      <c r="V428" s="113"/>
    </row>
    <row r="429" customFormat="false" ht="15" hidden="false" customHeight="true" outlineLevel="0" collapsed="false">
      <c r="H429" s="113"/>
      <c r="I429" s="113"/>
      <c r="J429" s="113"/>
      <c r="L429" s="113"/>
      <c r="M429" s="113"/>
      <c r="N429" s="113"/>
      <c r="P429" s="113"/>
      <c r="Q429" s="113"/>
      <c r="R429" s="113"/>
      <c r="T429" s="113"/>
      <c r="U429" s="113"/>
      <c r="V429" s="113"/>
    </row>
    <row r="430" customFormat="false" ht="15" hidden="false" customHeight="true" outlineLevel="0" collapsed="false">
      <c r="H430" s="113"/>
      <c r="I430" s="113"/>
      <c r="J430" s="113"/>
      <c r="L430" s="113"/>
      <c r="M430" s="113"/>
      <c r="N430" s="113"/>
      <c r="P430" s="113"/>
      <c r="Q430" s="113"/>
      <c r="R430" s="113"/>
      <c r="T430" s="113"/>
      <c r="U430" s="113"/>
      <c r="V430" s="113"/>
    </row>
    <row r="431" customFormat="false" ht="15" hidden="false" customHeight="true" outlineLevel="0" collapsed="false">
      <c r="H431" s="113"/>
      <c r="I431" s="113"/>
      <c r="J431" s="113"/>
      <c r="L431" s="113"/>
      <c r="M431" s="113"/>
      <c r="N431" s="113"/>
      <c r="P431" s="113"/>
      <c r="Q431" s="113"/>
      <c r="R431" s="113"/>
      <c r="T431" s="113"/>
      <c r="U431" s="113"/>
      <c r="V431" s="113"/>
    </row>
    <row r="432" customFormat="false" ht="15" hidden="false" customHeight="true" outlineLevel="0" collapsed="false">
      <c r="H432" s="113"/>
      <c r="I432" s="113"/>
      <c r="J432" s="113"/>
      <c r="L432" s="113"/>
      <c r="M432" s="113"/>
      <c r="N432" s="113"/>
      <c r="P432" s="113"/>
      <c r="Q432" s="113"/>
      <c r="R432" s="113"/>
      <c r="T432" s="113"/>
      <c r="U432" s="113"/>
      <c r="V432" s="113"/>
    </row>
    <row r="433" customFormat="false" ht="15" hidden="false" customHeight="true" outlineLevel="0" collapsed="false">
      <c r="H433" s="113"/>
      <c r="I433" s="113"/>
      <c r="J433" s="113"/>
      <c r="L433" s="113"/>
      <c r="M433" s="113"/>
      <c r="N433" s="113"/>
      <c r="P433" s="113"/>
      <c r="Q433" s="113"/>
      <c r="R433" s="113"/>
      <c r="T433" s="113"/>
      <c r="U433" s="113"/>
      <c r="V433" s="113"/>
    </row>
    <row r="434" customFormat="false" ht="15" hidden="false" customHeight="true" outlineLevel="0" collapsed="false">
      <c r="H434" s="113"/>
      <c r="I434" s="113"/>
      <c r="J434" s="113"/>
      <c r="L434" s="113"/>
      <c r="M434" s="113"/>
      <c r="N434" s="113"/>
      <c r="P434" s="113"/>
      <c r="Q434" s="113"/>
      <c r="R434" s="113"/>
      <c r="T434" s="113"/>
      <c r="U434" s="113"/>
      <c r="V434" s="113"/>
    </row>
    <row r="435" customFormat="false" ht="15" hidden="false" customHeight="true" outlineLevel="0" collapsed="false">
      <c r="H435" s="113"/>
      <c r="I435" s="113"/>
      <c r="J435" s="113"/>
      <c r="L435" s="113"/>
      <c r="M435" s="113"/>
      <c r="N435" s="113"/>
      <c r="P435" s="113"/>
      <c r="Q435" s="113"/>
      <c r="R435" s="113"/>
      <c r="T435" s="113"/>
      <c r="U435" s="113"/>
      <c r="V435" s="113"/>
    </row>
    <row r="436" customFormat="false" ht="15" hidden="false" customHeight="true" outlineLevel="0" collapsed="false">
      <c r="H436" s="113"/>
      <c r="I436" s="113"/>
      <c r="J436" s="113"/>
      <c r="L436" s="113"/>
      <c r="M436" s="113"/>
      <c r="N436" s="113"/>
      <c r="P436" s="113"/>
      <c r="Q436" s="113"/>
      <c r="R436" s="113"/>
      <c r="T436" s="113"/>
      <c r="U436" s="113"/>
      <c r="V436" s="113"/>
    </row>
    <row r="437" customFormat="false" ht="15" hidden="false" customHeight="true" outlineLevel="0" collapsed="false">
      <c r="H437" s="113"/>
      <c r="I437" s="113"/>
      <c r="J437" s="113"/>
      <c r="L437" s="113"/>
      <c r="M437" s="113"/>
      <c r="N437" s="113"/>
      <c r="P437" s="113"/>
      <c r="Q437" s="113"/>
      <c r="R437" s="113"/>
      <c r="T437" s="113"/>
      <c r="U437" s="113"/>
      <c r="V437" s="113"/>
    </row>
    <row r="438" customFormat="false" ht="15" hidden="false" customHeight="true" outlineLevel="0" collapsed="false">
      <c r="H438" s="113"/>
      <c r="I438" s="113"/>
      <c r="J438" s="113"/>
      <c r="L438" s="113"/>
      <c r="M438" s="113"/>
      <c r="N438" s="113"/>
      <c r="P438" s="113"/>
      <c r="Q438" s="113"/>
      <c r="R438" s="113"/>
      <c r="T438" s="113"/>
      <c r="U438" s="113"/>
      <c r="V438" s="113"/>
    </row>
    <row r="439" customFormat="false" ht="15" hidden="false" customHeight="true" outlineLevel="0" collapsed="false">
      <c r="H439" s="113"/>
      <c r="I439" s="113"/>
      <c r="J439" s="113"/>
      <c r="L439" s="113"/>
      <c r="M439" s="113"/>
      <c r="N439" s="113"/>
      <c r="P439" s="113"/>
      <c r="Q439" s="113"/>
      <c r="R439" s="113"/>
      <c r="T439" s="113"/>
      <c r="U439" s="113"/>
      <c r="V439" s="113"/>
    </row>
    <row r="440" customFormat="false" ht="15" hidden="false" customHeight="true" outlineLevel="0" collapsed="false">
      <c r="H440" s="113"/>
      <c r="I440" s="113"/>
      <c r="J440" s="113"/>
      <c r="L440" s="113"/>
      <c r="M440" s="113"/>
      <c r="N440" s="113"/>
      <c r="P440" s="113"/>
      <c r="Q440" s="113"/>
      <c r="R440" s="113"/>
      <c r="T440" s="113"/>
      <c r="U440" s="113"/>
      <c r="V440" s="113"/>
    </row>
    <row r="441" customFormat="false" ht="15" hidden="false" customHeight="true" outlineLevel="0" collapsed="false">
      <c r="H441" s="113"/>
      <c r="I441" s="113"/>
      <c r="J441" s="113"/>
      <c r="L441" s="113"/>
      <c r="M441" s="113"/>
      <c r="N441" s="113"/>
      <c r="P441" s="113"/>
      <c r="Q441" s="113"/>
      <c r="R441" s="113"/>
      <c r="T441" s="113"/>
      <c r="U441" s="113"/>
      <c r="V441" s="113"/>
    </row>
    <row r="442" customFormat="false" ht="15" hidden="false" customHeight="true" outlineLevel="0" collapsed="false">
      <c r="H442" s="113"/>
      <c r="I442" s="113"/>
      <c r="J442" s="113"/>
      <c r="L442" s="113"/>
      <c r="M442" s="113"/>
      <c r="N442" s="113"/>
      <c r="P442" s="113"/>
      <c r="Q442" s="113"/>
      <c r="R442" s="113"/>
      <c r="T442" s="113"/>
      <c r="U442" s="113"/>
      <c r="V442" s="113"/>
    </row>
    <row r="443" customFormat="false" ht="15" hidden="false" customHeight="true" outlineLevel="0" collapsed="false">
      <c r="H443" s="113"/>
      <c r="I443" s="113"/>
      <c r="J443" s="113"/>
      <c r="L443" s="113"/>
      <c r="M443" s="113"/>
      <c r="N443" s="113"/>
      <c r="P443" s="113"/>
      <c r="Q443" s="113"/>
      <c r="R443" s="113"/>
      <c r="T443" s="113"/>
      <c r="U443" s="113"/>
      <c r="V443" s="113"/>
    </row>
    <row r="444" customFormat="false" ht="15" hidden="false" customHeight="true" outlineLevel="0" collapsed="false">
      <c r="H444" s="113"/>
      <c r="I444" s="113"/>
      <c r="J444" s="113"/>
      <c r="L444" s="113"/>
      <c r="M444" s="113"/>
      <c r="N444" s="113"/>
      <c r="P444" s="113"/>
      <c r="Q444" s="113"/>
      <c r="R444" s="113"/>
      <c r="T444" s="113"/>
      <c r="U444" s="113"/>
      <c r="V444" s="113"/>
    </row>
    <row r="445" customFormat="false" ht="15" hidden="false" customHeight="true" outlineLevel="0" collapsed="false">
      <c r="H445" s="113"/>
      <c r="I445" s="113"/>
      <c r="J445" s="113"/>
      <c r="L445" s="113"/>
      <c r="M445" s="113"/>
      <c r="N445" s="113"/>
      <c r="P445" s="113"/>
      <c r="Q445" s="113"/>
      <c r="R445" s="113"/>
      <c r="T445" s="113"/>
      <c r="U445" s="113"/>
      <c r="V445" s="113"/>
    </row>
    <row r="446" customFormat="false" ht="15" hidden="false" customHeight="true" outlineLevel="0" collapsed="false">
      <c r="H446" s="113"/>
      <c r="I446" s="113"/>
      <c r="J446" s="113"/>
      <c r="L446" s="113"/>
      <c r="M446" s="113"/>
      <c r="N446" s="113"/>
      <c r="P446" s="113"/>
      <c r="Q446" s="113"/>
      <c r="R446" s="113"/>
      <c r="T446" s="113"/>
      <c r="U446" s="113"/>
      <c r="V446" s="113"/>
    </row>
    <row r="447" customFormat="false" ht="15" hidden="false" customHeight="true" outlineLevel="0" collapsed="false">
      <c r="H447" s="113"/>
      <c r="I447" s="113"/>
      <c r="J447" s="113"/>
      <c r="L447" s="113"/>
      <c r="M447" s="113"/>
      <c r="N447" s="113"/>
      <c r="P447" s="113"/>
      <c r="Q447" s="113"/>
      <c r="R447" s="113"/>
      <c r="T447" s="113"/>
      <c r="U447" s="113"/>
      <c r="V447" s="113"/>
    </row>
    <row r="448" customFormat="false" ht="15" hidden="false" customHeight="true" outlineLevel="0" collapsed="false">
      <c r="H448" s="113"/>
      <c r="I448" s="113"/>
      <c r="J448" s="113"/>
      <c r="L448" s="113"/>
      <c r="M448" s="113"/>
      <c r="N448" s="113"/>
      <c r="P448" s="113"/>
      <c r="Q448" s="113"/>
      <c r="R448" s="113"/>
      <c r="T448" s="113"/>
      <c r="U448" s="113"/>
      <c r="V448" s="113"/>
    </row>
    <row r="449" customFormat="false" ht="15" hidden="false" customHeight="true" outlineLevel="0" collapsed="false">
      <c r="H449" s="113"/>
      <c r="I449" s="113"/>
      <c r="J449" s="113"/>
      <c r="L449" s="113"/>
      <c r="M449" s="113"/>
      <c r="N449" s="113"/>
      <c r="P449" s="113"/>
      <c r="Q449" s="113"/>
      <c r="R449" s="113"/>
      <c r="T449" s="113"/>
      <c r="U449" s="113"/>
      <c r="V449" s="113"/>
    </row>
    <row r="450" customFormat="false" ht="15" hidden="false" customHeight="true" outlineLevel="0" collapsed="false">
      <c r="H450" s="113"/>
      <c r="I450" s="113"/>
      <c r="J450" s="113"/>
      <c r="L450" s="113"/>
      <c r="M450" s="113"/>
      <c r="N450" s="113"/>
      <c r="P450" s="113"/>
      <c r="Q450" s="113"/>
      <c r="R450" s="113"/>
      <c r="T450" s="113"/>
      <c r="U450" s="113"/>
      <c r="V450" s="113"/>
    </row>
    <row r="451" customFormat="false" ht="15" hidden="false" customHeight="true" outlineLevel="0" collapsed="false">
      <c r="H451" s="113"/>
      <c r="I451" s="113"/>
      <c r="J451" s="113"/>
      <c r="L451" s="113"/>
      <c r="M451" s="113"/>
      <c r="N451" s="113"/>
      <c r="P451" s="113"/>
      <c r="Q451" s="113"/>
      <c r="R451" s="113"/>
      <c r="T451" s="113"/>
      <c r="U451" s="113"/>
      <c r="V451" s="113"/>
    </row>
    <row r="452" customFormat="false" ht="15" hidden="false" customHeight="true" outlineLevel="0" collapsed="false">
      <c r="H452" s="113"/>
      <c r="I452" s="113"/>
      <c r="J452" s="113"/>
      <c r="L452" s="113"/>
      <c r="M452" s="113"/>
      <c r="N452" s="113"/>
      <c r="P452" s="113"/>
      <c r="Q452" s="113"/>
      <c r="R452" s="113"/>
      <c r="T452" s="113"/>
      <c r="U452" s="113"/>
      <c r="V452" s="113"/>
    </row>
    <row r="453" customFormat="false" ht="15" hidden="false" customHeight="true" outlineLevel="0" collapsed="false">
      <c r="H453" s="113"/>
      <c r="I453" s="113"/>
      <c r="J453" s="113"/>
      <c r="L453" s="113"/>
      <c r="M453" s="113"/>
      <c r="N453" s="113"/>
      <c r="P453" s="113"/>
      <c r="Q453" s="113"/>
      <c r="R453" s="113"/>
      <c r="T453" s="113"/>
      <c r="U453" s="113"/>
      <c r="V453" s="113"/>
    </row>
    <row r="454" customFormat="false" ht="15" hidden="false" customHeight="true" outlineLevel="0" collapsed="false">
      <c r="H454" s="113"/>
      <c r="I454" s="113"/>
      <c r="J454" s="113"/>
      <c r="L454" s="113"/>
      <c r="M454" s="113"/>
      <c r="N454" s="113"/>
      <c r="P454" s="113"/>
      <c r="Q454" s="113"/>
      <c r="R454" s="113"/>
      <c r="T454" s="113"/>
      <c r="U454" s="113"/>
      <c r="V454" s="113"/>
    </row>
    <row r="455" customFormat="false" ht="15" hidden="false" customHeight="true" outlineLevel="0" collapsed="false">
      <c r="H455" s="113"/>
      <c r="I455" s="113"/>
      <c r="J455" s="113"/>
      <c r="L455" s="113"/>
      <c r="M455" s="113"/>
      <c r="N455" s="113"/>
      <c r="P455" s="113"/>
      <c r="Q455" s="113"/>
      <c r="R455" s="113"/>
      <c r="T455" s="113"/>
      <c r="U455" s="113"/>
      <c r="V455" s="113"/>
    </row>
    <row r="456" customFormat="false" ht="15" hidden="false" customHeight="true" outlineLevel="0" collapsed="false">
      <c r="H456" s="113"/>
      <c r="I456" s="113"/>
      <c r="J456" s="113"/>
      <c r="L456" s="113"/>
      <c r="M456" s="113"/>
      <c r="N456" s="113"/>
      <c r="P456" s="113"/>
      <c r="Q456" s="113"/>
      <c r="R456" s="113"/>
      <c r="T456" s="113"/>
      <c r="U456" s="113"/>
      <c r="V456" s="113"/>
    </row>
    <row r="457" customFormat="false" ht="15" hidden="false" customHeight="true" outlineLevel="0" collapsed="false">
      <c r="H457" s="113"/>
      <c r="I457" s="113"/>
      <c r="J457" s="113"/>
      <c r="L457" s="113"/>
      <c r="M457" s="113"/>
      <c r="N457" s="113"/>
      <c r="P457" s="113"/>
      <c r="Q457" s="113"/>
      <c r="R457" s="113"/>
      <c r="T457" s="113"/>
      <c r="U457" s="113"/>
      <c r="V457" s="113"/>
    </row>
    <row r="458" customFormat="false" ht="15" hidden="false" customHeight="true" outlineLevel="0" collapsed="false">
      <c r="H458" s="113"/>
      <c r="I458" s="113"/>
      <c r="J458" s="113"/>
      <c r="L458" s="113"/>
      <c r="M458" s="113"/>
      <c r="N458" s="113"/>
      <c r="P458" s="113"/>
      <c r="Q458" s="113"/>
      <c r="R458" s="113"/>
      <c r="T458" s="113"/>
      <c r="U458" s="113"/>
      <c r="V458" s="113"/>
    </row>
    <row r="459" customFormat="false" ht="15" hidden="false" customHeight="true" outlineLevel="0" collapsed="false">
      <c r="H459" s="113"/>
      <c r="I459" s="113"/>
      <c r="J459" s="113"/>
      <c r="L459" s="113"/>
      <c r="M459" s="113"/>
      <c r="N459" s="113"/>
      <c r="P459" s="113"/>
      <c r="Q459" s="113"/>
      <c r="R459" s="113"/>
      <c r="T459" s="113"/>
      <c r="U459" s="113"/>
      <c r="V459" s="113"/>
    </row>
    <row r="460" customFormat="false" ht="15" hidden="false" customHeight="true" outlineLevel="0" collapsed="false">
      <c r="H460" s="113"/>
      <c r="I460" s="113"/>
      <c r="J460" s="113"/>
      <c r="L460" s="113"/>
      <c r="M460" s="113"/>
      <c r="N460" s="113"/>
      <c r="P460" s="113"/>
      <c r="Q460" s="113"/>
      <c r="R460" s="113"/>
      <c r="T460" s="113"/>
      <c r="U460" s="113"/>
      <c r="V460" s="113"/>
    </row>
    <row r="461" customFormat="false" ht="15" hidden="false" customHeight="true" outlineLevel="0" collapsed="false">
      <c r="H461" s="113"/>
      <c r="I461" s="113"/>
      <c r="J461" s="113"/>
      <c r="L461" s="113"/>
      <c r="M461" s="113"/>
      <c r="N461" s="113"/>
      <c r="P461" s="113"/>
      <c r="Q461" s="113"/>
      <c r="R461" s="113"/>
      <c r="T461" s="113"/>
      <c r="U461" s="113"/>
      <c r="V461" s="113"/>
    </row>
    <row r="462" customFormat="false" ht="15" hidden="false" customHeight="true" outlineLevel="0" collapsed="false">
      <c r="H462" s="113"/>
      <c r="I462" s="113"/>
      <c r="J462" s="113"/>
      <c r="L462" s="113"/>
      <c r="M462" s="113"/>
      <c r="N462" s="113"/>
      <c r="P462" s="113"/>
      <c r="Q462" s="113"/>
      <c r="R462" s="113"/>
      <c r="T462" s="113"/>
      <c r="U462" s="113"/>
      <c r="V462" s="113"/>
    </row>
    <row r="463" customFormat="false" ht="15" hidden="false" customHeight="true" outlineLevel="0" collapsed="false">
      <c r="H463" s="113"/>
      <c r="I463" s="113"/>
      <c r="J463" s="113"/>
      <c r="L463" s="113"/>
      <c r="M463" s="113"/>
      <c r="N463" s="113"/>
      <c r="P463" s="113"/>
      <c r="Q463" s="113"/>
      <c r="R463" s="113"/>
      <c r="T463" s="113"/>
      <c r="U463" s="113"/>
      <c r="V463" s="113"/>
    </row>
    <row r="464" customFormat="false" ht="15" hidden="false" customHeight="true" outlineLevel="0" collapsed="false">
      <c r="H464" s="113"/>
      <c r="I464" s="113"/>
      <c r="J464" s="113"/>
      <c r="L464" s="113"/>
      <c r="M464" s="113"/>
      <c r="N464" s="113"/>
      <c r="P464" s="113"/>
      <c r="Q464" s="113"/>
      <c r="R464" s="113"/>
      <c r="T464" s="113"/>
      <c r="U464" s="113"/>
      <c r="V464" s="113"/>
    </row>
    <row r="465" customFormat="false" ht="15" hidden="false" customHeight="true" outlineLevel="0" collapsed="false">
      <c r="H465" s="113"/>
      <c r="I465" s="113"/>
      <c r="J465" s="113"/>
      <c r="L465" s="113"/>
      <c r="M465" s="113"/>
      <c r="N465" s="113"/>
      <c r="P465" s="113"/>
      <c r="Q465" s="113"/>
      <c r="R465" s="113"/>
      <c r="T465" s="113"/>
      <c r="U465" s="113"/>
      <c r="V465" s="113"/>
    </row>
    <row r="466" customFormat="false" ht="15" hidden="false" customHeight="true" outlineLevel="0" collapsed="false">
      <c r="H466" s="113"/>
      <c r="I466" s="113"/>
      <c r="J466" s="113"/>
      <c r="L466" s="113"/>
      <c r="M466" s="113"/>
      <c r="N466" s="113"/>
      <c r="P466" s="113"/>
      <c r="Q466" s="113"/>
      <c r="R466" s="113"/>
      <c r="T466" s="113"/>
      <c r="U466" s="113"/>
      <c r="V466" s="113"/>
    </row>
    <row r="467" customFormat="false" ht="15" hidden="false" customHeight="true" outlineLevel="0" collapsed="false">
      <c r="H467" s="113"/>
      <c r="I467" s="113"/>
      <c r="J467" s="113"/>
      <c r="L467" s="113"/>
      <c r="M467" s="113"/>
      <c r="N467" s="113"/>
      <c r="P467" s="113"/>
      <c r="Q467" s="113"/>
      <c r="R467" s="113"/>
      <c r="T467" s="113"/>
      <c r="U467" s="113"/>
      <c r="V467" s="113"/>
    </row>
    <row r="468" customFormat="false" ht="15" hidden="false" customHeight="true" outlineLevel="0" collapsed="false">
      <c r="H468" s="113"/>
      <c r="I468" s="113"/>
      <c r="J468" s="113"/>
      <c r="L468" s="113"/>
      <c r="M468" s="113"/>
      <c r="N468" s="113"/>
      <c r="P468" s="113"/>
      <c r="Q468" s="113"/>
      <c r="R468" s="113"/>
      <c r="T468" s="113"/>
      <c r="U468" s="113"/>
      <c r="V468" s="113"/>
    </row>
    <row r="469" customFormat="false" ht="15" hidden="false" customHeight="true" outlineLevel="0" collapsed="false">
      <c r="H469" s="113"/>
      <c r="I469" s="113"/>
      <c r="J469" s="113"/>
      <c r="L469" s="113"/>
      <c r="M469" s="113"/>
      <c r="N469" s="113"/>
      <c r="P469" s="113"/>
      <c r="Q469" s="113"/>
      <c r="R469" s="113"/>
      <c r="T469" s="113"/>
      <c r="U469" s="113"/>
      <c r="V469" s="113"/>
    </row>
    <row r="470" customFormat="false" ht="15" hidden="false" customHeight="true" outlineLevel="0" collapsed="false">
      <c r="H470" s="113"/>
      <c r="I470" s="113"/>
      <c r="J470" s="113"/>
      <c r="L470" s="113"/>
      <c r="M470" s="113"/>
      <c r="N470" s="113"/>
      <c r="P470" s="113"/>
      <c r="Q470" s="113"/>
      <c r="R470" s="113"/>
      <c r="T470" s="113"/>
      <c r="U470" s="113"/>
      <c r="V470" s="113"/>
    </row>
    <row r="471" customFormat="false" ht="15" hidden="false" customHeight="true" outlineLevel="0" collapsed="false">
      <c r="H471" s="113"/>
      <c r="I471" s="113"/>
      <c r="J471" s="113"/>
      <c r="L471" s="113"/>
      <c r="M471" s="113"/>
      <c r="N471" s="113"/>
      <c r="P471" s="113"/>
      <c r="Q471" s="113"/>
      <c r="R471" s="113"/>
      <c r="T471" s="113"/>
      <c r="U471" s="113"/>
      <c r="V471" s="113"/>
    </row>
    <row r="472" customFormat="false" ht="15" hidden="false" customHeight="true" outlineLevel="0" collapsed="false">
      <c r="H472" s="113"/>
      <c r="I472" s="113"/>
      <c r="J472" s="113"/>
      <c r="L472" s="113"/>
      <c r="M472" s="113"/>
      <c r="N472" s="113"/>
      <c r="P472" s="113"/>
      <c r="Q472" s="113"/>
      <c r="R472" s="113"/>
      <c r="T472" s="113"/>
      <c r="U472" s="113"/>
      <c r="V472" s="113"/>
    </row>
    <row r="473" customFormat="false" ht="15" hidden="false" customHeight="true" outlineLevel="0" collapsed="false">
      <c r="H473" s="113"/>
      <c r="I473" s="113"/>
      <c r="J473" s="113"/>
      <c r="L473" s="113"/>
      <c r="M473" s="113"/>
      <c r="N473" s="113"/>
      <c r="P473" s="113"/>
      <c r="Q473" s="113"/>
      <c r="R473" s="113"/>
      <c r="T473" s="113"/>
      <c r="U473" s="113"/>
      <c r="V473" s="113"/>
    </row>
    <row r="474" customFormat="false" ht="15" hidden="false" customHeight="true" outlineLevel="0" collapsed="false">
      <c r="H474" s="113"/>
      <c r="I474" s="113"/>
      <c r="J474" s="113"/>
      <c r="L474" s="113"/>
      <c r="M474" s="113"/>
      <c r="N474" s="113"/>
      <c r="P474" s="113"/>
      <c r="Q474" s="113"/>
      <c r="R474" s="113"/>
      <c r="T474" s="113"/>
      <c r="U474" s="113"/>
      <c r="V474" s="113"/>
    </row>
    <row r="475" customFormat="false" ht="15" hidden="false" customHeight="true" outlineLevel="0" collapsed="false">
      <c r="H475" s="113"/>
      <c r="I475" s="113"/>
      <c r="J475" s="113"/>
      <c r="L475" s="113"/>
      <c r="M475" s="113"/>
      <c r="N475" s="113"/>
      <c r="P475" s="113"/>
      <c r="Q475" s="113"/>
      <c r="R475" s="113"/>
      <c r="T475" s="113"/>
      <c r="U475" s="113"/>
      <c r="V475" s="113"/>
    </row>
    <row r="476" customFormat="false" ht="15" hidden="false" customHeight="true" outlineLevel="0" collapsed="false">
      <c r="H476" s="113"/>
      <c r="I476" s="113"/>
      <c r="J476" s="113"/>
      <c r="L476" s="113"/>
      <c r="M476" s="113"/>
      <c r="N476" s="113"/>
      <c r="P476" s="113"/>
      <c r="Q476" s="113"/>
      <c r="R476" s="113"/>
      <c r="T476" s="113"/>
      <c r="U476" s="113"/>
      <c r="V476" s="113"/>
    </row>
    <row r="477" customFormat="false" ht="15" hidden="false" customHeight="true" outlineLevel="0" collapsed="false">
      <c r="H477" s="113"/>
      <c r="I477" s="113"/>
      <c r="J477" s="113"/>
      <c r="L477" s="113"/>
      <c r="M477" s="113"/>
      <c r="N477" s="113"/>
      <c r="P477" s="113"/>
      <c r="Q477" s="113"/>
      <c r="R477" s="113"/>
      <c r="T477" s="113"/>
      <c r="U477" s="113"/>
      <c r="V477" s="113"/>
    </row>
    <row r="478" customFormat="false" ht="15" hidden="false" customHeight="true" outlineLevel="0" collapsed="false">
      <c r="H478" s="113"/>
      <c r="I478" s="113"/>
      <c r="J478" s="113"/>
      <c r="L478" s="113"/>
      <c r="M478" s="113"/>
      <c r="N478" s="113"/>
      <c r="P478" s="113"/>
      <c r="Q478" s="113"/>
      <c r="R478" s="113"/>
      <c r="T478" s="113"/>
      <c r="U478" s="113"/>
      <c r="V478" s="113"/>
    </row>
    <row r="479" customFormat="false" ht="15" hidden="false" customHeight="true" outlineLevel="0" collapsed="false">
      <c r="H479" s="113"/>
      <c r="I479" s="113"/>
      <c r="J479" s="113"/>
      <c r="L479" s="113"/>
      <c r="M479" s="113"/>
      <c r="N479" s="113"/>
      <c r="P479" s="113"/>
      <c r="Q479" s="113"/>
      <c r="R479" s="113"/>
      <c r="T479" s="113"/>
      <c r="U479" s="113"/>
      <c r="V479" s="113"/>
    </row>
    <row r="480" customFormat="false" ht="15" hidden="false" customHeight="true" outlineLevel="0" collapsed="false">
      <c r="H480" s="113"/>
      <c r="I480" s="113"/>
      <c r="J480" s="113"/>
      <c r="L480" s="113"/>
      <c r="M480" s="113"/>
      <c r="N480" s="113"/>
      <c r="P480" s="113"/>
      <c r="Q480" s="113"/>
      <c r="R480" s="113"/>
      <c r="T480" s="113"/>
      <c r="U480" s="113"/>
      <c r="V480" s="113"/>
    </row>
    <row r="481" customFormat="false" ht="15" hidden="false" customHeight="true" outlineLevel="0" collapsed="false">
      <c r="H481" s="113"/>
      <c r="I481" s="113"/>
      <c r="J481" s="113"/>
      <c r="L481" s="113"/>
      <c r="M481" s="113"/>
      <c r="N481" s="113"/>
      <c r="P481" s="113"/>
      <c r="Q481" s="113"/>
      <c r="R481" s="113"/>
      <c r="T481" s="113"/>
      <c r="U481" s="113"/>
      <c r="V481" s="113"/>
    </row>
    <row r="482" customFormat="false" ht="15" hidden="false" customHeight="true" outlineLevel="0" collapsed="false">
      <c r="H482" s="113"/>
      <c r="I482" s="113"/>
      <c r="J482" s="113"/>
      <c r="L482" s="113"/>
      <c r="M482" s="113"/>
      <c r="N482" s="113"/>
      <c r="P482" s="113"/>
      <c r="Q482" s="113"/>
      <c r="R482" s="113"/>
      <c r="T482" s="113"/>
      <c r="U482" s="113"/>
      <c r="V482" s="113"/>
    </row>
    <row r="483" customFormat="false" ht="15" hidden="false" customHeight="true" outlineLevel="0" collapsed="false">
      <c r="H483" s="113"/>
      <c r="I483" s="113"/>
      <c r="J483" s="113"/>
      <c r="L483" s="113"/>
      <c r="M483" s="113"/>
      <c r="N483" s="113"/>
      <c r="P483" s="113"/>
      <c r="Q483" s="113"/>
      <c r="R483" s="113"/>
      <c r="T483" s="113"/>
      <c r="U483" s="113"/>
      <c r="V483" s="113"/>
    </row>
    <row r="484" customFormat="false" ht="15" hidden="false" customHeight="true" outlineLevel="0" collapsed="false">
      <c r="H484" s="113"/>
      <c r="I484" s="113"/>
      <c r="J484" s="113"/>
      <c r="L484" s="113"/>
      <c r="M484" s="113"/>
      <c r="N484" s="113"/>
      <c r="P484" s="113"/>
      <c r="Q484" s="113"/>
      <c r="R484" s="113"/>
      <c r="T484" s="113"/>
      <c r="U484" s="113"/>
      <c r="V484" s="113"/>
    </row>
    <row r="485" customFormat="false" ht="15" hidden="false" customHeight="true" outlineLevel="0" collapsed="false">
      <c r="H485" s="113"/>
      <c r="I485" s="113"/>
      <c r="J485" s="113"/>
      <c r="L485" s="113"/>
      <c r="M485" s="113"/>
      <c r="N485" s="113"/>
      <c r="P485" s="113"/>
      <c r="Q485" s="113"/>
      <c r="R485" s="113"/>
      <c r="T485" s="113"/>
      <c r="U485" s="113"/>
      <c r="V485" s="113"/>
    </row>
    <row r="486" customFormat="false" ht="15" hidden="false" customHeight="true" outlineLevel="0" collapsed="false">
      <c r="H486" s="113"/>
      <c r="I486" s="113"/>
      <c r="J486" s="113"/>
      <c r="L486" s="113"/>
      <c r="M486" s="113"/>
      <c r="N486" s="113"/>
      <c r="P486" s="113"/>
      <c r="Q486" s="113"/>
      <c r="R486" s="113"/>
      <c r="T486" s="113"/>
      <c r="U486" s="113"/>
      <c r="V486" s="113"/>
    </row>
    <row r="487" customFormat="false" ht="15" hidden="false" customHeight="true" outlineLevel="0" collapsed="false">
      <c r="H487" s="113"/>
      <c r="I487" s="113"/>
      <c r="J487" s="113"/>
      <c r="L487" s="113"/>
      <c r="M487" s="113"/>
      <c r="N487" s="113"/>
      <c r="P487" s="113"/>
      <c r="Q487" s="113"/>
      <c r="R487" s="113"/>
      <c r="T487" s="113"/>
      <c r="U487" s="113"/>
      <c r="V487" s="113"/>
    </row>
    <row r="488" customFormat="false" ht="15" hidden="false" customHeight="true" outlineLevel="0" collapsed="false">
      <c r="H488" s="113"/>
      <c r="I488" s="113"/>
      <c r="J488" s="113"/>
      <c r="L488" s="113"/>
      <c r="M488" s="113"/>
      <c r="N488" s="113"/>
      <c r="P488" s="113"/>
      <c r="Q488" s="113"/>
      <c r="R488" s="113"/>
      <c r="T488" s="113"/>
      <c r="U488" s="113"/>
      <c r="V488" s="113"/>
    </row>
    <row r="489" customFormat="false" ht="15" hidden="false" customHeight="true" outlineLevel="0" collapsed="false">
      <c r="H489" s="113"/>
      <c r="I489" s="113"/>
      <c r="J489" s="113"/>
      <c r="L489" s="113"/>
      <c r="M489" s="113"/>
      <c r="N489" s="113"/>
      <c r="P489" s="113"/>
      <c r="Q489" s="113"/>
      <c r="R489" s="113"/>
      <c r="T489" s="113"/>
      <c r="U489" s="113"/>
      <c r="V489" s="113"/>
    </row>
    <row r="490" customFormat="false" ht="15" hidden="false" customHeight="true" outlineLevel="0" collapsed="false">
      <c r="H490" s="113"/>
      <c r="I490" s="113"/>
      <c r="J490" s="113"/>
      <c r="L490" s="113"/>
      <c r="M490" s="113"/>
      <c r="N490" s="113"/>
      <c r="P490" s="113"/>
      <c r="Q490" s="113"/>
      <c r="R490" s="113"/>
      <c r="T490" s="113"/>
      <c r="U490" s="113"/>
      <c r="V490" s="113"/>
    </row>
    <row r="491" customFormat="false" ht="15" hidden="false" customHeight="true" outlineLevel="0" collapsed="false">
      <c r="H491" s="113"/>
      <c r="I491" s="113"/>
      <c r="J491" s="113"/>
      <c r="L491" s="113"/>
      <c r="M491" s="113"/>
      <c r="N491" s="113"/>
      <c r="P491" s="113"/>
      <c r="Q491" s="113"/>
      <c r="R491" s="113"/>
      <c r="T491" s="113"/>
      <c r="U491" s="113"/>
      <c r="V491" s="113"/>
    </row>
    <row r="492" customFormat="false" ht="15" hidden="false" customHeight="true" outlineLevel="0" collapsed="false">
      <c r="H492" s="113"/>
      <c r="I492" s="113"/>
      <c r="J492" s="113"/>
      <c r="L492" s="113"/>
      <c r="M492" s="113"/>
      <c r="N492" s="113"/>
      <c r="P492" s="113"/>
      <c r="Q492" s="113"/>
      <c r="R492" s="113"/>
      <c r="T492" s="113"/>
      <c r="U492" s="113"/>
      <c r="V492" s="113"/>
    </row>
    <row r="493" customFormat="false" ht="15" hidden="false" customHeight="true" outlineLevel="0" collapsed="false">
      <c r="H493" s="113"/>
      <c r="I493" s="113"/>
      <c r="J493" s="113"/>
      <c r="L493" s="113"/>
      <c r="M493" s="113"/>
      <c r="N493" s="113"/>
      <c r="P493" s="113"/>
      <c r="Q493" s="113"/>
      <c r="R493" s="113"/>
      <c r="T493" s="113"/>
      <c r="U493" s="113"/>
      <c r="V493" s="113"/>
    </row>
    <row r="494" customFormat="false" ht="15" hidden="false" customHeight="true" outlineLevel="0" collapsed="false">
      <c r="H494" s="113"/>
      <c r="I494" s="113"/>
      <c r="J494" s="113"/>
      <c r="L494" s="113"/>
      <c r="M494" s="113"/>
      <c r="N494" s="113"/>
      <c r="P494" s="113"/>
      <c r="Q494" s="113"/>
      <c r="R494" s="113"/>
      <c r="T494" s="113"/>
      <c r="U494" s="113"/>
      <c r="V494" s="113"/>
    </row>
    <row r="495" customFormat="false" ht="15" hidden="false" customHeight="true" outlineLevel="0" collapsed="false">
      <c r="H495" s="113"/>
      <c r="I495" s="113"/>
      <c r="J495" s="113"/>
      <c r="L495" s="113"/>
      <c r="M495" s="113"/>
      <c r="N495" s="113"/>
      <c r="P495" s="113"/>
      <c r="Q495" s="113"/>
      <c r="R495" s="113"/>
      <c r="T495" s="113"/>
      <c r="U495" s="113"/>
      <c r="V495" s="113"/>
    </row>
    <row r="496" customFormat="false" ht="15" hidden="false" customHeight="true" outlineLevel="0" collapsed="false">
      <c r="H496" s="113"/>
      <c r="I496" s="113"/>
      <c r="J496" s="113"/>
      <c r="L496" s="113"/>
      <c r="M496" s="113"/>
      <c r="N496" s="113"/>
      <c r="P496" s="113"/>
      <c r="Q496" s="113"/>
      <c r="R496" s="113"/>
      <c r="T496" s="113"/>
      <c r="U496" s="113"/>
      <c r="V496" s="113"/>
    </row>
    <row r="497" customFormat="false" ht="15" hidden="false" customHeight="true" outlineLevel="0" collapsed="false">
      <c r="H497" s="113"/>
      <c r="I497" s="113"/>
      <c r="J497" s="113"/>
      <c r="L497" s="113"/>
      <c r="M497" s="113"/>
      <c r="N497" s="113"/>
      <c r="P497" s="113"/>
      <c r="Q497" s="113"/>
      <c r="R497" s="113"/>
      <c r="T497" s="113"/>
      <c r="U497" s="113"/>
      <c r="V497" s="113"/>
    </row>
    <row r="498" customFormat="false" ht="15" hidden="false" customHeight="true" outlineLevel="0" collapsed="false">
      <c r="H498" s="113"/>
      <c r="I498" s="113"/>
      <c r="J498" s="113"/>
      <c r="L498" s="113"/>
      <c r="M498" s="113"/>
      <c r="N498" s="113"/>
      <c r="P498" s="113"/>
      <c r="Q498" s="113"/>
      <c r="R498" s="113"/>
      <c r="T498" s="113"/>
      <c r="U498" s="113"/>
      <c r="V498" s="113"/>
    </row>
    <row r="499" customFormat="false" ht="15" hidden="false" customHeight="true" outlineLevel="0" collapsed="false">
      <c r="H499" s="113"/>
      <c r="I499" s="113"/>
      <c r="J499" s="113"/>
      <c r="L499" s="113"/>
      <c r="M499" s="113"/>
      <c r="N499" s="113"/>
      <c r="P499" s="113"/>
      <c r="Q499" s="113"/>
      <c r="R499" s="113"/>
      <c r="T499" s="113"/>
      <c r="U499" s="113"/>
      <c r="V499" s="113"/>
    </row>
    <row r="500" customFormat="false" ht="15" hidden="false" customHeight="true" outlineLevel="0" collapsed="false">
      <c r="H500" s="113"/>
      <c r="I500" s="113"/>
      <c r="J500" s="113"/>
      <c r="L500" s="113"/>
      <c r="M500" s="113"/>
      <c r="N500" s="113"/>
      <c r="P500" s="113"/>
      <c r="Q500" s="113"/>
      <c r="R500" s="113"/>
      <c r="T500" s="113"/>
      <c r="U500" s="113"/>
      <c r="V500" s="113"/>
    </row>
    <row r="501" customFormat="false" ht="15" hidden="false" customHeight="true" outlineLevel="0" collapsed="false">
      <c r="H501" s="113"/>
      <c r="I501" s="113"/>
      <c r="J501" s="113"/>
      <c r="L501" s="113"/>
      <c r="M501" s="113"/>
      <c r="N501" s="113"/>
      <c r="P501" s="113"/>
      <c r="Q501" s="113"/>
      <c r="R501" s="113"/>
      <c r="T501" s="113"/>
      <c r="U501" s="113"/>
      <c r="V501" s="113"/>
    </row>
    <row r="502" customFormat="false" ht="15" hidden="false" customHeight="true" outlineLevel="0" collapsed="false">
      <c r="H502" s="113"/>
      <c r="I502" s="113"/>
      <c r="J502" s="113"/>
      <c r="L502" s="113"/>
      <c r="M502" s="113"/>
      <c r="N502" s="113"/>
      <c r="P502" s="113"/>
      <c r="Q502" s="113"/>
      <c r="R502" s="113"/>
      <c r="T502" s="113"/>
      <c r="U502" s="113"/>
      <c r="V502" s="113"/>
    </row>
    <row r="503" customFormat="false" ht="15" hidden="false" customHeight="true" outlineLevel="0" collapsed="false">
      <c r="H503" s="113"/>
      <c r="I503" s="113"/>
      <c r="J503" s="113"/>
      <c r="L503" s="113"/>
      <c r="M503" s="113"/>
      <c r="N503" s="113"/>
      <c r="P503" s="113"/>
      <c r="Q503" s="113"/>
      <c r="R503" s="113"/>
      <c r="T503" s="113"/>
      <c r="U503" s="113"/>
      <c r="V503" s="113"/>
    </row>
    <row r="504" customFormat="false" ht="15" hidden="false" customHeight="true" outlineLevel="0" collapsed="false">
      <c r="H504" s="113"/>
      <c r="I504" s="113"/>
      <c r="J504" s="113"/>
      <c r="L504" s="113"/>
      <c r="M504" s="113"/>
      <c r="N504" s="113"/>
      <c r="P504" s="113"/>
      <c r="Q504" s="113"/>
      <c r="R504" s="113"/>
      <c r="T504" s="113"/>
      <c r="U504" s="113"/>
      <c r="V504" s="113"/>
    </row>
    <row r="505" customFormat="false" ht="15" hidden="false" customHeight="true" outlineLevel="0" collapsed="false">
      <c r="H505" s="113"/>
      <c r="I505" s="113"/>
      <c r="J505" s="113"/>
      <c r="L505" s="113"/>
      <c r="M505" s="113"/>
      <c r="N505" s="113"/>
      <c r="P505" s="113"/>
      <c r="Q505" s="113"/>
      <c r="R505" s="113"/>
      <c r="T505" s="113"/>
      <c r="U505" s="113"/>
      <c r="V505" s="113"/>
    </row>
    <row r="506" customFormat="false" ht="15" hidden="false" customHeight="true" outlineLevel="0" collapsed="false">
      <c r="H506" s="113"/>
      <c r="I506" s="113"/>
      <c r="J506" s="113"/>
      <c r="L506" s="113"/>
      <c r="M506" s="113"/>
      <c r="N506" s="113"/>
      <c r="P506" s="113"/>
      <c r="Q506" s="113"/>
      <c r="R506" s="113"/>
      <c r="T506" s="113"/>
      <c r="U506" s="113"/>
      <c r="V506" s="113"/>
    </row>
    <row r="507" customFormat="false" ht="15" hidden="false" customHeight="true" outlineLevel="0" collapsed="false">
      <c r="H507" s="113"/>
      <c r="I507" s="113"/>
      <c r="J507" s="113"/>
      <c r="L507" s="113"/>
      <c r="M507" s="113"/>
      <c r="N507" s="113"/>
      <c r="P507" s="113"/>
      <c r="Q507" s="113"/>
      <c r="R507" s="113"/>
      <c r="T507" s="113"/>
      <c r="U507" s="113"/>
      <c r="V507" s="113"/>
    </row>
    <row r="508" customFormat="false" ht="15" hidden="false" customHeight="true" outlineLevel="0" collapsed="false">
      <c r="H508" s="113"/>
      <c r="I508" s="113"/>
      <c r="J508" s="113"/>
      <c r="L508" s="113"/>
      <c r="M508" s="113"/>
      <c r="N508" s="113"/>
      <c r="P508" s="113"/>
      <c r="Q508" s="113"/>
      <c r="R508" s="113"/>
      <c r="T508" s="113"/>
      <c r="U508" s="113"/>
      <c r="V508" s="113"/>
    </row>
    <row r="509" customFormat="false" ht="15" hidden="false" customHeight="true" outlineLevel="0" collapsed="false">
      <c r="H509" s="113"/>
      <c r="I509" s="113"/>
      <c r="J509" s="113"/>
      <c r="L509" s="113"/>
      <c r="M509" s="113"/>
      <c r="N509" s="113"/>
      <c r="P509" s="113"/>
      <c r="Q509" s="113"/>
      <c r="R509" s="113"/>
      <c r="T509" s="113"/>
      <c r="U509" s="113"/>
      <c r="V509" s="113"/>
    </row>
    <row r="510" customFormat="false" ht="15" hidden="false" customHeight="true" outlineLevel="0" collapsed="false">
      <c r="H510" s="113"/>
      <c r="I510" s="113"/>
      <c r="J510" s="113"/>
      <c r="L510" s="113"/>
      <c r="M510" s="113"/>
      <c r="N510" s="113"/>
      <c r="P510" s="113"/>
      <c r="Q510" s="113"/>
      <c r="R510" s="113"/>
      <c r="T510" s="113"/>
      <c r="U510" s="113"/>
      <c r="V510" s="113"/>
    </row>
    <row r="511" customFormat="false" ht="15" hidden="false" customHeight="true" outlineLevel="0" collapsed="false">
      <c r="H511" s="113"/>
      <c r="I511" s="113"/>
      <c r="J511" s="113"/>
      <c r="L511" s="113"/>
      <c r="M511" s="113"/>
      <c r="N511" s="113"/>
      <c r="P511" s="113"/>
      <c r="Q511" s="113"/>
      <c r="R511" s="113"/>
      <c r="T511" s="113"/>
      <c r="U511" s="113"/>
      <c r="V511" s="113"/>
    </row>
    <row r="512" customFormat="false" ht="15" hidden="false" customHeight="true" outlineLevel="0" collapsed="false">
      <c r="H512" s="113"/>
      <c r="I512" s="113"/>
      <c r="J512" s="113"/>
      <c r="L512" s="113"/>
      <c r="M512" s="113"/>
      <c r="N512" s="113"/>
      <c r="P512" s="113"/>
      <c r="Q512" s="113"/>
      <c r="R512" s="113"/>
      <c r="T512" s="113"/>
      <c r="U512" s="113"/>
      <c r="V512" s="113"/>
    </row>
    <row r="513" customFormat="false" ht="15" hidden="false" customHeight="true" outlineLevel="0" collapsed="false">
      <c r="H513" s="113"/>
      <c r="I513" s="113"/>
      <c r="J513" s="113"/>
      <c r="L513" s="113"/>
      <c r="M513" s="113"/>
      <c r="N513" s="113"/>
      <c r="P513" s="113"/>
      <c r="Q513" s="113"/>
      <c r="R513" s="113"/>
      <c r="T513" s="113"/>
      <c r="U513" s="113"/>
      <c r="V513" s="113"/>
    </row>
    <row r="514" customFormat="false" ht="15" hidden="false" customHeight="true" outlineLevel="0" collapsed="false">
      <c r="H514" s="113"/>
      <c r="I514" s="113"/>
      <c r="J514" s="113"/>
      <c r="L514" s="113"/>
      <c r="M514" s="113"/>
      <c r="N514" s="113"/>
      <c r="P514" s="113"/>
      <c r="Q514" s="113"/>
      <c r="R514" s="113"/>
      <c r="T514" s="113"/>
      <c r="U514" s="113"/>
      <c r="V514" s="113"/>
    </row>
    <row r="515" customFormat="false" ht="15" hidden="false" customHeight="true" outlineLevel="0" collapsed="false">
      <c r="H515" s="113"/>
      <c r="I515" s="113"/>
      <c r="J515" s="113"/>
      <c r="L515" s="113"/>
      <c r="M515" s="113"/>
      <c r="N515" s="113"/>
      <c r="P515" s="113"/>
      <c r="Q515" s="113"/>
      <c r="R515" s="113"/>
      <c r="T515" s="113"/>
      <c r="U515" s="113"/>
      <c r="V515" s="113"/>
    </row>
    <row r="516" customFormat="false" ht="15" hidden="false" customHeight="true" outlineLevel="0" collapsed="false">
      <c r="H516" s="113"/>
      <c r="I516" s="113"/>
      <c r="J516" s="113"/>
      <c r="L516" s="113"/>
      <c r="M516" s="113"/>
      <c r="N516" s="113"/>
      <c r="P516" s="113"/>
      <c r="Q516" s="113"/>
      <c r="R516" s="113"/>
      <c r="T516" s="113"/>
      <c r="U516" s="113"/>
      <c r="V516" s="113"/>
    </row>
    <row r="517" customFormat="false" ht="15" hidden="false" customHeight="true" outlineLevel="0" collapsed="false">
      <c r="H517" s="113"/>
      <c r="I517" s="113"/>
      <c r="J517" s="113"/>
      <c r="L517" s="113"/>
      <c r="M517" s="113"/>
      <c r="N517" s="113"/>
      <c r="P517" s="113"/>
      <c r="Q517" s="113"/>
      <c r="R517" s="113"/>
      <c r="T517" s="113"/>
      <c r="U517" s="113"/>
      <c r="V517" s="113"/>
    </row>
    <row r="518" customFormat="false" ht="15" hidden="false" customHeight="true" outlineLevel="0" collapsed="false">
      <c r="H518" s="113"/>
      <c r="I518" s="113"/>
      <c r="J518" s="113"/>
      <c r="L518" s="113"/>
      <c r="M518" s="113"/>
      <c r="N518" s="113"/>
      <c r="P518" s="113"/>
      <c r="Q518" s="113"/>
      <c r="R518" s="113"/>
      <c r="T518" s="113"/>
      <c r="U518" s="113"/>
      <c r="V518" s="113"/>
    </row>
    <row r="519" customFormat="false" ht="15" hidden="false" customHeight="true" outlineLevel="0" collapsed="false">
      <c r="H519" s="113"/>
      <c r="I519" s="113"/>
      <c r="J519" s="113"/>
      <c r="L519" s="113"/>
      <c r="M519" s="113"/>
      <c r="N519" s="113"/>
      <c r="P519" s="113"/>
      <c r="Q519" s="113"/>
      <c r="R519" s="113"/>
      <c r="T519" s="113"/>
      <c r="U519" s="113"/>
      <c r="V519" s="113"/>
    </row>
    <row r="520" customFormat="false" ht="15" hidden="false" customHeight="true" outlineLevel="0" collapsed="false">
      <c r="H520" s="113"/>
      <c r="I520" s="113"/>
      <c r="J520" s="113"/>
      <c r="L520" s="113"/>
      <c r="M520" s="113"/>
      <c r="N520" s="113"/>
      <c r="P520" s="113"/>
      <c r="Q520" s="113"/>
      <c r="R520" s="113"/>
      <c r="T520" s="113"/>
      <c r="U520" s="113"/>
      <c r="V520" s="113"/>
    </row>
    <row r="521" customFormat="false" ht="15" hidden="false" customHeight="true" outlineLevel="0" collapsed="false">
      <c r="H521" s="113"/>
      <c r="I521" s="113"/>
      <c r="J521" s="113"/>
      <c r="L521" s="113"/>
      <c r="M521" s="113"/>
      <c r="N521" s="113"/>
      <c r="P521" s="113"/>
      <c r="Q521" s="113"/>
      <c r="R521" s="113"/>
      <c r="T521" s="113"/>
      <c r="U521" s="113"/>
      <c r="V521" s="113"/>
    </row>
    <row r="522" customFormat="false" ht="15" hidden="false" customHeight="true" outlineLevel="0" collapsed="false">
      <c r="H522" s="113"/>
      <c r="I522" s="113"/>
      <c r="J522" s="113"/>
      <c r="L522" s="113"/>
      <c r="M522" s="113"/>
      <c r="N522" s="113"/>
      <c r="P522" s="113"/>
      <c r="Q522" s="113"/>
      <c r="R522" s="113"/>
      <c r="T522" s="113"/>
      <c r="U522" s="113"/>
      <c r="V522" s="113"/>
    </row>
    <row r="523" customFormat="false" ht="15" hidden="false" customHeight="true" outlineLevel="0" collapsed="false">
      <c r="H523" s="113"/>
      <c r="I523" s="113"/>
      <c r="J523" s="113"/>
      <c r="L523" s="113"/>
      <c r="M523" s="113"/>
      <c r="N523" s="113"/>
      <c r="P523" s="113"/>
      <c r="Q523" s="113"/>
      <c r="R523" s="113"/>
      <c r="T523" s="113"/>
      <c r="U523" s="113"/>
      <c r="V523" s="113"/>
    </row>
    <row r="524" customFormat="false" ht="15" hidden="false" customHeight="true" outlineLevel="0" collapsed="false">
      <c r="H524" s="113"/>
      <c r="I524" s="113"/>
      <c r="J524" s="113"/>
      <c r="L524" s="113"/>
      <c r="M524" s="113"/>
      <c r="N524" s="113"/>
      <c r="P524" s="113"/>
      <c r="Q524" s="113"/>
      <c r="R524" s="113"/>
      <c r="T524" s="113"/>
      <c r="U524" s="113"/>
      <c r="V524" s="113"/>
    </row>
    <row r="525" customFormat="false" ht="15" hidden="false" customHeight="true" outlineLevel="0" collapsed="false">
      <c r="H525" s="113"/>
      <c r="I525" s="113"/>
      <c r="J525" s="113"/>
      <c r="L525" s="113"/>
      <c r="M525" s="113"/>
      <c r="N525" s="113"/>
      <c r="P525" s="113"/>
      <c r="Q525" s="113"/>
      <c r="R525" s="113"/>
      <c r="T525" s="113"/>
      <c r="U525" s="113"/>
      <c r="V525" s="113"/>
    </row>
    <row r="526" customFormat="false" ht="15" hidden="false" customHeight="true" outlineLevel="0" collapsed="false">
      <c r="H526" s="113"/>
      <c r="I526" s="113"/>
      <c r="J526" s="113"/>
      <c r="L526" s="113"/>
      <c r="M526" s="113"/>
      <c r="N526" s="113"/>
      <c r="P526" s="113"/>
      <c r="Q526" s="113"/>
      <c r="R526" s="113"/>
      <c r="T526" s="113"/>
      <c r="U526" s="113"/>
      <c r="V526" s="113"/>
    </row>
    <row r="527" customFormat="false" ht="15" hidden="false" customHeight="true" outlineLevel="0" collapsed="false">
      <c r="H527" s="113"/>
      <c r="I527" s="113"/>
      <c r="J527" s="113"/>
      <c r="L527" s="113"/>
      <c r="M527" s="113"/>
      <c r="N527" s="113"/>
      <c r="P527" s="113"/>
      <c r="Q527" s="113"/>
      <c r="R527" s="113"/>
      <c r="T527" s="113"/>
      <c r="U527" s="113"/>
      <c r="V527" s="113"/>
    </row>
    <row r="528" customFormat="false" ht="15" hidden="false" customHeight="true" outlineLevel="0" collapsed="false">
      <c r="H528" s="113"/>
      <c r="I528" s="113"/>
      <c r="J528" s="113"/>
      <c r="L528" s="113"/>
      <c r="M528" s="113"/>
      <c r="N528" s="113"/>
      <c r="P528" s="113"/>
      <c r="Q528" s="113"/>
      <c r="R528" s="113"/>
      <c r="T528" s="113"/>
      <c r="U528" s="113"/>
      <c r="V528" s="113"/>
    </row>
    <row r="529" customFormat="false" ht="15" hidden="false" customHeight="true" outlineLevel="0" collapsed="false">
      <c r="H529" s="113"/>
      <c r="I529" s="113"/>
      <c r="J529" s="113"/>
      <c r="L529" s="113"/>
      <c r="M529" s="113"/>
      <c r="N529" s="113"/>
      <c r="P529" s="113"/>
      <c r="Q529" s="113"/>
      <c r="R529" s="113"/>
      <c r="T529" s="113"/>
      <c r="U529" s="113"/>
      <c r="V529" s="113"/>
    </row>
    <row r="530" customFormat="false" ht="15" hidden="false" customHeight="true" outlineLevel="0" collapsed="false">
      <c r="H530" s="113"/>
      <c r="I530" s="113"/>
      <c r="J530" s="113"/>
      <c r="L530" s="113"/>
      <c r="M530" s="113"/>
      <c r="N530" s="113"/>
      <c r="P530" s="113"/>
      <c r="Q530" s="113"/>
      <c r="R530" s="113"/>
      <c r="T530" s="113"/>
      <c r="U530" s="113"/>
      <c r="V530" s="113"/>
    </row>
    <row r="531" customFormat="false" ht="15" hidden="false" customHeight="true" outlineLevel="0" collapsed="false">
      <c r="H531" s="113"/>
      <c r="I531" s="113"/>
      <c r="J531" s="113"/>
      <c r="L531" s="113"/>
      <c r="M531" s="113"/>
      <c r="N531" s="113"/>
      <c r="P531" s="113"/>
      <c r="Q531" s="113"/>
      <c r="R531" s="113"/>
      <c r="T531" s="113"/>
      <c r="U531" s="113"/>
      <c r="V531" s="113"/>
    </row>
    <row r="532" customFormat="false" ht="15" hidden="false" customHeight="true" outlineLevel="0" collapsed="false">
      <c r="H532" s="113"/>
      <c r="I532" s="113"/>
      <c r="J532" s="113"/>
      <c r="L532" s="113"/>
      <c r="M532" s="113"/>
      <c r="N532" s="113"/>
      <c r="P532" s="113"/>
      <c r="Q532" s="113"/>
      <c r="R532" s="113"/>
      <c r="T532" s="113"/>
      <c r="U532" s="113"/>
      <c r="V532" s="113"/>
    </row>
    <row r="533" customFormat="false" ht="15" hidden="false" customHeight="true" outlineLevel="0" collapsed="false">
      <c r="H533" s="113"/>
      <c r="I533" s="113"/>
      <c r="J533" s="113"/>
      <c r="L533" s="113"/>
      <c r="M533" s="113"/>
      <c r="N533" s="113"/>
      <c r="P533" s="113"/>
      <c r="Q533" s="113"/>
      <c r="R533" s="113"/>
      <c r="T533" s="113"/>
      <c r="U533" s="113"/>
      <c r="V533" s="113"/>
    </row>
    <row r="534" customFormat="false" ht="15" hidden="false" customHeight="true" outlineLevel="0" collapsed="false">
      <c r="H534" s="113"/>
      <c r="I534" s="113"/>
      <c r="J534" s="113"/>
      <c r="L534" s="113"/>
      <c r="M534" s="113"/>
      <c r="N534" s="113"/>
      <c r="P534" s="113"/>
      <c r="Q534" s="113"/>
      <c r="R534" s="113"/>
      <c r="T534" s="113"/>
      <c r="U534" s="113"/>
      <c r="V534" s="113"/>
    </row>
    <row r="535" customFormat="false" ht="15" hidden="false" customHeight="true" outlineLevel="0" collapsed="false">
      <c r="H535" s="113"/>
      <c r="I535" s="113"/>
      <c r="J535" s="113"/>
      <c r="L535" s="113"/>
      <c r="M535" s="113"/>
      <c r="N535" s="113"/>
      <c r="P535" s="113"/>
      <c r="Q535" s="113"/>
      <c r="R535" s="113"/>
      <c r="T535" s="113"/>
      <c r="U535" s="113"/>
      <c r="V535" s="113"/>
    </row>
    <row r="536" customFormat="false" ht="15" hidden="false" customHeight="true" outlineLevel="0" collapsed="false">
      <c r="H536" s="113"/>
      <c r="I536" s="113"/>
      <c r="J536" s="113"/>
      <c r="L536" s="113"/>
      <c r="M536" s="113"/>
      <c r="N536" s="113"/>
      <c r="P536" s="113"/>
      <c r="Q536" s="113"/>
      <c r="R536" s="113"/>
      <c r="T536" s="113"/>
      <c r="U536" s="113"/>
      <c r="V536" s="113"/>
    </row>
    <row r="537" customFormat="false" ht="15" hidden="false" customHeight="true" outlineLevel="0" collapsed="false">
      <c r="H537" s="113"/>
      <c r="I537" s="113"/>
      <c r="J537" s="113"/>
      <c r="L537" s="113"/>
      <c r="M537" s="113"/>
      <c r="N537" s="113"/>
      <c r="P537" s="113"/>
      <c r="Q537" s="113"/>
      <c r="R537" s="113"/>
      <c r="T537" s="113"/>
      <c r="U537" s="113"/>
      <c r="V537" s="113"/>
    </row>
    <row r="538" customFormat="false" ht="15" hidden="false" customHeight="true" outlineLevel="0" collapsed="false">
      <c r="H538" s="113"/>
      <c r="I538" s="113"/>
      <c r="J538" s="113"/>
      <c r="L538" s="113"/>
      <c r="M538" s="113"/>
      <c r="N538" s="113"/>
      <c r="P538" s="113"/>
      <c r="Q538" s="113"/>
      <c r="R538" s="113"/>
      <c r="T538" s="113"/>
      <c r="U538" s="113"/>
      <c r="V538" s="113"/>
    </row>
    <row r="539" customFormat="false" ht="15" hidden="false" customHeight="true" outlineLevel="0" collapsed="false">
      <c r="H539" s="113"/>
      <c r="I539" s="113"/>
      <c r="J539" s="113"/>
      <c r="L539" s="113"/>
      <c r="M539" s="113"/>
      <c r="N539" s="113"/>
      <c r="P539" s="113"/>
      <c r="Q539" s="113"/>
      <c r="R539" s="113"/>
      <c r="T539" s="113"/>
      <c r="U539" s="113"/>
      <c r="V539" s="113"/>
    </row>
    <row r="540" customFormat="false" ht="15" hidden="false" customHeight="true" outlineLevel="0" collapsed="false">
      <c r="H540" s="113"/>
      <c r="I540" s="113"/>
      <c r="J540" s="113"/>
      <c r="L540" s="113"/>
      <c r="M540" s="113"/>
      <c r="N540" s="113"/>
      <c r="P540" s="113"/>
      <c r="Q540" s="113"/>
      <c r="R540" s="113"/>
      <c r="T540" s="113"/>
      <c r="U540" s="113"/>
      <c r="V540" s="113"/>
    </row>
    <row r="541" customFormat="false" ht="15" hidden="false" customHeight="true" outlineLevel="0" collapsed="false">
      <c r="H541" s="113"/>
      <c r="I541" s="113"/>
      <c r="J541" s="113"/>
      <c r="L541" s="113"/>
      <c r="M541" s="113"/>
      <c r="N541" s="113"/>
      <c r="P541" s="113"/>
      <c r="Q541" s="113"/>
      <c r="R541" s="113"/>
      <c r="T541" s="113"/>
      <c r="U541" s="113"/>
      <c r="V541" s="113"/>
    </row>
    <row r="542" customFormat="false" ht="15" hidden="false" customHeight="true" outlineLevel="0" collapsed="false">
      <c r="H542" s="113"/>
      <c r="I542" s="113"/>
      <c r="J542" s="113"/>
      <c r="L542" s="113"/>
      <c r="M542" s="113"/>
      <c r="N542" s="113"/>
      <c r="P542" s="113"/>
      <c r="Q542" s="113"/>
      <c r="R542" s="113"/>
      <c r="T542" s="113"/>
      <c r="U542" s="113"/>
      <c r="V542" s="113"/>
    </row>
    <row r="543" customFormat="false" ht="15" hidden="false" customHeight="true" outlineLevel="0" collapsed="false">
      <c r="H543" s="113"/>
      <c r="I543" s="113"/>
      <c r="J543" s="113"/>
      <c r="L543" s="113"/>
      <c r="M543" s="113"/>
      <c r="N543" s="113"/>
      <c r="P543" s="113"/>
      <c r="Q543" s="113"/>
      <c r="R543" s="113"/>
      <c r="T543" s="113"/>
      <c r="U543" s="113"/>
      <c r="V543" s="113"/>
    </row>
    <row r="544" customFormat="false" ht="15" hidden="false" customHeight="true" outlineLevel="0" collapsed="false">
      <c r="H544" s="113"/>
      <c r="I544" s="113"/>
      <c r="J544" s="113"/>
      <c r="L544" s="113"/>
      <c r="M544" s="113"/>
      <c r="N544" s="113"/>
      <c r="P544" s="113"/>
      <c r="Q544" s="113"/>
      <c r="R544" s="113"/>
      <c r="T544" s="113"/>
      <c r="U544" s="113"/>
      <c r="V544" s="113"/>
    </row>
    <row r="545" customFormat="false" ht="15" hidden="false" customHeight="true" outlineLevel="0" collapsed="false">
      <c r="H545" s="113"/>
      <c r="I545" s="113"/>
      <c r="J545" s="113"/>
      <c r="L545" s="113"/>
      <c r="M545" s="113"/>
      <c r="N545" s="113"/>
      <c r="P545" s="113"/>
      <c r="Q545" s="113"/>
      <c r="R545" s="113"/>
      <c r="T545" s="113"/>
      <c r="U545" s="113"/>
      <c r="V545" s="113"/>
    </row>
    <row r="546" customFormat="false" ht="15" hidden="false" customHeight="true" outlineLevel="0" collapsed="false">
      <c r="H546" s="113"/>
      <c r="I546" s="113"/>
      <c r="J546" s="113"/>
      <c r="L546" s="113"/>
      <c r="M546" s="113"/>
      <c r="N546" s="113"/>
      <c r="P546" s="113"/>
      <c r="Q546" s="113"/>
      <c r="R546" s="113"/>
      <c r="T546" s="113"/>
      <c r="U546" s="113"/>
      <c r="V546" s="113"/>
    </row>
    <row r="547" customFormat="false" ht="15" hidden="false" customHeight="true" outlineLevel="0" collapsed="false">
      <c r="H547" s="113"/>
      <c r="I547" s="113"/>
      <c r="J547" s="113"/>
      <c r="L547" s="113"/>
      <c r="M547" s="113"/>
      <c r="N547" s="113"/>
      <c r="P547" s="113"/>
      <c r="Q547" s="113"/>
      <c r="R547" s="113"/>
      <c r="T547" s="113"/>
      <c r="U547" s="113"/>
      <c r="V547" s="113"/>
    </row>
    <row r="548" customFormat="false" ht="15" hidden="false" customHeight="true" outlineLevel="0" collapsed="false">
      <c r="H548" s="113"/>
      <c r="I548" s="113"/>
      <c r="J548" s="113"/>
      <c r="L548" s="113"/>
      <c r="M548" s="113"/>
      <c r="N548" s="113"/>
      <c r="P548" s="113"/>
      <c r="Q548" s="113"/>
      <c r="R548" s="113"/>
      <c r="T548" s="113"/>
      <c r="U548" s="113"/>
      <c r="V548" s="113"/>
    </row>
    <row r="549" customFormat="false" ht="15" hidden="false" customHeight="true" outlineLevel="0" collapsed="false">
      <c r="H549" s="113"/>
      <c r="I549" s="113"/>
      <c r="J549" s="113"/>
      <c r="L549" s="113"/>
      <c r="M549" s="113"/>
      <c r="N549" s="113"/>
      <c r="P549" s="113"/>
      <c r="Q549" s="113"/>
      <c r="R549" s="113"/>
      <c r="T549" s="113"/>
      <c r="U549" s="113"/>
      <c r="V549" s="113"/>
    </row>
    <row r="550" customFormat="false" ht="15" hidden="false" customHeight="true" outlineLevel="0" collapsed="false">
      <c r="H550" s="113"/>
      <c r="I550" s="113"/>
      <c r="J550" s="113"/>
      <c r="L550" s="113"/>
      <c r="M550" s="113"/>
      <c r="N550" s="113"/>
      <c r="P550" s="113"/>
      <c r="Q550" s="113"/>
      <c r="R550" s="113"/>
      <c r="T550" s="113"/>
      <c r="U550" s="113"/>
      <c r="V550" s="113"/>
    </row>
    <row r="551" customFormat="false" ht="15" hidden="false" customHeight="true" outlineLevel="0" collapsed="false">
      <c r="H551" s="113"/>
      <c r="I551" s="113"/>
      <c r="J551" s="113"/>
      <c r="L551" s="113"/>
      <c r="M551" s="113"/>
      <c r="N551" s="113"/>
      <c r="P551" s="113"/>
      <c r="Q551" s="113"/>
      <c r="R551" s="113"/>
      <c r="T551" s="113"/>
      <c r="U551" s="113"/>
      <c r="V551" s="113"/>
    </row>
    <row r="552" customFormat="false" ht="15" hidden="false" customHeight="true" outlineLevel="0" collapsed="false">
      <c r="H552" s="113"/>
      <c r="I552" s="113"/>
      <c r="J552" s="113"/>
      <c r="L552" s="113"/>
      <c r="M552" s="113"/>
      <c r="N552" s="113"/>
      <c r="P552" s="113"/>
      <c r="Q552" s="113"/>
      <c r="R552" s="113"/>
      <c r="T552" s="113"/>
      <c r="U552" s="113"/>
      <c r="V552" s="113"/>
    </row>
    <row r="553" customFormat="false" ht="15" hidden="false" customHeight="true" outlineLevel="0" collapsed="false">
      <c r="H553" s="113"/>
      <c r="I553" s="113"/>
      <c r="J553" s="113"/>
      <c r="L553" s="113"/>
      <c r="M553" s="113"/>
      <c r="N553" s="113"/>
      <c r="P553" s="113"/>
      <c r="Q553" s="113"/>
      <c r="R553" s="113"/>
      <c r="T553" s="113"/>
      <c r="U553" s="113"/>
      <c r="V553" s="113"/>
    </row>
    <row r="554" customFormat="false" ht="15" hidden="false" customHeight="true" outlineLevel="0" collapsed="false">
      <c r="H554" s="113"/>
      <c r="I554" s="113"/>
      <c r="J554" s="113"/>
      <c r="L554" s="113"/>
      <c r="M554" s="113"/>
      <c r="N554" s="113"/>
      <c r="P554" s="113"/>
      <c r="Q554" s="113"/>
      <c r="R554" s="113"/>
      <c r="T554" s="113"/>
      <c r="U554" s="113"/>
      <c r="V554" s="113"/>
    </row>
    <row r="555" customFormat="false" ht="15" hidden="false" customHeight="true" outlineLevel="0" collapsed="false">
      <c r="H555" s="113"/>
      <c r="I555" s="113"/>
      <c r="J555" s="113"/>
      <c r="L555" s="113"/>
      <c r="M555" s="113"/>
      <c r="N555" s="113"/>
      <c r="P555" s="113"/>
      <c r="Q555" s="113"/>
      <c r="R555" s="113"/>
      <c r="T555" s="113"/>
      <c r="U555" s="113"/>
      <c r="V555" s="113"/>
    </row>
    <row r="556" customFormat="false" ht="15" hidden="false" customHeight="true" outlineLevel="0" collapsed="false">
      <c r="H556" s="113"/>
      <c r="I556" s="113"/>
      <c r="J556" s="113"/>
      <c r="L556" s="113"/>
      <c r="M556" s="113"/>
      <c r="N556" s="113"/>
      <c r="P556" s="113"/>
      <c r="Q556" s="113"/>
      <c r="R556" s="113"/>
      <c r="T556" s="113"/>
      <c r="U556" s="113"/>
      <c r="V556" s="113"/>
    </row>
    <row r="557" customFormat="false" ht="15" hidden="false" customHeight="true" outlineLevel="0" collapsed="false">
      <c r="H557" s="113"/>
      <c r="I557" s="113"/>
      <c r="J557" s="113"/>
      <c r="L557" s="113"/>
      <c r="M557" s="113"/>
      <c r="N557" s="113"/>
      <c r="P557" s="113"/>
      <c r="Q557" s="113"/>
      <c r="R557" s="113"/>
      <c r="T557" s="113"/>
      <c r="U557" s="113"/>
      <c r="V557" s="113"/>
    </row>
    <row r="558" customFormat="false" ht="15" hidden="false" customHeight="true" outlineLevel="0" collapsed="false">
      <c r="H558" s="113"/>
      <c r="I558" s="113"/>
      <c r="J558" s="113"/>
      <c r="L558" s="113"/>
      <c r="M558" s="113"/>
      <c r="N558" s="113"/>
      <c r="P558" s="113"/>
      <c r="Q558" s="113"/>
      <c r="R558" s="113"/>
      <c r="T558" s="113"/>
      <c r="U558" s="113"/>
      <c r="V558" s="113"/>
    </row>
    <row r="559" customFormat="false" ht="15" hidden="false" customHeight="true" outlineLevel="0" collapsed="false">
      <c r="H559" s="113"/>
      <c r="I559" s="113"/>
      <c r="J559" s="113"/>
      <c r="L559" s="113"/>
      <c r="M559" s="113"/>
      <c r="N559" s="113"/>
      <c r="P559" s="113"/>
      <c r="Q559" s="113"/>
      <c r="R559" s="113"/>
      <c r="T559" s="113"/>
      <c r="U559" s="113"/>
      <c r="V559" s="113"/>
    </row>
    <row r="560" customFormat="false" ht="15" hidden="false" customHeight="true" outlineLevel="0" collapsed="false">
      <c r="H560" s="113"/>
      <c r="I560" s="113"/>
      <c r="J560" s="113"/>
      <c r="L560" s="113"/>
      <c r="M560" s="113"/>
      <c r="N560" s="113"/>
      <c r="P560" s="113"/>
      <c r="Q560" s="113"/>
      <c r="R560" s="113"/>
      <c r="T560" s="113"/>
      <c r="U560" s="113"/>
      <c r="V560" s="113"/>
    </row>
    <row r="561" customFormat="false" ht="15" hidden="false" customHeight="true" outlineLevel="0" collapsed="false">
      <c r="H561" s="113"/>
      <c r="I561" s="113"/>
      <c r="J561" s="113"/>
      <c r="L561" s="113"/>
      <c r="M561" s="113"/>
      <c r="N561" s="113"/>
      <c r="P561" s="113"/>
      <c r="Q561" s="113"/>
      <c r="R561" s="113"/>
      <c r="T561" s="113"/>
      <c r="U561" s="113"/>
      <c r="V561" s="113"/>
    </row>
    <row r="562" customFormat="false" ht="15" hidden="false" customHeight="true" outlineLevel="0" collapsed="false">
      <c r="H562" s="113"/>
      <c r="I562" s="113"/>
      <c r="J562" s="113"/>
      <c r="L562" s="113"/>
      <c r="M562" s="113"/>
      <c r="N562" s="113"/>
      <c r="P562" s="113"/>
      <c r="Q562" s="113"/>
      <c r="R562" s="113"/>
      <c r="T562" s="113"/>
      <c r="U562" s="113"/>
      <c r="V562" s="113"/>
    </row>
    <row r="563" customFormat="false" ht="15" hidden="false" customHeight="true" outlineLevel="0" collapsed="false">
      <c r="H563" s="113"/>
      <c r="I563" s="113"/>
      <c r="J563" s="113"/>
      <c r="L563" s="113"/>
      <c r="M563" s="113"/>
      <c r="N563" s="113"/>
      <c r="P563" s="113"/>
      <c r="Q563" s="113"/>
      <c r="R563" s="113"/>
      <c r="T563" s="113"/>
      <c r="U563" s="113"/>
      <c r="V563" s="113"/>
    </row>
    <row r="564" customFormat="false" ht="15" hidden="false" customHeight="true" outlineLevel="0" collapsed="false">
      <c r="H564" s="113"/>
      <c r="I564" s="113"/>
      <c r="J564" s="113"/>
      <c r="L564" s="113"/>
      <c r="M564" s="113"/>
      <c r="N564" s="113"/>
      <c r="P564" s="113"/>
      <c r="Q564" s="113"/>
      <c r="R564" s="113"/>
      <c r="T564" s="113"/>
      <c r="U564" s="113"/>
      <c r="V564" s="113"/>
    </row>
    <row r="565" customFormat="false" ht="15" hidden="false" customHeight="true" outlineLevel="0" collapsed="false">
      <c r="H565" s="113"/>
      <c r="I565" s="113"/>
      <c r="J565" s="113"/>
      <c r="L565" s="113"/>
      <c r="M565" s="113"/>
      <c r="N565" s="113"/>
      <c r="P565" s="113"/>
      <c r="Q565" s="113"/>
      <c r="R565" s="113"/>
      <c r="T565" s="113"/>
      <c r="U565" s="113"/>
      <c r="V565" s="113"/>
    </row>
    <row r="566" customFormat="false" ht="15" hidden="false" customHeight="true" outlineLevel="0" collapsed="false">
      <c r="H566" s="113"/>
      <c r="I566" s="113"/>
      <c r="J566" s="113"/>
      <c r="L566" s="113"/>
      <c r="M566" s="113"/>
      <c r="N566" s="113"/>
      <c r="P566" s="113"/>
      <c r="Q566" s="113"/>
      <c r="R566" s="113"/>
      <c r="T566" s="113"/>
      <c r="U566" s="113"/>
      <c r="V566" s="113"/>
    </row>
    <row r="567" customFormat="false" ht="15" hidden="false" customHeight="true" outlineLevel="0" collapsed="false">
      <c r="H567" s="113"/>
      <c r="I567" s="113"/>
      <c r="J567" s="113"/>
      <c r="L567" s="113"/>
      <c r="M567" s="113"/>
      <c r="N567" s="113"/>
      <c r="P567" s="113"/>
      <c r="Q567" s="113"/>
      <c r="R567" s="113"/>
      <c r="T567" s="113"/>
      <c r="U567" s="113"/>
      <c r="V567" s="113"/>
    </row>
    <row r="568" customFormat="false" ht="15" hidden="false" customHeight="true" outlineLevel="0" collapsed="false">
      <c r="H568" s="113"/>
      <c r="I568" s="113"/>
      <c r="J568" s="113"/>
      <c r="L568" s="113"/>
      <c r="M568" s="113"/>
      <c r="N568" s="113"/>
      <c r="P568" s="113"/>
      <c r="Q568" s="113"/>
      <c r="R568" s="113"/>
      <c r="T568" s="113"/>
      <c r="U568" s="113"/>
      <c r="V568" s="113"/>
    </row>
    <row r="569" customFormat="false" ht="15" hidden="false" customHeight="true" outlineLevel="0" collapsed="false">
      <c r="H569" s="113"/>
      <c r="I569" s="113"/>
      <c r="J569" s="113"/>
      <c r="L569" s="113"/>
      <c r="M569" s="113"/>
      <c r="N569" s="113"/>
      <c r="P569" s="113"/>
      <c r="Q569" s="113"/>
      <c r="R569" s="113"/>
      <c r="T569" s="113"/>
      <c r="U569" s="113"/>
      <c r="V569" s="113"/>
    </row>
    <row r="570" customFormat="false" ht="15" hidden="false" customHeight="true" outlineLevel="0" collapsed="false">
      <c r="H570" s="113"/>
      <c r="I570" s="113"/>
      <c r="J570" s="113"/>
      <c r="L570" s="113"/>
      <c r="M570" s="113"/>
      <c r="N570" s="113"/>
      <c r="P570" s="113"/>
      <c r="Q570" s="113"/>
      <c r="R570" s="113"/>
      <c r="T570" s="113"/>
      <c r="U570" s="113"/>
      <c r="V570" s="113"/>
    </row>
    <row r="571" customFormat="false" ht="15" hidden="false" customHeight="true" outlineLevel="0" collapsed="false">
      <c r="H571" s="113"/>
      <c r="I571" s="113"/>
      <c r="J571" s="113"/>
      <c r="L571" s="113"/>
      <c r="M571" s="113"/>
      <c r="N571" s="113"/>
      <c r="P571" s="113"/>
      <c r="Q571" s="113"/>
      <c r="R571" s="113"/>
      <c r="T571" s="113"/>
      <c r="U571" s="113"/>
      <c r="V571" s="113"/>
    </row>
    <row r="572" customFormat="false" ht="15" hidden="false" customHeight="true" outlineLevel="0" collapsed="false">
      <c r="H572" s="113"/>
      <c r="I572" s="113"/>
      <c r="J572" s="113"/>
      <c r="L572" s="113"/>
      <c r="M572" s="113"/>
      <c r="N572" s="113"/>
      <c r="P572" s="113"/>
      <c r="Q572" s="113"/>
      <c r="R572" s="113"/>
      <c r="T572" s="113"/>
      <c r="U572" s="113"/>
      <c r="V572" s="113"/>
    </row>
    <row r="573" customFormat="false" ht="15" hidden="false" customHeight="true" outlineLevel="0" collapsed="false">
      <c r="H573" s="113"/>
      <c r="I573" s="113"/>
      <c r="J573" s="113"/>
      <c r="L573" s="113"/>
      <c r="M573" s="113"/>
      <c r="N573" s="113"/>
      <c r="P573" s="113"/>
      <c r="Q573" s="113"/>
      <c r="R573" s="113"/>
      <c r="T573" s="113"/>
      <c r="U573" s="113"/>
      <c r="V573" s="113"/>
    </row>
    <row r="574" customFormat="false" ht="15" hidden="false" customHeight="true" outlineLevel="0" collapsed="false">
      <c r="H574" s="113"/>
      <c r="I574" s="113"/>
      <c r="J574" s="113"/>
      <c r="L574" s="113"/>
      <c r="M574" s="113"/>
      <c r="N574" s="113"/>
      <c r="P574" s="113"/>
      <c r="Q574" s="113"/>
      <c r="R574" s="113"/>
      <c r="T574" s="113"/>
      <c r="U574" s="113"/>
      <c r="V574" s="113"/>
    </row>
    <row r="575" customFormat="false" ht="15" hidden="false" customHeight="true" outlineLevel="0" collapsed="false">
      <c r="H575" s="113"/>
      <c r="I575" s="113"/>
      <c r="J575" s="113"/>
      <c r="L575" s="113"/>
      <c r="M575" s="113"/>
      <c r="N575" s="113"/>
      <c r="P575" s="113"/>
      <c r="Q575" s="113"/>
      <c r="R575" s="113"/>
      <c r="T575" s="113"/>
      <c r="U575" s="113"/>
      <c r="V575" s="113"/>
    </row>
    <row r="576" customFormat="false" ht="15" hidden="false" customHeight="true" outlineLevel="0" collapsed="false">
      <c r="H576" s="113"/>
      <c r="I576" s="113"/>
      <c r="J576" s="113"/>
      <c r="L576" s="113"/>
      <c r="M576" s="113"/>
      <c r="N576" s="113"/>
      <c r="P576" s="113"/>
      <c r="Q576" s="113"/>
      <c r="R576" s="113"/>
      <c r="T576" s="113"/>
      <c r="U576" s="113"/>
      <c r="V576" s="113"/>
    </row>
    <row r="577" customFormat="false" ht="15" hidden="false" customHeight="true" outlineLevel="0" collapsed="false">
      <c r="H577" s="113"/>
      <c r="I577" s="113"/>
      <c r="J577" s="113"/>
      <c r="L577" s="113"/>
      <c r="M577" s="113"/>
      <c r="N577" s="113"/>
      <c r="P577" s="113"/>
      <c r="Q577" s="113"/>
      <c r="R577" s="113"/>
      <c r="T577" s="113"/>
      <c r="U577" s="113"/>
      <c r="V577" s="113"/>
    </row>
    <row r="578" customFormat="false" ht="15" hidden="false" customHeight="true" outlineLevel="0" collapsed="false">
      <c r="H578" s="113"/>
      <c r="I578" s="113"/>
      <c r="J578" s="113"/>
      <c r="L578" s="113"/>
      <c r="M578" s="113"/>
      <c r="N578" s="113"/>
      <c r="P578" s="113"/>
      <c r="Q578" s="113"/>
      <c r="R578" s="113"/>
      <c r="T578" s="113"/>
      <c r="U578" s="113"/>
      <c r="V578" s="113"/>
    </row>
    <row r="579" customFormat="false" ht="15" hidden="false" customHeight="true" outlineLevel="0" collapsed="false">
      <c r="H579" s="113"/>
      <c r="I579" s="113"/>
      <c r="J579" s="113"/>
      <c r="L579" s="113"/>
      <c r="M579" s="113"/>
      <c r="N579" s="113"/>
      <c r="P579" s="113"/>
      <c r="Q579" s="113"/>
      <c r="R579" s="113"/>
      <c r="T579" s="113"/>
      <c r="U579" s="113"/>
      <c r="V579" s="113"/>
    </row>
    <row r="580" customFormat="false" ht="15" hidden="false" customHeight="true" outlineLevel="0" collapsed="false">
      <c r="H580" s="113"/>
      <c r="I580" s="113"/>
      <c r="J580" s="113"/>
      <c r="L580" s="113"/>
      <c r="M580" s="113"/>
      <c r="N580" s="113"/>
      <c r="P580" s="113"/>
      <c r="Q580" s="113"/>
      <c r="R580" s="113"/>
      <c r="T580" s="113"/>
      <c r="U580" s="113"/>
      <c r="V580" s="113"/>
    </row>
    <row r="581" customFormat="false" ht="15" hidden="false" customHeight="true" outlineLevel="0" collapsed="false">
      <c r="H581" s="113"/>
      <c r="I581" s="113"/>
      <c r="J581" s="113"/>
      <c r="L581" s="113"/>
      <c r="M581" s="113"/>
      <c r="N581" s="113"/>
      <c r="P581" s="113"/>
      <c r="Q581" s="113"/>
      <c r="R581" s="113"/>
      <c r="T581" s="113"/>
      <c r="U581" s="113"/>
      <c r="V581" s="113"/>
    </row>
    <row r="582" customFormat="false" ht="15" hidden="false" customHeight="true" outlineLevel="0" collapsed="false">
      <c r="H582" s="113"/>
      <c r="I582" s="113"/>
      <c r="J582" s="113"/>
      <c r="L582" s="113"/>
      <c r="M582" s="113"/>
      <c r="N582" s="113"/>
      <c r="P582" s="113"/>
      <c r="Q582" s="113"/>
      <c r="R582" s="113"/>
      <c r="T582" s="113"/>
      <c r="U582" s="113"/>
      <c r="V582" s="113"/>
    </row>
    <row r="583" customFormat="false" ht="15" hidden="false" customHeight="true" outlineLevel="0" collapsed="false">
      <c r="H583" s="113"/>
      <c r="I583" s="113"/>
      <c r="J583" s="113"/>
      <c r="L583" s="113"/>
      <c r="M583" s="113"/>
      <c r="N583" s="113"/>
      <c r="P583" s="113"/>
      <c r="Q583" s="113"/>
      <c r="R583" s="113"/>
      <c r="T583" s="113"/>
      <c r="U583" s="113"/>
      <c r="V583" s="113"/>
    </row>
    <row r="584" customFormat="false" ht="15" hidden="false" customHeight="true" outlineLevel="0" collapsed="false">
      <c r="H584" s="113"/>
      <c r="I584" s="113"/>
      <c r="J584" s="113"/>
      <c r="L584" s="113"/>
      <c r="M584" s="113"/>
      <c r="N584" s="113"/>
      <c r="P584" s="113"/>
      <c r="Q584" s="113"/>
      <c r="R584" s="113"/>
      <c r="T584" s="113"/>
      <c r="U584" s="113"/>
      <c r="V584" s="113"/>
    </row>
    <row r="585" customFormat="false" ht="15" hidden="false" customHeight="true" outlineLevel="0" collapsed="false">
      <c r="H585" s="113"/>
      <c r="I585" s="113"/>
      <c r="J585" s="113"/>
      <c r="L585" s="113"/>
      <c r="M585" s="113"/>
      <c r="N585" s="113"/>
      <c r="P585" s="113"/>
      <c r="Q585" s="113"/>
      <c r="R585" s="113"/>
      <c r="T585" s="113"/>
      <c r="U585" s="113"/>
      <c r="V585" s="113"/>
    </row>
    <row r="586" customFormat="false" ht="15" hidden="false" customHeight="true" outlineLevel="0" collapsed="false">
      <c r="H586" s="113"/>
      <c r="I586" s="113"/>
      <c r="J586" s="113"/>
      <c r="L586" s="113"/>
      <c r="M586" s="113"/>
      <c r="N586" s="113"/>
      <c r="P586" s="113"/>
      <c r="Q586" s="113"/>
      <c r="R586" s="113"/>
      <c r="T586" s="113"/>
      <c r="U586" s="113"/>
      <c r="V586" s="113"/>
    </row>
    <row r="587" customFormat="false" ht="15" hidden="false" customHeight="true" outlineLevel="0" collapsed="false">
      <c r="H587" s="113"/>
      <c r="I587" s="113"/>
      <c r="J587" s="113"/>
      <c r="L587" s="113"/>
      <c r="M587" s="113"/>
      <c r="N587" s="113"/>
      <c r="P587" s="113"/>
      <c r="Q587" s="113"/>
      <c r="R587" s="113"/>
      <c r="T587" s="113"/>
      <c r="U587" s="113"/>
      <c r="V587" s="113"/>
    </row>
    <row r="588" customFormat="false" ht="15" hidden="false" customHeight="true" outlineLevel="0" collapsed="false">
      <c r="H588" s="113"/>
      <c r="I588" s="113"/>
      <c r="J588" s="113"/>
      <c r="L588" s="113"/>
      <c r="M588" s="113"/>
      <c r="N588" s="113"/>
      <c r="P588" s="113"/>
      <c r="Q588" s="113"/>
      <c r="R588" s="113"/>
      <c r="T588" s="113"/>
      <c r="U588" s="113"/>
      <c r="V588" s="113"/>
    </row>
    <row r="589" customFormat="false" ht="15" hidden="false" customHeight="true" outlineLevel="0" collapsed="false">
      <c r="H589" s="113"/>
      <c r="I589" s="113"/>
      <c r="J589" s="113"/>
      <c r="L589" s="113"/>
      <c r="M589" s="113"/>
      <c r="N589" s="113"/>
      <c r="P589" s="113"/>
      <c r="Q589" s="113"/>
      <c r="R589" s="113"/>
      <c r="T589" s="113"/>
      <c r="U589" s="113"/>
      <c r="V589" s="113"/>
    </row>
    <row r="590" customFormat="false" ht="15" hidden="false" customHeight="true" outlineLevel="0" collapsed="false">
      <c r="H590" s="113"/>
      <c r="I590" s="113"/>
      <c r="J590" s="113"/>
      <c r="L590" s="113"/>
      <c r="M590" s="113"/>
      <c r="N590" s="113"/>
      <c r="P590" s="113"/>
      <c r="Q590" s="113"/>
      <c r="R590" s="113"/>
      <c r="T590" s="113"/>
      <c r="U590" s="113"/>
      <c r="V590" s="113"/>
    </row>
    <row r="591" customFormat="false" ht="15" hidden="false" customHeight="true" outlineLevel="0" collapsed="false">
      <c r="H591" s="113"/>
      <c r="I591" s="113"/>
      <c r="J591" s="113"/>
      <c r="L591" s="113"/>
      <c r="M591" s="113"/>
      <c r="N591" s="113"/>
      <c r="P591" s="113"/>
      <c r="Q591" s="113"/>
      <c r="R591" s="113"/>
      <c r="T591" s="113"/>
      <c r="U591" s="113"/>
      <c r="V591" s="113"/>
    </row>
    <row r="592" customFormat="false" ht="15" hidden="false" customHeight="true" outlineLevel="0" collapsed="false">
      <c r="H592" s="113"/>
      <c r="I592" s="113"/>
      <c r="J592" s="113"/>
      <c r="L592" s="113"/>
      <c r="M592" s="113"/>
      <c r="N592" s="113"/>
      <c r="P592" s="113"/>
      <c r="Q592" s="113"/>
      <c r="R592" s="113"/>
      <c r="T592" s="113"/>
      <c r="U592" s="113"/>
      <c r="V592" s="113"/>
    </row>
    <row r="593" customFormat="false" ht="15" hidden="false" customHeight="true" outlineLevel="0" collapsed="false">
      <c r="H593" s="113"/>
      <c r="I593" s="113"/>
      <c r="J593" s="113"/>
      <c r="L593" s="113"/>
      <c r="M593" s="113"/>
      <c r="N593" s="113"/>
      <c r="P593" s="113"/>
      <c r="Q593" s="113"/>
      <c r="R593" s="113"/>
      <c r="T593" s="113"/>
      <c r="U593" s="113"/>
      <c r="V593" s="113"/>
    </row>
    <row r="594" customFormat="false" ht="15" hidden="false" customHeight="true" outlineLevel="0" collapsed="false">
      <c r="H594" s="113"/>
      <c r="I594" s="113"/>
      <c r="J594" s="113"/>
      <c r="L594" s="113"/>
      <c r="M594" s="113"/>
      <c r="N594" s="113"/>
      <c r="P594" s="113"/>
      <c r="Q594" s="113"/>
      <c r="R594" s="113"/>
      <c r="T594" s="113"/>
      <c r="U594" s="113"/>
      <c r="V594" s="113"/>
    </row>
    <row r="595" customFormat="false" ht="15" hidden="false" customHeight="true" outlineLevel="0" collapsed="false">
      <c r="H595" s="113"/>
      <c r="I595" s="113"/>
      <c r="J595" s="113"/>
      <c r="L595" s="113"/>
      <c r="M595" s="113"/>
      <c r="N595" s="113"/>
      <c r="P595" s="113"/>
      <c r="Q595" s="113"/>
      <c r="R595" s="113"/>
      <c r="T595" s="113"/>
      <c r="U595" s="113"/>
      <c r="V595" s="113"/>
    </row>
    <row r="596" customFormat="false" ht="15" hidden="false" customHeight="true" outlineLevel="0" collapsed="false">
      <c r="H596" s="113"/>
      <c r="I596" s="113"/>
      <c r="J596" s="113"/>
      <c r="L596" s="113"/>
      <c r="M596" s="113"/>
      <c r="N596" s="113"/>
      <c r="P596" s="113"/>
      <c r="Q596" s="113"/>
      <c r="R596" s="113"/>
      <c r="T596" s="113"/>
      <c r="U596" s="113"/>
      <c r="V596" s="113"/>
    </row>
    <row r="597" customFormat="false" ht="15" hidden="false" customHeight="true" outlineLevel="0" collapsed="false">
      <c r="H597" s="113"/>
      <c r="I597" s="113"/>
      <c r="J597" s="113"/>
      <c r="L597" s="113"/>
      <c r="M597" s="113"/>
      <c r="N597" s="113"/>
      <c r="P597" s="113"/>
      <c r="Q597" s="113"/>
      <c r="R597" s="113"/>
      <c r="T597" s="113"/>
      <c r="U597" s="113"/>
      <c r="V597" s="113"/>
    </row>
    <row r="598" customFormat="false" ht="15" hidden="false" customHeight="true" outlineLevel="0" collapsed="false">
      <c r="H598" s="113"/>
      <c r="I598" s="113"/>
      <c r="J598" s="113"/>
      <c r="L598" s="113"/>
      <c r="M598" s="113"/>
      <c r="N598" s="113"/>
      <c r="P598" s="113"/>
      <c r="Q598" s="113"/>
      <c r="R598" s="113"/>
      <c r="T598" s="113"/>
      <c r="U598" s="113"/>
      <c r="V598" s="113"/>
    </row>
    <row r="599" customFormat="false" ht="15" hidden="false" customHeight="true" outlineLevel="0" collapsed="false">
      <c r="H599" s="113"/>
      <c r="I599" s="113"/>
      <c r="J599" s="113"/>
      <c r="L599" s="113"/>
      <c r="M599" s="113"/>
      <c r="N599" s="113"/>
      <c r="P599" s="113"/>
      <c r="Q599" s="113"/>
      <c r="R599" s="113"/>
      <c r="T599" s="113"/>
      <c r="U599" s="113"/>
      <c r="V599" s="113"/>
    </row>
    <row r="600" customFormat="false" ht="15" hidden="false" customHeight="true" outlineLevel="0" collapsed="false">
      <c r="H600" s="113"/>
      <c r="I600" s="113"/>
      <c r="J600" s="113"/>
      <c r="L600" s="113"/>
      <c r="M600" s="113"/>
      <c r="N600" s="113"/>
      <c r="P600" s="113"/>
      <c r="Q600" s="113"/>
      <c r="R600" s="113"/>
      <c r="T600" s="113"/>
      <c r="U600" s="113"/>
      <c r="V600" s="113"/>
    </row>
    <row r="601" customFormat="false" ht="15" hidden="false" customHeight="true" outlineLevel="0" collapsed="false">
      <c r="H601" s="113"/>
      <c r="I601" s="113"/>
      <c r="J601" s="113"/>
      <c r="L601" s="113"/>
      <c r="M601" s="113"/>
      <c r="N601" s="113"/>
      <c r="P601" s="113"/>
      <c r="Q601" s="113"/>
      <c r="R601" s="113"/>
      <c r="T601" s="113"/>
      <c r="U601" s="113"/>
      <c r="V601" s="113"/>
    </row>
    <row r="602" customFormat="false" ht="15" hidden="false" customHeight="true" outlineLevel="0" collapsed="false">
      <c r="H602" s="113"/>
      <c r="I602" s="113"/>
      <c r="J602" s="113"/>
      <c r="L602" s="113"/>
      <c r="M602" s="113"/>
      <c r="N602" s="113"/>
      <c r="P602" s="113"/>
      <c r="Q602" s="113"/>
      <c r="R602" s="113"/>
      <c r="T602" s="113"/>
      <c r="U602" s="113"/>
      <c r="V602" s="113"/>
    </row>
    <row r="603" customFormat="false" ht="15" hidden="false" customHeight="true" outlineLevel="0" collapsed="false">
      <c r="H603" s="113"/>
      <c r="I603" s="113"/>
      <c r="J603" s="113"/>
      <c r="L603" s="113"/>
      <c r="M603" s="113"/>
      <c r="N603" s="113"/>
      <c r="P603" s="113"/>
      <c r="Q603" s="113"/>
      <c r="R603" s="113"/>
      <c r="T603" s="113"/>
      <c r="U603" s="113"/>
      <c r="V603" s="113"/>
    </row>
    <row r="604" customFormat="false" ht="15" hidden="false" customHeight="true" outlineLevel="0" collapsed="false">
      <c r="H604" s="113"/>
      <c r="I604" s="113"/>
      <c r="J604" s="113"/>
      <c r="L604" s="113"/>
      <c r="M604" s="113"/>
      <c r="N604" s="113"/>
      <c r="P604" s="113"/>
      <c r="Q604" s="113"/>
      <c r="R604" s="113"/>
      <c r="T604" s="113"/>
      <c r="U604" s="113"/>
      <c r="V604" s="113"/>
    </row>
    <row r="605" customFormat="false" ht="15" hidden="false" customHeight="true" outlineLevel="0" collapsed="false">
      <c r="H605" s="113"/>
      <c r="I605" s="113"/>
      <c r="J605" s="113"/>
      <c r="L605" s="113"/>
      <c r="M605" s="113"/>
      <c r="N605" s="113"/>
      <c r="P605" s="113"/>
      <c r="Q605" s="113"/>
      <c r="R605" s="113"/>
      <c r="T605" s="113"/>
      <c r="U605" s="113"/>
      <c r="V605" s="113"/>
    </row>
    <row r="606" customFormat="false" ht="15" hidden="false" customHeight="true" outlineLevel="0" collapsed="false">
      <c r="H606" s="113"/>
      <c r="I606" s="113"/>
      <c r="J606" s="113"/>
      <c r="L606" s="113"/>
      <c r="M606" s="113"/>
      <c r="N606" s="113"/>
      <c r="P606" s="113"/>
      <c r="Q606" s="113"/>
      <c r="R606" s="113"/>
      <c r="T606" s="113"/>
      <c r="U606" s="113"/>
      <c r="V606" s="113"/>
    </row>
    <row r="607" customFormat="false" ht="15" hidden="false" customHeight="true" outlineLevel="0" collapsed="false">
      <c r="H607" s="113"/>
      <c r="I607" s="113"/>
      <c r="J607" s="113"/>
      <c r="L607" s="113"/>
      <c r="M607" s="113"/>
      <c r="N607" s="113"/>
      <c r="P607" s="113"/>
      <c r="Q607" s="113"/>
      <c r="R607" s="113"/>
      <c r="T607" s="113"/>
      <c r="U607" s="113"/>
      <c r="V607" s="113"/>
    </row>
    <row r="608" customFormat="false" ht="15" hidden="false" customHeight="true" outlineLevel="0" collapsed="false">
      <c r="H608" s="113"/>
      <c r="I608" s="113"/>
      <c r="J608" s="113"/>
      <c r="L608" s="113"/>
      <c r="M608" s="113"/>
      <c r="N608" s="113"/>
      <c r="P608" s="113"/>
      <c r="Q608" s="113"/>
      <c r="R608" s="113"/>
      <c r="T608" s="113"/>
      <c r="U608" s="113"/>
      <c r="V608" s="113"/>
    </row>
    <row r="609" customFormat="false" ht="15" hidden="false" customHeight="true" outlineLevel="0" collapsed="false">
      <c r="H609" s="113"/>
      <c r="I609" s="113"/>
      <c r="J609" s="113"/>
      <c r="L609" s="113"/>
      <c r="M609" s="113"/>
      <c r="N609" s="113"/>
      <c r="P609" s="113"/>
      <c r="Q609" s="113"/>
      <c r="R609" s="113"/>
      <c r="T609" s="113"/>
      <c r="U609" s="113"/>
      <c r="V609" s="113"/>
    </row>
    <row r="610" customFormat="false" ht="15" hidden="false" customHeight="true" outlineLevel="0" collapsed="false">
      <c r="H610" s="113"/>
      <c r="I610" s="113"/>
      <c r="J610" s="113"/>
      <c r="L610" s="113"/>
      <c r="M610" s="113"/>
      <c r="N610" s="113"/>
      <c r="P610" s="113"/>
      <c r="Q610" s="113"/>
      <c r="R610" s="113"/>
      <c r="T610" s="113"/>
      <c r="U610" s="113"/>
      <c r="V610" s="113"/>
    </row>
    <row r="611" customFormat="false" ht="15" hidden="false" customHeight="true" outlineLevel="0" collapsed="false">
      <c r="H611" s="113"/>
      <c r="I611" s="113"/>
      <c r="J611" s="113"/>
      <c r="L611" s="113"/>
      <c r="M611" s="113"/>
      <c r="N611" s="113"/>
      <c r="P611" s="113"/>
      <c r="Q611" s="113"/>
      <c r="R611" s="113"/>
      <c r="T611" s="113"/>
      <c r="U611" s="113"/>
      <c r="V611" s="113"/>
    </row>
    <row r="612" customFormat="false" ht="15" hidden="false" customHeight="true" outlineLevel="0" collapsed="false">
      <c r="H612" s="113"/>
      <c r="I612" s="113"/>
      <c r="J612" s="113"/>
      <c r="L612" s="113"/>
      <c r="M612" s="113"/>
      <c r="N612" s="113"/>
      <c r="P612" s="113"/>
      <c r="Q612" s="113"/>
      <c r="R612" s="113"/>
      <c r="T612" s="113"/>
      <c r="U612" s="113"/>
      <c r="V612" s="113"/>
    </row>
    <row r="613" customFormat="false" ht="15" hidden="false" customHeight="true" outlineLevel="0" collapsed="false">
      <c r="H613" s="113"/>
      <c r="I613" s="113"/>
      <c r="J613" s="113"/>
      <c r="L613" s="113"/>
      <c r="M613" s="113"/>
      <c r="N613" s="113"/>
      <c r="P613" s="113"/>
      <c r="Q613" s="113"/>
      <c r="R613" s="113"/>
      <c r="T613" s="113"/>
      <c r="U613" s="113"/>
      <c r="V613" s="113"/>
    </row>
    <row r="614" customFormat="false" ht="15" hidden="false" customHeight="true" outlineLevel="0" collapsed="false">
      <c r="H614" s="113"/>
      <c r="I614" s="113"/>
      <c r="J614" s="113"/>
      <c r="L614" s="113"/>
      <c r="M614" s="113"/>
      <c r="N614" s="113"/>
      <c r="P614" s="113"/>
      <c r="Q614" s="113"/>
      <c r="R614" s="113"/>
      <c r="T614" s="113"/>
      <c r="U614" s="113"/>
      <c r="V614" s="113"/>
    </row>
    <row r="615" customFormat="false" ht="15" hidden="false" customHeight="true" outlineLevel="0" collapsed="false">
      <c r="H615" s="113"/>
      <c r="I615" s="113"/>
      <c r="J615" s="113"/>
      <c r="L615" s="113"/>
      <c r="M615" s="113"/>
      <c r="N615" s="113"/>
      <c r="P615" s="113"/>
      <c r="Q615" s="113"/>
      <c r="R615" s="113"/>
      <c r="T615" s="113"/>
      <c r="U615" s="113"/>
      <c r="V615" s="113"/>
    </row>
    <row r="616" customFormat="false" ht="15" hidden="false" customHeight="true" outlineLevel="0" collapsed="false">
      <c r="H616" s="113"/>
      <c r="I616" s="113"/>
      <c r="J616" s="113"/>
      <c r="L616" s="113"/>
      <c r="M616" s="113"/>
      <c r="N616" s="113"/>
      <c r="P616" s="113"/>
      <c r="Q616" s="113"/>
      <c r="R616" s="113"/>
      <c r="T616" s="113"/>
      <c r="U616" s="113"/>
      <c r="V616" s="113"/>
    </row>
    <row r="617" customFormat="false" ht="15" hidden="false" customHeight="true" outlineLevel="0" collapsed="false">
      <c r="H617" s="113"/>
      <c r="I617" s="113"/>
      <c r="J617" s="113"/>
      <c r="L617" s="113"/>
      <c r="M617" s="113"/>
      <c r="N617" s="113"/>
      <c r="P617" s="113"/>
      <c r="Q617" s="113"/>
      <c r="R617" s="113"/>
      <c r="T617" s="113"/>
      <c r="U617" s="113"/>
      <c r="V617" s="113"/>
    </row>
    <row r="618" customFormat="false" ht="15" hidden="false" customHeight="true" outlineLevel="0" collapsed="false">
      <c r="H618" s="113"/>
      <c r="I618" s="113"/>
      <c r="J618" s="113"/>
      <c r="L618" s="113"/>
      <c r="M618" s="113"/>
      <c r="N618" s="113"/>
      <c r="P618" s="113"/>
      <c r="Q618" s="113"/>
      <c r="R618" s="113"/>
      <c r="T618" s="113"/>
      <c r="U618" s="113"/>
      <c r="V618" s="113"/>
    </row>
    <row r="619" customFormat="false" ht="15" hidden="false" customHeight="true" outlineLevel="0" collapsed="false">
      <c r="H619" s="113"/>
      <c r="I619" s="113"/>
      <c r="J619" s="113"/>
      <c r="L619" s="113"/>
      <c r="M619" s="113"/>
      <c r="N619" s="113"/>
      <c r="P619" s="113"/>
      <c r="Q619" s="113"/>
      <c r="R619" s="113"/>
      <c r="T619" s="113"/>
      <c r="U619" s="113"/>
      <c r="V619" s="113"/>
    </row>
    <row r="620" customFormat="false" ht="15" hidden="false" customHeight="true" outlineLevel="0" collapsed="false">
      <c r="H620" s="113"/>
      <c r="I620" s="113"/>
      <c r="J620" s="113"/>
      <c r="L620" s="113"/>
      <c r="M620" s="113"/>
      <c r="N620" s="113"/>
      <c r="P620" s="113"/>
      <c r="Q620" s="113"/>
      <c r="R620" s="113"/>
      <c r="T620" s="113"/>
      <c r="U620" s="113"/>
      <c r="V620" s="113"/>
    </row>
    <row r="621" customFormat="false" ht="15" hidden="false" customHeight="true" outlineLevel="0" collapsed="false">
      <c r="H621" s="113"/>
      <c r="I621" s="113"/>
      <c r="J621" s="113"/>
      <c r="L621" s="113"/>
      <c r="M621" s="113"/>
      <c r="N621" s="113"/>
      <c r="P621" s="113"/>
      <c r="Q621" s="113"/>
      <c r="R621" s="113"/>
      <c r="T621" s="113"/>
      <c r="U621" s="113"/>
      <c r="V621" s="113"/>
    </row>
    <row r="622" customFormat="false" ht="15" hidden="false" customHeight="true" outlineLevel="0" collapsed="false">
      <c r="H622" s="113"/>
      <c r="I622" s="113"/>
      <c r="J622" s="113"/>
      <c r="L622" s="113"/>
      <c r="M622" s="113"/>
      <c r="N622" s="113"/>
      <c r="P622" s="113"/>
      <c r="Q622" s="113"/>
      <c r="R622" s="113"/>
      <c r="T622" s="113"/>
      <c r="U622" s="113"/>
      <c r="V622" s="113"/>
    </row>
    <row r="623" customFormat="false" ht="15" hidden="false" customHeight="true" outlineLevel="0" collapsed="false">
      <c r="H623" s="113"/>
      <c r="I623" s="113"/>
      <c r="J623" s="113"/>
      <c r="L623" s="113"/>
      <c r="M623" s="113"/>
      <c r="N623" s="113"/>
      <c r="P623" s="113"/>
      <c r="Q623" s="113"/>
      <c r="R623" s="113"/>
      <c r="T623" s="113"/>
      <c r="U623" s="113"/>
      <c r="V623" s="113"/>
    </row>
    <row r="624" customFormat="false" ht="15" hidden="false" customHeight="true" outlineLevel="0" collapsed="false">
      <c r="H624" s="113"/>
      <c r="I624" s="113"/>
      <c r="J624" s="113"/>
      <c r="L624" s="113"/>
      <c r="M624" s="113"/>
      <c r="N624" s="113"/>
      <c r="P624" s="113"/>
      <c r="Q624" s="113"/>
      <c r="R624" s="113"/>
      <c r="T624" s="113"/>
      <c r="U624" s="113"/>
      <c r="V624" s="113"/>
    </row>
    <row r="625" customFormat="false" ht="15" hidden="false" customHeight="true" outlineLevel="0" collapsed="false">
      <c r="H625" s="113"/>
      <c r="I625" s="113"/>
      <c r="J625" s="113"/>
      <c r="L625" s="113"/>
      <c r="M625" s="113"/>
      <c r="N625" s="113"/>
      <c r="P625" s="113"/>
      <c r="Q625" s="113"/>
      <c r="R625" s="113"/>
      <c r="T625" s="113"/>
      <c r="U625" s="113"/>
      <c r="V625" s="113"/>
    </row>
    <row r="626" customFormat="false" ht="15" hidden="false" customHeight="true" outlineLevel="0" collapsed="false">
      <c r="H626" s="113"/>
      <c r="I626" s="113"/>
      <c r="J626" s="113"/>
      <c r="L626" s="113"/>
      <c r="M626" s="113"/>
      <c r="N626" s="113"/>
      <c r="P626" s="113"/>
      <c r="Q626" s="113"/>
      <c r="R626" s="113"/>
      <c r="T626" s="113"/>
      <c r="U626" s="113"/>
      <c r="V626" s="113"/>
    </row>
    <row r="627" customFormat="false" ht="15" hidden="false" customHeight="true" outlineLevel="0" collapsed="false">
      <c r="H627" s="113"/>
      <c r="I627" s="113"/>
      <c r="J627" s="113"/>
      <c r="L627" s="113"/>
      <c r="M627" s="113"/>
      <c r="N627" s="113"/>
      <c r="P627" s="113"/>
      <c r="Q627" s="113"/>
      <c r="R627" s="113"/>
      <c r="T627" s="113"/>
      <c r="U627" s="113"/>
      <c r="V627" s="113"/>
    </row>
    <row r="628" customFormat="false" ht="15" hidden="false" customHeight="true" outlineLevel="0" collapsed="false">
      <c r="H628" s="113"/>
      <c r="I628" s="113"/>
      <c r="J628" s="113"/>
      <c r="L628" s="113"/>
      <c r="M628" s="113"/>
      <c r="N628" s="113"/>
      <c r="P628" s="113"/>
      <c r="Q628" s="113"/>
      <c r="R628" s="113"/>
      <c r="T628" s="113"/>
      <c r="U628" s="113"/>
      <c r="V628" s="113"/>
    </row>
    <row r="629" customFormat="false" ht="15" hidden="false" customHeight="true" outlineLevel="0" collapsed="false">
      <c r="H629" s="113"/>
      <c r="I629" s="113"/>
      <c r="J629" s="113"/>
      <c r="L629" s="113"/>
      <c r="M629" s="113"/>
      <c r="N629" s="113"/>
      <c r="P629" s="113"/>
      <c r="Q629" s="113"/>
      <c r="R629" s="113"/>
      <c r="T629" s="113"/>
      <c r="U629" s="113"/>
      <c r="V629" s="113"/>
    </row>
    <row r="630" customFormat="false" ht="15" hidden="false" customHeight="true" outlineLevel="0" collapsed="false">
      <c r="H630" s="113"/>
      <c r="I630" s="113"/>
      <c r="J630" s="113"/>
      <c r="L630" s="113"/>
      <c r="M630" s="113"/>
      <c r="N630" s="113"/>
      <c r="P630" s="113"/>
      <c r="Q630" s="113"/>
      <c r="R630" s="113"/>
      <c r="T630" s="113"/>
      <c r="U630" s="113"/>
      <c r="V630" s="113"/>
    </row>
    <row r="631" customFormat="false" ht="15" hidden="false" customHeight="true" outlineLevel="0" collapsed="false">
      <c r="H631" s="113"/>
      <c r="I631" s="113"/>
      <c r="J631" s="113"/>
      <c r="L631" s="113"/>
      <c r="M631" s="113"/>
      <c r="N631" s="113"/>
      <c r="P631" s="113"/>
      <c r="Q631" s="113"/>
      <c r="R631" s="113"/>
      <c r="T631" s="113"/>
      <c r="U631" s="113"/>
      <c r="V631" s="113"/>
    </row>
    <row r="632" customFormat="false" ht="15" hidden="false" customHeight="true" outlineLevel="0" collapsed="false">
      <c r="H632" s="113"/>
      <c r="I632" s="113"/>
      <c r="J632" s="113"/>
      <c r="L632" s="113"/>
      <c r="M632" s="113"/>
      <c r="N632" s="113"/>
      <c r="P632" s="113"/>
      <c r="Q632" s="113"/>
      <c r="R632" s="113"/>
      <c r="T632" s="113"/>
      <c r="U632" s="113"/>
      <c r="V632" s="113"/>
    </row>
    <row r="633" customFormat="false" ht="15" hidden="false" customHeight="true" outlineLevel="0" collapsed="false">
      <c r="H633" s="113"/>
      <c r="I633" s="113"/>
      <c r="J633" s="113"/>
      <c r="L633" s="113"/>
      <c r="M633" s="113"/>
      <c r="N633" s="113"/>
      <c r="P633" s="113"/>
      <c r="Q633" s="113"/>
      <c r="R633" s="113"/>
      <c r="T633" s="113"/>
      <c r="U633" s="113"/>
      <c r="V633" s="113"/>
    </row>
    <row r="634" customFormat="false" ht="15" hidden="false" customHeight="true" outlineLevel="0" collapsed="false">
      <c r="H634" s="113"/>
      <c r="I634" s="113"/>
      <c r="J634" s="113"/>
      <c r="L634" s="113"/>
      <c r="M634" s="113"/>
      <c r="N634" s="113"/>
      <c r="P634" s="113"/>
      <c r="Q634" s="113"/>
      <c r="R634" s="113"/>
      <c r="T634" s="113"/>
      <c r="U634" s="113"/>
      <c r="V634" s="113"/>
    </row>
    <row r="635" customFormat="false" ht="15" hidden="false" customHeight="true" outlineLevel="0" collapsed="false">
      <c r="H635" s="113"/>
      <c r="I635" s="113"/>
      <c r="J635" s="113"/>
      <c r="L635" s="113"/>
      <c r="M635" s="113"/>
      <c r="N635" s="113"/>
      <c r="P635" s="113"/>
      <c r="Q635" s="113"/>
      <c r="R635" s="113"/>
      <c r="T635" s="113"/>
      <c r="U635" s="113"/>
      <c r="V635" s="113"/>
    </row>
    <row r="636" customFormat="false" ht="15" hidden="false" customHeight="true" outlineLevel="0" collapsed="false">
      <c r="H636" s="113"/>
      <c r="I636" s="113"/>
      <c r="J636" s="113"/>
      <c r="L636" s="113"/>
      <c r="M636" s="113"/>
      <c r="N636" s="113"/>
      <c r="P636" s="113"/>
      <c r="Q636" s="113"/>
      <c r="R636" s="113"/>
      <c r="T636" s="113"/>
      <c r="U636" s="113"/>
      <c r="V636" s="113"/>
    </row>
    <row r="637" customFormat="false" ht="15" hidden="false" customHeight="true" outlineLevel="0" collapsed="false">
      <c r="H637" s="113"/>
      <c r="I637" s="113"/>
      <c r="J637" s="113"/>
      <c r="L637" s="113"/>
      <c r="M637" s="113"/>
      <c r="N637" s="113"/>
      <c r="P637" s="113"/>
      <c r="Q637" s="113"/>
      <c r="R637" s="113"/>
      <c r="T637" s="113"/>
      <c r="U637" s="113"/>
      <c r="V637" s="113"/>
    </row>
    <row r="638" customFormat="false" ht="15" hidden="false" customHeight="true" outlineLevel="0" collapsed="false">
      <c r="H638" s="113"/>
      <c r="I638" s="113"/>
      <c r="J638" s="113"/>
      <c r="L638" s="113"/>
      <c r="M638" s="113"/>
      <c r="N638" s="113"/>
      <c r="P638" s="113"/>
      <c r="Q638" s="113"/>
      <c r="R638" s="113"/>
      <c r="T638" s="113"/>
      <c r="U638" s="113"/>
      <c r="V638" s="113"/>
    </row>
    <row r="639" customFormat="false" ht="15" hidden="false" customHeight="true" outlineLevel="0" collapsed="false">
      <c r="H639" s="113"/>
      <c r="I639" s="113"/>
      <c r="J639" s="113"/>
      <c r="L639" s="113"/>
      <c r="M639" s="113"/>
      <c r="N639" s="113"/>
      <c r="P639" s="113"/>
      <c r="Q639" s="113"/>
      <c r="R639" s="113"/>
      <c r="T639" s="113"/>
      <c r="U639" s="113"/>
      <c r="V639" s="113"/>
    </row>
    <row r="640" customFormat="false" ht="15" hidden="false" customHeight="true" outlineLevel="0" collapsed="false">
      <c r="H640" s="113"/>
      <c r="I640" s="113"/>
      <c r="J640" s="113"/>
      <c r="L640" s="113"/>
      <c r="M640" s="113"/>
      <c r="N640" s="113"/>
      <c r="P640" s="113"/>
      <c r="Q640" s="113"/>
      <c r="R640" s="113"/>
      <c r="T640" s="113"/>
      <c r="U640" s="113"/>
      <c r="V640" s="113"/>
    </row>
    <row r="641" customFormat="false" ht="15" hidden="false" customHeight="true" outlineLevel="0" collapsed="false">
      <c r="H641" s="113"/>
      <c r="I641" s="113"/>
      <c r="J641" s="113"/>
      <c r="L641" s="113"/>
      <c r="M641" s="113"/>
      <c r="N641" s="113"/>
      <c r="P641" s="113"/>
      <c r="Q641" s="113"/>
      <c r="R641" s="113"/>
      <c r="T641" s="113"/>
      <c r="U641" s="113"/>
      <c r="V641" s="113"/>
    </row>
    <row r="642" customFormat="false" ht="15" hidden="false" customHeight="true" outlineLevel="0" collapsed="false">
      <c r="H642" s="113"/>
      <c r="I642" s="113"/>
      <c r="J642" s="113"/>
      <c r="L642" s="113"/>
      <c r="M642" s="113"/>
      <c r="N642" s="113"/>
      <c r="P642" s="113"/>
      <c r="Q642" s="113"/>
      <c r="R642" s="113"/>
      <c r="T642" s="113"/>
      <c r="U642" s="113"/>
      <c r="V642" s="113"/>
    </row>
    <row r="643" customFormat="false" ht="15" hidden="false" customHeight="true" outlineLevel="0" collapsed="false">
      <c r="H643" s="113"/>
      <c r="I643" s="113"/>
      <c r="J643" s="113"/>
      <c r="L643" s="113"/>
      <c r="M643" s="113"/>
      <c r="N643" s="113"/>
      <c r="P643" s="113"/>
      <c r="Q643" s="113"/>
      <c r="R643" s="113"/>
      <c r="T643" s="113"/>
      <c r="U643" s="113"/>
      <c r="V643" s="113"/>
    </row>
    <row r="644" customFormat="false" ht="15" hidden="false" customHeight="true" outlineLevel="0" collapsed="false">
      <c r="H644" s="113"/>
      <c r="I644" s="113"/>
      <c r="J644" s="113"/>
      <c r="L644" s="113"/>
      <c r="M644" s="113"/>
      <c r="N644" s="113"/>
      <c r="P644" s="113"/>
      <c r="Q644" s="113"/>
      <c r="R644" s="113"/>
      <c r="T644" s="113"/>
      <c r="U644" s="113"/>
      <c r="V644" s="113"/>
    </row>
    <row r="645" customFormat="false" ht="15" hidden="false" customHeight="true" outlineLevel="0" collapsed="false">
      <c r="H645" s="113"/>
      <c r="I645" s="113"/>
      <c r="J645" s="113"/>
      <c r="L645" s="113"/>
      <c r="M645" s="113"/>
      <c r="N645" s="113"/>
      <c r="P645" s="113"/>
      <c r="Q645" s="113"/>
      <c r="R645" s="113"/>
      <c r="T645" s="113"/>
      <c r="U645" s="113"/>
      <c r="V645" s="113"/>
    </row>
    <row r="646" customFormat="false" ht="15" hidden="false" customHeight="true" outlineLevel="0" collapsed="false">
      <c r="H646" s="113"/>
      <c r="I646" s="113"/>
      <c r="J646" s="113"/>
      <c r="L646" s="113"/>
      <c r="M646" s="113"/>
      <c r="N646" s="113"/>
      <c r="P646" s="113"/>
      <c r="Q646" s="113"/>
      <c r="R646" s="113"/>
      <c r="T646" s="113"/>
      <c r="U646" s="113"/>
      <c r="V646" s="113"/>
    </row>
    <row r="647" customFormat="false" ht="15" hidden="false" customHeight="true" outlineLevel="0" collapsed="false">
      <c r="H647" s="113"/>
      <c r="I647" s="113"/>
      <c r="J647" s="113"/>
      <c r="L647" s="113"/>
      <c r="M647" s="113"/>
      <c r="N647" s="113"/>
      <c r="P647" s="113"/>
      <c r="Q647" s="113"/>
      <c r="R647" s="113"/>
      <c r="T647" s="113"/>
      <c r="U647" s="113"/>
      <c r="V647" s="113"/>
    </row>
    <row r="648" customFormat="false" ht="15" hidden="false" customHeight="true" outlineLevel="0" collapsed="false">
      <c r="H648" s="113"/>
      <c r="I648" s="113"/>
      <c r="J648" s="113"/>
      <c r="L648" s="113"/>
      <c r="M648" s="113"/>
      <c r="N648" s="113"/>
      <c r="P648" s="113"/>
      <c r="Q648" s="113"/>
      <c r="R648" s="113"/>
      <c r="T648" s="113"/>
      <c r="U648" s="113"/>
      <c r="V648" s="113"/>
    </row>
    <row r="649" customFormat="false" ht="15" hidden="false" customHeight="true" outlineLevel="0" collapsed="false">
      <c r="H649" s="113"/>
      <c r="I649" s="113"/>
      <c r="J649" s="113"/>
      <c r="L649" s="113"/>
      <c r="M649" s="113"/>
      <c r="N649" s="113"/>
      <c r="P649" s="113"/>
      <c r="Q649" s="113"/>
      <c r="R649" s="113"/>
      <c r="T649" s="113"/>
      <c r="U649" s="113"/>
      <c r="V649" s="113"/>
    </row>
    <row r="650" customFormat="false" ht="15" hidden="false" customHeight="true" outlineLevel="0" collapsed="false">
      <c r="H650" s="113"/>
      <c r="I650" s="113"/>
      <c r="J650" s="113"/>
      <c r="L650" s="113"/>
      <c r="M650" s="113"/>
      <c r="N650" s="113"/>
      <c r="P650" s="113"/>
      <c r="Q650" s="113"/>
      <c r="R650" s="113"/>
      <c r="T650" s="113"/>
      <c r="U650" s="113"/>
      <c r="V650" s="113"/>
    </row>
    <row r="651" customFormat="false" ht="15" hidden="false" customHeight="true" outlineLevel="0" collapsed="false">
      <c r="H651" s="113"/>
      <c r="I651" s="113"/>
      <c r="J651" s="113"/>
      <c r="L651" s="113"/>
      <c r="M651" s="113"/>
      <c r="N651" s="113"/>
      <c r="P651" s="113"/>
      <c r="Q651" s="113"/>
      <c r="R651" s="113"/>
      <c r="T651" s="113"/>
      <c r="U651" s="113"/>
      <c r="V651" s="113"/>
    </row>
    <row r="652" customFormat="false" ht="15" hidden="false" customHeight="true" outlineLevel="0" collapsed="false">
      <c r="H652" s="113"/>
      <c r="I652" s="113"/>
      <c r="J652" s="113"/>
      <c r="L652" s="113"/>
      <c r="M652" s="113"/>
      <c r="N652" s="113"/>
      <c r="P652" s="113"/>
      <c r="Q652" s="113"/>
      <c r="R652" s="113"/>
      <c r="T652" s="113"/>
      <c r="U652" s="113"/>
      <c r="V652" s="113"/>
    </row>
    <row r="653" customFormat="false" ht="15" hidden="false" customHeight="true" outlineLevel="0" collapsed="false">
      <c r="H653" s="113"/>
      <c r="I653" s="113"/>
      <c r="J653" s="113"/>
      <c r="L653" s="113"/>
      <c r="M653" s="113"/>
      <c r="N653" s="113"/>
      <c r="P653" s="113"/>
      <c r="Q653" s="113"/>
      <c r="R653" s="113"/>
      <c r="T653" s="113"/>
      <c r="U653" s="113"/>
      <c r="V653" s="113"/>
    </row>
    <row r="654" customFormat="false" ht="15" hidden="false" customHeight="true" outlineLevel="0" collapsed="false">
      <c r="H654" s="113"/>
      <c r="I654" s="113"/>
      <c r="J654" s="113"/>
      <c r="L654" s="113"/>
      <c r="M654" s="113"/>
      <c r="N654" s="113"/>
      <c r="P654" s="113"/>
      <c r="Q654" s="113"/>
      <c r="R654" s="113"/>
      <c r="T654" s="113"/>
      <c r="U654" s="113"/>
      <c r="V654" s="113"/>
    </row>
    <row r="655" customFormat="false" ht="15" hidden="false" customHeight="true" outlineLevel="0" collapsed="false">
      <c r="H655" s="113"/>
      <c r="I655" s="113"/>
      <c r="J655" s="113"/>
      <c r="L655" s="113"/>
      <c r="M655" s="113"/>
      <c r="N655" s="113"/>
      <c r="P655" s="113"/>
      <c r="Q655" s="113"/>
      <c r="R655" s="113"/>
      <c r="T655" s="113"/>
      <c r="U655" s="113"/>
      <c r="V655" s="113"/>
    </row>
    <row r="656" customFormat="false" ht="15" hidden="false" customHeight="true" outlineLevel="0" collapsed="false">
      <c r="H656" s="113"/>
      <c r="I656" s="113"/>
      <c r="J656" s="113"/>
      <c r="L656" s="113"/>
      <c r="M656" s="113"/>
      <c r="N656" s="113"/>
      <c r="P656" s="113"/>
      <c r="Q656" s="113"/>
      <c r="R656" s="113"/>
      <c r="T656" s="113"/>
      <c r="U656" s="113"/>
      <c r="V656" s="113"/>
    </row>
    <row r="657" customFormat="false" ht="15" hidden="false" customHeight="true" outlineLevel="0" collapsed="false">
      <c r="H657" s="113"/>
      <c r="I657" s="113"/>
      <c r="J657" s="113"/>
      <c r="L657" s="113"/>
      <c r="M657" s="113"/>
      <c r="N657" s="113"/>
      <c r="P657" s="113"/>
      <c r="Q657" s="113"/>
      <c r="R657" s="113"/>
      <c r="T657" s="113"/>
      <c r="U657" s="113"/>
      <c r="V657" s="113"/>
    </row>
    <row r="658" customFormat="false" ht="15" hidden="false" customHeight="true" outlineLevel="0" collapsed="false">
      <c r="H658" s="113"/>
      <c r="I658" s="113"/>
      <c r="J658" s="113"/>
      <c r="L658" s="113"/>
      <c r="M658" s="113"/>
      <c r="N658" s="113"/>
      <c r="P658" s="113"/>
      <c r="Q658" s="113"/>
      <c r="R658" s="113"/>
      <c r="T658" s="113"/>
      <c r="U658" s="113"/>
      <c r="V658" s="113"/>
    </row>
    <row r="659" customFormat="false" ht="15" hidden="false" customHeight="true" outlineLevel="0" collapsed="false">
      <c r="H659" s="113"/>
      <c r="I659" s="113"/>
      <c r="J659" s="113"/>
      <c r="L659" s="113"/>
      <c r="M659" s="113"/>
      <c r="N659" s="113"/>
      <c r="P659" s="113"/>
      <c r="Q659" s="113"/>
      <c r="R659" s="113"/>
      <c r="T659" s="113"/>
      <c r="U659" s="113"/>
      <c r="V659" s="113"/>
    </row>
    <row r="660" customFormat="false" ht="15" hidden="false" customHeight="true" outlineLevel="0" collapsed="false">
      <c r="H660" s="113"/>
      <c r="I660" s="113"/>
      <c r="J660" s="113"/>
      <c r="L660" s="113"/>
      <c r="M660" s="113"/>
      <c r="N660" s="113"/>
      <c r="P660" s="113"/>
      <c r="Q660" s="113"/>
      <c r="R660" s="113"/>
      <c r="T660" s="113"/>
      <c r="U660" s="113"/>
      <c r="V660" s="113"/>
    </row>
    <row r="661" customFormat="false" ht="15" hidden="false" customHeight="true" outlineLevel="0" collapsed="false">
      <c r="H661" s="113"/>
      <c r="I661" s="113"/>
      <c r="J661" s="113"/>
      <c r="L661" s="113"/>
      <c r="M661" s="113"/>
      <c r="N661" s="113"/>
      <c r="P661" s="113"/>
      <c r="Q661" s="113"/>
      <c r="R661" s="113"/>
      <c r="T661" s="113"/>
      <c r="U661" s="113"/>
      <c r="V661" s="113"/>
    </row>
    <row r="662" customFormat="false" ht="15" hidden="false" customHeight="true" outlineLevel="0" collapsed="false">
      <c r="H662" s="113"/>
      <c r="I662" s="113"/>
      <c r="J662" s="113"/>
      <c r="L662" s="113"/>
      <c r="M662" s="113"/>
      <c r="N662" s="113"/>
      <c r="P662" s="113"/>
      <c r="Q662" s="113"/>
      <c r="R662" s="113"/>
      <c r="T662" s="113"/>
      <c r="U662" s="113"/>
      <c r="V662" s="113"/>
    </row>
    <row r="663" customFormat="false" ht="15" hidden="false" customHeight="true" outlineLevel="0" collapsed="false">
      <c r="H663" s="113"/>
      <c r="I663" s="113"/>
      <c r="J663" s="113"/>
      <c r="L663" s="113"/>
      <c r="M663" s="113"/>
      <c r="N663" s="113"/>
      <c r="P663" s="113"/>
      <c r="Q663" s="113"/>
      <c r="R663" s="113"/>
      <c r="T663" s="113"/>
      <c r="U663" s="113"/>
      <c r="V663" s="113"/>
    </row>
    <row r="664" customFormat="false" ht="15" hidden="false" customHeight="true" outlineLevel="0" collapsed="false">
      <c r="H664" s="113"/>
      <c r="I664" s="113"/>
      <c r="J664" s="113"/>
      <c r="L664" s="113"/>
      <c r="M664" s="113"/>
      <c r="N664" s="113"/>
      <c r="P664" s="113"/>
      <c r="Q664" s="113"/>
      <c r="R664" s="113"/>
      <c r="T664" s="113"/>
      <c r="U664" s="113"/>
      <c r="V664" s="113"/>
    </row>
    <row r="665" customFormat="false" ht="15" hidden="false" customHeight="true" outlineLevel="0" collapsed="false">
      <c r="H665" s="113"/>
      <c r="I665" s="113"/>
      <c r="J665" s="113"/>
      <c r="L665" s="113"/>
      <c r="M665" s="113"/>
      <c r="N665" s="113"/>
      <c r="P665" s="113"/>
      <c r="Q665" s="113"/>
      <c r="R665" s="113"/>
      <c r="T665" s="113"/>
      <c r="U665" s="113"/>
      <c r="V665" s="113"/>
    </row>
    <row r="666" customFormat="false" ht="15" hidden="false" customHeight="true" outlineLevel="0" collapsed="false">
      <c r="H666" s="113"/>
      <c r="I666" s="113"/>
      <c r="J666" s="113"/>
      <c r="L666" s="113"/>
      <c r="M666" s="113"/>
      <c r="N666" s="113"/>
      <c r="P666" s="113"/>
      <c r="Q666" s="113"/>
      <c r="R666" s="113"/>
      <c r="T666" s="113"/>
      <c r="U666" s="113"/>
      <c r="V666" s="113"/>
    </row>
    <row r="667" customFormat="false" ht="15" hidden="false" customHeight="true" outlineLevel="0" collapsed="false">
      <c r="H667" s="113"/>
      <c r="I667" s="113"/>
      <c r="J667" s="113"/>
      <c r="L667" s="113"/>
      <c r="M667" s="113"/>
      <c r="N667" s="113"/>
      <c r="P667" s="113"/>
      <c r="Q667" s="113"/>
      <c r="R667" s="113"/>
      <c r="T667" s="113"/>
      <c r="U667" s="113"/>
      <c r="V667" s="113"/>
    </row>
    <row r="668" customFormat="false" ht="15" hidden="false" customHeight="true" outlineLevel="0" collapsed="false">
      <c r="H668" s="113"/>
      <c r="I668" s="113"/>
      <c r="J668" s="113"/>
      <c r="L668" s="113"/>
      <c r="M668" s="113"/>
      <c r="N668" s="113"/>
      <c r="P668" s="113"/>
      <c r="Q668" s="113"/>
      <c r="R668" s="113"/>
      <c r="T668" s="113"/>
      <c r="U668" s="113"/>
      <c r="V668" s="113"/>
    </row>
    <row r="669" customFormat="false" ht="15" hidden="false" customHeight="true" outlineLevel="0" collapsed="false">
      <c r="H669" s="113"/>
      <c r="I669" s="113"/>
      <c r="J669" s="113"/>
      <c r="L669" s="113"/>
      <c r="M669" s="113"/>
      <c r="N669" s="113"/>
      <c r="P669" s="113"/>
      <c r="Q669" s="113"/>
      <c r="R669" s="113"/>
      <c r="T669" s="113"/>
      <c r="U669" s="113"/>
      <c r="V669" s="113"/>
    </row>
    <row r="670" customFormat="false" ht="15" hidden="false" customHeight="true" outlineLevel="0" collapsed="false">
      <c r="H670" s="113"/>
      <c r="I670" s="113"/>
      <c r="J670" s="113"/>
      <c r="L670" s="113"/>
      <c r="M670" s="113"/>
      <c r="N670" s="113"/>
      <c r="P670" s="113"/>
      <c r="Q670" s="113"/>
      <c r="R670" s="113"/>
      <c r="T670" s="113"/>
      <c r="U670" s="113"/>
      <c r="V670" s="113"/>
    </row>
    <row r="671" customFormat="false" ht="15" hidden="false" customHeight="true" outlineLevel="0" collapsed="false"/>
  </sheetData>
  <mergeCells count="62">
    <mergeCell ref="A7:Y7"/>
    <mergeCell ref="B9:I9"/>
    <mergeCell ref="K9:R9"/>
    <mergeCell ref="B10:C10"/>
    <mergeCell ref="D10:E10"/>
    <mergeCell ref="F10:G10"/>
    <mergeCell ref="H10:I10"/>
    <mergeCell ref="K10:L10"/>
    <mergeCell ref="M10:N10"/>
    <mergeCell ref="O10:P10"/>
    <mergeCell ref="Q10:R10"/>
    <mergeCell ref="B11:C11"/>
    <mergeCell ref="D11:E11"/>
    <mergeCell ref="F11:G11"/>
    <mergeCell ref="H11:I11"/>
    <mergeCell ref="K11:L11"/>
    <mergeCell ref="M11:N11"/>
    <mergeCell ref="O11:P11"/>
    <mergeCell ref="Q11:R11"/>
    <mergeCell ref="B12:C13"/>
    <mergeCell ref="D12:E13"/>
    <mergeCell ref="F12:G13"/>
    <mergeCell ref="H12:I13"/>
    <mergeCell ref="K12:L13"/>
    <mergeCell ref="M12:N13"/>
    <mergeCell ref="O12:P13"/>
    <mergeCell ref="Q12:R13"/>
    <mergeCell ref="B14:C14"/>
    <mergeCell ref="D14:E14"/>
    <mergeCell ref="F14:G14"/>
    <mergeCell ref="H14:I14"/>
    <mergeCell ref="K14:L14"/>
    <mergeCell ref="M14:N14"/>
    <mergeCell ref="O14:P14"/>
    <mergeCell ref="Q14:R14"/>
    <mergeCell ref="B16:R16"/>
    <mergeCell ref="B17:D17"/>
    <mergeCell ref="E17:G17"/>
    <mergeCell ref="I17:K17"/>
    <mergeCell ref="M17:O17"/>
    <mergeCell ref="Q17:S17"/>
    <mergeCell ref="B18:D18"/>
    <mergeCell ref="E18:G18"/>
    <mergeCell ref="I18:K18"/>
    <mergeCell ref="M18:O18"/>
    <mergeCell ref="Q18:S18"/>
    <mergeCell ref="B19:D20"/>
    <mergeCell ref="E19:G20"/>
    <mergeCell ref="I19:K20"/>
    <mergeCell ref="M19:O20"/>
    <mergeCell ref="Q19:S20"/>
    <mergeCell ref="B21:D21"/>
    <mergeCell ref="E21:G21"/>
    <mergeCell ref="I21:K21"/>
    <mergeCell ref="M21:O21"/>
    <mergeCell ref="Q21:S21"/>
    <mergeCell ref="B22:D22"/>
    <mergeCell ref="E22:G22"/>
    <mergeCell ref="I22:K22"/>
    <mergeCell ref="M22:O22"/>
    <mergeCell ref="Q22:S22"/>
    <mergeCell ref="B23:S23"/>
  </mergeCells>
  <conditionalFormatting sqref="M49">
    <cfRule type="expression" priority="2" aboveAverage="0" equalAverage="0" bottom="0" percent="0" rank="0" text="" dxfId="0">
      <formula>AND(ISNUMBER(M49),ISNUMBER($G49),OR(AND($D49="P",M49&gt;=$G49),AND($D49="N",M49&lt;=$G49)))</formula>
    </cfRule>
    <cfRule type="expression" priority="3" aboveAverage="0" equalAverage="0" bottom="0" percent="0" rank="0" text="" dxfId="1">
      <formula>AND(ISNUMBER(M49),ISNUMBER($G49),OR(AND($D49="P",M49&lt;$G49),AND($D49="N",M49&gt;$G49)))</formula>
    </cfRule>
  </conditionalFormatting>
  <conditionalFormatting sqref="L49">
    <cfRule type="expression" priority="4" aboveAverage="0" equalAverage="0" bottom="0" percent="0" rank="0" text="" dxfId="0">
      <formula>AND(ISNUMBER(L49),ISNUMBER($G49),OR(AND($D49="P",L49&gt;=$G49),AND($D49="N",L49&lt;=$G49)))</formula>
    </cfRule>
    <cfRule type="expression" priority="5" aboveAverage="0" equalAverage="0" bottom="0" percent="0" rank="0" text="" dxfId="1">
      <formula>AND(ISNUMBER(L49),ISNUMBER($G49),OR(AND($D49="P",L49&lt;$G49),AND($D49="N",L49&gt;$G49)))</formula>
    </cfRule>
  </conditionalFormatting>
  <conditionalFormatting sqref="X36:X73">
    <cfRule type="expression" priority="6" aboveAverage="0" equalAverage="0" bottom="0" percent="0" rank="0" text="" dxfId="0">
      <formula>$Y36="✓ On Target"</formula>
    </cfRule>
    <cfRule type="expression" priority="7" aboveAverage="0" equalAverage="0" bottom="0" percent="0" rank="0" text="" dxfId="1">
      <formula>$Y36="✗ Off Target"</formula>
    </cfRule>
    <cfRule type="expression" priority="8" aboveAverage="0" equalAverage="0" bottom="0" percent="0" rank="0" text="" dxfId="2">
      <formula>$Y36="— No Data"</formula>
    </cfRule>
    <cfRule type="expression" priority="9" aboveAverage="0" equalAverage="0" bottom="0" percent="0" rank="0" text="" dxfId="3">
      <formula>$Y36="⊘ Non Target"</formula>
    </cfRule>
  </conditionalFormatting>
  <conditionalFormatting sqref="Y36:Y73">
    <cfRule type="expression" priority="10" aboveAverage="0" equalAverage="0" bottom="0" percent="0" rank="0" text="" dxfId="0">
      <formula>Y36="✓ On Target"</formula>
    </cfRule>
    <cfRule type="expression" priority="11" aboveAverage="0" equalAverage="0" bottom="0" percent="0" rank="0" text="" dxfId="1">
      <formula>Y36="✗ Off Target"</formula>
    </cfRule>
    <cfRule type="expression" priority="12" aboveAverage="0" equalAverage="0" bottom="0" percent="0" rank="0" text="" dxfId="2">
      <formula>Y36="— No Data"</formula>
    </cfRule>
    <cfRule type="expression" priority="13" aboveAverage="0" equalAverage="0" bottom="0" percent="0" rank="0" text="" dxfId="3">
      <formula>Y36="⊘ Non Target"</formula>
    </cfRule>
  </conditionalFormatting>
  <conditionalFormatting sqref="H36:W48 H49:K49 H50:W73 N49:W49">
    <cfRule type="expression" priority="14" aboveAverage="0" equalAverage="0" bottom="0" percent="0" rank="0" text="" dxfId="0">
      <formula>AND(ISNUMBER(H36),ISNUMBER($G36),OR(AND($D36="P",H36&gt;=$G36),AND($D36="N",H36&lt;=$G36)))</formula>
    </cfRule>
    <cfRule type="expression" priority="15" aboveAverage="0" equalAverage="0" bottom="0" percent="0" rank="0" text="" dxfId="1">
      <formula>AND(ISNUMBER(H36),ISNUMBER($G36),OR(AND($D36="P",H36&lt;$G36),AND($D36="N",H36&gt;$G36)))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2026-04-27T03:51:14Z</dcterms:created>
  <dc:creator>openpyxl</dc:creator>
  <dc:description/>
  <dc:language>en-US</dc:language>
  <cp:lastModifiedBy>Ahmad Mesfer Alzmanan</cp:lastModifiedBy>
  <dcterms:modified xsi:type="dcterms:W3CDTF">2026-08-12T05:57:01Z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